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BE62506F-62E6-4EF6-B32F-C20486EDFA9B}" xr6:coauthVersionLast="47" xr6:coauthVersionMax="47" xr10:uidLastSave="{00000000-0000-0000-0000-000000000000}"/>
  <bookViews>
    <workbookView xWindow="2250" yWindow="2250" windowWidth="21600" windowHeight="11385" tabRatio="768" activeTab="1" xr2:uid="{7200B814-432B-4DE0-ABCA-741420E20F42}"/>
  </bookViews>
  <sheets>
    <sheet name="Introduction" sheetId="15" r:id="rId1"/>
    <sheet name="Xref_CIC" sheetId="2" r:id="rId2"/>
    <sheet name="Xref_BTE" sheetId="9" r:id="rId3"/>
    <sheet name="Xref_Thrive" sheetId="11" r:id="rId4"/>
    <sheet name="Xref_Inspire" sheetId="14" r:id="rId5"/>
    <sheet name="Flowdown_Thrive" sheetId="10" r:id="rId6"/>
    <sheet name="Flowdown_Inspire" sheetId="12" r:id="rId7"/>
    <sheet name="Flowdown_CIC" sheetId="4" r:id="rId8"/>
    <sheet name="Flowdown_BTE" sheetId="8" r:id="rId9"/>
    <sheet name="Patch" sheetId="5" r:id="rId10"/>
  </sheets>
  <definedNames>
    <definedName name="ExternalData_1" localSheetId="9" hidden="1">Patch!$A$1:$C$83</definedName>
    <definedName name="ExternalData_2" localSheetId="7" hidden="1">Flowdown_CIC!$A$1:$D$6083</definedName>
    <definedName name="ExternalData_3" localSheetId="8" hidden="1">Flowdown_BTE!$A$1:$C$6187</definedName>
    <definedName name="ExternalData_4" localSheetId="6" hidden="1">Flowdown_Inspire!$A$1:$C$2531</definedName>
    <definedName name="ExternalData_4" localSheetId="5" hidden="1">Flowdown_Thrive!$A$1:$C$551</definedName>
    <definedName name="_xlnm.Print_Area" localSheetId="0">Introduction!$A$1:$J$44</definedName>
    <definedName name="_xlnm.Print_Area" localSheetId="2">Xref_BTE!$B$13:$K$326</definedName>
    <definedName name="_xlnm.Print_Area" localSheetId="1">Xref_CIC!$B$13:$K$317</definedName>
    <definedName name="_xlnm.Print_Area" localSheetId="4">Xref_Inspire!$B$13:$K$148</definedName>
    <definedName name="_xlnm.Print_Area" localSheetId="3">Xref_Thrive!$B$13:$C$99</definedName>
    <definedName name="_xlnm.Print_Titles" localSheetId="2">Xref_BTE!$13:$14</definedName>
    <definedName name="_xlnm.Print_Titles" localSheetId="1">Xref_CIC!$13:$14</definedName>
    <definedName name="_xlnm.Print_Titles" localSheetId="4">Xref_Inspire!$13:$14</definedName>
    <definedName name="_xlnm.Print_Titles" localSheetId="3">Xref_Thrive!$13:$14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1" l="1" a="1"/>
  <c r="C15" i="11" s="1"/>
  <c r="C94" i="11" a="1"/>
  <c r="C94" i="11" s="1"/>
  <c r="C16" i="11" a="1"/>
  <c r="C16" i="11" s="1"/>
  <c r="C17" i="11" a="1"/>
  <c r="C17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4" i="11" a="1"/>
  <c r="C34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0" i="11" a="1"/>
  <c r="C40" i="11" s="1"/>
  <c r="C41" i="11" a="1"/>
  <c r="C41" i="11" s="1"/>
  <c r="C42" i="11" a="1"/>
  <c r="C42" i="11" s="1"/>
  <c r="C43" i="11" a="1"/>
  <c r="C43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0" i="11" a="1"/>
  <c r="C60" i="11" s="1"/>
  <c r="C61" i="11" a="1"/>
  <c r="C61" i="11" s="1"/>
  <c r="C62" i="11" a="1"/>
  <c r="C62" i="11" s="1"/>
  <c r="C63" i="11" a="1"/>
  <c r="C63" i="11" s="1"/>
  <c r="C64" i="11" a="1"/>
  <c r="C64" i="11" s="1"/>
  <c r="C65" i="11" a="1"/>
  <c r="C65" i="11" s="1"/>
  <c r="C66" i="11" a="1"/>
  <c r="C66" i="11" s="1"/>
  <c r="C67" i="11" a="1"/>
  <c r="C67" i="11" s="1"/>
  <c r="C68" i="11" a="1"/>
  <c r="C68" i="11" s="1"/>
  <c r="C69" i="11" a="1"/>
  <c r="C69" i="11" s="1"/>
  <c r="C70" i="11" a="1"/>
  <c r="C70" i="11" s="1"/>
  <c r="C71" i="11" a="1"/>
  <c r="C71" i="11" s="1"/>
  <c r="C72" i="11" a="1"/>
  <c r="C72" i="11" s="1"/>
  <c r="C73" i="11" a="1"/>
  <c r="C73" i="11" s="1"/>
  <c r="C74" i="11" a="1"/>
  <c r="C74" i="11" s="1"/>
  <c r="C75" i="11" a="1"/>
  <c r="C75" i="11" s="1"/>
  <c r="C76" i="11" a="1"/>
  <c r="C76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89" i="11" a="1"/>
  <c r="C89" i="11" s="1"/>
  <c r="C90" i="11" a="1"/>
  <c r="C90" i="11" s="1"/>
  <c r="C91" i="11" a="1"/>
  <c r="C91" i="11" s="1"/>
  <c r="C92" i="11" a="1"/>
  <c r="C92" i="11" s="1"/>
  <c r="C93" i="11" a="1"/>
  <c r="C93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4" i="14" a="1"/>
  <c r="C14" i="14" s="1"/>
  <c r="B15" i="14" a="1"/>
  <c r="B3" i="14"/>
  <c r="C14" i="11" a="1"/>
  <c r="C14" i="11" s="1"/>
  <c r="B15" i="11" a="1"/>
  <c r="B15" i="11" s="1"/>
  <c r="B3" i="11"/>
  <c r="C14" i="9" a="1"/>
  <c r="C14" i="9" s="1"/>
  <c r="B15" i="9" a="1"/>
  <c r="E134" i="9" s="1" a="1"/>
  <c r="E134" i="9" s="1"/>
  <c r="B3" i="9"/>
  <c r="B15" i="2" a="1"/>
  <c r="D55" i="2" s="1" a="1"/>
  <c r="D55" i="2" s="1"/>
  <c r="C14" i="2" a="1"/>
  <c r="C14" i="2" s="1"/>
  <c r="B3" i="2"/>
  <c r="H294" i="2" l="1" a="1"/>
  <c r="H294" i="2" s="1"/>
  <c r="F278" i="2" a="1"/>
  <c r="F278" i="2" s="1"/>
  <c r="J255" i="2" a="1"/>
  <c r="J255" i="2" s="1"/>
  <c r="J300" i="2" a="1"/>
  <c r="J300" i="2" s="1"/>
  <c r="K296" i="2" a="1"/>
  <c r="K296" i="2" s="1"/>
  <c r="I288" i="2" a="1"/>
  <c r="I288" i="2" s="1"/>
  <c r="H280" i="2" a="1"/>
  <c r="H280" i="2" s="1"/>
  <c r="F270" i="2" a="1"/>
  <c r="F270" i="2" s="1"/>
  <c r="D251" i="2" a="1"/>
  <c r="D251" i="2" s="1"/>
  <c r="H300" i="2" a="1"/>
  <c r="H300" i="2" s="1"/>
  <c r="H296" i="2" a="1"/>
  <c r="H296" i="2" s="1"/>
  <c r="H292" i="2" a="1"/>
  <c r="H292" i="2" s="1"/>
  <c r="G288" i="2" a="1"/>
  <c r="G288" i="2" s="1"/>
  <c r="G284" i="2" a="1"/>
  <c r="G284" i="2" s="1"/>
  <c r="F280" i="2" a="1"/>
  <c r="F280" i="2" s="1"/>
  <c r="E276" i="2" a="1"/>
  <c r="E276" i="2" s="1"/>
  <c r="E269" i="2" a="1"/>
  <c r="E269" i="2" s="1"/>
  <c r="D261" i="2" a="1"/>
  <c r="D261" i="2" s="1"/>
  <c r="F249" i="2" a="1"/>
  <c r="F249" i="2" s="1"/>
  <c r="F236" i="2" a="1"/>
  <c r="F236" i="2" s="1"/>
  <c r="I298" i="2" a="1"/>
  <c r="I298" i="2" s="1"/>
  <c r="F282" i="2" a="1"/>
  <c r="F282" i="2" s="1"/>
  <c r="C243" i="2" a="1"/>
  <c r="C243" i="2" s="1"/>
  <c r="J293" i="2" a="1"/>
  <c r="J293" i="2" s="1"/>
  <c r="J292" i="2" a="1"/>
  <c r="J292" i="2" s="1"/>
  <c r="I284" i="2" a="1"/>
  <c r="I284" i="2" s="1"/>
  <c r="H276" i="2" a="1"/>
  <c r="H276" i="2" s="1"/>
  <c r="D262" i="2" a="1"/>
  <c r="D262" i="2" s="1"/>
  <c r="C238" i="2" a="1"/>
  <c r="C238" i="2" s="1"/>
  <c r="K299" i="2" a="1"/>
  <c r="K299" i="2" s="1"/>
  <c r="J295" i="2" a="1"/>
  <c r="J295" i="2" s="1"/>
  <c r="J291" i="2" a="1"/>
  <c r="J291" i="2" s="1"/>
  <c r="I287" i="2" a="1"/>
  <c r="I287" i="2" s="1"/>
  <c r="I283" i="2" a="1"/>
  <c r="I283" i="2" s="1"/>
  <c r="H279" i="2" a="1"/>
  <c r="H279" i="2" s="1"/>
  <c r="H275" i="2" a="1"/>
  <c r="H275" i="2" s="1"/>
  <c r="E268" i="2" a="1"/>
  <c r="E268" i="2" s="1"/>
  <c r="D260" i="2" a="1"/>
  <c r="D260" i="2" s="1"/>
  <c r="J247" i="2" a="1"/>
  <c r="J247" i="2" s="1"/>
  <c r="F234" i="2" a="1"/>
  <c r="F234" i="2" s="1"/>
  <c r="G290" i="2" a="1"/>
  <c r="G290" i="2" s="1"/>
  <c r="I299" i="2" a="1"/>
  <c r="I299" i="2" s="1"/>
  <c r="H295" i="2" a="1"/>
  <c r="H295" i="2" s="1"/>
  <c r="H291" i="2" a="1"/>
  <c r="H291" i="2" s="1"/>
  <c r="G287" i="2" a="1"/>
  <c r="G287" i="2" s="1"/>
  <c r="F283" i="2" a="1"/>
  <c r="F283" i="2" s="1"/>
  <c r="F279" i="2" a="1"/>
  <c r="F279" i="2" s="1"/>
  <c r="E275" i="2" a="1"/>
  <c r="E275" i="2" s="1"/>
  <c r="E267" i="2" a="1"/>
  <c r="E267" i="2" s="1"/>
  <c r="D259" i="2" a="1"/>
  <c r="D259" i="2" s="1"/>
  <c r="D246" i="2" a="1"/>
  <c r="D246" i="2" s="1"/>
  <c r="F232" i="2" a="1"/>
  <c r="F232" i="2" s="1"/>
  <c r="K298" i="2" a="1"/>
  <c r="K298" i="2" s="1"/>
  <c r="J294" i="2" a="1"/>
  <c r="J294" i="2" s="1"/>
  <c r="J290" i="2" a="1"/>
  <c r="J290" i="2" s="1"/>
  <c r="I286" i="2" a="1"/>
  <c r="I286" i="2" s="1"/>
  <c r="I282" i="2" a="1"/>
  <c r="I282" i="2" s="1"/>
  <c r="H278" i="2" a="1"/>
  <c r="H278" i="2" s="1"/>
  <c r="E274" i="2" a="1"/>
  <c r="E274" i="2" s="1"/>
  <c r="E266" i="2" a="1"/>
  <c r="E266" i="2" s="1"/>
  <c r="F257" i="2" a="1"/>
  <c r="F257" i="2" s="1"/>
  <c r="G244" i="2" a="1"/>
  <c r="G244" i="2" s="1"/>
  <c r="E230" i="2" a="1"/>
  <c r="E230" i="2" s="1"/>
  <c r="G286" i="2" a="1"/>
  <c r="G286" i="2" s="1"/>
  <c r="E273" i="2" a="1"/>
  <c r="E273" i="2" s="1"/>
  <c r="E265" i="2" a="1"/>
  <c r="E265" i="2" s="1"/>
  <c r="K297" i="2" a="1"/>
  <c r="K297" i="2" s="1"/>
  <c r="J289" i="2" a="1"/>
  <c r="J289" i="2" s="1"/>
  <c r="I285" i="2" a="1"/>
  <c r="I285" i="2" s="1"/>
  <c r="H281" i="2" a="1"/>
  <c r="H281" i="2" s="1"/>
  <c r="H277" i="2" a="1"/>
  <c r="H277" i="2" s="1"/>
  <c r="F272" i="2" a="1"/>
  <c r="F272" i="2" s="1"/>
  <c r="E264" i="2" a="1"/>
  <c r="E264" i="2" s="1"/>
  <c r="D254" i="2" a="1"/>
  <c r="D254" i="2" s="1"/>
  <c r="E241" i="2" a="1"/>
  <c r="E241" i="2" s="1"/>
  <c r="H297" i="2" a="1"/>
  <c r="H297" i="2" s="1"/>
  <c r="H293" i="2" a="1"/>
  <c r="H293" i="2" s="1"/>
  <c r="G289" i="2" a="1"/>
  <c r="G289" i="2" s="1"/>
  <c r="G285" i="2" a="1"/>
  <c r="G285" i="2" s="1"/>
  <c r="F281" i="2" a="1"/>
  <c r="F281" i="2" s="1"/>
  <c r="F277" i="2" a="1"/>
  <c r="F277" i="2" s="1"/>
  <c r="F271" i="2" a="1"/>
  <c r="F271" i="2" s="1"/>
  <c r="E263" i="2" a="1"/>
  <c r="E263" i="2" s="1"/>
  <c r="H252" i="2" a="1"/>
  <c r="H252" i="2" s="1"/>
  <c r="I239" i="2" a="1"/>
  <c r="I239" i="2" s="1"/>
  <c r="K299" i="9" a="1"/>
  <c r="K299" i="9" s="1"/>
  <c r="H297" i="9" a="1"/>
  <c r="H297" i="9" s="1"/>
  <c r="H293" i="9" a="1"/>
  <c r="H293" i="9" s="1"/>
  <c r="F287" i="9" a="1"/>
  <c r="F287" i="9" s="1"/>
  <c r="F289" i="9" a="1"/>
  <c r="F289" i="9" s="1"/>
  <c r="F288" i="9" a="1"/>
  <c r="F288" i="9" s="1"/>
  <c r="H299" i="9" a="1"/>
  <c r="H299" i="9" s="1"/>
  <c r="E297" i="9" a="1"/>
  <c r="E297" i="9" s="1"/>
  <c r="E293" i="9" a="1"/>
  <c r="E293" i="9" s="1"/>
  <c r="G286" i="9" a="1"/>
  <c r="G286" i="9" s="1"/>
  <c r="F300" i="9" a="1"/>
  <c r="F300" i="9" s="1"/>
  <c r="H294" i="9" a="1"/>
  <c r="H294" i="9" s="1"/>
  <c r="E294" i="9" a="1"/>
  <c r="E294" i="9" s="1"/>
  <c r="F299" i="9" a="1"/>
  <c r="F299" i="9" s="1"/>
  <c r="H296" i="9" a="1"/>
  <c r="H296" i="9" s="1"/>
  <c r="H292" i="9" a="1"/>
  <c r="H292" i="9" s="1"/>
  <c r="H285" i="9" a="1"/>
  <c r="H285" i="9" s="1"/>
  <c r="E299" i="9" a="1"/>
  <c r="E299" i="9" s="1"/>
  <c r="E296" i="9" a="1"/>
  <c r="E296" i="9" s="1"/>
  <c r="E292" i="9" a="1"/>
  <c r="E292" i="9" s="1"/>
  <c r="I284" i="9" a="1"/>
  <c r="I284" i="9" s="1"/>
  <c r="J281" i="9" a="1"/>
  <c r="J281" i="9" s="1"/>
  <c r="E298" i="9" a="1"/>
  <c r="E298" i="9" s="1"/>
  <c r="K300" i="9" a="1"/>
  <c r="K300" i="9" s="1"/>
  <c r="K298" i="9" a="1"/>
  <c r="K298" i="9" s="1"/>
  <c r="H295" i="9" a="1"/>
  <c r="H295" i="9" s="1"/>
  <c r="E291" i="9" a="1"/>
  <c r="E291" i="9" s="1"/>
  <c r="I283" i="9" a="1"/>
  <c r="I283" i="9" s="1"/>
  <c r="F298" i="9" a="1"/>
  <c r="F298" i="9" s="1"/>
  <c r="E300" i="9" a="1"/>
  <c r="E300" i="9" s="1"/>
  <c r="H300" i="9" a="1"/>
  <c r="H300" i="9" s="1"/>
  <c r="H298" i="9" a="1"/>
  <c r="H298" i="9" s="1"/>
  <c r="E295" i="9" a="1"/>
  <c r="E295" i="9" s="1"/>
  <c r="E290" i="9" a="1"/>
  <c r="E290" i="9" s="1"/>
  <c r="I282" i="9" a="1"/>
  <c r="I282" i="9" s="1"/>
  <c r="C74" i="14" a="1"/>
  <c r="C74" i="14" s="1"/>
  <c r="D68" i="11" a="1"/>
  <c r="D68" i="11" s="1"/>
  <c r="D78" i="11" a="1"/>
  <c r="D78" i="11" s="1"/>
  <c r="J190" i="2" a="1"/>
  <c r="J190" i="2" s="1"/>
  <c r="D299" i="2" a="1"/>
  <c r="D299" i="2" s="1"/>
  <c r="D297" i="2" a="1"/>
  <c r="D297" i="2" s="1"/>
  <c r="D296" i="2" a="1"/>
  <c r="D296" i="2" s="1"/>
  <c r="C294" i="2" a="1"/>
  <c r="C294" i="2" s="1"/>
  <c r="C292" i="2" a="1"/>
  <c r="C292" i="2" s="1"/>
  <c r="C290" i="2" a="1"/>
  <c r="C290" i="2" s="1"/>
  <c r="C288" i="2" a="1"/>
  <c r="C288" i="2" s="1"/>
  <c r="K285" i="2" a="1"/>
  <c r="K285" i="2" s="1"/>
  <c r="K283" i="2" a="1"/>
  <c r="K283" i="2" s="1"/>
  <c r="K281" i="2" a="1"/>
  <c r="K281" i="2" s="1"/>
  <c r="J279" i="2" a="1"/>
  <c r="J279" i="2" s="1"/>
  <c r="J278" i="2" a="1"/>
  <c r="J278" i="2" s="1"/>
  <c r="J276" i="2" a="1"/>
  <c r="J276" i="2" s="1"/>
  <c r="J274" i="2" a="1"/>
  <c r="J274" i="2" s="1"/>
  <c r="J272" i="2" a="1"/>
  <c r="J272" i="2" s="1"/>
  <c r="J270" i="2" a="1"/>
  <c r="J270" i="2" s="1"/>
  <c r="J268" i="2" a="1"/>
  <c r="J268" i="2" s="1"/>
  <c r="J266" i="2" a="1"/>
  <c r="J266" i="2" s="1"/>
  <c r="I264" i="2" a="1"/>
  <c r="I264" i="2" s="1"/>
  <c r="I261" i="2" a="1"/>
  <c r="I261" i="2" s="1"/>
  <c r="I259" i="2" a="1"/>
  <c r="I259" i="2" s="1"/>
  <c r="H256" i="2" a="1"/>
  <c r="H256" i="2" s="1"/>
  <c r="E253" i="2" a="1"/>
  <c r="E253" i="2" s="1"/>
  <c r="E250" i="2" a="1"/>
  <c r="E250" i="2" s="1"/>
  <c r="E245" i="2" a="1"/>
  <c r="E245" i="2" s="1"/>
  <c r="D242" i="2" a="1"/>
  <c r="D242" i="2" s="1"/>
  <c r="G240" i="2" a="1"/>
  <c r="G240" i="2" s="1"/>
  <c r="F235" i="2" a="1"/>
  <c r="F235" i="2" s="1"/>
  <c r="F231" i="2" a="1"/>
  <c r="F231" i="2" s="1"/>
  <c r="E227" i="2" a="1"/>
  <c r="E227" i="2" s="1"/>
  <c r="D223" i="2" a="1"/>
  <c r="D223" i="2" s="1"/>
  <c r="K216" i="2" a="1"/>
  <c r="K216" i="2" s="1"/>
  <c r="H212" i="2" a="1"/>
  <c r="H212" i="2" s="1"/>
  <c r="K207" i="2" a="1"/>
  <c r="K207" i="2" s="1"/>
  <c r="I205" i="2" a="1"/>
  <c r="I205" i="2" s="1"/>
  <c r="G203" i="2" a="1"/>
  <c r="G203" i="2" s="1"/>
  <c r="E201" i="2" a="1"/>
  <c r="E201" i="2" s="1"/>
  <c r="J198" i="2" a="1"/>
  <c r="J198" i="2" s="1"/>
  <c r="H196" i="2" a="1"/>
  <c r="H196" i="2" s="1"/>
  <c r="F194" i="2" a="1"/>
  <c r="F194" i="2" s="1"/>
  <c r="K191" i="2" a="1"/>
  <c r="K191" i="2" s="1"/>
  <c r="I189" i="2" a="1"/>
  <c r="I189" i="2" s="1"/>
  <c r="G187" i="2" a="1"/>
  <c r="G187" i="2" s="1"/>
  <c r="J182" i="2" a="1"/>
  <c r="J182" i="2" s="1"/>
  <c r="H180" i="2" a="1"/>
  <c r="H180" i="2" s="1"/>
  <c r="F178" i="2" a="1"/>
  <c r="F178" i="2" s="1"/>
  <c r="K175" i="2" a="1"/>
  <c r="K175" i="2" s="1"/>
  <c r="I173" i="2" a="1"/>
  <c r="I173" i="2" s="1"/>
  <c r="K168" i="2" a="1"/>
  <c r="K168" i="2" s="1"/>
  <c r="K162" i="2" a="1"/>
  <c r="K162" i="2" s="1"/>
  <c r="E156" i="2" a="1"/>
  <c r="E156" i="2" s="1"/>
  <c r="E150" i="2" a="1"/>
  <c r="E150" i="2" s="1"/>
  <c r="E144" i="2" a="1"/>
  <c r="E144" i="2" s="1"/>
  <c r="D138" i="2" a="1"/>
  <c r="D138" i="2" s="1"/>
  <c r="D132" i="2" a="1"/>
  <c r="D132" i="2" s="1"/>
  <c r="D126" i="2" a="1"/>
  <c r="D126" i="2" s="1"/>
  <c r="D120" i="2" a="1"/>
  <c r="D120" i="2" s="1"/>
  <c r="G105" i="2" a="1"/>
  <c r="G105" i="2" s="1"/>
  <c r="D89" i="2" a="1"/>
  <c r="D89" i="2" s="1"/>
  <c r="H73" i="2" a="1"/>
  <c r="H73" i="2" s="1"/>
  <c r="F55" i="2" a="1"/>
  <c r="F55" i="2" s="1"/>
  <c r="F21" i="2" a="1"/>
  <c r="F21" i="2" s="1"/>
  <c r="E228" i="2" a="1"/>
  <c r="E228" i="2" s="1"/>
  <c r="F224" i="2" a="1"/>
  <c r="F224" i="2" s="1"/>
  <c r="D220" i="2" a="1"/>
  <c r="D220" i="2" s="1"/>
  <c r="J215" i="2" a="1"/>
  <c r="J215" i="2" s="1"/>
  <c r="E209" i="2" a="1"/>
  <c r="E209" i="2" s="1"/>
  <c r="H204" i="2" a="1"/>
  <c r="H204" i="2" s="1"/>
  <c r="K199" i="2" a="1"/>
  <c r="K199" i="2" s="1"/>
  <c r="G195" i="2" a="1"/>
  <c r="G195" i="2" s="1"/>
  <c r="H188" i="2" a="1"/>
  <c r="H188" i="2" s="1"/>
  <c r="K183" i="2" a="1"/>
  <c r="K183" i="2" s="1"/>
  <c r="G179" i="2" a="1"/>
  <c r="G179" i="2" s="1"/>
  <c r="K171" i="2" a="1"/>
  <c r="K171" i="2" s="1"/>
  <c r="E159" i="2" a="1"/>
  <c r="E159" i="2" s="1"/>
  <c r="E147" i="2" a="1"/>
  <c r="E147" i="2" s="1"/>
  <c r="D129" i="2" a="1"/>
  <c r="D129" i="2" s="1"/>
  <c r="H97" i="2" a="1"/>
  <c r="H97" i="2" s="1"/>
  <c r="I65" i="2" a="1"/>
  <c r="I65" i="2" s="1"/>
  <c r="D300" i="2" a="1"/>
  <c r="D300" i="2" s="1"/>
  <c r="D298" i="2" a="1"/>
  <c r="D298" i="2" s="1"/>
  <c r="D295" i="2" a="1"/>
  <c r="D295" i="2" s="1"/>
  <c r="C293" i="2" a="1"/>
  <c r="C293" i="2" s="1"/>
  <c r="C291" i="2" a="1"/>
  <c r="C291" i="2" s="1"/>
  <c r="C289" i="2" a="1"/>
  <c r="C289" i="2" s="1"/>
  <c r="K286" i="2" a="1"/>
  <c r="K286" i="2" s="1"/>
  <c r="K284" i="2" a="1"/>
  <c r="K284" i="2" s="1"/>
  <c r="K282" i="2" a="1"/>
  <c r="K282" i="2" s="1"/>
  <c r="K280" i="2" a="1"/>
  <c r="K280" i="2" s="1"/>
  <c r="J277" i="2" a="1"/>
  <c r="J277" i="2" s="1"/>
  <c r="J275" i="2" a="1"/>
  <c r="J275" i="2" s="1"/>
  <c r="J273" i="2" a="1"/>
  <c r="J273" i="2" s="1"/>
  <c r="J271" i="2" a="1"/>
  <c r="J271" i="2" s="1"/>
  <c r="J269" i="2" a="1"/>
  <c r="J269" i="2" s="1"/>
  <c r="J267" i="2" a="1"/>
  <c r="J267" i="2" s="1"/>
  <c r="I265" i="2" a="1"/>
  <c r="I265" i="2" s="1"/>
  <c r="I263" i="2" a="1"/>
  <c r="I263" i="2" s="1"/>
  <c r="I262" i="2" a="1"/>
  <c r="I262" i="2" s="1"/>
  <c r="I260" i="2" a="1"/>
  <c r="I260" i="2" s="1"/>
  <c r="E258" i="2" a="1"/>
  <c r="E258" i="2" s="1"/>
  <c r="C255" i="2" a="1"/>
  <c r="C255" i="2" s="1"/>
  <c r="J251" i="2" a="1"/>
  <c r="J251" i="2" s="1"/>
  <c r="H248" i="2" a="1"/>
  <c r="H248" i="2" s="1"/>
  <c r="C247" i="2" a="1"/>
  <c r="C247" i="2" s="1"/>
  <c r="J243" i="2" a="1"/>
  <c r="J243" i="2" s="1"/>
  <c r="K238" i="2" a="1"/>
  <c r="K238" i="2" s="1"/>
  <c r="D237" i="2" a="1"/>
  <c r="D237" i="2" s="1"/>
  <c r="F233" i="2" a="1"/>
  <c r="F233" i="2" s="1"/>
  <c r="E229" i="2" a="1"/>
  <c r="E229" i="2" s="1"/>
  <c r="E225" i="2" a="1"/>
  <c r="E225" i="2" s="1"/>
  <c r="D221" i="2" a="1"/>
  <c r="D221" i="2" s="1"/>
  <c r="D219" i="2" a="1"/>
  <c r="D219" i="2" s="1"/>
  <c r="I214" i="2" a="1"/>
  <c r="I214" i="2" s="1"/>
  <c r="F210" i="2" a="1"/>
  <c r="F210" i="2" s="1"/>
  <c r="E185" i="2" a="1"/>
  <c r="E185" i="2" s="1"/>
  <c r="K300" i="2" a="1"/>
  <c r="K300" i="2" s="1"/>
  <c r="C300" i="2" a="1"/>
  <c r="C300" i="2" s="1"/>
  <c r="C299" i="2" a="1"/>
  <c r="C299" i="2" s="1"/>
  <c r="C298" i="2" a="1"/>
  <c r="C298" i="2" s="1"/>
  <c r="C297" i="2" a="1"/>
  <c r="C297" i="2" s="1"/>
  <c r="C296" i="2" a="1"/>
  <c r="C296" i="2" s="1"/>
  <c r="K294" i="2" a="1"/>
  <c r="K294" i="2" s="1"/>
  <c r="K293" i="2" a="1"/>
  <c r="K293" i="2" s="1"/>
  <c r="K292" i="2" a="1"/>
  <c r="K292" i="2" s="1"/>
  <c r="K291" i="2" a="1"/>
  <c r="K291" i="2" s="1"/>
  <c r="K290" i="2" a="1"/>
  <c r="K290" i="2" s="1"/>
  <c r="K289" i="2" a="1"/>
  <c r="K289" i="2" s="1"/>
  <c r="K288" i="2" a="1"/>
  <c r="K288" i="2" s="1"/>
  <c r="J287" i="2" a="1"/>
  <c r="J287" i="2" s="1"/>
  <c r="J286" i="2" a="1"/>
  <c r="J286" i="2" s="1"/>
  <c r="J285" i="2" a="1"/>
  <c r="J285" i="2" s="1"/>
  <c r="J284" i="2" a="1"/>
  <c r="J284" i="2" s="1"/>
  <c r="J283" i="2" a="1"/>
  <c r="J283" i="2" s="1"/>
  <c r="J282" i="2" a="1"/>
  <c r="J282" i="2" s="1"/>
  <c r="J281" i="2" a="1"/>
  <c r="J281" i="2" s="1"/>
  <c r="I280" i="2" a="1"/>
  <c r="I280" i="2" s="1"/>
  <c r="I279" i="2" a="1"/>
  <c r="I279" i="2" s="1"/>
  <c r="I278" i="2" a="1"/>
  <c r="I278" i="2" s="1"/>
  <c r="I277" i="2" a="1"/>
  <c r="I277" i="2" s="1"/>
  <c r="I276" i="2" a="1"/>
  <c r="I276" i="2" s="1"/>
  <c r="I275" i="2" a="1"/>
  <c r="I275" i="2" s="1"/>
  <c r="I274" i="2" a="1"/>
  <c r="I274" i="2" s="1"/>
  <c r="H273" i="2" a="1"/>
  <c r="H273" i="2" s="1"/>
  <c r="I272" i="2" a="1"/>
  <c r="I272" i="2" s="1"/>
  <c r="I271" i="2" a="1"/>
  <c r="I271" i="2" s="1"/>
  <c r="I270" i="2" a="1"/>
  <c r="I270" i="2" s="1"/>
  <c r="I269" i="2" a="1"/>
  <c r="I269" i="2" s="1"/>
  <c r="I268" i="2" a="1"/>
  <c r="I268" i="2" s="1"/>
  <c r="I267" i="2" a="1"/>
  <c r="I267" i="2" s="1"/>
  <c r="H266" i="2" a="1"/>
  <c r="H266" i="2" s="1"/>
  <c r="H265" i="2" a="1"/>
  <c r="H265" i="2" s="1"/>
  <c r="H264" i="2" a="1"/>
  <c r="H264" i="2" s="1"/>
  <c r="H263" i="2" a="1"/>
  <c r="H263" i="2" s="1"/>
  <c r="H262" i="2" a="1"/>
  <c r="H262" i="2" s="1"/>
  <c r="H261" i="2" a="1"/>
  <c r="H261" i="2" s="1"/>
  <c r="H260" i="2" a="1"/>
  <c r="H260" i="2" s="1"/>
  <c r="G259" i="2" a="1"/>
  <c r="G259" i="2" s="1"/>
  <c r="D258" i="2" a="1"/>
  <c r="D258" i="2" s="1"/>
  <c r="F256" i="2" a="1"/>
  <c r="F256" i="2" s="1"/>
  <c r="J254" i="2" a="1"/>
  <c r="J254" i="2" s="1"/>
  <c r="D253" i="2" a="1"/>
  <c r="D253" i="2" s="1"/>
  <c r="G251" i="2" a="1"/>
  <c r="G251" i="2" s="1"/>
  <c r="D250" i="2" a="1"/>
  <c r="D250" i="2" s="1"/>
  <c r="F248" i="2" a="1"/>
  <c r="F248" i="2" s="1"/>
  <c r="J246" i="2" a="1"/>
  <c r="J246" i="2" s="1"/>
  <c r="D245" i="2" a="1"/>
  <c r="D245" i="2" s="1"/>
  <c r="G243" i="2" a="1"/>
  <c r="G243" i="2" s="1"/>
  <c r="C242" i="2" a="1"/>
  <c r="C242" i="2" s="1"/>
  <c r="E240" i="2" a="1"/>
  <c r="E240" i="2" s="1"/>
  <c r="I238" i="2" a="1"/>
  <c r="I238" i="2" s="1"/>
  <c r="C237" i="2" a="1"/>
  <c r="C237" i="2" s="1"/>
  <c r="D235" i="2" a="1"/>
  <c r="D235" i="2" s="1"/>
  <c r="D233" i="2" a="1"/>
  <c r="D233" i="2" s="1"/>
  <c r="C231" i="2" a="1"/>
  <c r="C231" i="2" s="1"/>
  <c r="C229" i="2" a="1"/>
  <c r="C229" i="2" s="1"/>
  <c r="C227" i="2" a="1"/>
  <c r="C227" i="2" s="1"/>
  <c r="C225" i="2" a="1"/>
  <c r="C225" i="2" s="1"/>
  <c r="K222" i="2" a="1"/>
  <c r="K222" i="2" s="1"/>
  <c r="K220" i="2" a="1"/>
  <c r="K220" i="2" s="1"/>
  <c r="J218" i="2" a="1"/>
  <c r="J218" i="2" s="1"/>
  <c r="H216" i="2" a="1"/>
  <c r="H216" i="2" s="1"/>
  <c r="G214" i="2" a="1"/>
  <c r="G214" i="2" s="1"/>
  <c r="F212" i="2" a="1"/>
  <c r="F212" i="2" s="1"/>
  <c r="K209" i="2" a="1"/>
  <c r="K209" i="2" s="1"/>
  <c r="I207" i="2" a="1"/>
  <c r="I207" i="2" s="1"/>
  <c r="G205" i="2" a="1"/>
  <c r="G205" i="2" s="1"/>
  <c r="E203" i="2" a="1"/>
  <c r="E203" i="2" s="1"/>
  <c r="J200" i="2" a="1"/>
  <c r="J200" i="2" s="1"/>
  <c r="H198" i="2" a="1"/>
  <c r="H198" i="2" s="1"/>
  <c r="F196" i="2" a="1"/>
  <c r="F196" i="2" s="1"/>
  <c r="K193" i="2" a="1"/>
  <c r="K193" i="2" s="1"/>
  <c r="I191" i="2" a="1"/>
  <c r="I191" i="2" s="1"/>
  <c r="G189" i="2" a="1"/>
  <c r="G189" i="2" s="1"/>
  <c r="E187" i="2" a="1"/>
  <c r="E187" i="2" s="1"/>
  <c r="J184" i="2" a="1"/>
  <c r="J184" i="2" s="1"/>
  <c r="H182" i="2" a="1"/>
  <c r="H182" i="2" s="1"/>
  <c r="F180" i="2" a="1"/>
  <c r="F180" i="2" s="1"/>
  <c r="K177" i="2" a="1"/>
  <c r="K177" i="2" s="1"/>
  <c r="I175" i="2" a="1"/>
  <c r="I175" i="2" s="1"/>
  <c r="G173" i="2" a="1"/>
  <c r="G173" i="2" s="1"/>
  <c r="D168" i="2" a="1"/>
  <c r="D168" i="2" s="1"/>
  <c r="K161" i="2" a="1"/>
  <c r="K161" i="2" s="1"/>
  <c r="K155" i="2" a="1"/>
  <c r="K155" i="2" s="1"/>
  <c r="K149" i="2" a="1"/>
  <c r="K149" i="2" s="1"/>
  <c r="E143" i="2" a="1"/>
  <c r="E143" i="2" s="1"/>
  <c r="E137" i="2" a="1"/>
  <c r="E137" i="2" s="1"/>
  <c r="E131" i="2" a="1"/>
  <c r="E131" i="2" s="1"/>
  <c r="E125" i="2" a="1"/>
  <c r="E125" i="2" s="1"/>
  <c r="D119" i="2" a="1"/>
  <c r="D119" i="2" s="1"/>
  <c r="F103" i="2" a="1"/>
  <c r="F103" i="2" s="1"/>
  <c r="K86" i="2" a="1"/>
  <c r="K86" i="2" s="1"/>
  <c r="J70" i="2" a="1"/>
  <c r="J70" i="2" s="1"/>
  <c r="F16" i="2" a="1"/>
  <c r="F16" i="2" s="1"/>
  <c r="C301" i="2" a="1"/>
  <c r="C301" i="2" s="1"/>
  <c r="K301" i="2" a="1"/>
  <c r="K301" i="2" s="1"/>
  <c r="J302" i="2" a="1"/>
  <c r="J302" i="2" s="1"/>
  <c r="I303" i="2" a="1"/>
  <c r="I303" i="2" s="1"/>
  <c r="H304" i="2" a="1"/>
  <c r="H304" i="2" s="1"/>
  <c r="G305" i="2" a="1"/>
  <c r="G305" i="2" s="1"/>
  <c r="F306" i="2" a="1"/>
  <c r="F306" i="2" s="1"/>
  <c r="E307" i="2" a="1"/>
  <c r="E307" i="2" s="1"/>
  <c r="D308" i="2" a="1"/>
  <c r="D308" i="2" s="1"/>
  <c r="C309" i="2" a="1"/>
  <c r="C309" i="2" s="1"/>
  <c r="K309" i="2" a="1"/>
  <c r="K309" i="2" s="1"/>
  <c r="J310" i="2" a="1"/>
  <c r="J310" i="2" s="1"/>
  <c r="I311" i="2" a="1"/>
  <c r="I311" i="2" s="1"/>
  <c r="H312" i="2" a="1"/>
  <c r="H312" i="2" s="1"/>
  <c r="G313" i="2" a="1"/>
  <c r="G313" i="2" s="1"/>
  <c r="F314" i="2" a="1"/>
  <c r="F314" i="2" s="1"/>
  <c r="E315" i="2" a="1"/>
  <c r="E315" i="2" s="1"/>
  <c r="D316" i="2" a="1"/>
  <c r="D316" i="2" s="1"/>
  <c r="C317" i="2" a="1"/>
  <c r="C317" i="2" s="1"/>
  <c r="K317" i="2" a="1"/>
  <c r="K317" i="2" s="1"/>
  <c r="D301" i="2" a="1"/>
  <c r="D301" i="2" s="1"/>
  <c r="C302" i="2" a="1"/>
  <c r="C302" i="2" s="1"/>
  <c r="K302" i="2" a="1"/>
  <c r="K302" i="2" s="1"/>
  <c r="J303" i="2" a="1"/>
  <c r="J303" i="2" s="1"/>
  <c r="I304" i="2" a="1"/>
  <c r="I304" i="2" s="1"/>
  <c r="H305" i="2" a="1"/>
  <c r="H305" i="2" s="1"/>
  <c r="G306" i="2" a="1"/>
  <c r="G306" i="2" s="1"/>
  <c r="F307" i="2" a="1"/>
  <c r="F307" i="2" s="1"/>
  <c r="E308" i="2" a="1"/>
  <c r="E308" i="2" s="1"/>
  <c r="D309" i="2" a="1"/>
  <c r="D309" i="2" s="1"/>
  <c r="C310" i="2" a="1"/>
  <c r="C310" i="2" s="1"/>
  <c r="K310" i="2" a="1"/>
  <c r="K310" i="2" s="1"/>
  <c r="J311" i="2" a="1"/>
  <c r="J311" i="2" s="1"/>
  <c r="I312" i="2" a="1"/>
  <c r="I312" i="2" s="1"/>
  <c r="H313" i="2" a="1"/>
  <c r="H313" i="2" s="1"/>
  <c r="G314" i="2" a="1"/>
  <c r="G314" i="2" s="1"/>
  <c r="F315" i="2" a="1"/>
  <c r="F315" i="2" s="1"/>
  <c r="E316" i="2" a="1"/>
  <c r="E316" i="2" s="1"/>
  <c r="D317" i="2" a="1"/>
  <c r="D317" i="2" s="1"/>
  <c r="E301" i="2" a="1"/>
  <c r="E301" i="2" s="1"/>
  <c r="D302" i="2" a="1"/>
  <c r="D302" i="2" s="1"/>
  <c r="C303" i="2" a="1"/>
  <c r="C303" i="2" s="1"/>
  <c r="K303" i="2" a="1"/>
  <c r="K303" i="2" s="1"/>
  <c r="J304" i="2" a="1"/>
  <c r="J304" i="2" s="1"/>
  <c r="I305" i="2" a="1"/>
  <c r="I305" i="2" s="1"/>
  <c r="H306" i="2" a="1"/>
  <c r="H306" i="2" s="1"/>
  <c r="G307" i="2" a="1"/>
  <c r="G307" i="2" s="1"/>
  <c r="F308" i="2" a="1"/>
  <c r="F308" i="2" s="1"/>
  <c r="E309" i="2" a="1"/>
  <c r="E309" i="2" s="1"/>
  <c r="D310" i="2" a="1"/>
  <c r="D310" i="2" s="1"/>
  <c r="C311" i="2" a="1"/>
  <c r="C311" i="2" s="1"/>
  <c r="K311" i="2" a="1"/>
  <c r="K311" i="2" s="1"/>
  <c r="J312" i="2" a="1"/>
  <c r="J312" i="2" s="1"/>
  <c r="I313" i="2" a="1"/>
  <c r="I313" i="2" s="1"/>
  <c r="H314" i="2" a="1"/>
  <c r="H314" i="2" s="1"/>
  <c r="G315" i="2" a="1"/>
  <c r="G315" i="2" s="1"/>
  <c r="F316" i="2" a="1"/>
  <c r="F316" i="2" s="1"/>
  <c r="E317" i="2" a="1"/>
  <c r="E317" i="2" s="1"/>
  <c r="H301" i="2" a="1"/>
  <c r="H301" i="2" s="1"/>
  <c r="G302" i="2" a="1"/>
  <c r="G302" i="2" s="1"/>
  <c r="F303" i="2" a="1"/>
  <c r="F303" i="2" s="1"/>
  <c r="E304" i="2" a="1"/>
  <c r="E304" i="2" s="1"/>
  <c r="D305" i="2" a="1"/>
  <c r="D305" i="2" s="1"/>
  <c r="C306" i="2" a="1"/>
  <c r="C306" i="2" s="1"/>
  <c r="K306" i="2" a="1"/>
  <c r="K306" i="2" s="1"/>
  <c r="J307" i="2" a="1"/>
  <c r="J307" i="2" s="1"/>
  <c r="I308" i="2" a="1"/>
  <c r="I308" i="2" s="1"/>
  <c r="H309" i="2" a="1"/>
  <c r="H309" i="2" s="1"/>
  <c r="G310" i="2" a="1"/>
  <c r="G310" i="2" s="1"/>
  <c r="F311" i="2" a="1"/>
  <c r="F311" i="2" s="1"/>
  <c r="E312" i="2" a="1"/>
  <c r="E312" i="2" s="1"/>
  <c r="D313" i="2" a="1"/>
  <c r="D313" i="2" s="1"/>
  <c r="C314" i="2" a="1"/>
  <c r="C314" i="2" s="1"/>
  <c r="K314" i="2" a="1"/>
  <c r="K314" i="2" s="1"/>
  <c r="J315" i="2" a="1"/>
  <c r="J315" i="2" s="1"/>
  <c r="I316" i="2" a="1"/>
  <c r="I316" i="2" s="1"/>
  <c r="H317" i="2" a="1"/>
  <c r="H317" i="2" s="1"/>
  <c r="I301" i="2" a="1"/>
  <c r="I301" i="2" s="1"/>
  <c r="H302" i="2" a="1"/>
  <c r="H302" i="2" s="1"/>
  <c r="G303" i="2" a="1"/>
  <c r="G303" i="2" s="1"/>
  <c r="F304" i="2" a="1"/>
  <c r="F304" i="2" s="1"/>
  <c r="E305" i="2" a="1"/>
  <c r="E305" i="2" s="1"/>
  <c r="D306" i="2" a="1"/>
  <c r="D306" i="2" s="1"/>
  <c r="C307" i="2" a="1"/>
  <c r="C307" i="2" s="1"/>
  <c r="K307" i="2" a="1"/>
  <c r="K307" i="2" s="1"/>
  <c r="J308" i="2" a="1"/>
  <c r="J308" i="2" s="1"/>
  <c r="I309" i="2" a="1"/>
  <c r="I309" i="2" s="1"/>
  <c r="H310" i="2" a="1"/>
  <c r="H310" i="2" s="1"/>
  <c r="G311" i="2" a="1"/>
  <c r="G311" i="2" s="1"/>
  <c r="F312" i="2" a="1"/>
  <c r="F312" i="2" s="1"/>
  <c r="E313" i="2" a="1"/>
  <c r="E313" i="2" s="1"/>
  <c r="D314" i="2" a="1"/>
  <c r="D314" i="2" s="1"/>
  <c r="C315" i="2" a="1"/>
  <c r="C315" i="2" s="1"/>
  <c r="K315" i="2" a="1"/>
  <c r="K315" i="2" s="1"/>
  <c r="J316" i="2" a="1"/>
  <c r="J316" i="2" s="1"/>
  <c r="I317" i="2" a="1"/>
  <c r="I317" i="2" s="1"/>
  <c r="F301" i="2" a="1"/>
  <c r="F301" i="2" s="1"/>
  <c r="H303" i="2" a="1"/>
  <c r="H303" i="2" s="1"/>
  <c r="K305" i="2" a="1"/>
  <c r="K305" i="2" s="1"/>
  <c r="G308" i="2" a="1"/>
  <c r="G308" i="2" s="1"/>
  <c r="I310" i="2" a="1"/>
  <c r="I310" i="2" s="1"/>
  <c r="C313" i="2" a="1"/>
  <c r="C313" i="2" s="1"/>
  <c r="H315" i="2" a="1"/>
  <c r="H315" i="2" s="1"/>
  <c r="J317" i="2" a="1"/>
  <c r="J317" i="2" s="1"/>
  <c r="G301" i="2" a="1"/>
  <c r="G301" i="2" s="1"/>
  <c r="C304" i="2" a="1"/>
  <c r="C304" i="2" s="1"/>
  <c r="E306" i="2" a="1"/>
  <c r="E306" i="2" s="1"/>
  <c r="H308" i="2" a="1"/>
  <c r="H308" i="2" s="1"/>
  <c r="D311" i="2" a="1"/>
  <c r="D311" i="2" s="1"/>
  <c r="F313" i="2" a="1"/>
  <c r="F313" i="2" s="1"/>
  <c r="I315" i="2" a="1"/>
  <c r="I315" i="2" s="1"/>
  <c r="J301" i="2" a="1"/>
  <c r="J301" i="2" s="1"/>
  <c r="D304" i="2" a="1"/>
  <c r="D304" i="2" s="1"/>
  <c r="I306" i="2" a="1"/>
  <c r="I306" i="2" s="1"/>
  <c r="K308" i="2" a="1"/>
  <c r="K308" i="2" s="1"/>
  <c r="E311" i="2" a="1"/>
  <c r="E311" i="2" s="1"/>
  <c r="J313" i="2" a="1"/>
  <c r="J313" i="2" s="1"/>
  <c r="C316" i="2" a="1"/>
  <c r="C316" i="2" s="1"/>
  <c r="E302" i="2" a="1"/>
  <c r="E302" i="2" s="1"/>
  <c r="G304" i="2" a="1"/>
  <c r="G304" i="2" s="1"/>
  <c r="J306" i="2" a="1"/>
  <c r="J306" i="2" s="1"/>
  <c r="F309" i="2" a="1"/>
  <c r="F309" i="2" s="1"/>
  <c r="H311" i="2" a="1"/>
  <c r="H311" i="2" s="1"/>
  <c r="K313" i="2" a="1"/>
  <c r="K313" i="2" s="1"/>
  <c r="G316" i="2" a="1"/>
  <c r="G316" i="2" s="1"/>
  <c r="F302" i="2" a="1"/>
  <c r="F302" i="2" s="1"/>
  <c r="K304" i="2" a="1"/>
  <c r="K304" i="2" s="1"/>
  <c r="D307" i="2" a="1"/>
  <c r="D307" i="2" s="1"/>
  <c r="G309" i="2" a="1"/>
  <c r="G309" i="2" s="1"/>
  <c r="C312" i="2" a="1"/>
  <c r="C312" i="2" s="1"/>
  <c r="E314" i="2" a="1"/>
  <c r="E314" i="2" s="1"/>
  <c r="H316" i="2" a="1"/>
  <c r="H316" i="2" s="1"/>
  <c r="I302" i="2" a="1"/>
  <c r="I302" i="2" s="1"/>
  <c r="C305" i="2" a="1"/>
  <c r="C305" i="2" s="1"/>
  <c r="H307" i="2" a="1"/>
  <c r="H307" i="2" s="1"/>
  <c r="J309" i="2" a="1"/>
  <c r="J309" i="2" s="1"/>
  <c r="D312" i="2" a="1"/>
  <c r="D312" i="2" s="1"/>
  <c r="I314" i="2" a="1"/>
  <c r="I314" i="2" s="1"/>
  <c r="K316" i="2" a="1"/>
  <c r="K316" i="2" s="1"/>
  <c r="E303" i="2" a="1"/>
  <c r="E303" i="2" s="1"/>
  <c r="J305" i="2" a="1"/>
  <c r="J305" i="2" s="1"/>
  <c r="C308" i="2" a="1"/>
  <c r="C308" i="2" s="1"/>
  <c r="F310" i="2" a="1"/>
  <c r="F310" i="2" s="1"/>
  <c r="K312" i="2" a="1"/>
  <c r="K312" i="2" s="1"/>
  <c r="D315" i="2" a="1"/>
  <c r="D315" i="2" s="1"/>
  <c r="G317" i="2" a="1"/>
  <c r="G317" i="2" s="1"/>
  <c r="D303" i="2" a="1"/>
  <c r="D303" i="2" s="1"/>
  <c r="F305" i="2" a="1"/>
  <c r="F305" i="2" s="1"/>
  <c r="I307" i="2" a="1"/>
  <c r="I307" i="2" s="1"/>
  <c r="E310" i="2" a="1"/>
  <c r="E310" i="2" s="1"/>
  <c r="G312" i="2" a="1"/>
  <c r="G312" i="2" s="1"/>
  <c r="J314" i="2" a="1"/>
  <c r="J314" i="2" s="1"/>
  <c r="F317" i="2" a="1"/>
  <c r="F317" i="2" s="1"/>
  <c r="F23" i="2" a="1"/>
  <c r="F23" i="2" s="1"/>
  <c r="J23" i="2" a="1"/>
  <c r="J23" i="2" s="1"/>
  <c r="I29" i="2" a="1"/>
  <c r="I29" i="2" s="1"/>
  <c r="H45" i="2" a="1"/>
  <c r="H45" i="2" s="1"/>
  <c r="F57" i="2" a="1"/>
  <c r="F57" i="2" s="1"/>
  <c r="J63" i="2" a="1"/>
  <c r="J63" i="2" s="1"/>
  <c r="G71" i="2" a="1"/>
  <c r="G71" i="2" s="1"/>
  <c r="D79" i="2" a="1"/>
  <c r="D79" i="2" s="1"/>
  <c r="J84" i="2" a="1"/>
  <c r="J84" i="2" s="1"/>
  <c r="K91" i="2" a="1"/>
  <c r="K91" i="2" s="1"/>
  <c r="F100" i="2" a="1"/>
  <c r="F100" i="2" s="1"/>
  <c r="F106" i="2" a="1"/>
  <c r="F106" i="2" s="1"/>
  <c r="E114" i="2" a="1"/>
  <c r="E114" i="2" s="1"/>
  <c r="K119" i="2" a="1"/>
  <c r="K119" i="2" s="1"/>
  <c r="E122" i="2" a="1"/>
  <c r="E122" i="2" s="1"/>
  <c r="D125" i="2" a="1"/>
  <c r="D125" i="2" s="1"/>
  <c r="K127" i="2" a="1"/>
  <c r="K127" i="2" s="1"/>
  <c r="E130" i="2" a="1"/>
  <c r="E130" i="2" s="1"/>
  <c r="D133" i="2" a="1"/>
  <c r="D133" i="2" s="1"/>
  <c r="K135" i="2" a="1"/>
  <c r="K135" i="2" s="1"/>
  <c r="E138" i="2" a="1"/>
  <c r="E138" i="2" s="1"/>
  <c r="D141" i="2" a="1"/>
  <c r="D141" i="2" s="1"/>
  <c r="K143" i="2" a="1"/>
  <c r="K143" i="2" s="1"/>
  <c r="E146" i="2" a="1"/>
  <c r="E146" i="2" s="1"/>
  <c r="D149" i="2" a="1"/>
  <c r="D149" i="2" s="1"/>
  <c r="K151" i="2" a="1"/>
  <c r="K151" i="2" s="1"/>
  <c r="E154" i="2" a="1"/>
  <c r="E154" i="2" s="1"/>
  <c r="D157" i="2" a="1"/>
  <c r="D157" i="2" s="1"/>
  <c r="K159" i="2" a="1"/>
  <c r="K159" i="2" s="1"/>
  <c r="E162" i="2" a="1"/>
  <c r="E162" i="2" s="1"/>
  <c r="D165" i="2" a="1"/>
  <c r="D165" i="2" s="1"/>
  <c r="K167" i="2" a="1"/>
  <c r="K167" i="2" s="1"/>
  <c r="E170" i="2" a="1"/>
  <c r="E170" i="2" s="1"/>
  <c r="D173" i="2" a="1"/>
  <c r="D173" i="2" s="1"/>
  <c r="D174" i="2" a="1"/>
  <c r="D174" i="2" s="1"/>
  <c r="D175" i="2" a="1"/>
  <c r="D175" i="2" s="1"/>
  <c r="D176" i="2" a="1"/>
  <c r="D176" i="2" s="1"/>
  <c r="D177" i="2" a="1"/>
  <c r="D177" i="2" s="1"/>
  <c r="D178" i="2" a="1"/>
  <c r="D178" i="2" s="1"/>
  <c r="D179" i="2" a="1"/>
  <c r="D179" i="2" s="1"/>
  <c r="D180" i="2" a="1"/>
  <c r="D180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92" i="2" a="1"/>
  <c r="D192" i="2" s="1"/>
  <c r="D193" i="2" a="1"/>
  <c r="D193" i="2" s="1"/>
  <c r="D194" i="2" a="1"/>
  <c r="D194" i="2" s="1"/>
  <c r="D195" i="2" a="1"/>
  <c r="D195" i="2" s="1"/>
  <c r="D196" i="2" a="1"/>
  <c r="D196" i="2" s="1"/>
  <c r="D197" i="2" a="1"/>
  <c r="D197" i="2" s="1"/>
  <c r="D198" i="2" a="1"/>
  <c r="D198" i="2" s="1"/>
  <c r="D199" i="2" a="1"/>
  <c r="D199" i="2" s="1"/>
  <c r="D200" i="2" a="1"/>
  <c r="D200" i="2" s="1"/>
  <c r="D201" i="2" a="1"/>
  <c r="D201" i="2" s="1"/>
  <c r="D202" i="2" a="1"/>
  <c r="D202" i="2" s="1"/>
  <c r="D203" i="2" a="1"/>
  <c r="D203" i="2" s="1"/>
  <c r="D204" i="2" a="1"/>
  <c r="D204" i="2" s="1"/>
  <c r="D205" i="2" a="1"/>
  <c r="D205" i="2" s="1"/>
  <c r="D206" i="2" a="1"/>
  <c r="D206" i="2" s="1"/>
  <c r="D207" i="2" a="1"/>
  <c r="D207" i="2" s="1"/>
  <c r="D208" i="2" a="1"/>
  <c r="D208" i="2" s="1"/>
  <c r="D209" i="2" a="1"/>
  <c r="D209" i="2" s="1"/>
  <c r="D210" i="2" a="1"/>
  <c r="D210" i="2" s="1"/>
  <c r="D211" i="2" a="1"/>
  <c r="D211" i="2" s="1"/>
  <c r="D212" i="2" a="1"/>
  <c r="D212" i="2" s="1"/>
  <c r="D213" i="2" a="1"/>
  <c r="D213" i="2" s="1"/>
  <c r="C214" i="2" a="1"/>
  <c r="C214" i="2" s="1"/>
  <c r="K214" i="2" a="1"/>
  <c r="K214" i="2" s="1"/>
  <c r="K215" i="2" a="1"/>
  <c r="K215" i="2" s="1"/>
  <c r="J216" i="2" a="1"/>
  <c r="J216" i="2" s="1"/>
  <c r="I217" i="2" a="1"/>
  <c r="I217" i="2" s="1"/>
  <c r="I218" i="2" a="1"/>
  <c r="I218" i="2" s="1"/>
  <c r="I219" i="2" a="1"/>
  <c r="I219" i="2" s="1"/>
  <c r="H220" i="2" a="1"/>
  <c r="H220" i="2" s="1"/>
  <c r="G221" i="2" a="1"/>
  <c r="G221" i="2" s="1"/>
  <c r="F222" i="2" a="1"/>
  <c r="F222" i="2" s="1"/>
  <c r="E223" i="2" a="1"/>
  <c r="E223" i="2" s="1"/>
  <c r="E224" i="2" a="1"/>
  <c r="E224" i="2" s="1"/>
  <c r="D225" i="2" a="1"/>
  <c r="D225" i="2" s="1"/>
  <c r="K225" i="2" a="1"/>
  <c r="K225" i="2" s="1"/>
  <c r="J226" i="2" a="1"/>
  <c r="J226" i="2" s="1"/>
  <c r="I227" i="2" a="1"/>
  <c r="I227" i="2" s="1"/>
  <c r="H228" i="2" a="1"/>
  <c r="H228" i="2" s="1"/>
  <c r="G229" i="2" a="1"/>
  <c r="G229" i="2" s="1"/>
  <c r="F230" i="2" a="1"/>
  <c r="F230" i="2" s="1"/>
  <c r="E231" i="2" a="1"/>
  <c r="E231" i="2" s="1"/>
  <c r="D232" i="2" a="1"/>
  <c r="D232" i="2" s="1"/>
  <c r="C233" i="2" a="1"/>
  <c r="C233" i="2" s="1"/>
  <c r="K233" i="2" a="1"/>
  <c r="K233" i="2" s="1"/>
  <c r="J234" i="2" a="1"/>
  <c r="J234" i="2" s="1"/>
  <c r="I235" i="2" a="1"/>
  <c r="I235" i="2" s="1"/>
  <c r="H236" i="2" a="1"/>
  <c r="H236" i="2" s="1"/>
  <c r="G237" i="2" a="1"/>
  <c r="G237" i="2" s="1"/>
  <c r="F238" i="2" a="1"/>
  <c r="F238" i="2" s="1"/>
  <c r="E239" i="2" a="1"/>
  <c r="E239" i="2" s="1"/>
  <c r="D240" i="2" a="1"/>
  <c r="D240" i="2" s="1"/>
  <c r="C241" i="2" a="1"/>
  <c r="C241" i="2" s="1"/>
  <c r="K241" i="2" a="1"/>
  <c r="K241" i="2" s="1"/>
  <c r="J242" i="2" a="1"/>
  <c r="J242" i="2" s="1"/>
  <c r="I243" i="2" a="1"/>
  <c r="I243" i="2" s="1"/>
  <c r="H244" i="2" a="1"/>
  <c r="H244" i="2" s="1"/>
  <c r="G245" i="2" a="1"/>
  <c r="G245" i="2" s="1"/>
  <c r="F246" i="2" a="1"/>
  <c r="F246" i="2" s="1"/>
  <c r="E247" i="2" a="1"/>
  <c r="E247" i="2" s="1"/>
  <c r="D248" i="2" a="1"/>
  <c r="D248" i="2" s="1"/>
  <c r="C249" i="2" a="1"/>
  <c r="C249" i="2" s="1"/>
  <c r="K249" i="2" a="1"/>
  <c r="K249" i="2" s="1"/>
  <c r="J250" i="2" a="1"/>
  <c r="J250" i="2" s="1"/>
  <c r="H251" i="2" a="1"/>
  <c r="H251" i="2" s="1"/>
  <c r="G252" i="2" a="1"/>
  <c r="G252" i="2" s="1"/>
  <c r="F253" i="2" a="1"/>
  <c r="F253" i="2" s="1"/>
  <c r="E254" i="2" a="1"/>
  <c r="E254" i="2" s="1"/>
  <c r="D255" i="2" a="1"/>
  <c r="D255" i="2" s="1"/>
  <c r="C256" i="2" a="1"/>
  <c r="C256" i="2" s="1"/>
  <c r="K256" i="2" a="1"/>
  <c r="K256" i="2" s="1"/>
  <c r="J257" i="2" a="1"/>
  <c r="J257" i="2" s="1"/>
  <c r="I258" i="2" a="1"/>
  <c r="I258" i="2" s="1"/>
  <c r="H259" i="2" a="1"/>
  <c r="H259" i="2" s="1"/>
  <c r="G260" i="2" a="1"/>
  <c r="G260" i="2" s="1"/>
  <c r="F261" i="2" a="1"/>
  <c r="F261" i="2" s="1"/>
  <c r="E262" i="2" a="1"/>
  <c r="E262" i="2" s="1"/>
  <c r="D263" i="2" a="1"/>
  <c r="D263" i="2" s="1"/>
  <c r="C264" i="2" a="1"/>
  <c r="C264" i="2" s="1"/>
  <c r="K264" i="2" a="1"/>
  <c r="K264" i="2" s="1"/>
  <c r="J265" i="2" a="1"/>
  <c r="J265" i="2" s="1"/>
  <c r="I266" i="2" a="1"/>
  <c r="I266" i="2" s="1"/>
  <c r="H267" i="2" a="1"/>
  <c r="H267" i="2" s="1"/>
  <c r="G268" i="2" a="1"/>
  <c r="G268" i="2" s="1"/>
  <c r="F269" i="2" a="1"/>
  <c r="F269" i="2" s="1"/>
  <c r="E270" i="2" a="1"/>
  <c r="E270" i="2" s="1"/>
  <c r="D271" i="2" a="1"/>
  <c r="D271" i="2" s="1"/>
  <c r="C272" i="2" a="1"/>
  <c r="C272" i="2" s="1"/>
  <c r="K272" i="2" a="1"/>
  <c r="K272" i="2" s="1"/>
  <c r="I273" i="2" a="1"/>
  <c r="I273" i="2" s="1"/>
  <c r="H274" i="2" a="1"/>
  <c r="H274" i="2" s="1"/>
  <c r="G275" i="2" a="1"/>
  <c r="G275" i="2" s="1"/>
  <c r="F276" i="2" a="1"/>
  <c r="F276" i="2" s="1"/>
  <c r="E277" i="2" a="1"/>
  <c r="E277" i="2" s="1"/>
  <c r="D278" i="2" a="1"/>
  <c r="D278" i="2" s="1"/>
  <c r="C279" i="2" a="1"/>
  <c r="C279" i="2" s="1"/>
  <c r="K279" i="2" a="1"/>
  <c r="K279" i="2" s="1"/>
  <c r="J280" i="2" a="1"/>
  <c r="J280" i="2" s="1"/>
  <c r="I281" i="2" a="1"/>
  <c r="I281" i="2" s="1"/>
  <c r="H282" i="2" a="1"/>
  <c r="H282" i="2" s="1"/>
  <c r="G283" i="2" a="1"/>
  <c r="G283" i="2" s="1"/>
  <c r="F284" i="2" a="1"/>
  <c r="F284" i="2" s="1"/>
  <c r="E285" i="2" a="1"/>
  <c r="E285" i="2" s="1"/>
  <c r="D286" i="2" a="1"/>
  <c r="D286" i="2" s="1"/>
  <c r="C287" i="2" a="1"/>
  <c r="C287" i="2" s="1"/>
  <c r="K287" i="2" a="1"/>
  <c r="K287" i="2" s="1"/>
  <c r="J288" i="2" a="1"/>
  <c r="J288" i="2" s="1"/>
  <c r="I289" i="2" a="1"/>
  <c r="I289" i="2" s="1"/>
  <c r="H290" i="2" a="1"/>
  <c r="H290" i="2" s="1"/>
  <c r="G291" i="2" a="1"/>
  <c r="G291" i="2" s="1"/>
  <c r="F292" i="2" a="1"/>
  <c r="F292" i="2" s="1"/>
  <c r="E293" i="2" a="1"/>
  <c r="E293" i="2" s="1"/>
  <c r="D294" i="2" a="1"/>
  <c r="D294" i="2" s="1"/>
  <c r="C295" i="2" a="1"/>
  <c r="C295" i="2" s="1"/>
  <c r="K295" i="2" a="1"/>
  <c r="K295" i="2" s="1"/>
  <c r="J296" i="2" a="1"/>
  <c r="J296" i="2" s="1"/>
  <c r="I297" i="2" a="1"/>
  <c r="I297" i="2" s="1"/>
  <c r="H298" i="2" a="1"/>
  <c r="H298" i="2" s="1"/>
  <c r="G299" i="2" a="1"/>
  <c r="G299" i="2" s="1"/>
  <c r="I39" i="2" a="1"/>
  <c r="I39" i="2" s="1"/>
  <c r="E55" i="2" a="1"/>
  <c r="E55" i="2" s="1"/>
  <c r="D63" i="2" a="1"/>
  <c r="D63" i="2" s="1"/>
  <c r="H71" i="2" a="1"/>
  <c r="H71" i="2" s="1"/>
  <c r="F79" i="2" a="1"/>
  <c r="F79" i="2" s="1"/>
  <c r="D87" i="2" a="1"/>
  <c r="D87" i="2" s="1"/>
  <c r="H95" i="2" a="1"/>
  <c r="H95" i="2" s="1"/>
  <c r="G103" i="2" a="1"/>
  <c r="G103" i="2" s="1"/>
  <c r="D112" i="2" a="1"/>
  <c r="D112" i="2" s="1"/>
  <c r="E119" i="2" a="1"/>
  <c r="E119" i="2" s="1"/>
  <c r="K122" i="2" a="1"/>
  <c r="K122" i="2" s="1"/>
  <c r="K125" i="2" a="1"/>
  <c r="K125" i="2" s="1"/>
  <c r="K128" i="2" a="1"/>
  <c r="K128" i="2" s="1"/>
  <c r="K131" i="2" a="1"/>
  <c r="K131" i="2" s="1"/>
  <c r="K134" i="2" a="1"/>
  <c r="K134" i="2" s="1"/>
  <c r="K137" i="2" a="1"/>
  <c r="K137" i="2" s="1"/>
  <c r="K140" i="2" a="1"/>
  <c r="K140" i="2" s="1"/>
  <c r="D144" i="2" a="1"/>
  <c r="D144" i="2" s="1"/>
  <c r="D147" i="2" a="1"/>
  <c r="D147" i="2" s="1"/>
  <c r="D150" i="2" a="1"/>
  <c r="D150" i="2" s="1"/>
  <c r="D153" i="2" a="1"/>
  <c r="D153" i="2" s="1"/>
  <c r="D156" i="2" a="1"/>
  <c r="D156" i="2" s="1"/>
  <c r="D159" i="2" a="1"/>
  <c r="D159" i="2" s="1"/>
  <c r="D162" i="2" a="1"/>
  <c r="D162" i="2" s="1"/>
  <c r="E165" i="2" a="1"/>
  <c r="E165" i="2" s="1"/>
  <c r="E168" i="2" a="1"/>
  <c r="E168" i="2" s="1"/>
  <c r="E171" i="2" a="1"/>
  <c r="E171" i="2" s="1"/>
  <c r="H173" i="2" a="1"/>
  <c r="H173" i="2" s="1"/>
  <c r="I174" i="2" a="1"/>
  <c r="I174" i="2" s="1"/>
  <c r="J175" i="2" a="1"/>
  <c r="J175" i="2" s="1"/>
  <c r="K176" i="2" a="1"/>
  <c r="K176" i="2" s="1"/>
  <c r="E178" i="2" a="1"/>
  <c r="E178" i="2" s="1"/>
  <c r="F179" i="2" a="1"/>
  <c r="F179" i="2" s="1"/>
  <c r="G180" i="2" a="1"/>
  <c r="G180" i="2" s="1"/>
  <c r="H181" i="2" a="1"/>
  <c r="H181" i="2" s="1"/>
  <c r="I182" i="2" a="1"/>
  <c r="I182" i="2" s="1"/>
  <c r="J183" i="2" a="1"/>
  <c r="J183" i="2" s="1"/>
  <c r="K184" i="2" a="1"/>
  <c r="K184" i="2" s="1"/>
  <c r="E186" i="2" a="1"/>
  <c r="E186" i="2" s="1"/>
  <c r="F187" i="2" a="1"/>
  <c r="F187" i="2" s="1"/>
  <c r="G188" i="2" a="1"/>
  <c r="G188" i="2" s="1"/>
  <c r="H189" i="2" a="1"/>
  <c r="H189" i="2" s="1"/>
  <c r="I190" i="2" a="1"/>
  <c r="I190" i="2" s="1"/>
  <c r="J191" i="2" a="1"/>
  <c r="J191" i="2" s="1"/>
  <c r="K192" i="2" a="1"/>
  <c r="K192" i="2" s="1"/>
  <c r="E194" i="2" a="1"/>
  <c r="E194" i="2" s="1"/>
  <c r="F195" i="2" a="1"/>
  <c r="F195" i="2" s="1"/>
  <c r="G196" i="2" a="1"/>
  <c r="G196" i="2" s="1"/>
  <c r="H197" i="2" a="1"/>
  <c r="H197" i="2" s="1"/>
  <c r="I198" i="2" a="1"/>
  <c r="I198" i="2" s="1"/>
  <c r="J199" i="2" a="1"/>
  <c r="J199" i="2" s="1"/>
  <c r="K200" i="2" a="1"/>
  <c r="K200" i="2" s="1"/>
  <c r="E202" i="2" a="1"/>
  <c r="E202" i="2" s="1"/>
  <c r="F203" i="2" a="1"/>
  <c r="F203" i="2" s="1"/>
  <c r="G204" i="2" a="1"/>
  <c r="G204" i="2" s="1"/>
  <c r="H205" i="2" a="1"/>
  <c r="H205" i="2" s="1"/>
  <c r="I206" i="2" a="1"/>
  <c r="I206" i="2" s="1"/>
  <c r="J207" i="2" a="1"/>
  <c r="J207" i="2" s="1"/>
  <c r="K208" i="2" a="1"/>
  <c r="K208" i="2" s="1"/>
  <c r="E210" i="2" a="1"/>
  <c r="E210" i="2" s="1"/>
  <c r="F211" i="2" a="1"/>
  <c r="F211" i="2" s="1"/>
  <c r="G212" i="2" a="1"/>
  <c r="G212" i="2" s="1"/>
  <c r="H213" i="2" a="1"/>
  <c r="H213" i="2" s="1"/>
  <c r="H214" i="2" a="1"/>
  <c r="H214" i="2" s="1"/>
  <c r="I215" i="2" a="1"/>
  <c r="I215" i="2" s="1"/>
  <c r="I216" i="2" a="1"/>
  <c r="I216" i="2" s="1"/>
  <c r="J217" i="2" a="1"/>
  <c r="J217" i="2" s="1"/>
  <c r="K218" i="2" a="1"/>
  <c r="K218" i="2" s="1"/>
  <c r="C220" i="2" a="1"/>
  <c r="C220" i="2" s="1"/>
  <c r="C221" i="2" a="1"/>
  <c r="C221" i="2" s="1"/>
  <c r="C222" i="2" a="1"/>
  <c r="C222" i="2" s="1"/>
  <c r="C223" i="2" a="1"/>
  <c r="C223" i="2" s="1"/>
  <c r="D224" i="2" a="1"/>
  <c r="D224" i="2" s="1"/>
  <c r="D226" i="2" a="1"/>
  <c r="D226" i="2" s="1"/>
  <c r="D227" i="2" a="1"/>
  <c r="D227" i="2" s="1"/>
  <c r="D228" i="2" a="1"/>
  <c r="D228" i="2" s="1"/>
  <c r="D229" i="2" a="1"/>
  <c r="D229" i="2" s="1"/>
  <c r="D230" i="2" a="1"/>
  <c r="D230" i="2" s="1"/>
  <c r="D231" i="2" a="1"/>
  <c r="D231" i="2" s="1"/>
  <c r="E232" i="2" a="1"/>
  <c r="E232" i="2" s="1"/>
  <c r="E233" i="2" a="1"/>
  <c r="E233" i="2" s="1"/>
  <c r="E234" i="2" a="1"/>
  <c r="E234" i="2" s="1"/>
  <c r="E235" i="2" a="1"/>
  <c r="E235" i="2" s="1"/>
  <c r="E236" i="2" a="1"/>
  <c r="E236" i="2" s="1"/>
  <c r="E237" i="2" a="1"/>
  <c r="E237" i="2" s="1"/>
  <c r="E238" i="2" a="1"/>
  <c r="E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G246" i="2" a="1"/>
  <c r="G246" i="2" s="1"/>
  <c r="G247" i="2" a="1"/>
  <c r="G247" i="2" s="1"/>
  <c r="G248" i="2" a="1"/>
  <c r="G248" i="2" s="1"/>
  <c r="G249" i="2" a="1"/>
  <c r="G249" i="2" s="1"/>
  <c r="G250" i="2" a="1"/>
  <c r="G250" i="2" s="1"/>
  <c r="F251" i="2" a="1"/>
  <c r="F251" i="2" s="1"/>
  <c r="F252" i="2" a="1"/>
  <c r="F252" i="2" s="1"/>
  <c r="G253" i="2" a="1"/>
  <c r="G253" i="2" s="1"/>
  <c r="G254" i="2" a="1"/>
  <c r="G254" i="2" s="1"/>
  <c r="G255" i="2" a="1"/>
  <c r="G255" i="2" s="1"/>
  <c r="G256" i="2" a="1"/>
  <c r="G256" i="2" s="1"/>
  <c r="G257" i="2" a="1"/>
  <c r="G257" i="2" s="1"/>
  <c r="G258" i="2" a="1"/>
  <c r="G258" i="2" s="1"/>
  <c r="J27" i="2" a="1"/>
  <c r="J27" i="2" s="1"/>
  <c r="K43" i="2" a="1"/>
  <c r="K43" i="2" s="1"/>
  <c r="K57" i="2" a="1"/>
  <c r="K57" i="2" s="1"/>
  <c r="J65" i="2" a="1"/>
  <c r="J65" i="2" s="1"/>
  <c r="I73" i="2" a="1"/>
  <c r="I73" i="2" s="1"/>
  <c r="D82" i="2" a="1"/>
  <c r="D82" i="2" s="1"/>
  <c r="I89" i="2" a="1"/>
  <c r="I89" i="2" s="1"/>
  <c r="I97" i="2" a="1"/>
  <c r="I97" i="2" s="1"/>
  <c r="E106" i="2" a="1"/>
  <c r="E106" i="2" s="1"/>
  <c r="F114" i="2" a="1"/>
  <c r="F114" i="2" s="1"/>
  <c r="E120" i="2" a="1"/>
  <c r="E120" i="2" s="1"/>
  <c r="E123" i="2" a="1"/>
  <c r="E123" i="2" s="1"/>
  <c r="E126" i="2" a="1"/>
  <c r="E126" i="2" s="1"/>
  <c r="E129" i="2" a="1"/>
  <c r="E129" i="2" s="1"/>
  <c r="E132" i="2" a="1"/>
  <c r="E132" i="2" s="1"/>
  <c r="E135" i="2" a="1"/>
  <c r="E135" i="2" s="1"/>
  <c r="K138" i="2" a="1"/>
  <c r="K138" i="2" s="1"/>
  <c r="K141" i="2" a="1"/>
  <c r="K141" i="2" s="1"/>
  <c r="K144" i="2" a="1"/>
  <c r="K144" i="2" s="1"/>
  <c r="K147" i="2" a="1"/>
  <c r="K147" i="2" s="1"/>
  <c r="K150" i="2" a="1"/>
  <c r="K150" i="2" s="1"/>
  <c r="K153" i="2" a="1"/>
  <c r="K153" i="2" s="1"/>
  <c r="K156" i="2" a="1"/>
  <c r="K156" i="2" s="1"/>
  <c r="D160" i="2" a="1"/>
  <c r="D160" i="2" s="1"/>
  <c r="D163" i="2" a="1"/>
  <c r="D163" i="2" s="1"/>
  <c r="D166" i="2" a="1"/>
  <c r="D166" i="2" s="1"/>
  <c r="D169" i="2" a="1"/>
  <c r="D169" i="2" s="1"/>
  <c r="D172" i="2" a="1"/>
  <c r="D172" i="2" s="1"/>
  <c r="J173" i="2" a="1"/>
  <c r="J173" i="2" s="1"/>
  <c r="K174" i="2" a="1"/>
  <c r="K174" i="2" s="1"/>
  <c r="E176" i="2" a="1"/>
  <c r="E176" i="2" s="1"/>
  <c r="F177" i="2" a="1"/>
  <c r="F177" i="2" s="1"/>
  <c r="G178" i="2" a="1"/>
  <c r="G178" i="2" s="1"/>
  <c r="H179" i="2" a="1"/>
  <c r="H179" i="2" s="1"/>
  <c r="I180" i="2" a="1"/>
  <c r="I180" i="2" s="1"/>
  <c r="J181" i="2" a="1"/>
  <c r="J181" i="2" s="1"/>
  <c r="K182" i="2" a="1"/>
  <c r="K182" i="2" s="1"/>
  <c r="E184" i="2" a="1"/>
  <c r="E184" i="2" s="1"/>
  <c r="F185" i="2" a="1"/>
  <c r="F185" i="2" s="1"/>
  <c r="G186" i="2" a="1"/>
  <c r="G186" i="2" s="1"/>
  <c r="H187" i="2" a="1"/>
  <c r="H187" i="2" s="1"/>
  <c r="I188" i="2" a="1"/>
  <c r="I188" i="2" s="1"/>
  <c r="J189" i="2" a="1"/>
  <c r="J189" i="2" s="1"/>
  <c r="K190" i="2" a="1"/>
  <c r="K190" i="2" s="1"/>
  <c r="E192" i="2" a="1"/>
  <c r="E192" i="2" s="1"/>
  <c r="F193" i="2" a="1"/>
  <c r="F193" i="2" s="1"/>
  <c r="G194" i="2" a="1"/>
  <c r="G194" i="2" s="1"/>
  <c r="H195" i="2" a="1"/>
  <c r="H195" i="2" s="1"/>
  <c r="I196" i="2" a="1"/>
  <c r="I196" i="2" s="1"/>
  <c r="J197" i="2" a="1"/>
  <c r="J197" i="2" s="1"/>
  <c r="K198" i="2" a="1"/>
  <c r="K198" i="2" s="1"/>
  <c r="E200" i="2" a="1"/>
  <c r="E200" i="2" s="1"/>
  <c r="F201" i="2" a="1"/>
  <c r="F201" i="2" s="1"/>
  <c r="G202" i="2" a="1"/>
  <c r="G202" i="2" s="1"/>
  <c r="H203" i="2" a="1"/>
  <c r="H203" i="2" s="1"/>
  <c r="I204" i="2" a="1"/>
  <c r="I204" i="2" s="1"/>
  <c r="J205" i="2" a="1"/>
  <c r="J205" i="2" s="1"/>
  <c r="K206" i="2" a="1"/>
  <c r="K206" i="2" s="1"/>
  <c r="E208" i="2" a="1"/>
  <c r="E208" i="2" s="1"/>
  <c r="F209" i="2" a="1"/>
  <c r="F209" i="2" s="1"/>
  <c r="G210" i="2" a="1"/>
  <c r="G210" i="2" s="1"/>
  <c r="H211" i="2" a="1"/>
  <c r="H211" i="2" s="1"/>
  <c r="I212" i="2" a="1"/>
  <c r="I212" i="2" s="1"/>
  <c r="J213" i="2" a="1"/>
  <c r="J213" i="2" s="1"/>
  <c r="J214" i="2" a="1"/>
  <c r="J214" i="2" s="1"/>
  <c r="C216" i="2" a="1"/>
  <c r="C216" i="2" s="1"/>
  <c r="C217" i="2" a="1"/>
  <c r="C217" i="2" s="1"/>
  <c r="D218" i="2" a="1"/>
  <c r="D218" i="2" s="1"/>
  <c r="E219" i="2" a="1"/>
  <c r="E219" i="2" s="1"/>
  <c r="E220" i="2" a="1"/>
  <c r="E220" i="2" s="1"/>
  <c r="E221" i="2" a="1"/>
  <c r="E221" i="2" s="1"/>
  <c r="E222" i="2" a="1"/>
  <c r="E222" i="2" s="1"/>
  <c r="F223" i="2" a="1"/>
  <c r="F223" i="2" s="1"/>
  <c r="G224" i="2" a="1"/>
  <c r="G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G230" i="2" a="1"/>
  <c r="G230" i="2" s="1"/>
  <c r="G231" i="2" a="1"/>
  <c r="G231" i="2" s="1"/>
  <c r="G232" i="2" a="1"/>
  <c r="G232" i="2" s="1"/>
  <c r="G233" i="2" a="1"/>
  <c r="G233" i="2" s="1"/>
  <c r="G234" i="2" a="1"/>
  <c r="G234" i="2" s="1"/>
  <c r="G235" i="2" a="1"/>
  <c r="G235" i="2" s="1"/>
  <c r="G236" i="2" a="1"/>
  <c r="G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J258" i="2" a="1"/>
  <c r="J258" i="2" s="1"/>
  <c r="I33" i="2" a="1"/>
  <c r="I33" i="2" s="1"/>
  <c r="I49" i="2" a="1"/>
  <c r="I49" i="2" s="1"/>
  <c r="D60" i="2" a="1"/>
  <c r="D60" i="2" s="1"/>
  <c r="H68" i="2" a="1"/>
  <c r="H68" i="2" s="1"/>
  <c r="G76" i="2" a="1"/>
  <c r="G76" i="2" s="1"/>
  <c r="K83" i="2" a="1"/>
  <c r="K83" i="2" s="1"/>
  <c r="J91" i="2" a="1"/>
  <c r="J91" i="2" s="1"/>
  <c r="G100" i="2" a="1"/>
  <c r="G100" i="2" s="1"/>
  <c r="G108" i="2" a="1"/>
  <c r="G108" i="2" s="1"/>
  <c r="D117" i="2" a="1"/>
  <c r="D117" i="2" s="1"/>
  <c r="D121" i="2" a="1"/>
  <c r="D121" i="2" s="1"/>
  <c r="D124" i="2" a="1"/>
  <c r="D124" i="2" s="1"/>
  <c r="D127" i="2" a="1"/>
  <c r="D127" i="2" s="1"/>
  <c r="D130" i="2" a="1"/>
  <c r="D130" i="2" s="1"/>
  <c r="E133" i="2" a="1"/>
  <c r="E133" i="2" s="1"/>
  <c r="E136" i="2" a="1"/>
  <c r="E136" i="2" s="1"/>
  <c r="E139" i="2" a="1"/>
  <c r="E139" i="2" s="1"/>
  <c r="E142" i="2" a="1"/>
  <c r="E142" i="2" s="1"/>
  <c r="E145" i="2" a="1"/>
  <c r="E145" i="2" s="1"/>
  <c r="E148" i="2" a="1"/>
  <c r="E148" i="2" s="1"/>
  <c r="E151" i="2" a="1"/>
  <c r="E151" i="2" s="1"/>
  <c r="K154" i="2" a="1"/>
  <c r="K154" i="2" s="1"/>
  <c r="K157" i="2" a="1"/>
  <c r="K157" i="2" s="1"/>
  <c r="K160" i="2" a="1"/>
  <c r="K160" i="2" s="1"/>
  <c r="K163" i="2" a="1"/>
  <c r="K163" i="2" s="1"/>
  <c r="K166" i="2" a="1"/>
  <c r="K166" i="2" s="1"/>
  <c r="K169" i="2" a="1"/>
  <c r="K169" i="2" s="1"/>
  <c r="K172" i="2" a="1"/>
  <c r="K172" i="2" s="1"/>
  <c r="E174" i="2" a="1"/>
  <c r="E174" i="2" s="1"/>
  <c r="F175" i="2" a="1"/>
  <c r="F175" i="2" s="1"/>
  <c r="G176" i="2" a="1"/>
  <c r="G176" i="2" s="1"/>
  <c r="H177" i="2" a="1"/>
  <c r="H177" i="2" s="1"/>
  <c r="I178" i="2" a="1"/>
  <c r="I178" i="2" s="1"/>
  <c r="J179" i="2" a="1"/>
  <c r="J179" i="2" s="1"/>
  <c r="K180" i="2" a="1"/>
  <c r="K180" i="2" s="1"/>
  <c r="E182" i="2" a="1"/>
  <c r="E182" i="2" s="1"/>
  <c r="F183" i="2" a="1"/>
  <c r="F183" i="2" s="1"/>
  <c r="G184" i="2" a="1"/>
  <c r="G184" i="2" s="1"/>
  <c r="H185" i="2" a="1"/>
  <c r="H185" i="2" s="1"/>
  <c r="I186" i="2" a="1"/>
  <c r="I186" i="2" s="1"/>
  <c r="J187" i="2" a="1"/>
  <c r="J187" i="2" s="1"/>
  <c r="K188" i="2" a="1"/>
  <c r="K188" i="2" s="1"/>
  <c r="E190" i="2" a="1"/>
  <c r="E190" i="2" s="1"/>
  <c r="F191" i="2" a="1"/>
  <c r="F191" i="2" s="1"/>
  <c r="G192" i="2" a="1"/>
  <c r="G192" i="2" s="1"/>
  <c r="H193" i="2" a="1"/>
  <c r="H193" i="2" s="1"/>
  <c r="I194" i="2" a="1"/>
  <c r="I194" i="2" s="1"/>
  <c r="J195" i="2" a="1"/>
  <c r="J195" i="2" s="1"/>
  <c r="K196" i="2" a="1"/>
  <c r="K196" i="2" s="1"/>
  <c r="E198" i="2" a="1"/>
  <c r="E198" i="2" s="1"/>
  <c r="F199" i="2" a="1"/>
  <c r="F199" i="2" s="1"/>
  <c r="G200" i="2" a="1"/>
  <c r="G200" i="2" s="1"/>
  <c r="H201" i="2" a="1"/>
  <c r="H201" i="2" s="1"/>
  <c r="I202" i="2" a="1"/>
  <c r="I202" i="2" s="1"/>
  <c r="J203" i="2" a="1"/>
  <c r="J203" i="2" s="1"/>
  <c r="K204" i="2" a="1"/>
  <c r="K204" i="2" s="1"/>
  <c r="E206" i="2" a="1"/>
  <c r="E206" i="2" s="1"/>
  <c r="F207" i="2" a="1"/>
  <c r="F207" i="2" s="1"/>
  <c r="G208" i="2" a="1"/>
  <c r="G208" i="2" s="1"/>
  <c r="H209" i="2" a="1"/>
  <c r="H209" i="2" s="1"/>
  <c r="I210" i="2" a="1"/>
  <c r="I210" i="2" s="1"/>
  <c r="J211" i="2" a="1"/>
  <c r="J211" i="2" s="1"/>
  <c r="K212" i="2" a="1"/>
  <c r="K212" i="2" s="1"/>
  <c r="D214" i="2" a="1"/>
  <c r="D214" i="2" s="1"/>
  <c r="E215" i="2" a="1"/>
  <c r="E215" i="2" s="1"/>
  <c r="E216" i="2" a="1"/>
  <c r="E216" i="2" s="1"/>
  <c r="E217" i="2" a="1"/>
  <c r="E217" i="2" s="1"/>
  <c r="F218" i="2" a="1"/>
  <c r="F218" i="2" s="1"/>
  <c r="G219" i="2" a="1"/>
  <c r="G219" i="2" s="1"/>
  <c r="G220" i="2" a="1"/>
  <c r="G220" i="2" s="1"/>
  <c r="H221" i="2" a="1"/>
  <c r="H221" i="2" s="1"/>
  <c r="H222" i="2" a="1"/>
  <c r="H222" i="2" s="1"/>
  <c r="H223" i="2" a="1"/>
  <c r="H223" i="2" s="1"/>
  <c r="I224" i="2" a="1"/>
  <c r="I224" i="2" s="1"/>
  <c r="H225" i="2" a="1"/>
  <c r="H225" i="2" s="1"/>
  <c r="H226" i="2" a="1"/>
  <c r="H226" i="2" s="1"/>
  <c r="H227" i="2" a="1"/>
  <c r="H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J235" i="2" a="1"/>
  <c r="J235" i="2" s="1"/>
  <c r="J236" i="2" a="1"/>
  <c r="J236" i="2" s="1"/>
  <c r="J237" i="2" a="1"/>
  <c r="J237" i="2" s="1"/>
  <c r="J238" i="2" a="1"/>
  <c r="J238" i="2" s="1"/>
  <c r="J239" i="2" a="1"/>
  <c r="J239" i="2" s="1"/>
  <c r="J240" i="2" a="1"/>
  <c r="J240" i="2" s="1"/>
  <c r="J241" i="2" a="1"/>
  <c r="J241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 s="1"/>
  <c r="K247" i="2" a="1"/>
  <c r="K247" i="2" s="1"/>
  <c r="K248" i="2" a="1"/>
  <c r="K248" i="2" s="1"/>
  <c r="C250" i="2" a="1"/>
  <c r="C250" i="2" s="1"/>
  <c r="C251" i="2" a="1"/>
  <c r="C251" i="2" s="1"/>
  <c r="K251" i="2" a="1"/>
  <c r="K251" i="2" s="1"/>
  <c r="K252" i="2" a="1"/>
  <c r="K252" i="2" s="1"/>
  <c r="K253" i="2" a="1"/>
  <c r="K253" i="2" s="1"/>
  <c r="K254" i="2" a="1"/>
  <c r="K254" i="2" s="1"/>
  <c r="K255" i="2" a="1"/>
  <c r="K255" i="2" s="1"/>
  <c r="C257" i="2" a="1"/>
  <c r="C257" i="2" s="1"/>
  <c r="C258" i="2" a="1"/>
  <c r="C258" i="2" s="1"/>
  <c r="C259" i="2" a="1"/>
  <c r="C259" i="2" s="1"/>
  <c r="D34" i="2" a="1"/>
  <c r="D34" i="2" s="1"/>
  <c r="H51" i="2" a="1"/>
  <c r="H51" i="2" s="1"/>
  <c r="K60" i="2" a="1"/>
  <c r="K60" i="2" s="1"/>
  <c r="J68" i="2" a="1"/>
  <c r="J68" i="2" s="1"/>
  <c r="I76" i="2" a="1"/>
  <c r="I76" i="2" s="1"/>
  <c r="J86" i="2" a="1"/>
  <c r="J86" i="2" s="1"/>
  <c r="I94" i="2" a="1"/>
  <c r="I94" i="2" s="1"/>
  <c r="H102" i="2" a="1"/>
  <c r="H102" i="2" s="1"/>
  <c r="E111" i="2" a="1"/>
  <c r="E111" i="2" s="1"/>
  <c r="K118" i="2" a="1"/>
  <c r="K118" i="2" s="1"/>
  <c r="K121" i="2" a="1"/>
  <c r="K121" i="2" s="1"/>
  <c r="K124" i="2" a="1"/>
  <c r="K124" i="2" s="1"/>
  <c r="D128" i="2" a="1"/>
  <c r="D128" i="2" s="1"/>
  <c r="D131" i="2" a="1"/>
  <c r="D131" i="2" s="1"/>
  <c r="D134" i="2" a="1"/>
  <c r="D134" i="2" s="1"/>
  <c r="D137" i="2" a="1"/>
  <c r="D137" i="2" s="1"/>
  <c r="D140" i="2" a="1"/>
  <c r="D140" i="2" s="1"/>
  <c r="D143" i="2" a="1"/>
  <c r="D143" i="2" s="1"/>
  <c r="D146" i="2" a="1"/>
  <c r="D146" i="2" s="1"/>
  <c r="E149" i="2" a="1"/>
  <c r="E149" i="2" s="1"/>
  <c r="E152" i="2" a="1"/>
  <c r="E152" i="2" s="1"/>
  <c r="E155" i="2" a="1"/>
  <c r="E155" i="2" s="1"/>
  <c r="E158" i="2" a="1"/>
  <c r="E158" i="2" s="1"/>
  <c r="E161" i="2" a="1"/>
  <c r="E161" i="2" s="1"/>
  <c r="E164" i="2" a="1"/>
  <c r="E164" i="2" s="1"/>
  <c r="E167" i="2" a="1"/>
  <c r="E167" i="2" s="1"/>
  <c r="K170" i="2" a="1"/>
  <c r="K170" i="2" s="1"/>
  <c r="F173" i="2" a="1"/>
  <c r="F173" i="2" s="1"/>
  <c r="G174" i="2" a="1"/>
  <c r="G174" i="2" s="1"/>
  <c r="H175" i="2" a="1"/>
  <c r="H175" i="2" s="1"/>
  <c r="I176" i="2" a="1"/>
  <c r="I176" i="2" s="1"/>
  <c r="J177" i="2" a="1"/>
  <c r="J177" i="2" s="1"/>
  <c r="K178" i="2" a="1"/>
  <c r="K178" i="2" s="1"/>
  <c r="E180" i="2" a="1"/>
  <c r="E180" i="2" s="1"/>
  <c r="F181" i="2" a="1"/>
  <c r="F181" i="2" s="1"/>
  <c r="G182" i="2" a="1"/>
  <c r="G182" i="2" s="1"/>
  <c r="H183" i="2" a="1"/>
  <c r="H183" i="2" s="1"/>
  <c r="I184" i="2" a="1"/>
  <c r="I184" i="2" s="1"/>
  <c r="J185" i="2" a="1"/>
  <c r="J185" i="2" s="1"/>
  <c r="K186" i="2" a="1"/>
  <c r="K186" i="2" s="1"/>
  <c r="E188" i="2" a="1"/>
  <c r="E188" i="2" s="1"/>
  <c r="F189" i="2" a="1"/>
  <c r="F189" i="2" s="1"/>
  <c r="G190" i="2" a="1"/>
  <c r="G190" i="2" s="1"/>
  <c r="H191" i="2" a="1"/>
  <c r="H191" i="2" s="1"/>
  <c r="I192" i="2" a="1"/>
  <c r="I192" i="2" s="1"/>
  <c r="J193" i="2" a="1"/>
  <c r="J193" i="2" s="1"/>
  <c r="K194" i="2" a="1"/>
  <c r="K194" i="2" s="1"/>
  <c r="E196" i="2" a="1"/>
  <c r="E196" i="2" s="1"/>
  <c r="F197" i="2" a="1"/>
  <c r="F197" i="2" s="1"/>
  <c r="G198" i="2" a="1"/>
  <c r="G198" i="2" s="1"/>
  <c r="H199" i="2" a="1"/>
  <c r="H199" i="2" s="1"/>
  <c r="I200" i="2" a="1"/>
  <c r="I200" i="2" s="1"/>
  <c r="J201" i="2" a="1"/>
  <c r="J201" i="2" s="1"/>
  <c r="K202" i="2" a="1"/>
  <c r="K202" i="2" s="1"/>
  <c r="E204" i="2" a="1"/>
  <c r="E204" i="2" s="1"/>
  <c r="F205" i="2" a="1"/>
  <c r="F205" i="2" s="1"/>
  <c r="G206" i="2" a="1"/>
  <c r="G206" i="2" s="1"/>
  <c r="H207" i="2" a="1"/>
  <c r="H207" i="2" s="1"/>
  <c r="I208" i="2" a="1"/>
  <c r="I208" i="2" s="1"/>
  <c r="J209" i="2" a="1"/>
  <c r="J209" i="2" s="1"/>
  <c r="K210" i="2" a="1"/>
  <c r="K210" i="2" s="1"/>
  <c r="E212" i="2" a="1"/>
  <c r="E212" i="2" s="1"/>
  <c r="F213" i="2" a="1"/>
  <c r="F213" i="2" s="1"/>
  <c r="F214" i="2" a="1"/>
  <c r="F214" i="2" s="1"/>
  <c r="G215" i="2" a="1"/>
  <c r="G215" i="2" s="1"/>
  <c r="G216" i="2" a="1"/>
  <c r="G216" i="2" s="1"/>
  <c r="G217" i="2" a="1"/>
  <c r="G217" i="2" s="1"/>
  <c r="H218" i="2" a="1"/>
  <c r="H218" i="2" s="1"/>
  <c r="J219" i="2" a="1"/>
  <c r="J219" i="2" s="1"/>
  <c r="J220" i="2" a="1"/>
  <c r="J220" i="2" s="1"/>
  <c r="J221" i="2" a="1"/>
  <c r="J221" i="2" s="1"/>
  <c r="J222" i="2" a="1"/>
  <c r="J222" i="2" s="1"/>
  <c r="J223" i="2" a="1"/>
  <c r="J223" i="2" s="1"/>
  <c r="K224" i="2" a="1"/>
  <c r="K224" i="2" s="1"/>
  <c r="J225" i="2" a="1"/>
  <c r="J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 s="1"/>
  <c r="K231" i="2" a="1"/>
  <c r="K231" i="2" s="1"/>
  <c r="K232" i="2" a="1"/>
  <c r="K232" i="2" s="1"/>
  <c r="C234" i="2" a="1"/>
  <c r="C234" i="2" s="1"/>
  <c r="C235" i="2" a="1"/>
  <c r="C235" i="2" s="1"/>
  <c r="C236" i="2" a="1"/>
  <c r="C236" i="2" s="1"/>
  <c r="G274" i="2" a="1"/>
  <c r="G274" i="2" s="1"/>
  <c r="G273" i="2" a="1"/>
  <c r="G273" i="2" s="1"/>
  <c r="H272" i="2" a="1"/>
  <c r="H272" i="2" s="1"/>
  <c r="H271" i="2" a="1"/>
  <c r="H271" i="2" s="1"/>
  <c r="H270" i="2" a="1"/>
  <c r="H270" i="2" s="1"/>
  <c r="H269" i="2" a="1"/>
  <c r="H269" i="2" s="1"/>
  <c r="H268" i="2" a="1"/>
  <c r="H268" i="2" s="1"/>
  <c r="G267" i="2" a="1"/>
  <c r="G267" i="2" s="1"/>
  <c r="G266" i="2" a="1"/>
  <c r="G266" i="2" s="1"/>
  <c r="G265" i="2" a="1"/>
  <c r="G265" i="2" s="1"/>
  <c r="G264" i="2" a="1"/>
  <c r="G264" i="2" s="1"/>
  <c r="G263" i="2" a="1"/>
  <c r="G263" i="2" s="1"/>
  <c r="G262" i="2" a="1"/>
  <c r="G262" i="2" s="1"/>
  <c r="G261" i="2" a="1"/>
  <c r="G261" i="2" s="1"/>
  <c r="F260" i="2" a="1"/>
  <c r="F260" i="2" s="1"/>
  <c r="F259" i="2" a="1"/>
  <c r="F259" i="2" s="1"/>
  <c r="K257" i="2" a="1"/>
  <c r="K257" i="2" s="1"/>
  <c r="E256" i="2" a="1"/>
  <c r="E256" i="2" s="1"/>
  <c r="H254" i="2" a="1"/>
  <c r="H254" i="2" s="1"/>
  <c r="C253" i="2" a="1"/>
  <c r="C253" i="2" s="1"/>
  <c r="J249" i="2" a="1"/>
  <c r="J249" i="2" s="1"/>
  <c r="E248" i="2" a="1"/>
  <c r="E248" i="2" s="1"/>
  <c r="H246" i="2" a="1"/>
  <c r="H246" i="2" s="1"/>
  <c r="C245" i="2" a="1"/>
  <c r="C245" i="2" s="1"/>
  <c r="E243" i="2" a="1"/>
  <c r="E243" i="2" s="1"/>
  <c r="I241" i="2" a="1"/>
  <c r="I241" i="2" s="1"/>
  <c r="C240" i="2" a="1"/>
  <c r="C240" i="2" s="1"/>
  <c r="G238" i="2" a="1"/>
  <c r="G238" i="2" s="1"/>
  <c r="K236" i="2" a="1"/>
  <c r="K236" i="2" s="1"/>
  <c r="K234" i="2" a="1"/>
  <c r="K234" i="2" s="1"/>
  <c r="J232" i="2" a="1"/>
  <c r="J232" i="2" s="1"/>
  <c r="J230" i="2" a="1"/>
  <c r="J230" i="2" s="1"/>
  <c r="J228" i="2" a="1"/>
  <c r="J228" i="2" s="1"/>
  <c r="I226" i="2" a="1"/>
  <c r="I226" i="2" s="1"/>
  <c r="J224" i="2" a="1"/>
  <c r="J224" i="2" s="1"/>
  <c r="I222" i="2" a="1"/>
  <c r="I222" i="2" s="1"/>
  <c r="I220" i="2" a="1"/>
  <c r="I220" i="2" s="1"/>
  <c r="G218" i="2" a="1"/>
  <c r="G218" i="2" s="1"/>
  <c r="F216" i="2" a="1"/>
  <c r="F216" i="2" s="1"/>
  <c r="E214" i="2" a="1"/>
  <c r="E214" i="2" s="1"/>
  <c r="K211" i="2" a="1"/>
  <c r="K211" i="2" s="1"/>
  <c r="I209" i="2" a="1"/>
  <c r="I209" i="2" s="1"/>
  <c r="G207" i="2" a="1"/>
  <c r="G207" i="2" s="1"/>
  <c r="E205" i="2" a="1"/>
  <c r="E205" i="2" s="1"/>
  <c r="J202" i="2" a="1"/>
  <c r="J202" i="2" s="1"/>
  <c r="H200" i="2" a="1"/>
  <c r="H200" i="2" s="1"/>
  <c r="F198" i="2" a="1"/>
  <c r="F198" i="2" s="1"/>
  <c r="K195" i="2" a="1"/>
  <c r="K195" i="2" s="1"/>
  <c r="I193" i="2" a="1"/>
  <c r="I193" i="2" s="1"/>
  <c r="G191" i="2" a="1"/>
  <c r="G191" i="2" s="1"/>
  <c r="E189" i="2" a="1"/>
  <c r="E189" i="2" s="1"/>
  <c r="J186" i="2" a="1"/>
  <c r="J186" i="2" s="1"/>
  <c r="H184" i="2" a="1"/>
  <c r="H184" i="2" s="1"/>
  <c r="F182" i="2" a="1"/>
  <c r="F182" i="2" s="1"/>
  <c r="K179" i="2" a="1"/>
  <c r="K179" i="2" s="1"/>
  <c r="I177" i="2" a="1"/>
  <c r="I177" i="2" s="1"/>
  <c r="G175" i="2" a="1"/>
  <c r="G175" i="2" s="1"/>
  <c r="E173" i="2" a="1"/>
  <c r="E173" i="2" s="1"/>
  <c r="D167" i="2" a="1"/>
  <c r="D167" i="2" s="1"/>
  <c r="D161" i="2" a="1"/>
  <c r="D161" i="2" s="1"/>
  <c r="D155" i="2" a="1"/>
  <c r="D155" i="2" s="1"/>
  <c r="K148" i="2" a="1"/>
  <c r="K148" i="2" s="1"/>
  <c r="K142" i="2" a="1"/>
  <c r="K142" i="2" s="1"/>
  <c r="K136" i="2" a="1"/>
  <c r="K136" i="2" s="1"/>
  <c r="K130" i="2" a="1"/>
  <c r="K130" i="2" s="1"/>
  <c r="E124" i="2" a="1"/>
  <c r="E124" i="2" s="1"/>
  <c r="E117" i="2" a="1"/>
  <c r="E117" i="2" s="1"/>
  <c r="H100" i="2" a="1"/>
  <c r="H100" i="2" s="1"/>
  <c r="D84" i="2" a="1"/>
  <c r="D84" i="2" s="1"/>
  <c r="I68" i="2" a="1"/>
  <c r="I68" i="2" s="1"/>
  <c r="K49" i="2" a="1"/>
  <c r="K49" i="2" s="1"/>
  <c r="I300" i="2" a="1"/>
  <c r="I300" i="2" s="1"/>
  <c r="J299" i="2" a="1"/>
  <c r="J299" i="2" s="1"/>
  <c r="J298" i="2" a="1"/>
  <c r="J298" i="2" s="1"/>
  <c r="J297" i="2" a="1"/>
  <c r="J297" i="2" s="1"/>
  <c r="I296" i="2" a="1"/>
  <c r="I296" i="2" s="1"/>
  <c r="I295" i="2" a="1"/>
  <c r="I295" i="2" s="1"/>
  <c r="I294" i="2" a="1"/>
  <c r="I294" i="2" s="1"/>
  <c r="I293" i="2" a="1"/>
  <c r="I293" i="2" s="1"/>
  <c r="I292" i="2" a="1"/>
  <c r="I292" i="2" s="1"/>
  <c r="I291" i="2" a="1"/>
  <c r="I291" i="2" s="1"/>
  <c r="I290" i="2" a="1"/>
  <c r="I290" i="2" s="1"/>
  <c r="H289" i="2" a="1"/>
  <c r="H289" i="2" s="1"/>
  <c r="H288" i="2" a="1"/>
  <c r="H288" i="2" s="1"/>
  <c r="H287" i="2" a="1"/>
  <c r="H287" i="2" s="1"/>
  <c r="H286" i="2" a="1"/>
  <c r="H286" i="2" s="1"/>
  <c r="H285" i="2" a="1"/>
  <c r="H285" i="2" s="1"/>
  <c r="H284" i="2" a="1"/>
  <c r="H284" i="2" s="1"/>
  <c r="H283" i="2" a="1"/>
  <c r="H283" i="2" s="1"/>
  <c r="G282" i="2" a="1"/>
  <c r="G282" i="2" s="1"/>
  <c r="G281" i="2" a="1"/>
  <c r="G281" i="2" s="1"/>
  <c r="G280" i="2" a="1"/>
  <c r="G280" i="2" s="1"/>
  <c r="G279" i="2" a="1"/>
  <c r="G279" i="2" s="1"/>
  <c r="G278" i="2" a="1"/>
  <c r="G278" i="2" s="1"/>
  <c r="G277" i="2" a="1"/>
  <c r="G277" i="2" s="1"/>
  <c r="G276" i="2" a="1"/>
  <c r="G276" i="2" s="1"/>
  <c r="F275" i="2" a="1"/>
  <c r="F275" i="2" s="1"/>
  <c r="F274" i="2" a="1"/>
  <c r="F274" i="2" s="1"/>
  <c r="F273" i="2" a="1"/>
  <c r="F273" i="2" s="1"/>
  <c r="G272" i="2" a="1"/>
  <c r="G272" i="2" s="1"/>
  <c r="G271" i="2" a="1"/>
  <c r="G271" i="2" s="1"/>
  <c r="G270" i="2" a="1"/>
  <c r="G270" i="2" s="1"/>
  <c r="G269" i="2" a="1"/>
  <c r="G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E261" i="2" a="1"/>
  <c r="E261" i="2" s="1"/>
  <c r="E260" i="2" a="1"/>
  <c r="E260" i="2" s="1"/>
  <c r="E259" i="2" a="1"/>
  <c r="E259" i="2" s="1"/>
  <c r="H257" i="2" a="1"/>
  <c r="H257" i="2" s="1"/>
  <c r="D256" i="2" a="1"/>
  <c r="D256" i="2" s="1"/>
  <c r="F254" i="2" a="1"/>
  <c r="F254" i="2" s="1"/>
  <c r="J252" i="2" a="1"/>
  <c r="J252" i="2" s="1"/>
  <c r="E251" i="2" a="1"/>
  <c r="E251" i="2" s="1"/>
  <c r="H249" i="2" a="1"/>
  <c r="H249" i="2" s="1"/>
  <c r="C248" i="2" a="1"/>
  <c r="C248" i="2" s="1"/>
  <c r="E246" i="2" a="1"/>
  <c r="E246" i="2" s="1"/>
  <c r="J244" i="2" a="1"/>
  <c r="J244" i="2" s="1"/>
  <c r="D243" i="2" a="1"/>
  <c r="D243" i="2" s="1"/>
  <c r="G241" i="2" a="1"/>
  <c r="G241" i="2" s="1"/>
  <c r="K239" i="2" a="1"/>
  <c r="K239" i="2" s="1"/>
  <c r="D238" i="2" a="1"/>
  <c r="D238" i="2" s="1"/>
  <c r="I236" i="2" a="1"/>
  <c r="I236" i="2" s="1"/>
  <c r="H234" i="2" a="1"/>
  <c r="H234" i="2" s="1"/>
  <c r="H232" i="2" a="1"/>
  <c r="H232" i="2" s="1"/>
  <c r="H230" i="2" a="1"/>
  <c r="H230" i="2" s="1"/>
  <c r="G228" i="2" a="1"/>
  <c r="G228" i="2" s="1"/>
  <c r="G226" i="2" a="1"/>
  <c r="G226" i="2" s="1"/>
  <c r="H224" i="2" a="1"/>
  <c r="H224" i="2" s="1"/>
  <c r="G222" i="2" a="1"/>
  <c r="G222" i="2" s="1"/>
  <c r="F220" i="2" a="1"/>
  <c r="F220" i="2" s="1"/>
  <c r="E218" i="2" a="1"/>
  <c r="E218" i="2" s="1"/>
  <c r="D216" i="2" a="1"/>
  <c r="D216" i="2" s="1"/>
  <c r="K213" i="2" a="1"/>
  <c r="K213" i="2" s="1"/>
  <c r="I211" i="2" a="1"/>
  <c r="I211" i="2" s="1"/>
  <c r="G209" i="2" a="1"/>
  <c r="G209" i="2" s="1"/>
  <c r="E207" i="2" a="1"/>
  <c r="E207" i="2" s="1"/>
  <c r="J204" i="2" a="1"/>
  <c r="J204" i="2" s="1"/>
  <c r="H202" i="2" a="1"/>
  <c r="H202" i="2" s="1"/>
  <c r="F200" i="2" a="1"/>
  <c r="F200" i="2" s="1"/>
  <c r="K197" i="2" a="1"/>
  <c r="K197" i="2" s="1"/>
  <c r="I195" i="2" a="1"/>
  <c r="I195" i="2" s="1"/>
  <c r="G193" i="2" a="1"/>
  <c r="G193" i="2" s="1"/>
  <c r="E191" i="2" a="1"/>
  <c r="E191" i="2" s="1"/>
  <c r="J188" i="2" a="1"/>
  <c r="J188" i="2" s="1"/>
  <c r="H186" i="2" a="1"/>
  <c r="H186" i="2" s="1"/>
  <c r="F184" i="2" a="1"/>
  <c r="F184" i="2" s="1"/>
  <c r="K181" i="2" a="1"/>
  <c r="K181" i="2" s="1"/>
  <c r="I179" i="2" a="1"/>
  <c r="I179" i="2" s="1"/>
  <c r="G177" i="2" a="1"/>
  <c r="G177" i="2" s="1"/>
  <c r="E175" i="2" a="1"/>
  <c r="E175" i="2" s="1"/>
  <c r="E172" i="2" a="1"/>
  <c r="E172" i="2" s="1"/>
  <c r="E166" i="2" a="1"/>
  <c r="E166" i="2" s="1"/>
  <c r="E160" i="2" a="1"/>
  <c r="E160" i="2" s="1"/>
  <c r="D154" i="2" a="1"/>
  <c r="D154" i="2" s="1"/>
  <c r="D148" i="2" a="1"/>
  <c r="D148" i="2" s="1"/>
  <c r="D142" i="2" a="1"/>
  <c r="D142" i="2" s="1"/>
  <c r="D136" i="2" a="1"/>
  <c r="D136" i="2" s="1"/>
  <c r="K129" i="2" a="1"/>
  <c r="K129" i="2" s="1"/>
  <c r="K123" i="2" a="1"/>
  <c r="K123" i="2" s="1"/>
  <c r="F116" i="2" a="1"/>
  <c r="F116" i="2" s="1"/>
  <c r="J97" i="2" a="1"/>
  <c r="J97" i="2" s="1"/>
  <c r="E82" i="2" a="1"/>
  <c r="E82" i="2" s="1"/>
  <c r="H66" i="2" a="1"/>
  <c r="H66" i="2" s="1"/>
  <c r="I45" i="2" a="1"/>
  <c r="I45" i="2" s="1"/>
  <c r="G300" i="2" a="1"/>
  <c r="G300" i="2" s="1"/>
  <c r="H299" i="2" a="1"/>
  <c r="H299" i="2" s="1"/>
  <c r="G298" i="2" a="1"/>
  <c r="G298" i="2" s="1"/>
  <c r="G297" i="2" a="1"/>
  <c r="G297" i="2" s="1"/>
  <c r="G296" i="2" a="1"/>
  <c r="G296" i="2" s="1"/>
  <c r="G295" i="2" a="1"/>
  <c r="G295" i="2" s="1"/>
  <c r="G294" i="2" a="1"/>
  <c r="G294" i="2" s="1"/>
  <c r="G293" i="2" a="1"/>
  <c r="G293" i="2" s="1"/>
  <c r="G292" i="2" a="1"/>
  <c r="G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E284" i="2" a="1"/>
  <c r="E284" i="2" s="1"/>
  <c r="E283" i="2" a="1"/>
  <c r="E283" i="2" s="1"/>
  <c r="E282" i="2" a="1"/>
  <c r="E282" i="2" s="1"/>
  <c r="E281" i="2" a="1"/>
  <c r="E281" i="2" s="1"/>
  <c r="E280" i="2" a="1"/>
  <c r="E280" i="2" s="1"/>
  <c r="E279" i="2" a="1"/>
  <c r="E279" i="2" s="1"/>
  <c r="E278" i="2" a="1"/>
  <c r="E278" i="2" s="1"/>
  <c r="D277" i="2" a="1"/>
  <c r="D277" i="2" s="1"/>
  <c r="D276" i="2" a="1"/>
  <c r="D276" i="2" s="1"/>
  <c r="D275" i="2" a="1"/>
  <c r="D275" i="2" s="1"/>
  <c r="D274" i="2" a="1"/>
  <c r="D274" i="2" s="1"/>
  <c r="D273" i="2" a="1"/>
  <c r="D273" i="2" s="1"/>
  <c r="E272" i="2" a="1"/>
  <c r="E272" i="2" s="1"/>
  <c r="E271" i="2" a="1"/>
  <c r="E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C263" i="2" a="1"/>
  <c r="C263" i="2" s="1"/>
  <c r="C262" i="2" a="1"/>
  <c r="C262" i="2" s="1"/>
  <c r="C261" i="2" a="1"/>
  <c r="C261" i="2" s="1"/>
  <c r="C260" i="2" a="1"/>
  <c r="C260" i="2" s="1"/>
  <c r="K258" i="2" a="1"/>
  <c r="K258" i="2" s="1"/>
  <c r="E257" i="2" a="1"/>
  <c r="E257" i="2" s="1"/>
  <c r="H255" i="2" a="1"/>
  <c r="H255" i="2" s="1"/>
  <c r="C254" i="2" a="1"/>
  <c r="C254" i="2" s="1"/>
  <c r="E252" i="2" a="1"/>
  <c r="E252" i="2" s="1"/>
  <c r="K250" i="2" a="1"/>
  <c r="K250" i="2" s="1"/>
  <c r="E249" i="2" a="1"/>
  <c r="E249" i="2" s="1"/>
  <c r="H247" i="2" a="1"/>
  <c r="H247" i="2" s="1"/>
  <c r="C246" i="2" a="1"/>
  <c r="C246" i="2" s="1"/>
  <c r="E244" i="2" a="1"/>
  <c r="E244" i="2" s="1"/>
  <c r="I242" i="2" a="1"/>
  <c r="I242" i="2" s="1"/>
  <c r="D241" i="2" a="1"/>
  <c r="D241" i="2" s="1"/>
  <c r="G239" i="2" a="1"/>
  <c r="G239" i="2" s="1"/>
  <c r="K237" i="2" a="1"/>
  <c r="K237" i="2" s="1"/>
  <c r="D236" i="2" a="1"/>
  <c r="D236" i="2" s="1"/>
  <c r="D234" i="2" a="1"/>
  <c r="D234" i="2" s="1"/>
  <c r="C232" i="2" a="1"/>
  <c r="C232" i="2" s="1"/>
  <c r="C230" i="2" a="1"/>
  <c r="C230" i="2" s="1"/>
  <c r="C228" i="2" a="1"/>
  <c r="C228" i="2" s="1"/>
  <c r="C226" i="2" a="1"/>
  <c r="C226" i="2" s="1"/>
  <c r="K223" i="2" a="1"/>
  <c r="K223" i="2" s="1"/>
  <c r="K221" i="2" a="1"/>
  <c r="K221" i="2" s="1"/>
  <c r="K219" i="2" a="1"/>
  <c r="K219" i="2" s="1"/>
  <c r="H217" i="2" a="1"/>
  <c r="H217" i="2" s="1"/>
  <c r="H215" i="2" a="1"/>
  <c r="H215" i="2" s="1"/>
  <c r="G213" i="2" a="1"/>
  <c r="G213" i="2" s="1"/>
  <c r="E211" i="2" a="1"/>
  <c r="E211" i="2" s="1"/>
  <c r="J208" i="2" a="1"/>
  <c r="J208" i="2" s="1"/>
  <c r="H206" i="2" a="1"/>
  <c r="H206" i="2" s="1"/>
  <c r="F204" i="2" a="1"/>
  <c r="F204" i="2" s="1"/>
  <c r="K201" i="2" a="1"/>
  <c r="K201" i="2" s="1"/>
  <c r="I199" i="2" a="1"/>
  <c r="I199" i="2" s="1"/>
  <c r="G197" i="2" a="1"/>
  <c r="G197" i="2" s="1"/>
  <c r="E195" i="2" a="1"/>
  <c r="E195" i="2" s="1"/>
  <c r="J192" i="2" a="1"/>
  <c r="J192" i="2" s="1"/>
  <c r="H190" i="2" a="1"/>
  <c r="H190" i="2" s="1"/>
  <c r="F188" i="2" a="1"/>
  <c r="F188" i="2" s="1"/>
  <c r="K185" i="2" a="1"/>
  <c r="K185" i="2" s="1"/>
  <c r="I183" i="2" a="1"/>
  <c r="I183" i="2" s="1"/>
  <c r="G181" i="2" a="1"/>
  <c r="G181" i="2" s="1"/>
  <c r="E179" i="2" a="1"/>
  <c r="E179" i="2" s="1"/>
  <c r="J176" i="2" a="1"/>
  <c r="J176" i="2" s="1"/>
  <c r="H174" i="2" a="1"/>
  <c r="H174" i="2" s="1"/>
  <c r="D171" i="2" a="1"/>
  <c r="D171" i="2" s="1"/>
  <c r="K164" i="2" a="1"/>
  <c r="K164" i="2" s="1"/>
  <c r="K158" i="2" a="1"/>
  <c r="K158" i="2" s="1"/>
  <c r="K152" i="2" a="1"/>
  <c r="K152" i="2" s="1"/>
  <c r="K146" i="2" a="1"/>
  <c r="K146" i="2" s="1"/>
  <c r="E140" i="2" a="1"/>
  <c r="E140" i="2" s="1"/>
  <c r="E134" i="2" a="1"/>
  <c r="E134" i="2" s="1"/>
  <c r="E128" i="2" a="1"/>
  <c r="E128" i="2" s="1"/>
  <c r="D122" i="2" a="1"/>
  <c r="D122" i="2" s="1"/>
  <c r="F111" i="2" a="1"/>
  <c r="F111" i="2" s="1"/>
  <c r="J94" i="2" a="1"/>
  <c r="J94" i="2" s="1"/>
  <c r="E79" i="2" a="1"/>
  <c r="E79" i="2" s="1"/>
  <c r="K62" i="2" a="1"/>
  <c r="K62" i="2" s="1"/>
  <c r="D38" i="2" a="1"/>
  <c r="D38" i="2" s="1"/>
  <c r="G211" i="2" a="1"/>
  <c r="G211" i="2" s="1"/>
  <c r="D123" i="2" a="1"/>
  <c r="D123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E292" i="2" a="1"/>
  <c r="E292" i="2" s="1"/>
  <c r="E291" i="2" a="1"/>
  <c r="E291" i="2" s="1"/>
  <c r="E290" i="2" a="1"/>
  <c r="E290" i="2" s="1"/>
  <c r="E289" i="2" a="1"/>
  <c r="E289" i="2" s="1"/>
  <c r="E288" i="2" a="1"/>
  <c r="E288" i="2" s="1"/>
  <c r="E287" i="2" a="1"/>
  <c r="E287" i="2" s="1"/>
  <c r="E286" i="2" a="1"/>
  <c r="E286" i="2" s="1"/>
  <c r="D285" i="2" a="1"/>
  <c r="D285" i="2" s="1"/>
  <c r="D284" i="2" a="1"/>
  <c r="D284" i="2" s="1"/>
  <c r="D283" i="2" a="1"/>
  <c r="D283" i="2" s="1"/>
  <c r="D282" i="2" a="1"/>
  <c r="D282" i="2" s="1"/>
  <c r="D281" i="2" a="1"/>
  <c r="D281" i="2" s="1"/>
  <c r="D280" i="2" a="1"/>
  <c r="D280" i="2" s="1"/>
  <c r="D279" i="2" a="1"/>
  <c r="D279" i="2" s="1"/>
  <c r="C278" i="2" a="1"/>
  <c r="C278" i="2" s="1"/>
  <c r="C277" i="2" a="1"/>
  <c r="C277" i="2" s="1"/>
  <c r="C276" i="2" a="1"/>
  <c r="C276" i="2" s="1"/>
  <c r="C275" i="2" a="1"/>
  <c r="C275" i="2" s="1"/>
  <c r="C274" i="2" a="1"/>
  <c r="C274" i="2" s="1"/>
  <c r="C273" i="2" a="1"/>
  <c r="C273" i="2" s="1"/>
  <c r="D272" i="2" a="1"/>
  <c r="D272" i="2" s="1"/>
  <c r="C271" i="2" a="1"/>
  <c r="C271" i="2" s="1"/>
  <c r="C270" i="2" a="1"/>
  <c r="C270" i="2" s="1"/>
  <c r="C269" i="2" a="1"/>
  <c r="C269" i="2" s="1"/>
  <c r="C268" i="2" a="1"/>
  <c r="C268" i="2" s="1"/>
  <c r="C267" i="2" a="1"/>
  <c r="C267" i="2" s="1"/>
  <c r="C266" i="2" a="1"/>
  <c r="C266" i="2" s="1"/>
  <c r="C265" i="2" a="1"/>
  <c r="C265" i="2" s="1"/>
  <c r="K263" i="2" a="1"/>
  <c r="K263" i="2" s="1"/>
  <c r="K262" i="2" a="1"/>
  <c r="K262" i="2" s="1"/>
  <c r="K261" i="2" a="1"/>
  <c r="K261" i="2" s="1"/>
  <c r="K260" i="2" a="1"/>
  <c r="K260" i="2" s="1"/>
  <c r="K259" i="2" a="1"/>
  <c r="K259" i="2" s="1"/>
  <c r="H258" i="2" a="1"/>
  <c r="H258" i="2" s="1"/>
  <c r="D257" i="2" a="1"/>
  <c r="D257" i="2" s="1"/>
  <c r="F255" i="2" a="1"/>
  <c r="F255" i="2" s="1"/>
  <c r="J253" i="2" a="1"/>
  <c r="J253" i="2" s="1"/>
  <c r="D252" i="2" a="1"/>
  <c r="D252" i="2" s="1"/>
  <c r="H250" i="2" a="1"/>
  <c r="H250" i="2" s="1"/>
  <c r="D249" i="2" a="1"/>
  <c r="D249" i="2" s="1"/>
  <c r="F247" i="2" a="1"/>
  <c r="F247" i="2" s="1"/>
  <c r="J245" i="2" a="1"/>
  <c r="J245" i="2" s="1"/>
  <c r="D244" i="2" a="1"/>
  <c r="D244" i="2" s="1"/>
  <c r="G242" i="2" a="1"/>
  <c r="G242" i="2" s="1"/>
  <c r="K240" i="2" a="1"/>
  <c r="K240" i="2" s="1"/>
  <c r="D239" i="2" a="1"/>
  <c r="D239" i="2" s="1"/>
  <c r="I237" i="2" a="1"/>
  <c r="I237" i="2" s="1"/>
  <c r="K235" i="2" a="1"/>
  <c r="K235" i="2" s="1"/>
  <c r="J233" i="2" a="1"/>
  <c r="J233" i="2" s="1"/>
  <c r="J231" i="2" a="1"/>
  <c r="J231" i="2" s="1"/>
  <c r="J229" i="2" a="1"/>
  <c r="J229" i="2" s="1"/>
  <c r="J227" i="2" a="1"/>
  <c r="J227" i="2" s="1"/>
  <c r="I225" i="2" a="1"/>
  <c r="I225" i="2" s="1"/>
  <c r="I223" i="2" a="1"/>
  <c r="I223" i="2" s="1"/>
  <c r="I221" i="2" a="1"/>
  <c r="I221" i="2" s="1"/>
  <c r="H219" i="2" a="1"/>
  <c r="H219" i="2" s="1"/>
  <c r="F217" i="2" a="1"/>
  <c r="F217" i="2" s="1"/>
  <c r="F215" i="2" a="1"/>
  <c r="F215" i="2" s="1"/>
  <c r="E213" i="2" a="1"/>
  <c r="E213" i="2" s="1"/>
  <c r="J210" i="2" a="1"/>
  <c r="J210" i="2" s="1"/>
  <c r="H208" i="2" a="1"/>
  <c r="H208" i="2" s="1"/>
  <c r="F206" i="2" a="1"/>
  <c r="F206" i="2" s="1"/>
  <c r="K203" i="2" a="1"/>
  <c r="K203" i="2" s="1"/>
  <c r="I201" i="2" a="1"/>
  <c r="I201" i="2" s="1"/>
  <c r="G199" i="2" a="1"/>
  <c r="G199" i="2" s="1"/>
  <c r="E197" i="2" a="1"/>
  <c r="E197" i="2" s="1"/>
  <c r="J194" i="2" a="1"/>
  <c r="J194" i="2" s="1"/>
  <c r="H192" i="2" a="1"/>
  <c r="H192" i="2" s="1"/>
  <c r="F190" i="2" a="1"/>
  <c r="F190" i="2" s="1"/>
  <c r="K187" i="2" a="1"/>
  <c r="K187" i="2" s="1"/>
  <c r="I185" i="2" a="1"/>
  <c r="I185" i="2" s="1"/>
  <c r="G183" i="2" a="1"/>
  <c r="G183" i="2" s="1"/>
  <c r="E181" i="2" a="1"/>
  <c r="E181" i="2" s="1"/>
  <c r="J178" i="2" a="1"/>
  <c r="J178" i="2" s="1"/>
  <c r="H176" i="2" a="1"/>
  <c r="H176" i="2" s="1"/>
  <c r="F174" i="2" a="1"/>
  <c r="F174" i="2" s="1"/>
  <c r="D170" i="2" a="1"/>
  <c r="D170" i="2" s="1"/>
  <c r="D164" i="2" a="1"/>
  <c r="D164" i="2" s="1"/>
  <c r="D158" i="2" a="1"/>
  <c r="D158" i="2" s="1"/>
  <c r="D152" i="2" a="1"/>
  <c r="D152" i="2" s="1"/>
  <c r="K145" i="2" a="1"/>
  <c r="K145" i="2" s="1"/>
  <c r="K139" i="2" a="1"/>
  <c r="K139" i="2" s="1"/>
  <c r="K133" i="2" a="1"/>
  <c r="K133" i="2" s="1"/>
  <c r="E127" i="2" a="1"/>
  <c r="E127" i="2" s="1"/>
  <c r="E121" i="2" a="1"/>
  <c r="E121" i="2" s="1"/>
  <c r="E109" i="2" a="1"/>
  <c r="E109" i="2" s="1"/>
  <c r="I92" i="2" a="1"/>
  <c r="I92" i="2" s="1"/>
  <c r="H76" i="2" a="1"/>
  <c r="H76" i="2" s="1"/>
  <c r="E60" i="2" a="1"/>
  <c r="E60" i="2" s="1"/>
  <c r="J33" i="2" a="1"/>
  <c r="J33" i="2" s="1"/>
  <c r="E226" i="2" a="1"/>
  <c r="E226" i="2" s="1"/>
  <c r="D222" i="2" a="1"/>
  <c r="D222" i="2" s="1"/>
  <c r="K217" i="2" a="1"/>
  <c r="K217" i="2" s="1"/>
  <c r="I213" i="2" a="1"/>
  <c r="I213" i="2" s="1"/>
  <c r="J206" i="2" a="1"/>
  <c r="J206" i="2" s="1"/>
  <c r="F202" i="2" a="1"/>
  <c r="F202" i="2" s="1"/>
  <c r="I197" i="2" a="1"/>
  <c r="I197" i="2" s="1"/>
  <c r="E193" i="2" a="1"/>
  <c r="E193" i="2" s="1"/>
  <c r="F186" i="2" a="1"/>
  <c r="F186" i="2" s="1"/>
  <c r="I181" i="2" a="1"/>
  <c r="I181" i="2" s="1"/>
  <c r="E177" i="2" a="1"/>
  <c r="E177" i="2" s="1"/>
  <c r="J174" i="2" a="1"/>
  <c r="J174" i="2" s="1"/>
  <c r="K165" i="2" a="1"/>
  <c r="K165" i="2" s="1"/>
  <c r="E153" i="2" a="1"/>
  <c r="E153" i="2" s="1"/>
  <c r="E141" i="2" a="1"/>
  <c r="E141" i="2" s="1"/>
  <c r="D135" i="2" a="1"/>
  <c r="D135" i="2" s="1"/>
  <c r="D114" i="2" a="1"/>
  <c r="D114" i="2" s="1"/>
  <c r="F81" i="2" a="1"/>
  <c r="F81" i="2" s="1"/>
  <c r="J39" i="2" a="1"/>
  <c r="J39" i="2" s="1"/>
  <c r="E300" i="2" a="1"/>
  <c r="E300" i="2" s="1"/>
  <c r="E299" i="2" a="1"/>
  <c r="E299" i="2" s="1"/>
  <c r="E298" i="2" a="1"/>
  <c r="E298" i="2" s="1"/>
  <c r="E297" i="2" a="1"/>
  <c r="E297" i="2" s="1"/>
  <c r="E296" i="2" a="1"/>
  <c r="E296" i="2" s="1"/>
  <c r="E295" i="2" a="1"/>
  <c r="E295" i="2" s="1"/>
  <c r="E294" i="2" a="1"/>
  <c r="E294" i="2" s="1"/>
  <c r="D293" i="2" a="1"/>
  <c r="D293" i="2" s="1"/>
  <c r="D292" i="2" a="1"/>
  <c r="D292" i="2" s="1"/>
  <c r="D291" i="2" a="1"/>
  <c r="D291" i="2" s="1"/>
  <c r="D290" i="2" a="1"/>
  <c r="D290" i="2" s="1"/>
  <c r="D289" i="2" a="1"/>
  <c r="D289" i="2" s="1"/>
  <c r="D288" i="2" a="1"/>
  <c r="D288" i="2" s="1"/>
  <c r="D287" i="2" a="1"/>
  <c r="D287" i="2" s="1"/>
  <c r="C286" i="2" a="1"/>
  <c r="C286" i="2" s="1"/>
  <c r="C285" i="2" a="1"/>
  <c r="C285" i="2" s="1"/>
  <c r="C284" i="2" a="1"/>
  <c r="C284" i="2" s="1"/>
  <c r="C283" i="2" a="1"/>
  <c r="C283" i="2" s="1"/>
  <c r="C282" i="2" a="1"/>
  <c r="C282" i="2" s="1"/>
  <c r="C281" i="2" a="1"/>
  <c r="C281" i="2" s="1"/>
  <c r="C280" i="2" a="1"/>
  <c r="C280" i="2" s="1"/>
  <c r="K278" i="2" a="1"/>
  <c r="K278" i="2" s="1"/>
  <c r="K277" i="2" a="1"/>
  <c r="K277" i="2" s="1"/>
  <c r="K276" i="2" a="1"/>
  <c r="K276" i="2" s="1"/>
  <c r="K275" i="2" a="1"/>
  <c r="K275" i="2" s="1"/>
  <c r="K274" i="2" a="1"/>
  <c r="K274" i="2" s="1"/>
  <c r="K273" i="2" a="1"/>
  <c r="K273" i="2" s="1"/>
  <c r="K271" i="2" a="1"/>
  <c r="K271" i="2" s="1"/>
  <c r="K270" i="2" a="1"/>
  <c r="K270" i="2" s="1"/>
  <c r="K269" i="2" a="1"/>
  <c r="K269" i="2" s="1"/>
  <c r="K268" i="2" a="1"/>
  <c r="K268" i="2" s="1"/>
  <c r="K267" i="2" a="1"/>
  <c r="K267" i="2" s="1"/>
  <c r="K266" i="2" a="1"/>
  <c r="K266" i="2" s="1"/>
  <c r="K265" i="2" a="1"/>
  <c r="K265" i="2" s="1"/>
  <c r="J264" i="2" a="1"/>
  <c r="J264" i="2" s="1"/>
  <c r="J263" i="2" a="1"/>
  <c r="J263" i="2" s="1"/>
  <c r="J262" i="2" a="1"/>
  <c r="J262" i="2" s="1"/>
  <c r="J261" i="2" a="1"/>
  <c r="J261" i="2" s="1"/>
  <c r="J260" i="2" a="1"/>
  <c r="J260" i="2" s="1"/>
  <c r="J259" i="2" a="1"/>
  <c r="J259" i="2" s="1"/>
  <c r="F258" i="2" a="1"/>
  <c r="F258" i="2" s="1"/>
  <c r="J256" i="2" a="1"/>
  <c r="J256" i="2" s="1"/>
  <c r="E255" i="2" a="1"/>
  <c r="E255" i="2" s="1"/>
  <c r="H253" i="2" a="1"/>
  <c r="H253" i="2" s="1"/>
  <c r="C252" i="2" a="1"/>
  <c r="C252" i="2" s="1"/>
  <c r="F250" i="2" a="1"/>
  <c r="F250" i="2" s="1"/>
  <c r="J248" i="2" a="1"/>
  <c r="J248" i="2" s="1"/>
  <c r="D247" i="2" a="1"/>
  <c r="D247" i="2" s="1"/>
  <c r="H245" i="2" a="1"/>
  <c r="H245" i="2" s="1"/>
  <c r="C244" i="2" a="1"/>
  <c r="C244" i="2" s="1"/>
  <c r="E242" i="2" a="1"/>
  <c r="E242" i="2" s="1"/>
  <c r="I240" i="2" a="1"/>
  <c r="I240" i="2" s="1"/>
  <c r="C239" i="2" a="1"/>
  <c r="C239" i="2" s="1"/>
  <c r="F237" i="2" a="1"/>
  <c r="F237" i="2" s="1"/>
  <c r="H235" i="2" a="1"/>
  <c r="H235" i="2" s="1"/>
  <c r="H233" i="2" a="1"/>
  <c r="H233" i="2" s="1"/>
  <c r="H231" i="2" a="1"/>
  <c r="H231" i="2" s="1"/>
  <c r="H229" i="2" a="1"/>
  <c r="H229" i="2" s="1"/>
  <c r="G227" i="2" a="1"/>
  <c r="G227" i="2" s="1"/>
  <c r="G225" i="2" a="1"/>
  <c r="G225" i="2" s="1"/>
  <c r="G223" i="2" a="1"/>
  <c r="G223" i="2" s="1"/>
  <c r="F221" i="2" a="1"/>
  <c r="F221" i="2" s="1"/>
  <c r="F219" i="2" a="1"/>
  <c r="F219" i="2" s="1"/>
  <c r="D217" i="2" a="1"/>
  <c r="D217" i="2" s="1"/>
  <c r="D215" i="2" a="1"/>
  <c r="D215" i="2" s="1"/>
  <c r="J212" i="2" a="1"/>
  <c r="J212" i="2" s="1"/>
  <c r="H210" i="2" a="1"/>
  <c r="H210" i="2" s="1"/>
  <c r="F208" i="2" a="1"/>
  <c r="F208" i="2" s="1"/>
  <c r="K205" i="2" a="1"/>
  <c r="K205" i="2" s="1"/>
  <c r="I203" i="2" a="1"/>
  <c r="I203" i="2" s="1"/>
  <c r="G201" i="2" a="1"/>
  <c r="G201" i="2" s="1"/>
  <c r="E199" i="2" a="1"/>
  <c r="E199" i="2" s="1"/>
  <c r="J196" i="2" a="1"/>
  <c r="J196" i="2" s="1"/>
  <c r="H194" i="2" a="1"/>
  <c r="H194" i="2" s="1"/>
  <c r="F192" i="2" a="1"/>
  <c r="F192" i="2" s="1"/>
  <c r="K189" i="2" a="1"/>
  <c r="K189" i="2" s="1"/>
  <c r="I187" i="2" a="1"/>
  <c r="I187" i="2" s="1"/>
  <c r="G185" i="2" a="1"/>
  <c r="G185" i="2" s="1"/>
  <c r="E183" i="2" a="1"/>
  <c r="E183" i="2" s="1"/>
  <c r="J180" i="2" a="1"/>
  <c r="J180" i="2" s="1"/>
  <c r="H178" i="2" a="1"/>
  <c r="H178" i="2" s="1"/>
  <c r="F176" i="2" a="1"/>
  <c r="F176" i="2" s="1"/>
  <c r="K173" i="2" a="1"/>
  <c r="K173" i="2" s="1"/>
  <c r="E169" i="2" a="1"/>
  <c r="E169" i="2" s="1"/>
  <c r="E163" i="2" a="1"/>
  <c r="E163" i="2" s="1"/>
  <c r="E157" i="2" a="1"/>
  <c r="E157" i="2" s="1"/>
  <c r="D151" i="2" a="1"/>
  <c r="D151" i="2" s="1"/>
  <c r="D145" i="2" a="1"/>
  <c r="D145" i="2" s="1"/>
  <c r="D139" i="2" a="1"/>
  <c r="D139" i="2" s="1"/>
  <c r="K132" i="2" a="1"/>
  <c r="K132" i="2" s="1"/>
  <c r="K126" i="2" a="1"/>
  <c r="K126" i="2" s="1"/>
  <c r="K120" i="2" a="1"/>
  <c r="K120" i="2" s="1"/>
  <c r="F108" i="2" a="1"/>
  <c r="F108" i="2" s="1"/>
  <c r="J89" i="2" a="1"/>
  <c r="J89" i="2" s="1"/>
  <c r="G74" i="2" a="1"/>
  <c r="G74" i="2" s="1"/>
  <c r="D58" i="2" a="1"/>
  <c r="D58" i="2" s="1"/>
  <c r="D28" i="2" a="1"/>
  <c r="D28" i="2" s="1"/>
  <c r="F297" i="9" a="1"/>
  <c r="F297" i="9" s="1"/>
  <c r="F296" i="9" a="1"/>
  <c r="F296" i="9" s="1"/>
  <c r="F295" i="9" a="1"/>
  <c r="F295" i="9" s="1"/>
  <c r="F294" i="9" a="1"/>
  <c r="F294" i="9" s="1"/>
  <c r="F293" i="9" a="1"/>
  <c r="F293" i="9" s="1"/>
  <c r="F292" i="9" a="1"/>
  <c r="F292" i="9" s="1"/>
  <c r="F291" i="9" a="1"/>
  <c r="F291" i="9" s="1"/>
  <c r="F290" i="9" a="1"/>
  <c r="F290" i="9" s="1"/>
  <c r="G289" i="9" a="1"/>
  <c r="G289" i="9" s="1"/>
  <c r="G288" i="9" a="1"/>
  <c r="G288" i="9" s="1"/>
  <c r="G287" i="9" a="1"/>
  <c r="G287" i="9" s="1"/>
  <c r="H286" i="9" a="1"/>
  <c r="H286" i="9" s="1"/>
  <c r="I285" i="9" a="1"/>
  <c r="I285" i="9" s="1"/>
  <c r="J284" i="9" a="1"/>
  <c r="J284" i="9" s="1"/>
  <c r="J283" i="9" a="1"/>
  <c r="J283" i="9" s="1"/>
  <c r="J282" i="9" a="1"/>
  <c r="J282" i="9" s="1"/>
  <c r="K280" i="9" a="1"/>
  <c r="K280" i="9" s="1"/>
  <c r="K279" i="9" a="1"/>
  <c r="K279" i="9" s="1"/>
  <c r="K278" i="9" a="1"/>
  <c r="K278" i="9" s="1"/>
  <c r="D278" i="9" a="1"/>
  <c r="D278" i="9" s="1"/>
  <c r="D277" i="9" a="1"/>
  <c r="D277" i="9" s="1"/>
  <c r="D276" i="9" a="1"/>
  <c r="D276" i="9" s="1"/>
  <c r="D275" i="9" a="1"/>
  <c r="D275" i="9" s="1"/>
  <c r="D274" i="9" a="1"/>
  <c r="D274" i="9" s="1"/>
  <c r="E273" i="9" a="1"/>
  <c r="E273" i="9" s="1"/>
  <c r="E272" i="9" a="1"/>
  <c r="E272" i="9" s="1"/>
  <c r="E271" i="9" a="1"/>
  <c r="E271" i="9" s="1"/>
  <c r="E270" i="9" a="1"/>
  <c r="E270" i="9" s="1"/>
  <c r="F269" i="9" a="1"/>
  <c r="F269" i="9" s="1"/>
  <c r="F268" i="9" a="1"/>
  <c r="F268" i="9" s="1"/>
  <c r="F267" i="9" a="1"/>
  <c r="F267" i="9" s="1"/>
  <c r="F266" i="9" a="1"/>
  <c r="F266" i="9" s="1"/>
  <c r="G265" i="9" a="1"/>
  <c r="G265" i="9" s="1"/>
  <c r="G264" i="9" a="1"/>
  <c r="G264" i="9" s="1"/>
  <c r="G263" i="9" a="1"/>
  <c r="G263" i="9" s="1"/>
  <c r="G262" i="9" a="1"/>
  <c r="G262" i="9" s="1"/>
  <c r="G261" i="9" a="1"/>
  <c r="G261" i="9" s="1"/>
  <c r="H260" i="9" a="1"/>
  <c r="H260" i="9" s="1"/>
  <c r="I259" i="9" a="1"/>
  <c r="I259" i="9" s="1"/>
  <c r="J258" i="9" a="1"/>
  <c r="J258" i="9" s="1"/>
  <c r="J257" i="9" a="1"/>
  <c r="J257" i="9" s="1"/>
  <c r="J256" i="9" a="1"/>
  <c r="J256" i="9" s="1"/>
  <c r="K255" i="9" a="1"/>
  <c r="K255" i="9" s="1"/>
  <c r="D255" i="9" a="1"/>
  <c r="D255" i="9" s="1"/>
  <c r="E254" i="9" a="1"/>
  <c r="E254" i="9" s="1"/>
  <c r="E253" i="9" a="1"/>
  <c r="E253" i="9" s="1"/>
  <c r="E252" i="9" a="1"/>
  <c r="E252" i="9" s="1"/>
  <c r="E251" i="9" a="1"/>
  <c r="E251" i="9" s="1"/>
  <c r="F250" i="9" a="1"/>
  <c r="F250" i="9" s="1"/>
  <c r="F249" i="9" a="1"/>
  <c r="F249" i="9" s="1"/>
  <c r="F248" i="9" a="1"/>
  <c r="F248" i="9" s="1"/>
  <c r="F247" i="9" a="1"/>
  <c r="F247" i="9" s="1"/>
  <c r="F246" i="9" a="1"/>
  <c r="F246" i="9" s="1"/>
  <c r="F245" i="9" a="1"/>
  <c r="F245" i="9" s="1"/>
  <c r="F244" i="9" a="1"/>
  <c r="F244" i="9" s="1"/>
  <c r="F243" i="9" a="1"/>
  <c r="F243" i="9" s="1"/>
  <c r="F242" i="9" a="1"/>
  <c r="F242" i="9" s="1"/>
  <c r="F241" i="9" a="1"/>
  <c r="F241" i="9" s="1"/>
  <c r="F240" i="9" a="1"/>
  <c r="F240" i="9" s="1"/>
  <c r="F239" i="9" a="1"/>
  <c r="F239" i="9" s="1"/>
  <c r="G238" i="9" a="1"/>
  <c r="G238" i="9" s="1"/>
  <c r="H237" i="9" a="1"/>
  <c r="H237" i="9" s="1"/>
  <c r="H236" i="9" a="1"/>
  <c r="H236" i="9" s="1"/>
  <c r="H235" i="9" a="1"/>
  <c r="H235" i="9" s="1"/>
  <c r="H234" i="9" a="1"/>
  <c r="H234" i="9" s="1"/>
  <c r="E233" i="9" a="1"/>
  <c r="E233" i="9" s="1"/>
  <c r="H230" i="9" a="1"/>
  <c r="H230" i="9" s="1"/>
  <c r="F228" i="9" a="1"/>
  <c r="F228" i="9" s="1"/>
  <c r="H225" i="9" a="1"/>
  <c r="H225" i="9" s="1"/>
  <c r="K222" i="9" a="1"/>
  <c r="K222" i="9" s="1"/>
  <c r="D219" i="9" a="1"/>
  <c r="D219" i="9" s="1"/>
  <c r="G211" i="9" a="1"/>
  <c r="G211" i="9" s="1"/>
  <c r="I207" i="9" a="1"/>
  <c r="I207" i="9" s="1"/>
  <c r="E204" i="9" a="1"/>
  <c r="E204" i="9" s="1"/>
  <c r="J200" i="9" a="1"/>
  <c r="J200" i="9" s="1"/>
  <c r="D197" i="9" a="1"/>
  <c r="D197" i="9" s="1"/>
  <c r="H193" i="9" a="1"/>
  <c r="H193" i="9" s="1"/>
  <c r="D190" i="9" a="1"/>
  <c r="D190" i="9" s="1"/>
  <c r="J185" i="9" a="1"/>
  <c r="J185" i="9" s="1"/>
  <c r="K178" i="9" a="1"/>
  <c r="K178" i="9" s="1"/>
  <c r="K164" i="9" a="1"/>
  <c r="K164" i="9" s="1"/>
  <c r="K137" i="9" a="1"/>
  <c r="K137" i="9" s="1"/>
  <c r="E51" i="9" a="1"/>
  <c r="E51" i="9" s="1"/>
  <c r="J280" i="9" a="1"/>
  <c r="J280" i="9" s="1"/>
  <c r="J279" i="9" a="1"/>
  <c r="J279" i="9" s="1"/>
  <c r="K277" i="9" a="1"/>
  <c r="K277" i="9" s="1"/>
  <c r="K276" i="9" a="1"/>
  <c r="K276" i="9" s="1"/>
  <c r="K275" i="9" a="1"/>
  <c r="K275" i="9" s="1"/>
  <c r="K274" i="9" a="1"/>
  <c r="K274" i="9" s="1"/>
  <c r="K273" i="9" a="1"/>
  <c r="K273" i="9" s="1"/>
  <c r="D273" i="9" a="1"/>
  <c r="D273" i="9" s="1"/>
  <c r="D272" i="9" a="1"/>
  <c r="D272" i="9" s="1"/>
  <c r="D271" i="9" a="1"/>
  <c r="D271" i="9" s="1"/>
  <c r="D270" i="9" a="1"/>
  <c r="D270" i="9" s="1"/>
  <c r="E269" i="9" a="1"/>
  <c r="E269" i="9" s="1"/>
  <c r="E268" i="9" a="1"/>
  <c r="E268" i="9" s="1"/>
  <c r="E267" i="9" a="1"/>
  <c r="E267" i="9" s="1"/>
  <c r="E266" i="9" a="1"/>
  <c r="E266" i="9" s="1"/>
  <c r="F265" i="9" a="1"/>
  <c r="F265" i="9" s="1"/>
  <c r="F264" i="9" a="1"/>
  <c r="F264" i="9" s="1"/>
  <c r="F263" i="9" a="1"/>
  <c r="F263" i="9" s="1"/>
  <c r="F262" i="9" a="1"/>
  <c r="F262" i="9" s="1"/>
  <c r="F261" i="9" a="1"/>
  <c r="F261" i="9" s="1"/>
  <c r="G260" i="9" a="1"/>
  <c r="G260" i="9" s="1"/>
  <c r="H259" i="9" a="1"/>
  <c r="H259" i="9" s="1"/>
  <c r="I258" i="9" a="1"/>
  <c r="I258" i="9" s="1"/>
  <c r="I257" i="9" a="1"/>
  <c r="I257" i="9" s="1"/>
  <c r="I256" i="9" a="1"/>
  <c r="I256" i="9" s="1"/>
  <c r="J255" i="9" a="1"/>
  <c r="J255" i="9" s="1"/>
  <c r="K254" i="9" a="1"/>
  <c r="K254" i="9" s="1"/>
  <c r="D254" i="9" a="1"/>
  <c r="D254" i="9" s="1"/>
  <c r="D253" i="9" a="1"/>
  <c r="D253" i="9" s="1"/>
  <c r="D252" i="9" a="1"/>
  <c r="D252" i="9" s="1"/>
  <c r="D251" i="9" a="1"/>
  <c r="D251" i="9" s="1"/>
  <c r="E250" i="9" a="1"/>
  <c r="E250" i="9" s="1"/>
  <c r="E249" i="9" a="1"/>
  <c r="E249" i="9" s="1"/>
  <c r="E248" i="9" a="1"/>
  <c r="E248" i="9" s="1"/>
  <c r="E247" i="9" a="1"/>
  <c r="E247" i="9" s="1"/>
  <c r="E246" i="9" a="1"/>
  <c r="E246" i="9" s="1"/>
  <c r="E245" i="9" a="1"/>
  <c r="E245" i="9" s="1"/>
  <c r="E244" i="9" a="1"/>
  <c r="E244" i="9" s="1"/>
  <c r="E243" i="9" a="1"/>
  <c r="E243" i="9" s="1"/>
  <c r="E242" i="9" a="1"/>
  <c r="E242" i="9" s="1"/>
  <c r="E241" i="9" a="1"/>
  <c r="E241" i="9" s="1"/>
  <c r="E240" i="9" a="1"/>
  <c r="E240" i="9" s="1"/>
  <c r="F238" i="9" a="1"/>
  <c r="F238" i="9" s="1"/>
  <c r="G237" i="9" a="1"/>
  <c r="G237" i="9" s="1"/>
  <c r="G236" i="9" a="1"/>
  <c r="G236" i="9" s="1"/>
  <c r="G235" i="9" a="1"/>
  <c r="G235" i="9" s="1"/>
  <c r="G234" i="9" a="1"/>
  <c r="G234" i="9" s="1"/>
  <c r="D233" i="9" a="1"/>
  <c r="D233" i="9" s="1"/>
  <c r="F230" i="9" a="1"/>
  <c r="F230" i="9" s="1"/>
  <c r="I227" i="9" a="1"/>
  <c r="I227" i="9" s="1"/>
  <c r="G225" i="9" a="1"/>
  <c r="G225" i="9" s="1"/>
  <c r="J222" i="9" a="1"/>
  <c r="J222" i="9" s="1"/>
  <c r="K218" i="9" a="1"/>
  <c r="K218" i="9" s="1"/>
  <c r="F215" i="9" a="1"/>
  <c r="F215" i="9" s="1"/>
  <c r="F211" i="9" a="1"/>
  <c r="F211" i="9" s="1"/>
  <c r="H207" i="9" a="1"/>
  <c r="H207" i="9" s="1"/>
  <c r="D204" i="9" a="1"/>
  <c r="D204" i="9" s="1"/>
  <c r="I200" i="9" a="1"/>
  <c r="I200" i="9" s="1"/>
  <c r="K196" i="9" a="1"/>
  <c r="K196" i="9" s="1"/>
  <c r="G193" i="9" a="1"/>
  <c r="G193" i="9" s="1"/>
  <c r="K189" i="9" a="1"/>
  <c r="K189" i="9" s="1"/>
  <c r="D185" i="9" a="1"/>
  <c r="D185" i="9" s="1"/>
  <c r="J177" i="9" a="1"/>
  <c r="J177" i="9" s="1"/>
  <c r="B15" i="9"/>
  <c r="J301" i="9" a="1"/>
  <c r="J301" i="9" s="1"/>
  <c r="I302" i="9" a="1"/>
  <c r="I302" i="9" s="1"/>
  <c r="H303" i="9" a="1"/>
  <c r="H303" i="9" s="1"/>
  <c r="G304" i="9" a="1"/>
  <c r="G304" i="9" s="1"/>
  <c r="F305" i="9" a="1"/>
  <c r="F305" i="9" s="1"/>
  <c r="E306" i="9" a="1"/>
  <c r="E306" i="9" s="1"/>
  <c r="D307" i="9" a="1"/>
  <c r="D307" i="9" s="1"/>
  <c r="C308" i="9" a="1"/>
  <c r="C308" i="9" s="1"/>
  <c r="K308" i="9" a="1"/>
  <c r="K308" i="9" s="1"/>
  <c r="J309" i="9" a="1"/>
  <c r="J309" i="9" s="1"/>
  <c r="I310" i="9" a="1"/>
  <c r="I310" i="9" s="1"/>
  <c r="H311" i="9" a="1"/>
  <c r="H311" i="9" s="1"/>
  <c r="G312" i="9" a="1"/>
  <c r="G312" i="9" s="1"/>
  <c r="F313" i="9" a="1"/>
  <c r="F313" i="9" s="1"/>
  <c r="E314" i="9" a="1"/>
  <c r="E314" i="9" s="1"/>
  <c r="D315" i="9" a="1"/>
  <c r="D315" i="9" s="1"/>
  <c r="C316" i="9" a="1"/>
  <c r="C316" i="9" s="1"/>
  <c r="K316" i="9" a="1"/>
  <c r="K316" i="9" s="1"/>
  <c r="J317" i="9" a="1"/>
  <c r="J317" i="9" s="1"/>
  <c r="I318" i="9" a="1"/>
  <c r="I318" i="9" s="1"/>
  <c r="H319" i="9" a="1"/>
  <c r="H319" i="9" s="1"/>
  <c r="G320" i="9" a="1"/>
  <c r="G320" i="9" s="1"/>
  <c r="F321" i="9" a="1"/>
  <c r="F321" i="9" s="1"/>
  <c r="E322" i="9" a="1"/>
  <c r="E322" i="9" s="1"/>
  <c r="D323" i="9" a="1"/>
  <c r="D323" i="9" s="1"/>
  <c r="C324" i="9" a="1"/>
  <c r="C324" i="9" s="1"/>
  <c r="K324" i="9" a="1"/>
  <c r="K324" i="9" s="1"/>
  <c r="J325" i="9" a="1"/>
  <c r="J325" i="9" s="1"/>
  <c r="I326" i="9" a="1"/>
  <c r="I326" i="9" s="1"/>
  <c r="J16" i="9" a="1"/>
  <c r="J16" i="9" s="1"/>
  <c r="J17" i="9" a="1"/>
  <c r="J17" i="9" s="1"/>
  <c r="J18" i="9" a="1"/>
  <c r="J18" i="9" s="1"/>
  <c r="J19" i="9" a="1"/>
  <c r="J19" i="9" s="1"/>
  <c r="I20" i="9" a="1"/>
  <c r="I20" i="9" s="1"/>
  <c r="H21" i="9" a="1"/>
  <c r="H21" i="9" s="1"/>
  <c r="H22" i="9" a="1"/>
  <c r="H22" i="9" s="1"/>
  <c r="G23" i="9" a="1"/>
  <c r="G23" i="9" s="1"/>
  <c r="F25" i="9" a="1"/>
  <c r="F25" i="9" s="1"/>
  <c r="E26" i="9" a="1"/>
  <c r="E26" i="9" s="1"/>
  <c r="E27" i="9" a="1"/>
  <c r="E27" i="9" s="1"/>
  <c r="C301" i="9" a="1"/>
  <c r="C301" i="9" s="1"/>
  <c r="K301" i="9" a="1"/>
  <c r="K301" i="9" s="1"/>
  <c r="J302" i="9" a="1"/>
  <c r="J302" i="9" s="1"/>
  <c r="I303" i="9" a="1"/>
  <c r="I303" i="9" s="1"/>
  <c r="H304" i="9" a="1"/>
  <c r="H304" i="9" s="1"/>
  <c r="G305" i="9" a="1"/>
  <c r="G305" i="9" s="1"/>
  <c r="F306" i="9" a="1"/>
  <c r="F306" i="9" s="1"/>
  <c r="E307" i="9" a="1"/>
  <c r="E307" i="9" s="1"/>
  <c r="D308" i="9" a="1"/>
  <c r="D308" i="9" s="1"/>
  <c r="C309" i="9" a="1"/>
  <c r="C309" i="9" s="1"/>
  <c r="K309" i="9" a="1"/>
  <c r="K309" i="9" s="1"/>
  <c r="J310" i="9" a="1"/>
  <c r="J310" i="9" s="1"/>
  <c r="I311" i="9" a="1"/>
  <c r="I311" i="9" s="1"/>
  <c r="H312" i="9" a="1"/>
  <c r="H312" i="9" s="1"/>
  <c r="G313" i="9" a="1"/>
  <c r="G313" i="9" s="1"/>
  <c r="F314" i="9" a="1"/>
  <c r="F314" i="9" s="1"/>
  <c r="E315" i="9" a="1"/>
  <c r="E315" i="9" s="1"/>
  <c r="D316" i="9" a="1"/>
  <c r="D316" i="9" s="1"/>
  <c r="C317" i="9" a="1"/>
  <c r="C317" i="9" s="1"/>
  <c r="K317" i="9" a="1"/>
  <c r="K317" i="9" s="1"/>
  <c r="J318" i="9" a="1"/>
  <c r="J318" i="9" s="1"/>
  <c r="I319" i="9" a="1"/>
  <c r="I319" i="9" s="1"/>
  <c r="H320" i="9" a="1"/>
  <c r="H320" i="9" s="1"/>
  <c r="G321" i="9" a="1"/>
  <c r="G321" i="9" s="1"/>
  <c r="F322" i="9" a="1"/>
  <c r="F322" i="9" s="1"/>
  <c r="E323" i="9" a="1"/>
  <c r="E323" i="9" s="1"/>
  <c r="D324" i="9" a="1"/>
  <c r="D324" i="9" s="1"/>
  <c r="C325" i="9" a="1"/>
  <c r="C325" i="9" s="1"/>
  <c r="K325" i="9" a="1"/>
  <c r="K325" i="9" s="1"/>
  <c r="J326" i="9" a="1"/>
  <c r="J326" i="9" s="1"/>
  <c r="D301" i="9" a="1"/>
  <c r="D301" i="9" s="1"/>
  <c r="C302" i="9" a="1"/>
  <c r="C302" i="9" s="1"/>
  <c r="K302" i="9" a="1"/>
  <c r="K302" i="9" s="1"/>
  <c r="J303" i="9" a="1"/>
  <c r="J303" i="9" s="1"/>
  <c r="I304" i="9" a="1"/>
  <c r="I304" i="9" s="1"/>
  <c r="H305" i="9" a="1"/>
  <c r="H305" i="9" s="1"/>
  <c r="G306" i="9" a="1"/>
  <c r="G306" i="9" s="1"/>
  <c r="F307" i="9" a="1"/>
  <c r="F307" i="9" s="1"/>
  <c r="E308" i="9" a="1"/>
  <c r="E308" i="9" s="1"/>
  <c r="D309" i="9" a="1"/>
  <c r="D309" i="9" s="1"/>
  <c r="C310" i="9" a="1"/>
  <c r="C310" i="9" s="1"/>
  <c r="K310" i="9" a="1"/>
  <c r="K310" i="9" s="1"/>
  <c r="J311" i="9" a="1"/>
  <c r="J311" i="9" s="1"/>
  <c r="I312" i="9" a="1"/>
  <c r="I312" i="9" s="1"/>
  <c r="H313" i="9" a="1"/>
  <c r="H313" i="9" s="1"/>
  <c r="G314" i="9" a="1"/>
  <c r="G314" i="9" s="1"/>
  <c r="F315" i="9" a="1"/>
  <c r="F315" i="9" s="1"/>
  <c r="E316" i="9" a="1"/>
  <c r="E316" i="9" s="1"/>
  <c r="D317" i="9" a="1"/>
  <c r="D317" i="9" s="1"/>
  <c r="C318" i="9" a="1"/>
  <c r="C318" i="9" s="1"/>
  <c r="K318" i="9" a="1"/>
  <c r="K318" i="9" s="1"/>
  <c r="J319" i="9" a="1"/>
  <c r="J319" i="9" s="1"/>
  <c r="I320" i="9" a="1"/>
  <c r="I320" i="9" s="1"/>
  <c r="H321" i="9" a="1"/>
  <c r="H321" i="9" s="1"/>
  <c r="G322" i="9" a="1"/>
  <c r="G322" i="9" s="1"/>
  <c r="F323" i="9" a="1"/>
  <c r="F323" i="9" s="1"/>
  <c r="E324" i="9" a="1"/>
  <c r="E324" i="9" s="1"/>
  <c r="D325" i="9" a="1"/>
  <c r="D325" i="9" s="1"/>
  <c r="C326" i="9" a="1"/>
  <c r="C326" i="9" s="1"/>
  <c r="K326" i="9" a="1"/>
  <c r="K326" i="9" s="1"/>
  <c r="D16" i="9" a="1"/>
  <c r="D16" i="9" s="1"/>
  <c r="D17" i="9" a="1"/>
  <c r="D17" i="9" s="1"/>
  <c r="D18" i="9" a="1"/>
  <c r="D18" i="9" s="1"/>
  <c r="D19" i="9" a="1"/>
  <c r="D19" i="9" s="1"/>
  <c r="J21" i="9" a="1"/>
  <c r="J21" i="9" s="1"/>
  <c r="I22" i="9" a="1"/>
  <c r="I22" i="9" s="1"/>
  <c r="I23" i="9" a="1"/>
  <c r="I23" i="9" s="1"/>
  <c r="H24" i="9" a="1"/>
  <c r="H24" i="9" s="1"/>
  <c r="H25" i="9" a="1"/>
  <c r="H25" i="9" s="1"/>
  <c r="G26" i="9" a="1"/>
  <c r="G26" i="9" s="1"/>
  <c r="G27" i="9" a="1"/>
  <c r="G27" i="9" s="1"/>
  <c r="F28" i="9" a="1"/>
  <c r="F28" i="9" s="1"/>
  <c r="F29" i="9" a="1"/>
  <c r="F29" i="9" s="1"/>
  <c r="K30" i="9" a="1"/>
  <c r="K30" i="9" s="1"/>
  <c r="J31" i="9" a="1"/>
  <c r="J31" i="9" s="1"/>
  <c r="J32" i="9" a="1"/>
  <c r="J32" i="9" s="1"/>
  <c r="I33" i="9" a="1"/>
  <c r="I33" i="9" s="1"/>
  <c r="I34" i="9" a="1"/>
  <c r="I34" i="9" s="1"/>
  <c r="I35" i="9" a="1"/>
  <c r="I35" i="9" s="1"/>
  <c r="H36" i="9" a="1"/>
  <c r="H36" i="9" s="1"/>
  <c r="F37" i="9" a="1"/>
  <c r="F37" i="9" s="1"/>
  <c r="F38" i="9" a="1"/>
  <c r="F38" i="9" s="1"/>
  <c r="F39" i="9" a="1"/>
  <c r="F39" i="9" s="1"/>
  <c r="E40" i="9" a="1"/>
  <c r="E40" i="9" s="1"/>
  <c r="D41" i="9" a="1"/>
  <c r="D41" i="9" s="1"/>
  <c r="D42" i="9" a="1"/>
  <c r="D42" i="9" s="1"/>
  <c r="D43" i="9" a="1"/>
  <c r="D43" i="9" s="1"/>
  <c r="K43" i="9" a="1"/>
  <c r="K43" i="9" s="1"/>
  <c r="I44" i="9" a="1"/>
  <c r="I44" i="9" s="1"/>
  <c r="I45" i="9" a="1"/>
  <c r="I45" i="9" s="1"/>
  <c r="I46" i="9" a="1"/>
  <c r="I46" i="9" s="1"/>
  <c r="H47" i="9" a="1"/>
  <c r="H47" i="9" s="1"/>
  <c r="G48" i="9" a="1"/>
  <c r="G48" i="9" s="1"/>
  <c r="G301" i="9" a="1"/>
  <c r="G301" i="9" s="1"/>
  <c r="F302" i="9" a="1"/>
  <c r="F302" i="9" s="1"/>
  <c r="E303" i="9" a="1"/>
  <c r="E303" i="9" s="1"/>
  <c r="D304" i="9" a="1"/>
  <c r="D304" i="9" s="1"/>
  <c r="C305" i="9" a="1"/>
  <c r="C305" i="9" s="1"/>
  <c r="K305" i="9" a="1"/>
  <c r="K305" i="9" s="1"/>
  <c r="J306" i="9" a="1"/>
  <c r="J306" i="9" s="1"/>
  <c r="I307" i="9" a="1"/>
  <c r="I307" i="9" s="1"/>
  <c r="H308" i="9" a="1"/>
  <c r="H308" i="9" s="1"/>
  <c r="G309" i="9" a="1"/>
  <c r="G309" i="9" s="1"/>
  <c r="F310" i="9" a="1"/>
  <c r="F310" i="9" s="1"/>
  <c r="E311" i="9" a="1"/>
  <c r="E311" i="9" s="1"/>
  <c r="D312" i="9" a="1"/>
  <c r="D312" i="9" s="1"/>
  <c r="C313" i="9" a="1"/>
  <c r="C313" i="9" s="1"/>
  <c r="K313" i="9" a="1"/>
  <c r="K313" i="9" s="1"/>
  <c r="J314" i="9" a="1"/>
  <c r="J314" i="9" s="1"/>
  <c r="I315" i="9" a="1"/>
  <c r="I315" i="9" s="1"/>
  <c r="H316" i="9" a="1"/>
  <c r="H316" i="9" s="1"/>
  <c r="G317" i="9" a="1"/>
  <c r="G317" i="9" s="1"/>
  <c r="F318" i="9" a="1"/>
  <c r="F318" i="9" s="1"/>
  <c r="E319" i="9" a="1"/>
  <c r="E319" i="9" s="1"/>
  <c r="D320" i="9" a="1"/>
  <c r="D320" i="9" s="1"/>
  <c r="C321" i="9" a="1"/>
  <c r="C321" i="9" s="1"/>
  <c r="K321" i="9" a="1"/>
  <c r="K321" i="9" s="1"/>
  <c r="J322" i="9" a="1"/>
  <c r="J322" i="9" s="1"/>
  <c r="I323" i="9" a="1"/>
  <c r="I323" i="9" s="1"/>
  <c r="H324" i="9" a="1"/>
  <c r="H324" i="9" s="1"/>
  <c r="G325" i="9" a="1"/>
  <c r="G325" i="9" s="1"/>
  <c r="F326" i="9" a="1"/>
  <c r="F326" i="9" s="1"/>
  <c r="G16" i="9" a="1"/>
  <c r="G16" i="9" s="1"/>
  <c r="G17" i="9" a="1"/>
  <c r="G17" i="9" s="1"/>
  <c r="G18" i="9" a="1"/>
  <c r="G18" i="9" s="1"/>
  <c r="G19" i="9" a="1"/>
  <c r="G19" i="9" s="1"/>
  <c r="F20" i="9" a="1"/>
  <c r="F20" i="9" s="1"/>
  <c r="E21" i="9" a="1"/>
  <c r="E21" i="9" s="1"/>
  <c r="E22" i="9" a="1"/>
  <c r="E22" i="9" s="1"/>
  <c r="D23" i="9" a="1"/>
  <c r="D23" i="9" s="1"/>
  <c r="D24" i="9" a="1"/>
  <c r="D24" i="9" s="1"/>
  <c r="K24" i="9" a="1"/>
  <c r="K24" i="9" s="1"/>
  <c r="K25" i="9" a="1"/>
  <c r="K25" i="9" s="1"/>
  <c r="J26" i="9" a="1"/>
  <c r="J26" i="9" s="1"/>
  <c r="J27" i="9" a="1"/>
  <c r="J27" i="9" s="1"/>
  <c r="H301" i="9" a="1"/>
  <c r="H301" i="9" s="1"/>
  <c r="G302" i="9" a="1"/>
  <c r="G302" i="9" s="1"/>
  <c r="F303" i="9" a="1"/>
  <c r="F303" i="9" s="1"/>
  <c r="E304" i="9" a="1"/>
  <c r="E304" i="9" s="1"/>
  <c r="D305" i="9" a="1"/>
  <c r="D305" i="9" s="1"/>
  <c r="C306" i="9" a="1"/>
  <c r="C306" i="9" s="1"/>
  <c r="K306" i="9" a="1"/>
  <c r="K306" i="9" s="1"/>
  <c r="J307" i="9" a="1"/>
  <c r="J307" i="9" s="1"/>
  <c r="I308" i="9" a="1"/>
  <c r="I308" i="9" s="1"/>
  <c r="H309" i="9" a="1"/>
  <c r="H309" i="9" s="1"/>
  <c r="G310" i="9" a="1"/>
  <c r="G310" i="9" s="1"/>
  <c r="F311" i="9" a="1"/>
  <c r="F311" i="9" s="1"/>
  <c r="E312" i="9" a="1"/>
  <c r="E312" i="9" s="1"/>
  <c r="D313" i="9" a="1"/>
  <c r="D313" i="9" s="1"/>
  <c r="C314" i="9" a="1"/>
  <c r="C314" i="9" s="1"/>
  <c r="K314" i="9" a="1"/>
  <c r="K314" i="9" s="1"/>
  <c r="J315" i="9" a="1"/>
  <c r="J315" i="9" s="1"/>
  <c r="I316" i="9" a="1"/>
  <c r="I316" i="9" s="1"/>
  <c r="H317" i="9" a="1"/>
  <c r="H317" i="9" s="1"/>
  <c r="G318" i="9" a="1"/>
  <c r="G318" i="9" s="1"/>
  <c r="F319" i="9" a="1"/>
  <c r="F319" i="9" s="1"/>
  <c r="E320" i="9" a="1"/>
  <c r="E320" i="9" s="1"/>
  <c r="D321" i="9" a="1"/>
  <c r="D321" i="9" s="1"/>
  <c r="C322" i="9" a="1"/>
  <c r="C322" i="9" s="1"/>
  <c r="K322" i="9" a="1"/>
  <c r="K322" i="9" s="1"/>
  <c r="J323" i="9" a="1"/>
  <c r="J323" i="9" s="1"/>
  <c r="I324" i="9" a="1"/>
  <c r="I324" i="9" s="1"/>
  <c r="H325" i="9" a="1"/>
  <c r="H325" i="9" s="1"/>
  <c r="G326" i="9" a="1"/>
  <c r="G326" i="9" s="1"/>
  <c r="D303" i="9" a="1"/>
  <c r="D303" i="9" s="1"/>
  <c r="I305" i="9" a="1"/>
  <c r="I305" i="9" s="1"/>
  <c r="K307" i="9" a="1"/>
  <c r="K307" i="9" s="1"/>
  <c r="E310" i="9" a="1"/>
  <c r="E310" i="9" s="1"/>
  <c r="J312" i="9" a="1"/>
  <c r="J312" i="9" s="1"/>
  <c r="C315" i="9" a="1"/>
  <c r="C315" i="9" s="1"/>
  <c r="F317" i="9" a="1"/>
  <c r="F317" i="9" s="1"/>
  <c r="K319" i="9" a="1"/>
  <c r="K319" i="9" s="1"/>
  <c r="D322" i="9" a="1"/>
  <c r="D322" i="9" s="1"/>
  <c r="G324" i="9" a="1"/>
  <c r="G324" i="9" s="1"/>
  <c r="E301" i="9" a="1"/>
  <c r="E301" i="9" s="1"/>
  <c r="G303" i="9" a="1"/>
  <c r="G303" i="9" s="1"/>
  <c r="J305" i="9" a="1"/>
  <c r="J305" i="9" s="1"/>
  <c r="F308" i="9" a="1"/>
  <c r="F308" i="9" s="1"/>
  <c r="H310" i="9" a="1"/>
  <c r="H310" i="9" s="1"/>
  <c r="K312" i="9" a="1"/>
  <c r="K312" i="9" s="1"/>
  <c r="G315" i="9" a="1"/>
  <c r="G315" i="9" s="1"/>
  <c r="I317" i="9" a="1"/>
  <c r="I317" i="9" s="1"/>
  <c r="C320" i="9" a="1"/>
  <c r="C320" i="9" s="1"/>
  <c r="H322" i="9" a="1"/>
  <c r="H322" i="9" s="1"/>
  <c r="J324" i="9" a="1"/>
  <c r="J324" i="9" s="1"/>
  <c r="F301" i="9" a="1"/>
  <c r="F301" i="9" s="1"/>
  <c r="K303" i="9" a="1"/>
  <c r="K303" i="9" s="1"/>
  <c r="D306" i="9" a="1"/>
  <c r="D306" i="9" s="1"/>
  <c r="G308" i="9" a="1"/>
  <c r="G308" i="9" s="1"/>
  <c r="C311" i="9" a="1"/>
  <c r="C311" i="9" s="1"/>
  <c r="E313" i="9" a="1"/>
  <c r="E313" i="9" s="1"/>
  <c r="H315" i="9" a="1"/>
  <c r="H315" i="9" s="1"/>
  <c r="D318" i="9" a="1"/>
  <c r="D318" i="9" s="1"/>
  <c r="F320" i="9" a="1"/>
  <c r="F320" i="9" s="1"/>
  <c r="I322" i="9" a="1"/>
  <c r="I322" i="9" s="1"/>
  <c r="E325" i="9" a="1"/>
  <c r="E325" i="9" s="1"/>
  <c r="I16" i="9" a="1"/>
  <c r="I16" i="9" s="1"/>
  <c r="F18" i="9" a="1"/>
  <c r="F18" i="9" s="1"/>
  <c r="K19" i="9" a="1"/>
  <c r="K19" i="9" s="1"/>
  <c r="F21" i="9" a="1"/>
  <c r="F21" i="9" s="1"/>
  <c r="J22" i="9" a="1"/>
  <c r="J22" i="9" s="1"/>
  <c r="F24" i="9" a="1"/>
  <c r="F24" i="9" s="1"/>
  <c r="J25" i="9" a="1"/>
  <c r="J25" i="9" s="1"/>
  <c r="F27" i="9" a="1"/>
  <c r="F27" i="9" s="1"/>
  <c r="H28" i="9" a="1"/>
  <c r="H28" i="9" s="1"/>
  <c r="I29" i="9" a="1"/>
  <c r="I29" i="9" s="1"/>
  <c r="H30" i="9" a="1"/>
  <c r="H30" i="9" s="1"/>
  <c r="H32" i="9" a="1"/>
  <c r="H32" i="9" s="1"/>
  <c r="H33" i="9" a="1"/>
  <c r="H33" i="9" s="1"/>
  <c r="J34" i="9" a="1"/>
  <c r="J34" i="9" s="1"/>
  <c r="K35" i="9" a="1"/>
  <c r="K35" i="9" s="1"/>
  <c r="J37" i="9" a="1"/>
  <c r="J37" i="9" s="1"/>
  <c r="K38" i="9" a="1"/>
  <c r="K38" i="9" s="1"/>
  <c r="K40" i="9" a="1"/>
  <c r="K40" i="9" s="1"/>
  <c r="E42" i="9" a="1"/>
  <c r="E42" i="9" s="1"/>
  <c r="F43" i="9" a="1"/>
  <c r="F43" i="9" s="1"/>
  <c r="E44" i="9" a="1"/>
  <c r="E44" i="9" s="1"/>
  <c r="E45" i="9" a="1"/>
  <c r="E45" i="9" s="1"/>
  <c r="F46" i="9" a="1"/>
  <c r="F46" i="9" s="1"/>
  <c r="G47" i="9" a="1"/>
  <c r="G47" i="9" s="1"/>
  <c r="F48" i="9" a="1"/>
  <c r="F48" i="9" s="1"/>
  <c r="G49" i="9" a="1"/>
  <c r="G49" i="9" s="1"/>
  <c r="G50" i="9" a="1"/>
  <c r="G50" i="9" s="1"/>
  <c r="F51" i="9" a="1"/>
  <c r="F51" i="9" s="1"/>
  <c r="E52" i="9" a="1"/>
  <c r="E52" i="9" s="1"/>
  <c r="D53" i="9" a="1"/>
  <c r="D53" i="9" s="1"/>
  <c r="K53" i="9" a="1"/>
  <c r="K53" i="9" s="1"/>
  <c r="I54" i="9" a="1"/>
  <c r="I54" i="9" s="1"/>
  <c r="H55" i="9" a="1"/>
  <c r="H55" i="9" s="1"/>
  <c r="E57" i="9" a="1"/>
  <c r="E57" i="9" s="1"/>
  <c r="K57" i="9" a="1"/>
  <c r="K57" i="9" s="1"/>
  <c r="J58" i="9" a="1"/>
  <c r="J58" i="9" s="1"/>
  <c r="G60" i="9" a="1"/>
  <c r="G60" i="9" s="1"/>
  <c r="K61" i="9" a="1"/>
  <c r="K61" i="9" s="1"/>
  <c r="I62" i="9" a="1"/>
  <c r="I62" i="9" s="1"/>
  <c r="F64" i="9" a="1"/>
  <c r="F64" i="9" s="1"/>
  <c r="E65" i="9" a="1"/>
  <c r="E65" i="9" s="1"/>
  <c r="K65" i="9" a="1"/>
  <c r="K65" i="9" s="1"/>
  <c r="I67" i="9" a="1"/>
  <c r="I67" i="9" s="1"/>
  <c r="H68" i="9" a="1"/>
  <c r="H68" i="9" s="1"/>
  <c r="F69" i="9" a="1"/>
  <c r="F69" i="9" s="1"/>
  <c r="E70" i="9" a="1"/>
  <c r="E70" i="9" s="1"/>
  <c r="K70" i="9" a="1"/>
  <c r="K70" i="9" s="1"/>
  <c r="I71" i="9" a="1"/>
  <c r="I71" i="9" s="1"/>
  <c r="H72" i="9" a="1"/>
  <c r="H72" i="9" s="1"/>
  <c r="E74" i="9" a="1"/>
  <c r="E74" i="9" s="1"/>
  <c r="D75" i="9" a="1"/>
  <c r="D75" i="9" s="1"/>
  <c r="K75" i="9" a="1"/>
  <c r="K75" i="9" s="1"/>
  <c r="I76" i="9" a="1"/>
  <c r="I76" i="9" s="1"/>
  <c r="E78" i="9" a="1"/>
  <c r="E78" i="9" s="1"/>
  <c r="K78" i="9" a="1"/>
  <c r="K78" i="9" s="1"/>
  <c r="J79" i="9" a="1"/>
  <c r="J79" i="9" s="1"/>
  <c r="I80" i="9" a="1"/>
  <c r="I80" i="9" s="1"/>
  <c r="H81" i="9" a="1"/>
  <c r="H81" i="9" s="1"/>
  <c r="I301" i="9" a="1"/>
  <c r="I301" i="9" s="1"/>
  <c r="C304" i="9" a="1"/>
  <c r="C304" i="9" s="1"/>
  <c r="H306" i="9" a="1"/>
  <c r="H306" i="9" s="1"/>
  <c r="J308" i="9" a="1"/>
  <c r="J308" i="9" s="1"/>
  <c r="D311" i="9" a="1"/>
  <c r="D311" i="9" s="1"/>
  <c r="I313" i="9" a="1"/>
  <c r="I313" i="9" s="1"/>
  <c r="K315" i="9" a="1"/>
  <c r="K315" i="9" s="1"/>
  <c r="E318" i="9" a="1"/>
  <c r="E318" i="9" s="1"/>
  <c r="J320" i="9" a="1"/>
  <c r="J320" i="9" s="1"/>
  <c r="C323" i="9" a="1"/>
  <c r="C323" i="9" s="1"/>
  <c r="F325" i="9" a="1"/>
  <c r="F325" i="9" s="1"/>
  <c r="K16" i="9" a="1"/>
  <c r="K16" i="9" s="1"/>
  <c r="H18" i="9" a="1"/>
  <c r="H18" i="9" s="1"/>
  <c r="D20" i="9" a="1"/>
  <c r="D20" i="9" s="1"/>
  <c r="G21" i="9" a="1"/>
  <c r="G21" i="9" s="1"/>
  <c r="K22" i="9" a="1"/>
  <c r="K22" i="9" s="1"/>
  <c r="G24" i="9" a="1"/>
  <c r="G24" i="9" s="1"/>
  <c r="D26" i="9" a="1"/>
  <c r="D26" i="9" s="1"/>
  <c r="H27" i="9" a="1"/>
  <c r="H27" i="9" s="1"/>
  <c r="I28" i="9" a="1"/>
  <c r="I28" i="9" s="1"/>
  <c r="H31" i="9" a="1"/>
  <c r="H31" i="9" s="1"/>
  <c r="I32" i="9" a="1"/>
  <c r="I32" i="9" s="1"/>
  <c r="J33" i="9" a="1"/>
  <c r="J33" i="9" s="1"/>
  <c r="K34" i="9" a="1"/>
  <c r="K34" i="9" s="1"/>
  <c r="D36" i="9" a="1"/>
  <c r="D36" i="9" s="1"/>
  <c r="K36" i="9" a="1"/>
  <c r="K36" i="9" s="1"/>
  <c r="K37" i="9" a="1"/>
  <c r="K37" i="9" s="1"/>
  <c r="D39" i="9" a="1"/>
  <c r="D39" i="9" s="1"/>
  <c r="D40" i="9" a="1"/>
  <c r="D40" i="9" s="1"/>
  <c r="E41" i="9" a="1"/>
  <c r="E41" i="9" s="1"/>
  <c r="F42" i="9" a="1"/>
  <c r="F42" i="9" s="1"/>
  <c r="G43" i="9" a="1"/>
  <c r="G43" i="9" s="1"/>
  <c r="F44" i="9" a="1"/>
  <c r="F44" i="9" s="1"/>
  <c r="F45" i="9" a="1"/>
  <c r="F45" i="9" s="1"/>
  <c r="G46" i="9" a="1"/>
  <c r="G46" i="9" s="1"/>
  <c r="H48" i="9" a="1"/>
  <c r="H48" i="9" s="1"/>
  <c r="H49" i="9" a="1"/>
  <c r="H49" i="9" s="1"/>
  <c r="H50" i="9" a="1"/>
  <c r="H50" i="9" s="1"/>
  <c r="G51" i="9" a="1"/>
  <c r="G51" i="9" s="1"/>
  <c r="F52" i="9" a="1"/>
  <c r="F52" i="9" s="1"/>
  <c r="E53" i="9" a="1"/>
  <c r="E53" i="9" s="1"/>
  <c r="D54" i="9" a="1"/>
  <c r="D54" i="9" s="1"/>
  <c r="J54" i="9" a="1"/>
  <c r="J54" i="9" s="1"/>
  <c r="G56" i="9" a="1"/>
  <c r="G56" i="9" s="1"/>
  <c r="F57" i="9" a="1"/>
  <c r="F57" i="9" s="1"/>
  <c r="D58" i="9" a="1"/>
  <c r="D58" i="9" s="1"/>
  <c r="K58" i="9" a="1"/>
  <c r="K58" i="9" s="1"/>
  <c r="I59" i="9" a="1"/>
  <c r="I59" i="9" s="1"/>
  <c r="H60" i="9" a="1"/>
  <c r="H60" i="9" s="1"/>
  <c r="E61" i="9" a="1"/>
  <c r="E61" i="9" s="1"/>
  <c r="D62" i="9" a="1"/>
  <c r="D62" i="9" s="1"/>
  <c r="H63" i="9" a="1"/>
  <c r="H63" i="9" s="1"/>
  <c r="G64" i="9" a="1"/>
  <c r="G64" i="9" s="1"/>
  <c r="D66" i="9" a="1"/>
  <c r="D66" i="9" s="1"/>
  <c r="J66" i="9" a="1"/>
  <c r="J66" i="9" s="1"/>
  <c r="J67" i="9" a="1"/>
  <c r="J67" i="9" s="1"/>
  <c r="I68" i="9" a="1"/>
  <c r="I68" i="9" s="1"/>
  <c r="G69" i="9" a="1"/>
  <c r="G69" i="9" s="1"/>
  <c r="D71" i="9" a="1"/>
  <c r="D71" i="9" s="1"/>
  <c r="J71" i="9" a="1"/>
  <c r="J71" i="9" s="1"/>
  <c r="I72" i="9" a="1"/>
  <c r="I72" i="9" s="1"/>
  <c r="G73" i="9" a="1"/>
  <c r="G73" i="9" s="1"/>
  <c r="F74" i="9" a="1"/>
  <c r="F74" i="9" s="1"/>
  <c r="E75" i="9" a="1"/>
  <c r="E75" i="9" s="1"/>
  <c r="G77" i="9" a="1"/>
  <c r="G77" i="9" s="1"/>
  <c r="F78" i="9" a="1"/>
  <c r="F78" i="9" s="1"/>
  <c r="K79" i="9" a="1"/>
  <c r="K79" i="9" s="1"/>
  <c r="J80" i="9" a="1"/>
  <c r="J80" i="9" s="1"/>
  <c r="D302" i="9" a="1"/>
  <c r="D302" i="9" s="1"/>
  <c r="F304" i="9" a="1"/>
  <c r="F304" i="9" s="1"/>
  <c r="I306" i="9" a="1"/>
  <c r="I306" i="9" s="1"/>
  <c r="E309" i="9" a="1"/>
  <c r="E309" i="9" s="1"/>
  <c r="G311" i="9" a="1"/>
  <c r="G311" i="9" s="1"/>
  <c r="J313" i="9" a="1"/>
  <c r="J313" i="9" s="1"/>
  <c r="F316" i="9" a="1"/>
  <c r="F316" i="9" s="1"/>
  <c r="H318" i="9" a="1"/>
  <c r="H318" i="9" s="1"/>
  <c r="K320" i="9" a="1"/>
  <c r="K320" i="9" s="1"/>
  <c r="G323" i="9" a="1"/>
  <c r="G323" i="9" s="1"/>
  <c r="I325" i="9" a="1"/>
  <c r="I325" i="9" s="1"/>
  <c r="E302" i="9" a="1"/>
  <c r="E302" i="9" s="1"/>
  <c r="J304" i="9" a="1"/>
  <c r="J304" i="9" s="1"/>
  <c r="C307" i="9" a="1"/>
  <c r="C307" i="9" s="1"/>
  <c r="F309" i="9" a="1"/>
  <c r="F309" i="9" s="1"/>
  <c r="K311" i="9" a="1"/>
  <c r="K311" i="9" s="1"/>
  <c r="D314" i="9" a="1"/>
  <c r="D314" i="9" s="1"/>
  <c r="G316" i="9" a="1"/>
  <c r="G316" i="9" s="1"/>
  <c r="C319" i="9" a="1"/>
  <c r="C319" i="9" s="1"/>
  <c r="E321" i="9" a="1"/>
  <c r="E321" i="9" s="1"/>
  <c r="H323" i="9" a="1"/>
  <c r="H323" i="9" s="1"/>
  <c r="D326" i="9" a="1"/>
  <c r="D326" i="9" s="1"/>
  <c r="F17" i="9" a="1"/>
  <c r="F17" i="9" s="1"/>
  <c r="K18" i="9" a="1"/>
  <c r="K18" i="9" s="1"/>
  <c r="G20" i="9" a="1"/>
  <c r="G20" i="9" s="1"/>
  <c r="K21" i="9" a="1"/>
  <c r="K21" i="9" s="1"/>
  <c r="F23" i="9" a="1"/>
  <c r="F23" i="9" s="1"/>
  <c r="J24" i="9" a="1"/>
  <c r="J24" i="9" s="1"/>
  <c r="F26" i="9" a="1"/>
  <c r="F26" i="9" s="1"/>
  <c r="K27" i="9" a="1"/>
  <c r="K27" i="9" s="1"/>
  <c r="K28" i="9" a="1"/>
  <c r="K28" i="9" s="1"/>
  <c r="K29" i="9" a="1"/>
  <c r="K29" i="9" s="1"/>
  <c r="J30" i="9" a="1"/>
  <c r="J30" i="9" s="1"/>
  <c r="K31" i="9" a="1"/>
  <c r="K31" i="9" s="1"/>
  <c r="D33" i="9" a="1"/>
  <c r="D33" i="9" s="1"/>
  <c r="D34" i="9" a="1"/>
  <c r="D34" i="9" s="1"/>
  <c r="E35" i="9" a="1"/>
  <c r="E35" i="9" s="1"/>
  <c r="F36" i="9" a="1"/>
  <c r="F36" i="9" s="1"/>
  <c r="E37" i="9" a="1"/>
  <c r="E37" i="9" s="1"/>
  <c r="E38" i="9" a="1"/>
  <c r="E38" i="9" s="1"/>
  <c r="G39" i="9" a="1"/>
  <c r="G39" i="9" s="1"/>
  <c r="G40" i="9" a="1"/>
  <c r="G40" i="9" s="1"/>
  <c r="G41" i="9" a="1"/>
  <c r="G41" i="9" s="1"/>
  <c r="H42" i="9" a="1"/>
  <c r="H42" i="9" s="1"/>
  <c r="H43" i="9" a="1"/>
  <c r="H43" i="9" s="1"/>
  <c r="G44" i="9" a="1"/>
  <c r="G44" i="9" s="1"/>
  <c r="H45" i="9" a="1"/>
  <c r="H45" i="9" s="1"/>
  <c r="J46" i="9" a="1"/>
  <c r="J46" i="9" s="1"/>
  <c r="J47" i="9" a="1"/>
  <c r="J47" i="9" s="1"/>
  <c r="J48" i="9" a="1"/>
  <c r="J48" i="9" s="1"/>
  <c r="J49" i="9" a="1"/>
  <c r="J49" i="9" s="1"/>
  <c r="I50" i="9" a="1"/>
  <c r="I50" i="9" s="1"/>
  <c r="H51" i="9" a="1"/>
  <c r="H51" i="9" s="1"/>
  <c r="H52" i="9" a="1"/>
  <c r="H52" i="9" s="1"/>
  <c r="G53" i="9" a="1"/>
  <c r="G53" i="9" s="1"/>
  <c r="D55" i="9" a="1"/>
  <c r="D55" i="9" s="1"/>
  <c r="J55" i="9" a="1"/>
  <c r="J55" i="9" s="1"/>
  <c r="I56" i="9" a="1"/>
  <c r="I56" i="9" s="1"/>
  <c r="G57" i="9" a="1"/>
  <c r="G57" i="9" s="1"/>
  <c r="E58" i="9" a="1"/>
  <c r="E58" i="9" s="1"/>
  <c r="D59" i="9" a="1"/>
  <c r="D59" i="9" s="1"/>
  <c r="K59" i="9" a="1"/>
  <c r="K59" i="9" s="1"/>
  <c r="G61" i="9" a="1"/>
  <c r="G61" i="9" s="1"/>
  <c r="E62" i="9" a="1"/>
  <c r="E62" i="9" s="1"/>
  <c r="K62" i="9" a="1"/>
  <c r="K62" i="9" s="1"/>
  <c r="J63" i="9" a="1"/>
  <c r="J63" i="9" s="1"/>
  <c r="H64" i="9" a="1"/>
  <c r="H64" i="9" s="1"/>
  <c r="G65" i="9" a="1"/>
  <c r="G65" i="9" s="1"/>
  <c r="D67" i="9" a="1"/>
  <c r="D67" i="9" s="1"/>
  <c r="K67" i="9" a="1"/>
  <c r="K67" i="9" s="1"/>
  <c r="I69" i="9" a="1"/>
  <c r="I69" i="9" s="1"/>
  <c r="G70" i="9" a="1"/>
  <c r="G70" i="9" s="1"/>
  <c r="F71" i="9" a="1"/>
  <c r="F71" i="9" s="1"/>
  <c r="D72" i="9" a="1"/>
  <c r="D72" i="9" s="1"/>
  <c r="K72" i="9" a="1"/>
  <c r="K72" i="9" s="1"/>
  <c r="I73" i="9" a="1"/>
  <c r="I73" i="9" s="1"/>
  <c r="H74" i="9" a="1"/>
  <c r="H74" i="9" s="1"/>
  <c r="E76" i="9" a="1"/>
  <c r="E76" i="9" s="1"/>
  <c r="K76" i="9" a="1"/>
  <c r="K76" i="9" s="1"/>
  <c r="I77" i="9" a="1"/>
  <c r="I77" i="9" s="1"/>
  <c r="E79" i="9" a="1"/>
  <c r="E79" i="9" s="1"/>
  <c r="E80" i="9" a="1"/>
  <c r="E80" i="9" s="1"/>
  <c r="D81" i="9" a="1"/>
  <c r="D81" i="9" s="1"/>
  <c r="C303" i="9" a="1"/>
  <c r="C303" i="9" s="1"/>
  <c r="E305" i="9" a="1"/>
  <c r="E305" i="9" s="1"/>
  <c r="H307" i="9" a="1"/>
  <c r="H307" i="9" s="1"/>
  <c r="D310" i="9" a="1"/>
  <c r="D310" i="9" s="1"/>
  <c r="F312" i="9" a="1"/>
  <c r="F312" i="9" s="1"/>
  <c r="I314" i="9" a="1"/>
  <c r="I314" i="9" s="1"/>
  <c r="E317" i="9" a="1"/>
  <c r="E317" i="9" s="1"/>
  <c r="G319" i="9" a="1"/>
  <c r="G319" i="9" s="1"/>
  <c r="J321" i="9" a="1"/>
  <c r="J321" i="9" s="1"/>
  <c r="F324" i="9" a="1"/>
  <c r="F324" i="9" s="1"/>
  <c r="H326" i="9" a="1"/>
  <c r="H326" i="9" s="1"/>
  <c r="E16" i="9" a="1"/>
  <c r="E16" i="9" s="1"/>
  <c r="I17" i="9" a="1"/>
  <c r="I17" i="9" s="1"/>
  <c r="F19" i="9" a="1"/>
  <c r="F19" i="9" s="1"/>
  <c r="J20" i="9" a="1"/>
  <c r="J20" i="9" s="1"/>
  <c r="F22" i="9" a="1"/>
  <c r="F22" i="9" s="1"/>
  <c r="J23" i="9" a="1"/>
  <c r="J23" i="9" s="1"/>
  <c r="E25" i="9" a="1"/>
  <c r="E25" i="9" s="1"/>
  <c r="I26" i="9" a="1"/>
  <c r="I26" i="9" s="1"/>
  <c r="D28" i="9" a="1"/>
  <c r="D28" i="9" s="1"/>
  <c r="E29" i="9" a="1"/>
  <c r="E29" i="9" s="1"/>
  <c r="E30" i="9" a="1"/>
  <c r="E30" i="9" s="1"/>
  <c r="E31" i="9" a="1"/>
  <c r="E31" i="9" s="1"/>
  <c r="E32" i="9" a="1"/>
  <c r="E32" i="9" s="1"/>
  <c r="F34" i="9" a="1"/>
  <c r="F34" i="9" s="1"/>
  <c r="G35" i="9" a="1"/>
  <c r="G35" i="9" s="1"/>
  <c r="G36" i="9" a="1"/>
  <c r="G36" i="9" s="1"/>
  <c r="G37" i="9" a="1"/>
  <c r="G37" i="9" s="1"/>
  <c r="H38" i="9" a="1"/>
  <c r="H38" i="9" s="1"/>
  <c r="I39" i="9" a="1"/>
  <c r="I39" i="9" s="1"/>
  <c r="I40" i="9" a="1"/>
  <c r="I40" i="9" s="1"/>
  <c r="I41" i="9" a="1"/>
  <c r="I41" i="9" s="1"/>
  <c r="J42" i="9" a="1"/>
  <c r="J42" i="9" s="1"/>
  <c r="J43" i="9" a="1"/>
  <c r="J43" i="9" s="1"/>
  <c r="J44" i="9" a="1"/>
  <c r="J44" i="9" s="1"/>
  <c r="K45" i="9" a="1"/>
  <c r="K45" i="9" s="1"/>
  <c r="D47" i="9" a="1"/>
  <c r="D47" i="9" s="1"/>
  <c r="D49" i="9" a="1"/>
  <c r="D49" i="9" s="1"/>
  <c r="D50" i="9" a="1"/>
  <c r="D50" i="9" s="1"/>
  <c r="K50" i="9" a="1"/>
  <c r="K50" i="9" s="1"/>
  <c r="J51" i="9" a="1"/>
  <c r="J51" i="9" s="1"/>
  <c r="J52" i="9" a="1"/>
  <c r="J52" i="9" s="1"/>
  <c r="I53" i="9" a="1"/>
  <c r="I53" i="9" s="1"/>
  <c r="G54" i="9" a="1"/>
  <c r="G54" i="9" s="1"/>
  <c r="F55" i="9" a="1"/>
  <c r="F55" i="9" s="1"/>
  <c r="D56" i="9" a="1"/>
  <c r="D56" i="9" s="1"/>
  <c r="K56" i="9" a="1"/>
  <c r="K56" i="9" s="1"/>
  <c r="G58" i="9" a="1"/>
  <c r="G58" i="9" s="1"/>
  <c r="F59" i="9" a="1"/>
  <c r="F59" i="9" s="1"/>
  <c r="D60" i="9" a="1"/>
  <c r="D60" i="9" s="1"/>
  <c r="K60" i="9" a="1"/>
  <c r="K60" i="9" s="1"/>
  <c r="I61" i="9" a="1"/>
  <c r="I61" i="9" s="1"/>
  <c r="G62" i="9" a="1"/>
  <c r="G62" i="9" s="1"/>
  <c r="E63" i="9" a="1"/>
  <c r="E63" i="9" s="1"/>
  <c r="D64" i="9" a="1"/>
  <c r="D64" i="9" s="1"/>
  <c r="J64" i="9" a="1"/>
  <c r="J64" i="9" s="1"/>
  <c r="I65" i="9" a="1"/>
  <c r="I65" i="9" s="1"/>
  <c r="G66" i="9" a="1"/>
  <c r="G66" i="9" s="1"/>
  <c r="K304" i="9" a="1"/>
  <c r="K304" i="9" s="1"/>
  <c r="K323" i="9" a="1"/>
  <c r="K323" i="9" s="1"/>
  <c r="E19" i="9" a="1"/>
  <c r="E19" i="9" s="1"/>
  <c r="D22" i="9" a="1"/>
  <c r="D22" i="9" s="1"/>
  <c r="D25" i="9" a="1"/>
  <c r="D25" i="9" s="1"/>
  <c r="D30" i="9" a="1"/>
  <c r="D30" i="9" s="1"/>
  <c r="D32" i="9" a="1"/>
  <c r="D32" i="9" s="1"/>
  <c r="E34" i="9" a="1"/>
  <c r="E34" i="9" s="1"/>
  <c r="G38" i="9" a="1"/>
  <c r="G38" i="9" s="1"/>
  <c r="H40" i="9" a="1"/>
  <c r="H40" i="9" s="1"/>
  <c r="I42" i="9" a="1"/>
  <c r="I42" i="9" s="1"/>
  <c r="H44" i="9" a="1"/>
  <c r="H44" i="9" s="1"/>
  <c r="K46" i="9" a="1"/>
  <c r="K46" i="9" s="1"/>
  <c r="K48" i="9" a="1"/>
  <c r="K48" i="9" s="1"/>
  <c r="J50" i="9" a="1"/>
  <c r="J50" i="9" s="1"/>
  <c r="I52" i="9" a="1"/>
  <c r="I52" i="9" s="1"/>
  <c r="F54" i="9" a="1"/>
  <c r="F54" i="9" s="1"/>
  <c r="K55" i="9" a="1"/>
  <c r="K55" i="9" s="1"/>
  <c r="H57" i="9" a="1"/>
  <c r="H57" i="9" s="1"/>
  <c r="E59" i="9" a="1"/>
  <c r="E59" i="9" s="1"/>
  <c r="J60" i="9" a="1"/>
  <c r="J60" i="9" s="1"/>
  <c r="F62" i="9" a="1"/>
  <c r="F62" i="9" s="1"/>
  <c r="K63" i="9" a="1"/>
  <c r="K63" i="9" s="1"/>
  <c r="H65" i="9" a="1"/>
  <c r="H65" i="9" s="1"/>
  <c r="E67" i="9" a="1"/>
  <c r="E67" i="9" s="1"/>
  <c r="G68" i="9" a="1"/>
  <c r="G68" i="9" s="1"/>
  <c r="E71" i="9" a="1"/>
  <c r="E71" i="9" s="1"/>
  <c r="J73" i="9" a="1"/>
  <c r="J73" i="9" s="1"/>
  <c r="H77" i="9" a="1"/>
  <c r="H77" i="9" s="1"/>
  <c r="F80" i="9" a="1"/>
  <c r="F80" i="9" s="1"/>
  <c r="G81" i="9" a="1"/>
  <c r="G81" i="9" s="1"/>
  <c r="G82" i="9" a="1"/>
  <c r="G82" i="9" s="1"/>
  <c r="G83" i="9" a="1"/>
  <c r="G83" i="9" s="1"/>
  <c r="F84" i="9" a="1"/>
  <c r="F84" i="9" s="1"/>
  <c r="E85" i="9" a="1"/>
  <c r="E85" i="9" s="1"/>
  <c r="D87" i="9" a="1"/>
  <c r="D87" i="9" s="1"/>
  <c r="K87" i="9" a="1"/>
  <c r="K87" i="9" s="1"/>
  <c r="K88" i="9" a="1"/>
  <c r="K88" i="9" s="1"/>
  <c r="J90" i="9" a="1"/>
  <c r="J90" i="9" s="1"/>
  <c r="J91" i="9" a="1"/>
  <c r="J91" i="9" s="1"/>
  <c r="G94" i="9" a="1"/>
  <c r="G94" i="9" s="1"/>
  <c r="F95" i="9" a="1"/>
  <c r="F95" i="9" s="1"/>
  <c r="D97" i="9" a="1"/>
  <c r="D97" i="9" s="1"/>
  <c r="K97" i="9" a="1"/>
  <c r="K97" i="9" s="1"/>
  <c r="H100" i="9" a="1"/>
  <c r="H100" i="9" s="1"/>
  <c r="G102" i="9" a="1"/>
  <c r="G102" i="9" s="1"/>
  <c r="G103" i="9" a="1"/>
  <c r="G103" i="9" s="1"/>
  <c r="G104" i="9" a="1"/>
  <c r="G104" i="9" s="1"/>
  <c r="F106" i="9" a="1"/>
  <c r="F106" i="9" s="1"/>
  <c r="F107" i="9" a="1"/>
  <c r="F107" i="9" s="1"/>
  <c r="D108" i="9" a="1"/>
  <c r="D108" i="9" s="1"/>
  <c r="K109" i="9" a="1"/>
  <c r="K109" i="9" s="1"/>
  <c r="K110" i="9" a="1"/>
  <c r="K110" i="9" s="1"/>
  <c r="J111" i="9" a="1"/>
  <c r="J111" i="9" s="1"/>
  <c r="J112" i="9" a="1"/>
  <c r="J112" i="9" s="1"/>
  <c r="I113" i="9" a="1"/>
  <c r="I113" i="9" s="1"/>
  <c r="I114" i="9" a="1"/>
  <c r="I114" i="9" s="1"/>
  <c r="H115" i="9" a="1"/>
  <c r="H115" i="9" s="1"/>
  <c r="G116" i="9" a="1"/>
  <c r="G116" i="9" s="1"/>
  <c r="E118" i="9" a="1"/>
  <c r="E118" i="9" s="1"/>
  <c r="E119" i="9" a="1"/>
  <c r="E119" i="9" s="1"/>
  <c r="E120" i="9" a="1"/>
  <c r="E120" i="9" s="1"/>
  <c r="D121" i="9" a="1"/>
  <c r="D121" i="9" s="1"/>
  <c r="K121" i="9" a="1"/>
  <c r="K121" i="9" s="1"/>
  <c r="K122" i="9" a="1"/>
  <c r="K122" i="9" s="1"/>
  <c r="J123" i="9" a="1"/>
  <c r="J123" i="9" s="1"/>
  <c r="G307" i="9" a="1"/>
  <c r="G307" i="9" s="1"/>
  <c r="E326" i="9" a="1"/>
  <c r="E326" i="9" s="1"/>
  <c r="F16" i="9" a="1"/>
  <c r="F16" i="9" s="1"/>
  <c r="H19" i="9" a="1"/>
  <c r="H19" i="9" s="1"/>
  <c r="G22" i="9" a="1"/>
  <c r="G22" i="9" s="1"/>
  <c r="G25" i="9" a="1"/>
  <c r="G25" i="9" s="1"/>
  <c r="E28" i="9" a="1"/>
  <c r="E28" i="9" s="1"/>
  <c r="F30" i="9" a="1"/>
  <c r="F30" i="9" s="1"/>
  <c r="F32" i="9" a="1"/>
  <c r="F32" i="9" s="1"/>
  <c r="G34" i="9" a="1"/>
  <c r="G34" i="9" s="1"/>
  <c r="I36" i="9" a="1"/>
  <c r="I36" i="9" s="1"/>
  <c r="I38" i="9" a="1"/>
  <c r="I38" i="9" s="1"/>
  <c r="J40" i="9" a="1"/>
  <c r="J40" i="9" s="1"/>
  <c r="K42" i="9" a="1"/>
  <c r="K42" i="9" s="1"/>
  <c r="K44" i="9" a="1"/>
  <c r="K44" i="9" s="1"/>
  <c r="E47" i="9" a="1"/>
  <c r="E47" i="9" s="1"/>
  <c r="E49" i="9" a="1"/>
  <c r="E49" i="9" s="1"/>
  <c r="D51" i="9" a="1"/>
  <c r="D51" i="9" s="1"/>
  <c r="H54" i="9" a="1"/>
  <c r="H54" i="9" s="1"/>
  <c r="E56" i="9" a="1"/>
  <c r="E56" i="9" s="1"/>
  <c r="I57" i="9" a="1"/>
  <c r="I57" i="9" s="1"/>
  <c r="G59" i="9" a="1"/>
  <c r="G59" i="9" s="1"/>
  <c r="E64" i="9" a="1"/>
  <c r="E64" i="9" s="1"/>
  <c r="F67" i="9" a="1"/>
  <c r="F67" i="9" s="1"/>
  <c r="J68" i="9" a="1"/>
  <c r="J68" i="9" s="1"/>
  <c r="K69" i="9" a="1"/>
  <c r="K69" i="9" s="1"/>
  <c r="G72" i="9" a="1"/>
  <c r="G72" i="9" s="1"/>
  <c r="K73" i="9" a="1"/>
  <c r="K73" i="9" s="1"/>
  <c r="F75" i="9" a="1"/>
  <c r="F75" i="9" s="1"/>
  <c r="G76" i="9" a="1"/>
  <c r="G76" i="9" s="1"/>
  <c r="J78" i="9" a="1"/>
  <c r="J78" i="9" s="1"/>
  <c r="G80" i="9" a="1"/>
  <c r="G80" i="9" s="1"/>
  <c r="H82" i="9" a="1"/>
  <c r="H82" i="9" s="1"/>
  <c r="H83" i="9" a="1"/>
  <c r="H83" i="9" s="1"/>
  <c r="G84" i="9" a="1"/>
  <c r="G84" i="9" s="1"/>
  <c r="F85" i="9" a="1"/>
  <c r="F85" i="9" s="1"/>
  <c r="E86" i="9" a="1"/>
  <c r="E86" i="9" s="1"/>
  <c r="D88" i="9" a="1"/>
  <c r="D88" i="9" s="1"/>
  <c r="D89" i="9" a="1"/>
  <c r="D89" i="9" s="1"/>
  <c r="K89" i="9" a="1"/>
  <c r="K89" i="9" s="1"/>
  <c r="K90" i="9" a="1"/>
  <c r="K90" i="9" s="1"/>
  <c r="I92" i="9" a="1"/>
  <c r="I92" i="9" s="1"/>
  <c r="H93" i="9" a="1"/>
  <c r="H93" i="9" s="1"/>
  <c r="H94" i="9" a="1"/>
  <c r="H94" i="9" s="1"/>
  <c r="E96" i="9" a="1"/>
  <c r="E96" i="9" s="1"/>
  <c r="J98" i="9" a="1"/>
  <c r="J98" i="9" s="1"/>
  <c r="I99" i="9" a="1"/>
  <c r="I99" i="9" s="1"/>
  <c r="I100" i="9" a="1"/>
  <c r="I100" i="9" s="1"/>
  <c r="H101" i="9" a="1"/>
  <c r="H101" i="9" s="1"/>
  <c r="H102" i="9" a="1"/>
  <c r="H102" i="9" s="1"/>
  <c r="H103" i="9" a="1"/>
  <c r="H103" i="9" s="1"/>
  <c r="H104" i="9" a="1"/>
  <c r="H104" i="9" s="1"/>
  <c r="G105" i="9" a="1"/>
  <c r="G105" i="9" s="1"/>
  <c r="G106" i="9" a="1"/>
  <c r="G106" i="9" s="1"/>
  <c r="E108" i="9" a="1"/>
  <c r="E108" i="9" s="1"/>
  <c r="D109" i="9" a="1"/>
  <c r="D109" i="9" s="1"/>
  <c r="D110" i="9" a="1"/>
  <c r="D110" i="9" s="1"/>
  <c r="K111" i="9" a="1"/>
  <c r="K111" i="9" s="1"/>
  <c r="K112" i="9" a="1"/>
  <c r="K112" i="9" s="1"/>
  <c r="J113" i="9" a="1"/>
  <c r="J113" i="9" s="1"/>
  <c r="J114" i="9" a="1"/>
  <c r="J114" i="9" s="1"/>
  <c r="I115" i="9" a="1"/>
  <c r="I115" i="9" s="1"/>
  <c r="F117" i="9" a="1"/>
  <c r="F117" i="9" s="1"/>
  <c r="F118" i="9" a="1"/>
  <c r="F118" i="9" s="1"/>
  <c r="F119" i="9" a="1"/>
  <c r="F119" i="9" s="1"/>
  <c r="F120" i="9" a="1"/>
  <c r="F120" i="9" s="1"/>
  <c r="E121" i="9" a="1"/>
  <c r="E121" i="9" s="1"/>
  <c r="D122" i="9" a="1"/>
  <c r="D122" i="9" s="1"/>
  <c r="D123" i="9" a="1"/>
  <c r="D123" i="9" s="1"/>
  <c r="I309" i="9" a="1"/>
  <c r="I309" i="9" s="1"/>
  <c r="C312" i="9" a="1"/>
  <c r="C312" i="9" s="1"/>
  <c r="E17" i="9" a="1"/>
  <c r="E17" i="9" s="1"/>
  <c r="E20" i="9" a="1"/>
  <c r="E20" i="9" s="1"/>
  <c r="E23" i="9" a="1"/>
  <c r="E23" i="9" s="1"/>
  <c r="J28" i="9" a="1"/>
  <c r="J28" i="9" s="1"/>
  <c r="I30" i="9" a="1"/>
  <c r="I30" i="9" s="1"/>
  <c r="K32" i="9" a="1"/>
  <c r="K32" i="9" s="1"/>
  <c r="D35" i="9" a="1"/>
  <c r="D35" i="9" s="1"/>
  <c r="D37" i="9" a="1"/>
  <c r="D37" i="9" s="1"/>
  <c r="E39" i="9" a="1"/>
  <c r="E39" i="9" s="1"/>
  <c r="F41" i="9" a="1"/>
  <c r="F41" i="9" s="1"/>
  <c r="G45" i="9" a="1"/>
  <c r="G45" i="9" s="1"/>
  <c r="I47" i="9" a="1"/>
  <c r="I47" i="9" s="1"/>
  <c r="I49" i="9" a="1"/>
  <c r="I49" i="9" s="1"/>
  <c r="F53" i="9" a="1"/>
  <c r="F53" i="9" s="1"/>
  <c r="K54" i="9" a="1"/>
  <c r="K54" i="9" s="1"/>
  <c r="H56" i="9" a="1"/>
  <c r="H56" i="9" s="1"/>
  <c r="J59" i="9" a="1"/>
  <c r="J59" i="9" s="1"/>
  <c r="F61" i="9" a="1"/>
  <c r="F61" i="9" s="1"/>
  <c r="J62" i="9" a="1"/>
  <c r="J62" i="9" s="1"/>
  <c r="E66" i="9" a="1"/>
  <c r="E66" i="9" s="1"/>
  <c r="H67" i="9" a="1"/>
  <c r="H67" i="9" s="1"/>
  <c r="D69" i="9" a="1"/>
  <c r="D69" i="9" s="1"/>
  <c r="F70" i="9" a="1"/>
  <c r="F70" i="9" s="1"/>
  <c r="H71" i="9" a="1"/>
  <c r="H71" i="9" s="1"/>
  <c r="D73" i="9" a="1"/>
  <c r="D73" i="9" s="1"/>
  <c r="H75" i="9" a="1"/>
  <c r="H75" i="9" s="1"/>
  <c r="J76" i="9" a="1"/>
  <c r="J76" i="9" s="1"/>
  <c r="K77" i="9" a="1"/>
  <c r="K77" i="9" s="1"/>
  <c r="F79" i="9" a="1"/>
  <c r="F79" i="9" s="1"/>
  <c r="H80" i="9" a="1"/>
  <c r="H80" i="9" s="1"/>
  <c r="J81" i="9" a="1"/>
  <c r="J81" i="9" s="1"/>
  <c r="J82" i="9" a="1"/>
  <c r="J82" i="9" s="1"/>
  <c r="J83" i="9" a="1"/>
  <c r="J83" i="9" s="1"/>
  <c r="I84" i="9" a="1"/>
  <c r="I84" i="9" s="1"/>
  <c r="H85" i="9" a="1"/>
  <c r="H85" i="9" s="1"/>
  <c r="G86" i="9" a="1"/>
  <c r="G86" i="9" s="1"/>
  <c r="F87" i="9" a="1"/>
  <c r="F87" i="9" s="1"/>
  <c r="F88" i="9" a="1"/>
  <c r="F88" i="9" s="1"/>
  <c r="F89" i="9" a="1"/>
  <c r="F89" i="9" s="1"/>
  <c r="E90" i="9" a="1"/>
  <c r="E90" i="9" s="1"/>
  <c r="E91" i="9" a="1"/>
  <c r="E91" i="9" s="1"/>
  <c r="D92" i="9" a="1"/>
  <c r="D92" i="9" s="1"/>
  <c r="K92" i="9" a="1"/>
  <c r="K92" i="9" s="1"/>
  <c r="J93" i="9" a="1"/>
  <c r="J93" i="9" s="1"/>
  <c r="J94" i="9" a="1"/>
  <c r="J94" i="9" s="1"/>
  <c r="H95" i="9" a="1"/>
  <c r="H95" i="9" s="1"/>
  <c r="G96" i="9" a="1"/>
  <c r="G96" i="9" s="1"/>
  <c r="F97" i="9" a="1"/>
  <c r="F97" i="9" s="1"/>
  <c r="E98" i="9" a="1"/>
  <c r="E98" i="9" s="1"/>
  <c r="D99" i="9" a="1"/>
  <c r="D99" i="9" s="1"/>
  <c r="K99" i="9" a="1"/>
  <c r="K99" i="9" s="1"/>
  <c r="K100" i="9" a="1"/>
  <c r="K100" i="9" s="1"/>
  <c r="J101" i="9" a="1"/>
  <c r="J101" i="9" s="1"/>
  <c r="J102" i="9" a="1"/>
  <c r="J102" i="9" s="1"/>
  <c r="J103" i="9" a="1"/>
  <c r="J103" i="9" s="1"/>
  <c r="J104" i="9" a="1"/>
  <c r="J104" i="9" s="1"/>
  <c r="I105" i="9" a="1"/>
  <c r="I105" i="9" s="1"/>
  <c r="I106" i="9" a="1"/>
  <c r="I106" i="9" s="1"/>
  <c r="H107" i="9" a="1"/>
  <c r="H107" i="9" s="1"/>
  <c r="G108" i="9" a="1"/>
  <c r="G108" i="9" s="1"/>
  <c r="F109" i="9" a="1"/>
  <c r="F109" i="9" s="1"/>
  <c r="F110" i="9" a="1"/>
  <c r="F110" i="9" s="1"/>
  <c r="E111" i="9" a="1"/>
  <c r="E111" i="9" s="1"/>
  <c r="E112" i="9" a="1"/>
  <c r="E112" i="9" s="1"/>
  <c r="D114" i="9" a="1"/>
  <c r="D114" i="9" s="1"/>
  <c r="D115" i="9" a="1"/>
  <c r="D115" i="9" s="1"/>
  <c r="K115" i="9" a="1"/>
  <c r="K115" i="9" s="1"/>
  <c r="I116" i="9" a="1"/>
  <c r="I116" i="9" s="1"/>
  <c r="H117" i="9" a="1"/>
  <c r="H117" i="9" s="1"/>
  <c r="H118" i="9" a="1"/>
  <c r="H118" i="9" s="1"/>
  <c r="H119" i="9" a="1"/>
  <c r="H119" i="9" s="1"/>
  <c r="H120" i="9" a="1"/>
  <c r="H120" i="9" s="1"/>
  <c r="G121" i="9" a="1"/>
  <c r="G121" i="9" s="1"/>
  <c r="F122" i="9" a="1"/>
  <c r="F122" i="9" s="1"/>
  <c r="F123" i="9" a="1"/>
  <c r="F123" i="9" s="1"/>
  <c r="H314" i="9" a="1"/>
  <c r="H314" i="9" s="1"/>
  <c r="H17" i="9" a="1"/>
  <c r="H17" i="9" s="1"/>
  <c r="H20" i="9" a="1"/>
  <c r="H20" i="9" s="1"/>
  <c r="H23" i="9" a="1"/>
  <c r="H23" i="9" s="1"/>
  <c r="H26" i="9" a="1"/>
  <c r="H26" i="9" s="1"/>
  <c r="D29" i="9" a="1"/>
  <c r="D29" i="9" s="1"/>
  <c r="D31" i="9" a="1"/>
  <c r="D31" i="9" s="1"/>
  <c r="E33" i="9" a="1"/>
  <c r="E33" i="9" s="1"/>
  <c r="F35" i="9" a="1"/>
  <c r="F35" i="9" s="1"/>
  <c r="H39" i="9" a="1"/>
  <c r="H39" i="9" s="1"/>
  <c r="H41" i="9" a="1"/>
  <c r="H41" i="9" s="1"/>
  <c r="I43" i="9" a="1"/>
  <c r="I43" i="9" s="1"/>
  <c r="J45" i="9" a="1"/>
  <c r="J45" i="9" s="1"/>
  <c r="K47" i="9" a="1"/>
  <c r="K47" i="9" s="1"/>
  <c r="K49" i="9" a="1"/>
  <c r="K49" i="9" s="1"/>
  <c r="I51" i="9" a="1"/>
  <c r="I51" i="9" s="1"/>
  <c r="H53" i="9" a="1"/>
  <c r="H53" i="9" s="1"/>
  <c r="E55" i="9" a="1"/>
  <c r="E55" i="9" s="1"/>
  <c r="J56" i="9" a="1"/>
  <c r="J56" i="9" s="1"/>
  <c r="F58" i="9" a="1"/>
  <c r="F58" i="9" s="1"/>
  <c r="H61" i="9" a="1"/>
  <c r="H61" i="9" s="1"/>
  <c r="D63" i="9" a="1"/>
  <c r="D63" i="9" s="1"/>
  <c r="I64" i="9" a="1"/>
  <c r="I64" i="9" s="1"/>
  <c r="F66" i="9" a="1"/>
  <c r="F66" i="9" s="1"/>
  <c r="E69" i="9" a="1"/>
  <c r="E69" i="9" s="1"/>
  <c r="H70" i="9" a="1"/>
  <c r="H70" i="9" s="1"/>
  <c r="G74" i="9" a="1"/>
  <c r="G74" i="9" s="1"/>
  <c r="I75" i="9" a="1"/>
  <c r="I75" i="9" s="1"/>
  <c r="D78" i="9" a="1"/>
  <c r="D78" i="9" s="1"/>
  <c r="G79" i="9" a="1"/>
  <c r="G79" i="9" s="1"/>
  <c r="K80" i="9" a="1"/>
  <c r="K80" i="9" s="1"/>
  <c r="K81" i="9" a="1"/>
  <c r="K81" i="9" s="1"/>
  <c r="K82" i="9" a="1"/>
  <c r="K82" i="9" s="1"/>
  <c r="J84" i="9" a="1"/>
  <c r="J84" i="9" s="1"/>
  <c r="I85" i="9" a="1"/>
  <c r="I85" i="9" s="1"/>
  <c r="H86" i="9" a="1"/>
  <c r="H86" i="9" s="1"/>
  <c r="G87" i="9" a="1"/>
  <c r="G87" i="9" s="1"/>
  <c r="G88" i="9" a="1"/>
  <c r="G88" i="9" s="1"/>
  <c r="G89" i="9" a="1"/>
  <c r="G89" i="9" s="1"/>
  <c r="F90" i="9" a="1"/>
  <c r="F90" i="9" s="1"/>
  <c r="F91" i="9" a="1"/>
  <c r="F91" i="9" s="1"/>
  <c r="E92" i="9" a="1"/>
  <c r="E92" i="9" s="1"/>
  <c r="D93" i="9" a="1"/>
  <c r="D93" i="9" s="1"/>
  <c r="K93" i="9" a="1"/>
  <c r="K93" i="9" s="1"/>
  <c r="K94" i="9" a="1"/>
  <c r="K94" i="9" s="1"/>
  <c r="I95" i="9" a="1"/>
  <c r="I95" i="9" s="1"/>
  <c r="H96" i="9" a="1"/>
  <c r="H96" i="9" s="1"/>
  <c r="G97" i="9" a="1"/>
  <c r="G97" i="9" s="1"/>
  <c r="F98" i="9" a="1"/>
  <c r="F98" i="9" s="1"/>
  <c r="E99" i="9" a="1"/>
  <c r="E99" i="9" s="1"/>
  <c r="D100" i="9" a="1"/>
  <c r="D100" i="9" s="1"/>
  <c r="D101" i="9" a="1"/>
  <c r="D101" i="9" s="1"/>
  <c r="K101" i="9" a="1"/>
  <c r="K101" i="9" s="1"/>
  <c r="K102" i="9" a="1"/>
  <c r="K102" i="9" s="1"/>
  <c r="K103" i="9" a="1"/>
  <c r="K103" i="9" s="1"/>
  <c r="K104" i="9" a="1"/>
  <c r="K104" i="9" s="1"/>
  <c r="J105" i="9" a="1"/>
  <c r="J105" i="9" s="1"/>
  <c r="J106" i="9" a="1"/>
  <c r="J106" i="9" s="1"/>
  <c r="H108" i="9" a="1"/>
  <c r="H108" i="9" s="1"/>
  <c r="G109" i="9" a="1"/>
  <c r="G109" i="9" s="1"/>
  <c r="G110" i="9" a="1"/>
  <c r="G110" i="9" s="1"/>
  <c r="F111" i="9" a="1"/>
  <c r="F111" i="9" s="1"/>
  <c r="F112" i="9" a="1"/>
  <c r="F112" i="9" s="1"/>
  <c r="E113" i="9" a="1"/>
  <c r="E113" i="9" s="1"/>
  <c r="E114" i="9" a="1"/>
  <c r="E114" i="9" s="1"/>
  <c r="D116" i="9" a="1"/>
  <c r="D116" i="9" s="1"/>
  <c r="J116" i="9" a="1"/>
  <c r="J116" i="9" s="1"/>
  <c r="I117" i="9" a="1"/>
  <c r="I117" i="9" s="1"/>
  <c r="I118" i="9" a="1"/>
  <c r="I118" i="9" s="1"/>
  <c r="I119" i="9" a="1"/>
  <c r="I119" i="9" s="1"/>
  <c r="I120" i="9" a="1"/>
  <c r="I120" i="9" s="1"/>
  <c r="H121" i="9" a="1"/>
  <c r="H121" i="9" s="1"/>
  <c r="G122" i="9" a="1"/>
  <c r="G122" i="9" s="1"/>
  <c r="J316" i="9" a="1"/>
  <c r="J316" i="9" s="1"/>
  <c r="K17" i="9" a="1"/>
  <c r="K17" i="9" s="1"/>
  <c r="K20" i="9" a="1"/>
  <c r="K20" i="9" s="1"/>
  <c r="K23" i="9" a="1"/>
  <c r="K23" i="9" s="1"/>
  <c r="K26" i="9" a="1"/>
  <c r="K26" i="9" s="1"/>
  <c r="G29" i="9" a="1"/>
  <c r="G29" i="9" s="1"/>
  <c r="F31" i="9" a="1"/>
  <c r="F31" i="9" s="1"/>
  <c r="F33" i="9" a="1"/>
  <c r="F33" i="9" s="1"/>
  <c r="H35" i="9" a="1"/>
  <c r="H35" i="9" s="1"/>
  <c r="H37" i="9" a="1"/>
  <c r="H37" i="9" s="1"/>
  <c r="J39" i="9" a="1"/>
  <c r="J39" i="9" s="1"/>
  <c r="J41" i="9" a="1"/>
  <c r="J41" i="9" s="1"/>
  <c r="D46" i="9" a="1"/>
  <c r="D46" i="9" s="1"/>
  <c r="D48" i="9" a="1"/>
  <c r="D48" i="9" s="1"/>
  <c r="E50" i="9" a="1"/>
  <c r="E50" i="9" s="1"/>
  <c r="K51" i="9" a="1"/>
  <c r="K51" i="9" s="1"/>
  <c r="J53" i="9" a="1"/>
  <c r="J53" i="9" s="1"/>
  <c r="D57" i="9" a="1"/>
  <c r="D57" i="9" s="1"/>
  <c r="H58" i="9" a="1"/>
  <c r="H58" i="9" s="1"/>
  <c r="E60" i="9" a="1"/>
  <c r="E60" i="9" s="1"/>
  <c r="F63" i="9" a="1"/>
  <c r="F63" i="9" s="1"/>
  <c r="K64" i="9" a="1"/>
  <c r="K64" i="9" s="1"/>
  <c r="H66" i="9" a="1"/>
  <c r="H66" i="9" s="1"/>
  <c r="D68" i="9" a="1"/>
  <c r="D68" i="9" s="1"/>
  <c r="K71" i="9" a="1"/>
  <c r="K71" i="9" s="1"/>
  <c r="E73" i="9" a="1"/>
  <c r="E73" i="9" s="1"/>
  <c r="I74" i="9" a="1"/>
  <c r="I74" i="9" s="1"/>
  <c r="J75" i="9" a="1"/>
  <c r="J75" i="9" s="1"/>
  <c r="D77" i="9" a="1"/>
  <c r="D77" i="9" s="1"/>
  <c r="G78" i="9" a="1"/>
  <c r="G78" i="9" s="1"/>
  <c r="H79" i="9" a="1"/>
  <c r="H79" i="9" s="1"/>
  <c r="E81" i="9" a="1"/>
  <c r="E81" i="9" s="1"/>
  <c r="D82" i="9" a="1"/>
  <c r="D82" i="9" s="1"/>
  <c r="D83" i="9" a="1"/>
  <c r="D83" i="9" s="1"/>
  <c r="K83" i="9" a="1"/>
  <c r="K83" i="9" s="1"/>
  <c r="J85" i="9" a="1"/>
  <c r="J85" i="9" s="1"/>
  <c r="I86" i="9" a="1"/>
  <c r="I86" i="9" s="1"/>
  <c r="H87" i="9" a="1"/>
  <c r="H87" i="9" s="1"/>
  <c r="H88" i="9" a="1"/>
  <c r="H88" i="9" s="1"/>
  <c r="H89" i="9" a="1"/>
  <c r="H89" i="9" s="1"/>
  <c r="G90" i="9" a="1"/>
  <c r="G90" i="9" s="1"/>
  <c r="G91" i="9" a="1"/>
  <c r="G91" i="9" s="1"/>
  <c r="F92" i="9" a="1"/>
  <c r="F92" i="9" s="1"/>
  <c r="E93" i="9" a="1"/>
  <c r="E93" i="9" s="1"/>
  <c r="D94" i="9" a="1"/>
  <c r="D94" i="9" s="1"/>
  <c r="D95" i="9" a="1"/>
  <c r="D95" i="9" s="1"/>
  <c r="J95" i="9" a="1"/>
  <c r="J95" i="9" s="1"/>
  <c r="I96" i="9" a="1"/>
  <c r="I96" i="9" s="1"/>
  <c r="H97" i="9" a="1"/>
  <c r="H97" i="9" s="1"/>
  <c r="G98" i="9" a="1"/>
  <c r="G98" i="9" s="1"/>
  <c r="F99" i="9" a="1"/>
  <c r="F99" i="9" s="1"/>
  <c r="E100" i="9" a="1"/>
  <c r="E100" i="9" s="1"/>
  <c r="E101" i="9" a="1"/>
  <c r="E101" i="9" s="1"/>
  <c r="D102" i="9" a="1"/>
  <c r="D102" i="9" s="1"/>
  <c r="D103" i="9" a="1"/>
  <c r="D103" i="9" s="1"/>
  <c r="D104" i="9" a="1"/>
  <c r="D104" i="9" s="1"/>
  <c r="D105" i="9" a="1"/>
  <c r="D105" i="9" s="1"/>
  <c r="K105" i="9" a="1"/>
  <c r="K105" i="9" s="1"/>
  <c r="K106" i="9" a="1"/>
  <c r="K106" i="9" s="1"/>
  <c r="I107" i="9" a="1"/>
  <c r="I107" i="9" s="1"/>
  <c r="I108" i="9" a="1"/>
  <c r="I108" i="9" s="1"/>
  <c r="H109" i="9" a="1"/>
  <c r="H109" i="9" s="1"/>
  <c r="H110" i="9" a="1"/>
  <c r="H110" i="9" s="1"/>
  <c r="G111" i="9" a="1"/>
  <c r="G111" i="9" s="1"/>
  <c r="G112" i="9" a="1"/>
  <c r="G112" i="9" s="1"/>
  <c r="F113" i="9" a="1"/>
  <c r="F113" i="9" s="1"/>
  <c r="F114" i="9" a="1"/>
  <c r="F114" i="9" s="1"/>
  <c r="E115" i="9" a="1"/>
  <c r="E115" i="9" s="1"/>
  <c r="E116" i="9" a="1"/>
  <c r="E116" i="9" s="1"/>
  <c r="K116" i="9" a="1"/>
  <c r="K116" i="9" s="1"/>
  <c r="J117" i="9" a="1"/>
  <c r="J117" i="9" s="1"/>
  <c r="J118" i="9" a="1"/>
  <c r="J118" i="9" s="1"/>
  <c r="J119" i="9" a="1"/>
  <c r="J119" i="9" s="1"/>
  <c r="J120" i="9" a="1"/>
  <c r="J120" i="9" s="1"/>
  <c r="I121" i="9" a="1"/>
  <c r="I121" i="9" s="1"/>
  <c r="H122" i="9" a="1"/>
  <c r="H122" i="9" s="1"/>
  <c r="H302" i="9" a="1"/>
  <c r="H302" i="9" s="1"/>
  <c r="I321" i="9" a="1"/>
  <c r="I321" i="9" s="1"/>
  <c r="I18" i="9" a="1"/>
  <c r="I18" i="9" s="1"/>
  <c r="I21" i="9" a="1"/>
  <c r="I21" i="9" s="1"/>
  <c r="I24" i="9" a="1"/>
  <c r="I24" i="9" s="1"/>
  <c r="I27" i="9" a="1"/>
  <c r="I27" i="9" s="1"/>
  <c r="J29" i="9" a="1"/>
  <c r="J29" i="9" s="1"/>
  <c r="I31" i="9" a="1"/>
  <c r="I31" i="9" s="1"/>
  <c r="K33" i="9" a="1"/>
  <c r="K33" i="9" s="1"/>
  <c r="E36" i="9" a="1"/>
  <c r="E36" i="9" s="1"/>
  <c r="D38" i="9" a="1"/>
  <c r="D38" i="9" s="1"/>
  <c r="F40" i="9" a="1"/>
  <c r="F40" i="9" s="1"/>
  <c r="G42" i="9" a="1"/>
  <c r="G42" i="9" s="1"/>
  <c r="H46" i="9" a="1"/>
  <c r="H46" i="9" s="1"/>
  <c r="I48" i="9" a="1"/>
  <c r="I48" i="9" s="1"/>
  <c r="G52" i="9" a="1"/>
  <c r="G52" i="9" s="1"/>
  <c r="E54" i="9" a="1"/>
  <c r="E54" i="9" s="1"/>
  <c r="I55" i="9" a="1"/>
  <c r="I55" i="9" s="1"/>
  <c r="I60" i="9" a="1"/>
  <c r="I60" i="9" s="1"/>
  <c r="I63" i="9" a="1"/>
  <c r="I63" i="9" s="1"/>
  <c r="F65" i="9" a="1"/>
  <c r="F65" i="9" s="1"/>
  <c r="K66" i="9" a="1"/>
  <c r="K66" i="9" s="1"/>
  <c r="F68" i="9" a="1"/>
  <c r="F68" i="9" s="1"/>
  <c r="J69" i="9" a="1"/>
  <c r="J69" i="9" s="1"/>
  <c r="J70" i="9" a="1"/>
  <c r="J70" i="9" s="1"/>
  <c r="F72" i="9" a="1"/>
  <c r="F72" i="9" s="1"/>
  <c r="H73" i="9" a="1"/>
  <c r="H73" i="9" s="1"/>
  <c r="K74" i="9" a="1"/>
  <c r="K74" i="9" s="1"/>
  <c r="F76" i="9" a="1"/>
  <c r="F76" i="9" s="1"/>
  <c r="F77" i="9" a="1"/>
  <c r="F77" i="9" s="1"/>
  <c r="I78" i="9" a="1"/>
  <c r="I78" i="9" s="1"/>
  <c r="D80" i="9" a="1"/>
  <c r="D80" i="9" s="1"/>
  <c r="F81" i="9" a="1"/>
  <c r="F81" i="9" s="1"/>
  <c r="F82" i="9" a="1"/>
  <c r="F82" i="9" s="1"/>
  <c r="F83" i="9" a="1"/>
  <c r="F83" i="9" s="1"/>
  <c r="E84" i="9" a="1"/>
  <c r="E84" i="9" s="1"/>
  <c r="D85" i="9" a="1"/>
  <c r="D85" i="9" s="1"/>
  <c r="D86" i="9" a="1"/>
  <c r="D86" i="9" s="1"/>
  <c r="K86" i="9" a="1"/>
  <c r="K86" i="9" s="1"/>
  <c r="J87" i="9" a="1"/>
  <c r="J87" i="9" s="1"/>
  <c r="J88" i="9" a="1"/>
  <c r="J88" i="9" s="1"/>
  <c r="J89" i="9" a="1"/>
  <c r="J89" i="9" s="1"/>
  <c r="I90" i="9" a="1"/>
  <c r="I90" i="9" s="1"/>
  <c r="I91" i="9" a="1"/>
  <c r="I91" i="9" s="1"/>
  <c r="H92" i="9" a="1"/>
  <c r="H92" i="9" s="1"/>
  <c r="G93" i="9" a="1"/>
  <c r="G93" i="9" s="1"/>
  <c r="F94" i="9" a="1"/>
  <c r="F94" i="9" s="1"/>
  <c r="E95" i="9" a="1"/>
  <c r="E95" i="9" s="1"/>
  <c r="D96" i="9" a="1"/>
  <c r="D96" i="9" s="1"/>
  <c r="K96" i="9" a="1"/>
  <c r="K96" i="9" s="1"/>
  <c r="J97" i="9" a="1"/>
  <c r="J97" i="9" s="1"/>
  <c r="I98" i="9" a="1"/>
  <c r="I98" i="9" s="1"/>
  <c r="H99" i="9" a="1"/>
  <c r="H99" i="9" s="1"/>
  <c r="G100" i="9" a="1"/>
  <c r="G100" i="9" s="1"/>
  <c r="G101" i="9" a="1"/>
  <c r="G101" i="9" s="1"/>
  <c r="F102" i="9" a="1"/>
  <c r="F102" i="9" s="1"/>
  <c r="F103" i="9" a="1"/>
  <c r="F103" i="9" s="1"/>
  <c r="F104" i="9" a="1"/>
  <c r="F104" i="9" s="1"/>
  <c r="F105" i="9" a="1"/>
  <c r="F105" i="9" s="1"/>
  <c r="E106" i="9" a="1"/>
  <c r="E106" i="9" s="1"/>
  <c r="E107" i="9" a="1"/>
  <c r="E107" i="9" s="1"/>
  <c r="K107" i="9" a="1"/>
  <c r="K107" i="9" s="1"/>
  <c r="K108" i="9" a="1"/>
  <c r="K108" i="9" s="1"/>
  <c r="J109" i="9" a="1"/>
  <c r="J109" i="9" s="1"/>
  <c r="J110" i="9" a="1"/>
  <c r="J110" i="9" s="1"/>
  <c r="I111" i="9" a="1"/>
  <c r="I111" i="9" s="1"/>
  <c r="I112" i="9" a="1"/>
  <c r="I112" i="9" s="1"/>
  <c r="H113" i="9" a="1"/>
  <c r="H113" i="9" s="1"/>
  <c r="H114" i="9" a="1"/>
  <c r="H114" i="9" s="1"/>
  <c r="G115" i="9" a="1"/>
  <c r="G115" i="9" s="1"/>
  <c r="F116" i="9" a="1"/>
  <c r="F116" i="9" s="1"/>
  <c r="E117" i="9" a="1"/>
  <c r="E117" i="9" s="1"/>
  <c r="D118" i="9" a="1"/>
  <c r="D118" i="9" s="1"/>
  <c r="D119" i="9" a="1"/>
  <c r="D119" i="9" s="1"/>
  <c r="D120" i="9" a="1"/>
  <c r="D120" i="9" s="1"/>
  <c r="K120" i="9" a="1"/>
  <c r="K120" i="9" s="1"/>
  <c r="J122" i="9" a="1"/>
  <c r="J122" i="9" s="1"/>
  <c r="I123" i="9" a="1"/>
  <c r="I123" i="9" s="1"/>
  <c r="D27" i="9" a="1"/>
  <c r="D27" i="9" s="1"/>
  <c r="J35" i="9" a="1"/>
  <c r="J35" i="9" s="1"/>
  <c r="D44" i="9" a="1"/>
  <c r="D44" i="9" s="1"/>
  <c r="D52" i="9" a="1"/>
  <c r="D52" i="9" s="1"/>
  <c r="I58" i="9" a="1"/>
  <c r="I58" i="9" s="1"/>
  <c r="D65" i="9" a="1"/>
  <c r="D65" i="9" s="1"/>
  <c r="I70" i="9" a="1"/>
  <c r="I70" i="9" s="1"/>
  <c r="D76" i="9" a="1"/>
  <c r="D76" i="9" s="1"/>
  <c r="K84" i="9" a="1"/>
  <c r="K84" i="9" s="1"/>
  <c r="I88" i="9" a="1"/>
  <c r="I88" i="9" s="1"/>
  <c r="G92" i="9" a="1"/>
  <c r="G92" i="9" s="1"/>
  <c r="K95" i="9" a="1"/>
  <c r="K95" i="9" s="1"/>
  <c r="G99" i="9" a="1"/>
  <c r="G99" i="9" s="1"/>
  <c r="E103" i="9" a="1"/>
  <c r="E103" i="9" s="1"/>
  <c r="D107" i="9" a="1"/>
  <c r="D107" i="9" s="1"/>
  <c r="I110" i="9" a="1"/>
  <c r="I110" i="9" s="1"/>
  <c r="G114" i="9" a="1"/>
  <c r="G114" i="9" s="1"/>
  <c r="K117" i="9" a="1"/>
  <c r="K117" i="9" s="1"/>
  <c r="J121" i="9" a="1"/>
  <c r="J121" i="9" s="1"/>
  <c r="E124" i="9" a="1"/>
  <c r="E124" i="9" s="1"/>
  <c r="D125" i="9" a="1"/>
  <c r="D125" i="9" s="1"/>
  <c r="K125" i="9" a="1"/>
  <c r="K125" i="9" s="1"/>
  <c r="K126" i="9" a="1"/>
  <c r="K126" i="9" s="1"/>
  <c r="J127" i="9" a="1"/>
  <c r="J127" i="9" s="1"/>
  <c r="I128" i="9" a="1"/>
  <c r="I128" i="9" s="1"/>
  <c r="I129" i="9" a="1"/>
  <c r="I129" i="9" s="1"/>
  <c r="H130" i="9" a="1"/>
  <c r="H130" i="9" s="1"/>
  <c r="G131" i="9" a="1"/>
  <c r="G131" i="9" s="1"/>
  <c r="G132" i="9" a="1"/>
  <c r="G132" i="9" s="1"/>
  <c r="F133" i="9" a="1"/>
  <c r="F133" i="9" s="1"/>
  <c r="E135" i="9" a="1"/>
  <c r="E135" i="9" s="1"/>
  <c r="E136" i="9" a="1"/>
  <c r="E136" i="9" s="1"/>
  <c r="D137" i="9" a="1"/>
  <c r="D137" i="9" s="1"/>
  <c r="D138" i="9" a="1"/>
  <c r="D138" i="9" s="1"/>
  <c r="K138" i="9" a="1"/>
  <c r="K138" i="9" s="1"/>
  <c r="K139" i="9" a="1"/>
  <c r="K139" i="9" s="1"/>
  <c r="J141" i="9" a="1"/>
  <c r="J141" i="9" s="1"/>
  <c r="J142" i="9" a="1"/>
  <c r="J142" i="9" s="1"/>
  <c r="I143" i="9" a="1"/>
  <c r="I143" i="9" s="1"/>
  <c r="G144" i="9" a="1"/>
  <c r="G144" i="9" s="1"/>
  <c r="E145" i="9" a="1"/>
  <c r="E145" i="9" s="1"/>
  <c r="K145" i="9" a="1"/>
  <c r="K145" i="9" s="1"/>
  <c r="K146" i="9" a="1"/>
  <c r="K146" i="9" s="1"/>
  <c r="H148" i="9" a="1"/>
  <c r="H148" i="9" s="1"/>
  <c r="G149" i="9" a="1"/>
  <c r="G149" i="9" s="1"/>
  <c r="F150" i="9" a="1"/>
  <c r="F150" i="9" s="1"/>
  <c r="E151" i="9" a="1"/>
  <c r="E151" i="9" s="1"/>
  <c r="D152" i="9" a="1"/>
  <c r="D152" i="9" s="1"/>
  <c r="K152" i="9" a="1"/>
  <c r="K152" i="9" s="1"/>
  <c r="G154" i="9" a="1"/>
  <c r="G154" i="9" s="1"/>
  <c r="F155" i="9" a="1"/>
  <c r="F155" i="9" s="1"/>
  <c r="K156" i="9" a="1"/>
  <c r="K156" i="9" s="1"/>
  <c r="J157" i="9" a="1"/>
  <c r="J157" i="9" s="1"/>
  <c r="I158" i="9" a="1"/>
  <c r="I158" i="9" s="1"/>
  <c r="F160" i="9" a="1"/>
  <c r="F160" i="9" s="1"/>
  <c r="D161" i="9" a="1"/>
  <c r="D161" i="9" s="1"/>
  <c r="J161" i="9" a="1"/>
  <c r="J161" i="9" s="1"/>
  <c r="I162" i="9" a="1"/>
  <c r="I162" i="9" s="1"/>
  <c r="H163" i="9" a="1"/>
  <c r="H163" i="9" s="1"/>
  <c r="G164" i="9" a="1"/>
  <c r="G164" i="9" s="1"/>
  <c r="E165" i="9" a="1"/>
  <c r="E165" i="9" s="1"/>
  <c r="J165" i="9" a="1"/>
  <c r="J165" i="9" s="1"/>
  <c r="J166" i="9" a="1"/>
  <c r="J166" i="9" s="1"/>
  <c r="H167" i="9" a="1"/>
  <c r="H167" i="9" s="1"/>
  <c r="G168" i="9" a="1"/>
  <c r="G168" i="9" s="1"/>
  <c r="F169" i="9" a="1"/>
  <c r="F169" i="9" s="1"/>
  <c r="F170" i="9" a="1"/>
  <c r="F170" i="9" s="1"/>
  <c r="E171" i="9" a="1"/>
  <c r="E171" i="9" s="1"/>
  <c r="D172" i="9" a="1"/>
  <c r="D172" i="9" s="1"/>
  <c r="I173" i="9" a="1"/>
  <c r="I173" i="9" s="1"/>
  <c r="G175" i="9" a="1"/>
  <c r="G175" i="9" s="1"/>
  <c r="F176" i="9" a="1"/>
  <c r="F176" i="9" s="1"/>
  <c r="D178" i="9" a="1"/>
  <c r="D178" i="9" s="1"/>
  <c r="J178" i="9" a="1"/>
  <c r="J178" i="9" s="1"/>
  <c r="D319" i="9" a="1"/>
  <c r="D319" i="9" s="1"/>
  <c r="H16" i="9" a="1"/>
  <c r="H16" i="9" s="1"/>
  <c r="G28" i="9" a="1"/>
  <c r="G28" i="9" s="1"/>
  <c r="J36" i="9" a="1"/>
  <c r="J36" i="9" s="1"/>
  <c r="D45" i="9" a="1"/>
  <c r="D45" i="9" s="1"/>
  <c r="K52" i="9" a="1"/>
  <c r="K52" i="9" s="1"/>
  <c r="H59" i="9" a="1"/>
  <c r="H59" i="9" s="1"/>
  <c r="J65" i="9" a="1"/>
  <c r="J65" i="9" s="1"/>
  <c r="G71" i="9" a="1"/>
  <c r="G71" i="9" s="1"/>
  <c r="H76" i="9" a="1"/>
  <c r="H76" i="9" s="1"/>
  <c r="I81" i="9" a="1"/>
  <c r="I81" i="9" s="1"/>
  <c r="G85" i="9" a="1"/>
  <c r="G85" i="9" s="1"/>
  <c r="E89" i="9" a="1"/>
  <c r="E89" i="9" s="1"/>
  <c r="J92" i="9" a="1"/>
  <c r="J92" i="9" s="1"/>
  <c r="F96" i="9" a="1"/>
  <c r="F96" i="9" s="1"/>
  <c r="J99" i="9" a="1"/>
  <c r="J99" i="9" s="1"/>
  <c r="I103" i="9" a="1"/>
  <c r="I103" i="9" s="1"/>
  <c r="G107" i="9" a="1"/>
  <c r="G107" i="9" s="1"/>
  <c r="D111" i="9" a="1"/>
  <c r="D111" i="9" s="1"/>
  <c r="K114" i="9" a="1"/>
  <c r="K114" i="9" s="1"/>
  <c r="G118" i="9" a="1"/>
  <c r="G118" i="9" s="1"/>
  <c r="E122" i="9" a="1"/>
  <c r="E122" i="9" s="1"/>
  <c r="F124" i="9" a="1"/>
  <c r="F124" i="9" s="1"/>
  <c r="E125" i="9" a="1"/>
  <c r="E125" i="9" s="1"/>
  <c r="D126" i="9" a="1"/>
  <c r="D126" i="9" s="1"/>
  <c r="D127" i="9" a="1"/>
  <c r="D127" i="9" s="1"/>
  <c r="K127" i="9" a="1"/>
  <c r="K127" i="9" s="1"/>
  <c r="J128" i="9" a="1"/>
  <c r="J128" i="9" s="1"/>
  <c r="J129" i="9" a="1"/>
  <c r="J129" i="9" s="1"/>
  <c r="I130" i="9" a="1"/>
  <c r="I130" i="9" s="1"/>
  <c r="H131" i="9" a="1"/>
  <c r="H131" i="9" s="1"/>
  <c r="G133" i="9" a="1"/>
  <c r="G133" i="9" s="1"/>
  <c r="F134" i="9" a="1"/>
  <c r="F134" i="9" s="1"/>
  <c r="F135" i="9" a="1"/>
  <c r="F135" i="9" s="1"/>
  <c r="F136" i="9" a="1"/>
  <c r="F136" i="9" s="1"/>
  <c r="E137" i="9" a="1"/>
  <c r="E137" i="9" s="1"/>
  <c r="E138" i="9" a="1"/>
  <c r="E138" i="9" s="1"/>
  <c r="D139" i="9" a="1"/>
  <c r="D139" i="9" s="1"/>
  <c r="D140" i="9" a="1"/>
  <c r="D140" i="9" s="1"/>
  <c r="K140" i="9" a="1"/>
  <c r="K140" i="9" s="1"/>
  <c r="K141" i="9" a="1"/>
  <c r="K141" i="9" s="1"/>
  <c r="K142" i="9" a="1"/>
  <c r="K142" i="9" s="1"/>
  <c r="J143" i="9" a="1"/>
  <c r="J143" i="9" s="1"/>
  <c r="H144" i="9" a="1"/>
  <c r="H144" i="9" s="1"/>
  <c r="F145" i="9" a="1"/>
  <c r="F145" i="9" s="1"/>
  <c r="D146" i="9" a="1"/>
  <c r="D146" i="9" s="1"/>
  <c r="J147" i="9" a="1"/>
  <c r="J147" i="9" s="1"/>
  <c r="I148" i="9" a="1"/>
  <c r="I148" i="9" s="1"/>
  <c r="E152" i="9" a="1"/>
  <c r="E152" i="9" s="1"/>
  <c r="D153" i="9" a="1"/>
  <c r="D153" i="9" s="1"/>
  <c r="I153" i="9" a="1"/>
  <c r="I153" i="9" s="1"/>
  <c r="H154" i="9" a="1"/>
  <c r="H154" i="9" s="1"/>
  <c r="G155" i="9" a="1"/>
  <c r="G155" i="9" s="1"/>
  <c r="E156" i="9" a="1"/>
  <c r="E156" i="9" s="1"/>
  <c r="D157" i="9" a="1"/>
  <c r="D157" i="9" s="1"/>
  <c r="K157" i="9" a="1"/>
  <c r="K157" i="9" s="1"/>
  <c r="J158" i="9" a="1"/>
  <c r="J158" i="9" s="1"/>
  <c r="H159" i="9" a="1"/>
  <c r="H159" i="9" s="1"/>
  <c r="K161" i="9" a="1"/>
  <c r="K161" i="9" s="1"/>
  <c r="J162" i="9" a="1"/>
  <c r="J162" i="9" s="1"/>
  <c r="I163" i="9" a="1"/>
  <c r="I163" i="9" s="1"/>
  <c r="E18" i="9" a="1"/>
  <c r="E18" i="9" s="1"/>
  <c r="H29" i="9" a="1"/>
  <c r="H29" i="9" s="1"/>
  <c r="I37" i="9" a="1"/>
  <c r="I37" i="9" s="1"/>
  <c r="E46" i="9" a="1"/>
  <c r="E46" i="9" s="1"/>
  <c r="F60" i="9" a="1"/>
  <c r="F60" i="9" s="1"/>
  <c r="I66" i="9" a="1"/>
  <c r="I66" i="9" s="1"/>
  <c r="E72" i="9" a="1"/>
  <c r="E72" i="9" s="1"/>
  <c r="E77" i="9" a="1"/>
  <c r="E77" i="9" s="1"/>
  <c r="E82" i="9" a="1"/>
  <c r="E82" i="9" s="1"/>
  <c r="K85" i="9" a="1"/>
  <c r="K85" i="9" s="1"/>
  <c r="I89" i="9" a="1"/>
  <c r="I89" i="9" s="1"/>
  <c r="F93" i="9" a="1"/>
  <c r="F93" i="9" s="1"/>
  <c r="J96" i="9" a="1"/>
  <c r="J96" i="9" s="1"/>
  <c r="F100" i="9" a="1"/>
  <c r="F100" i="9" s="1"/>
  <c r="E104" i="9" a="1"/>
  <c r="E104" i="9" s="1"/>
  <c r="J107" i="9" a="1"/>
  <c r="J107" i="9" s="1"/>
  <c r="H111" i="9" a="1"/>
  <c r="H111" i="9" s="1"/>
  <c r="F115" i="9" a="1"/>
  <c r="F115" i="9" s="1"/>
  <c r="K118" i="9" a="1"/>
  <c r="K118" i="9" s="1"/>
  <c r="I122" i="9" a="1"/>
  <c r="I122" i="9" s="1"/>
  <c r="F125" i="9" a="1"/>
  <c r="F125" i="9" s="1"/>
  <c r="E126" i="9" a="1"/>
  <c r="E126" i="9" s="1"/>
  <c r="K128" i="9" a="1"/>
  <c r="K128" i="9" s="1"/>
  <c r="K129" i="9" a="1"/>
  <c r="K129" i="9" s="1"/>
  <c r="I131" i="9" a="1"/>
  <c r="I131" i="9" s="1"/>
  <c r="H132" i="9" a="1"/>
  <c r="H132" i="9" s="1"/>
  <c r="H133" i="9" a="1"/>
  <c r="H133" i="9" s="1"/>
  <c r="G134" i="9" a="1"/>
  <c r="G134" i="9" s="1"/>
  <c r="G135" i="9" a="1"/>
  <c r="G135" i="9" s="1"/>
  <c r="G136" i="9" a="1"/>
  <c r="G136" i="9" s="1"/>
  <c r="F137" i="9" a="1"/>
  <c r="F137" i="9" s="1"/>
  <c r="F138" i="9" a="1"/>
  <c r="F138" i="9" s="1"/>
  <c r="E139" i="9" a="1"/>
  <c r="E139" i="9" s="1"/>
  <c r="E140" i="9" a="1"/>
  <c r="E140" i="9" s="1"/>
  <c r="D141" i="9" a="1"/>
  <c r="D141" i="9" s="1"/>
  <c r="D142" i="9" a="1"/>
  <c r="D142" i="9" s="1"/>
  <c r="D143" i="9" a="1"/>
  <c r="D143" i="9" s="1"/>
  <c r="K143" i="9" a="1"/>
  <c r="K143" i="9" s="1"/>
  <c r="I144" i="9" a="1"/>
  <c r="I144" i="9" s="1"/>
  <c r="E146" i="9" a="1"/>
  <c r="E146" i="9" s="1"/>
  <c r="D147" i="9" a="1"/>
  <c r="D147" i="9" s="1"/>
  <c r="K147" i="9" a="1"/>
  <c r="K147" i="9" s="1"/>
  <c r="H149" i="9" a="1"/>
  <c r="H149" i="9" s="1"/>
  <c r="G150" i="9" a="1"/>
  <c r="G150" i="9" s="1"/>
  <c r="F151" i="9" a="1"/>
  <c r="F151" i="9" s="1"/>
  <c r="F152" i="9" a="1"/>
  <c r="F152" i="9" s="1"/>
  <c r="J153" i="9" a="1"/>
  <c r="J153" i="9" s="1"/>
  <c r="I154" i="9" a="1"/>
  <c r="I154" i="9" s="1"/>
  <c r="H155" i="9" a="1"/>
  <c r="H155" i="9" s="1"/>
  <c r="F156" i="9" a="1"/>
  <c r="F156" i="9" s="1"/>
  <c r="E157" i="9" a="1"/>
  <c r="E157" i="9" s="1"/>
  <c r="D158" i="9" a="1"/>
  <c r="D158" i="9" s="1"/>
  <c r="K158" i="9" a="1"/>
  <c r="K158" i="9" s="1"/>
  <c r="I159" i="9" a="1"/>
  <c r="I159" i="9" s="1"/>
  <c r="G160" i="9" a="1"/>
  <c r="G160" i="9" s="1"/>
  <c r="E161" i="9" a="1"/>
  <c r="E161" i="9" s="1"/>
  <c r="K162" i="9" a="1"/>
  <c r="K162" i="9" s="1"/>
  <c r="J163" i="9" a="1"/>
  <c r="J163" i="9" s="1"/>
  <c r="F165" i="9" a="1"/>
  <c r="F165" i="9" s="1"/>
  <c r="D166" i="9" a="1"/>
  <c r="D166" i="9" s="1"/>
  <c r="D167" i="9" a="1"/>
  <c r="D167" i="9" s="1"/>
  <c r="J167" i="9" a="1"/>
  <c r="J167" i="9" s="1"/>
  <c r="I168" i="9" a="1"/>
  <c r="I168" i="9" s="1"/>
  <c r="H169" i="9" a="1"/>
  <c r="H169" i="9" s="1"/>
  <c r="G170" i="9" a="1"/>
  <c r="G170" i="9" s="1"/>
  <c r="G171" i="9" a="1"/>
  <c r="G171" i="9" s="1"/>
  <c r="F172" i="9" a="1"/>
  <c r="F172" i="9" s="1"/>
  <c r="I19" i="9" a="1"/>
  <c r="I19" i="9" s="1"/>
  <c r="G30" i="9" a="1"/>
  <c r="G30" i="9" s="1"/>
  <c r="J38" i="9" a="1"/>
  <c r="J38" i="9" s="1"/>
  <c r="F47" i="9" a="1"/>
  <c r="F47" i="9" s="1"/>
  <c r="D61" i="9" a="1"/>
  <c r="D61" i="9" s="1"/>
  <c r="G67" i="9" a="1"/>
  <c r="G67" i="9" s="1"/>
  <c r="J72" i="9" a="1"/>
  <c r="J72" i="9" s="1"/>
  <c r="J77" i="9" a="1"/>
  <c r="J77" i="9" s="1"/>
  <c r="I82" i="9" a="1"/>
  <c r="I82" i="9" s="1"/>
  <c r="F86" i="9" a="1"/>
  <c r="F86" i="9" s="1"/>
  <c r="D90" i="9" a="1"/>
  <c r="D90" i="9" s="1"/>
  <c r="I93" i="9" a="1"/>
  <c r="I93" i="9" s="1"/>
  <c r="E97" i="9" a="1"/>
  <c r="E97" i="9" s="1"/>
  <c r="J100" i="9" a="1"/>
  <c r="J100" i="9" s="1"/>
  <c r="I104" i="9" a="1"/>
  <c r="I104" i="9" s="1"/>
  <c r="F108" i="9" a="1"/>
  <c r="F108" i="9" s="1"/>
  <c r="D112" i="9" a="1"/>
  <c r="D112" i="9" s="1"/>
  <c r="J115" i="9" a="1"/>
  <c r="J115" i="9" s="1"/>
  <c r="G119" i="9" a="1"/>
  <c r="G119" i="9" s="1"/>
  <c r="E123" i="9" a="1"/>
  <c r="E123" i="9" s="1"/>
  <c r="G124" i="9" a="1"/>
  <c r="G124" i="9" s="1"/>
  <c r="F126" i="9" a="1"/>
  <c r="F126" i="9" s="1"/>
  <c r="E127" i="9" a="1"/>
  <c r="E127" i="9" s="1"/>
  <c r="D128" i="9" a="1"/>
  <c r="D128" i="9" s="1"/>
  <c r="D129" i="9" a="1"/>
  <c r="D129" i="9" s="1"/>
  <c r="D130" i="9" a="1"/>
  <c r="D130" i="9" s="1"/>
  <c r="J130" i="9" a="1"/>
  <c r="J130" i="9" s="1"/>
  <c r="J131" i="9" a="1"/>
  <c r="J131" i="9" s="1"/>
  <c r="I132" i="9" a="1"/>
  <c r="I132" i="9" s="1"/>
  <c r="I133" i="9" a="1"/>
  <c r="I133" i="9" s="1"/>
  <c r="H134" i="9" a="1"/>
  <c r="H134" i="9" s="1"/>
  <c r="H135" i="9" a="1"/>
  <c r="H135" i="9" s="1"/>
  <c r="H136" i="9" a="1"/>
  <c r="H136" i="9" s="1"/>
  <c r="G137" i="9" a="1"/>
  <c r="G137" i="9" s="1"/>
  <c r="G138" i="9" a="1"/>
  <c r="G138" i="9" s="1"/>
  <c r="F139" i="9" a="1"/>
  <c r="F139" i="9" s="1"/>
  <c r="F140" i="9" a="1"/>
  <c r="F140" i="9" s="1"/>
  <c r="E141" i="9" a="1"/>
  <c r="E141" i="9" s="1"/>
  <c r="E142" i="9" a="1"/>
  <c r="E142" i="9" s="1"/>
  <c r="G145" i="9" a="1"/>
  <c r="G145" i="9" s="1"/>
  <c r="F146" i="9" a="1"/>
  <c r="F146" i="9" s="1"/>
  <c r="E147" i="9" a="1"/>
  <c r="E147" i="9" s="1"/>
  <c r="J148" i="9" a="1"/>
  <c r="J148" i="9" s="1"/>
  <c r="I149" i="9" a="1"/>
  <c r="I149" i="9" s="1"/>
  <c r="H150" i="9" a="1"/>
  <c r="H150" i="9" s="1"/>
  <c r="G151" i="9" a="1"/>
  <c r="G151" i="9" s="1"/>
  <c r="G152" i="9" a="1"/>
  <c r="G152" i="9" s="1"/>
  <c r="E153" i="9" a="1"/>
  <c r="E153" i="9" s="1"/>
  <c r="K153" i="9" a="1"/>
  <c r="K153" i="9" s="1"/>
  <c r="J154" i="9" a="1"/>
  <c r="J154" i="9" s="1"/>
  <c r="I155" i="9" a="1"/>
  <c r="I155" i="9" s="1"/>
  <c r="G156" i="9" a="1"/>
  <c r="G156" i="9" s="1"/>
  <c r="F157" i="9" a="1"/>
  <c r="F157" i="9" s="1"/>
  <c r="D159" i="9" a="1"/>
  <c r="D159" i="9" s="1"/>
  <c r="H160" i="9" a="1"/>
  <c r="H160" i="9" s="1"/>
  <c r="F161" i="9" a="1"/>
  <c r="F161" i="9" s="1"/>
  <c r="D162" i="9" a="1"/>
  <c r="D162" i="9" s="1"/>
  <c r="D163" i="9" a="1"/>
  <c r="D163" i="9" s="1"/>
  <c r="I164" i="9" a="1"/>
  <c r="I164" i="9" s="1"/>
  <c r="G165" i="9" a="1"/>
  <c r="G165" i="9" s="1"/>
  <c r="E166" i="9" a="1"/>
  <c r="E166" i="9" s="1"/>
  <c r="E167" i="9" a="1"/>
  <c r="E167" i="9" s="1"/>
  <c r="K167" i="9" a="1"/>
  <c r="K167" i="9" s="1"/>
  <c r="J168" i="9" a="1"/>
  <c r="J168" i="9" s="1"/>
  <c r="I169" i="9" a="1"/>
  <c r="I169" i="9" s="1"/>
  <c r="H170" i="9" a="1"/>
  <c r="H170" i="9" s="1"/>
  <c r="H171" i="9" a="1"/>
  <c r="H171" i="9" s="1"/>
  <c r="G172" i="9" a="1"/>
  <c r="G172" i="9" s="1"/>
  <c r="E173" i="9" a="1"/>
  <c r="E173" i="9" s="1"/>
  <c r="K173" i="9" a="1"/>
  <c r="K173" i="9" s="1"/>
  <c r="J174" i="9" a="1"/>
  <c r="J174" i="9" s="1"/>
  <c r="I175" i="9" a="1"/>
  <c r="I175" i="9" s="1"/>
  <c r="H176" i="9" a="1"/>
  <c r="H176" i="9" s="1"/>
  <c r="G177" i="9" a="1"/>
  <c r="G177" i="9" s="1"/>
  <c r="F178" i="9" a="1"/>
  <c r="F178" i="9" s="1"/>
  <c r="D21" i="9" a="1"/>
  <c r="D21" i="9" s="1"/>
  <c r="G31" i="9" a="1"/>
  <c r="G31" i="9" s="1"/>
  <c r="K39" i="9" a="1"/>
  <c r="K39" i="9" s="1"/>
  <c r="E48" i="9" a="1"/>
  <c r="E48" i="9" s="1"/>
  <c r="G55" i="9" a="1"/>
  <c r="G55" i="9" s="1"/>
  <c r="J61" i="9" a="1"/>
  <c r="J61" i="9" s="1"/>
  <c r="E68" i="9" a="1"/>
  <c r="E68" i="9" s="1"/>
  <c r="F73" i="9" a="1"/>
  <c r="F73" i="9" s="1"/>
  <c r="H78" i="9" a="1"/>
  <c r="H78" i="9" s="1"/>
  <c r="E83" i="9" a="1"/>
  <c r="E83" i="9" s="1"/>
  <c r="J86" i="9" a="1"/>
  <c r="J86" i="9" s="1"/>
  <c r="H90" i="9" a="1"/>
  <c r="H90" i="9" s="1"/>
  <c r="E94" i="9" a="1"/>
  <c r="E94" i="9" s="1"/>
  <c r="I97" i="9" a="1"/>
  <c r="I97" i="9" s="1"/>
  <c r="F101" i="9" a="1"/>
  <c r="F101" i="9" s="1"/>
  <c r="E105" i="9" a="1"/>
  <c r="E105" i="9" s="1"/>
  <c r="J108" i="9" a="1"/>
  <c r="J108" i="9" s="1"/>
  <c r="H112" i="9" a="1"/>
  <c r="H112" i="9" s="1"/>
  <c r="K119" i="9" a="1"/>
  <c r="K119" i="9" s="1"/>
  <c r="G123" i="9" a="1"/>
  <c r="G123" i="9" s="1"/>
  <c r="H124" i="9" a="1"/>
  <c r="H124" i="9" s="1"/>
  <c r="G125" i="9" a="1"/>
  <c r="G125" i="9" s="1"/>
  <c r="G126" i="9" a="1"/>
  <c r="G126" i="9" s="1"/>
  <c r="F127" i="9" a="1"/>
  <c r="F127" i="9" s="1"/>
  <c r="E128" i="9" a="1"/>
  <c r="E128" i="9" s="1"/>
  <c r="E129" i="9" a="1"/>
  <c r="E129" i="9" s="1"/>
  <c r="E130" i="9" a="1"/>
  <c r="E130" i="9" s="1"/>
  <c r="K130" i="9" a="1"/>
  <c r="K130" i="9" s="1"/>
  <c r="K131" i="9" a="1"/>
  <c r="K131" i="9" s="1"/>
  <c r="J132" i="9" a="1"/>
  <c r="J132" i="9" s="1"/>
  <c r="J133" i="9" a="1"/>
  <c r="J133" i="9" s="1"/>
  <c r="I134" i="9" a="1"/>
  <c r="I134" i="9" s="1"/>
  <c r="I135" i="9" a="1"/>
  <c r="I135" i="9" s="1"/>
  <c r="I136" i="9" a="1"/>
  <c r="I136" i="9" s="1"/>
  <c r="H137" i="9" a="1"/>
  <c r="H137" i="9" s="1"/>
  <c r="H138" i="9" a="1"/>
  <c r="H138" i="9" s="1"/>
  <c r="G139" i="9" a="1"/>
  <c r="G139" i="9" s="1"/>
  <c r="G140" i="9" a="1"/>
  <c r="G140" i="9" s="1"/>
  <c r="F141" i="9" a="1"/>
  <c r="F141" i="9" s="1"/>
  <c r="F142" i="9" a="1"/>
  <c r="F142" i="9" s="1"/>
  <c r="E143" i="9" a="1"/>
  <c r="E143" i="9" s="1"/>
  <c r="D144" i="9" a="1"/>
  <c r="D144" i="9" s="1"/>
  <c r="J144" i="9" a="1"/>
  <c r="J144" i="9" s="1"/>
  <c r="H145" i="9" a="1"/>
  <c r="H145" i="9" s="1"/>
  <c r="G146" i="9" a="1"/>
  <c r="G146" i="9" s="1"/>
  <c r="F147" i="9" a="1"/>
  <c r="F147" i="9" s="1"/>
  <c r="D148" i="9" a="1"/>
  <c r="D148" i="9" s="1"/>
  <c r="K148" i="9" a="1"/>
  <c r="K148" i="9" s="1"/>
  <c r="J149" i="9" a="1"/>
  <c r="J149" i="9" s="1"/>
  <c r="I150" i="9" a="1"/>
  <c r="I150" i="9" s="1"/>
  <c r="H151" i="9" a="1"/>
  <c r="H151" i="9" s="1"/>
  <c r="H152" i="9" a="1"/>
  <c r="H152" i="9" s="1"/>
  <c r="K154" i="9" a="1"/>
  <c r="K154" i="9" s="1"/>
  <c r="J155" i="9" a="1"/>
  <c r="J155" i="9" s="1"/>
  <c r="H156" i="9" a="1"/>
  <c r="H156" i="9" s="1"/>
  <c r="G157" i="9" a="1"/>
  <c r="G157" i="9" s="1"/>
  <c r="E158" i="9" a="1"/>
  <c r="E158" i="9" s="1"/>
  <c r="E159" i="9" a="1"/>
  <c r="E159" i="9" s="1"/>
  <c r="J159" i="9" a="1"/>
  <c r="J159" i="9" s="1"/>
  <c r="I160" i="9" a="1"/>
  <c r="I160" i="9" s="1"/>
  <c r="G161" i="9" a="1"/>
  <c r="G161" i="9" s="1"/>
  <c r="E162" i="9" a="1"/>
  <c r="E162" i="9" s="1"/>
  <c r="E163" i="9" a="1"/>
  <c r="E163" i="9" s="1"/>
  <c r="K163" i="9" a="1"/>
  <c r="K163" i="9" s="1"/>
  <c r="F166" i="9" a="1"/>
  <c r="F166" i="9" s="1"/>
  <c r="D168" i="9" a="1"/>
  <c r="D168" i="9" s="1"/>
  <c r="J169" i="9" a="1"/>
  <c r="J169" i="9" s="1"/>
  <c r="I170" i="9" a="1"/>
  <c r="I170" i="9" s="1"/>
  <c r="I171" i="9" a="1"/>
  <c r="I171" i="9" s="1"/>
  <c r="H172" i="9" a="1"/>
  <c r="H172" i="9" s="1"/>
  <c r="F173" i="9" a="1"/>
  <c r="F173" i="9" s="1"/>
  <c r="D174" i="9" a="1"/>
  <c r="D174" i="9" s="1"/>
  <c r="K174" i="9" a="1"/>
  <c r="K174" i="9" s="1"/>
  <c r="J175" i="9" a="1"/>
  <c r="J175" i="9" s="1"/>
  <c r="I176" i="9" a="1"/>
  <c r="I176" i="9" s="1"/>
  <c r="H177" i="9" a="1"/>
  <c r="H177" i="9" s="1"/>
  <c r="G178" i="9" a="1"/>
  <c r="G178" i="9" s="1"/>
  <c r="D179" i="9" a="1"/>
  <c r="D179" i="9" s="1"/>
  <c r="G32" i="9" a="1"/>
  <c r="G32" i="9" s="1"/>
  <c r="F49" i="9" a="1"/>
  <c r="F49" i="9" s="1"/>
  <c r="F56" i="9" a="1"/>
  <c r="F56" i="9" s="1"/>
  <c r="H62" i="9" a="1"/>
  <c r="H62" i="9" s="1"/>
  <c r="K68" i="9" a="1"/>
  <c r="K68" i="9" s="1"/>
  <c r="D74" i="9" a="1"/>
  <c r="D74" i="9" s="1"/>
  <c r="D79" i="9" a="1"/>
  <c r="D79" i="9" s="1"/>
  <c r="I83" i="9" a="1"/>
  <c r="I83" i="9" s="1"/>
  <c r="E87" i="9" a="1"/>
  <c r="E87" i="9" s="1"/>
  <c r="D91" i="9" a="1"/>
  <c r="D91" i="9" s="1"/>
  <c r="I94" i="9" a="1"/>
  <c r="I94" i="9" s="1"/>
  <c r="D98" i="9" a="1"/>
  <c r="D98" i="9" s="1"/>
  <c r="I101" i="9" a="1"/>
  <c r="I101" i="9" s="1"/>
  <c r="H105" i="9" a="1"/>
  <c r="H105" i="9" s="1"/>
  <c r="E109" i="9" a="1"/>
  <c r="E109" i="9" s="1"/>
  <c r="D113" i="9" a="1"/>
  <c r="D113" i="9" s="1"/>
  <c r="H116" i="9" a="1"/>
  <c r="H116" i="9" s="1"/>
  <c r="G120" i="9" a="1"/>
  <c r="G120" i="9" s="1"/>
  <c r="H123" i="9" a="1"/>
  <c r="H123" i="9" s="1"/>
  <c r="I124" i="9" a="1"/>
  <c r="I124" i="9" s="1"/>
  <c r="H125" i="9" a="1"/>
  <c r="H125" i="9" s="1"/>
  <c r="H126" i="9" a="1"/>
  <c r="H126" i="9" s="1"/>
  <c r="G127" i="9" a="1"/>
  <c r="G127" i="9" s="1"/>
  <c r="F128" i="9" a="1"/>
  <c r="F128" i="9" s="1"/>
  <c r="F129" i="9" a="1"/>
  <c r="F129" i="9" s="1"/>
  <c r="F130" i="9" a="1"/>
  <c r="F130" i="9" s="1"/>
  <c r="D131" i="9" a="1"/>
  <c r="D131" i="9" s="1"/>
  <c r="D132" i="9" a="1"/>
  <c r="D132" i="9" s="1"/>
  <c r="K132" i="9" a="1"/>
  <c r="K132" i="9" s="1"/>
  <c r="K133" i="9" a="1"/>
  <c r="K133" i="9" s="1"/>
  <c r="J134" i="9" a="1"/>
  <c r="J134" i="9" s="1"/>
  <c r="J135" i="9" a="1"/>
  <c r="J135" i="9" s="1"/>
  <c r="J136" i="9" a="1"/>
  <c r="J136" i="9" s="1"/>
  <c r="I137" i="9" a="1"/>
  <c r="I137" i="9" s="1"/>
  <c r="H139" i="9" a="1"/>
  <c r="H139" i="9" s="1"/>
  <c r="H140" i="9" a="1"/>
  <c r="H140" i="9" s="1"/>
  <c r="G141" i="9" a="1"/>
  <c r="G141" i="9" s="1"/>
  <c r="G142" i="9" a="1"/>
  <c r="G142" i="9" s="1"/>
  <c r="F143" i="9" a="1"/>
  <c r="F143" i="9" s="1"/>
  <c r="E144" i="9" a="1"/>
  <c r="E144" i="9" s="1"/>
  <c r="K144" i="9" a="1"/>
  <c r="K144" i="9" s="1"/>
  <c r="I145" i="9" a="1"/>
  <c r="I145" i="9" s="1"/>
  <c r="H146" i="9" a="1"/>
  <c r="H146" i="9" s="1"/>
  <c r="G147" i="9" a="1"/>
  <c r="G147" i="9" s="1"/>
  <c r="E148" i="9" a="1"/>
  <c r="E148" i="9" s="1"/>
  <c r="D149" i="9" a="1"/>
  <c r="D149" i="9" s="1"/>
  <c r="K149" i="9" a="1"/>
  <c r="K149" i="9" s="1"/>
  <c r="J150" i="9" a="1"/>
  <c r="J150" i="9" s="1"/>
  <c r="I151" i="9" a="1"/>
  <c r="I151" i="9" s="1"/>
  <c r="F153" i="9" a="1"/>
  <c r="F153" i="9" s="1"/>
  <c r="D154" i="9" a="1"/>
  <c r="D154" i="9" s="1"/>
  <c r="I156" i="9" a="1"/>
  <c r="I156" i="9" s="1"/>
  <c r="H157" i="9" a="1"/>
  <c r="H157" i="9" s="1"/>
  <c r="F158" i="9" a="1"/>
  <c r="F158" i="9" s="1"/>
  <c r="F159" i="9" a="1"/>
  <c r="F159" i="9" s="1"/>
  <c r="K159" i="9" a="1"/>
  <c r="K159" i="9" s="1"/>
  <c r="H161" i="9" a="1"/>
  <c r="H161" i="9" s="1"/>
  <c r="F162" i="9" a="1"/>
  <c r="F162" i="9" s="1"/>
  <c r="D164" i="9" a="1"/>
  <c r="D164" i="9" s="1"/>
  <c r="J164" i="9" a="1"/>
  <c r="J164" i="9" s="1"/>
  <c r="H165" i="9" a="1"/>
  <c r="H165" i="9" s="1"/>
  <c r="G166" i="9" a="1"/>
  <c r="G166" i="9" s="1"/>
  <c r="F167" i="9" a="1"/>
  <c r="F167" i="9" s="1"/>
  <c r="K168" i="9" a="1"/>
  <c r="K168" i="9" s="1"/>
  <c r="K169" i="9" a="1"/>
  <c r="K169" i="9" s="1"/>
  <c r="J170" i="9" a="1"/>
  <c r="J170" i="9" s="1"/>
  <c r="J171" i="9" a="1"/>
  <c r="J171" i="9" s="1"/>
  <c r="I172" i="9" a="1"/>
  <c r="I172" i="9" s="1"/>
  <c r="G173" i="9" a="1"/>
  <c r="G173" i="9" s="1"/>
  <c r="I25" i="9" a="1"/>
  <c r="I25" i="9" s="1"/>
  <c r="J57" i="9" a="1"/>
  <c r="J57" i="9" s="1"/>
  <c r="G95" i="9" a="1"/>
  <c r="G95" i="9" s="1"/>
  <c r="E110" i="9" a="1"/>
  <c r="E110" i="9" s="1"/>
  <c r="D124" i="9" a="1"/>
  <c r="D124" i="9" s="1"/>
  <c r="I127" i="9" a="1"/>
  <c r="I127" i="9" s="1"/>
  <c r="F131" i="9" a="1"/>
  <c r="F131" i="9" s="1"/>
  <c r="D135" i="9" a="1"/>
  <c r="D135" i="9" s="1"/>
  <c r="J138" i="9" a="1"/>
  <c r="J138" i="9" s="1"/>
  <c r="I142" i="9" a="1"/>
  <c r="I142" i="9" s="1"/>
  <c r="J145" i="9" a="1"/>
  <c r="J145" i="9" s="1"/>
  <c r="F149" i="9" a="1"/>
  <c r="F149" i="9" s="1"/>
  <c r="J152" i="9" a="1"/>
  <c r="J152" i="9" s="1"/>
  <c r="D156" i="9" a="1"/>
  <c r="D156" i="9" s="1"/>
  <c r="G159" i="9" a="1"/>
  <c r="G159" i="9" s="1"/>
  <c r="H162" i="9" a="1"/>
  <c r="H162" i="9" s="1"/>
  <c r="D170" i="9" a="1"/>
  <c r="D170" i="9" s="1"/>
  <c r="E172" i="9" a="1"/>
  <c r="E172" i="9" s="1"/>
  <c r="J173" i="9" a="1"/>
  <c r="J173" i="9" s="1"/>
  <c r="F175" i="9" a="1"/>
  <c r="F175" i="9" s="1"/>
  <c r="J176" i="9" a="1"/>
  <c r="J176" i="9" s="1"/>
  <c r="F179" i="9" a="1"/>
  <c r="F179" i="9" s="1"/>
  <c r="E180" i="9" a="1"/>
  <c r="E180" i="9" s="1"/>
  <c r="K180" i="9" a="1"/>
  <c r="K180" i="9" s="1"/>
  <c r="J181" i="9" a="1"/>
  <c r="J181" i="9" s="1"/>
  <c r="H182" i="9" a="1"/>
  <c r="H182" i="9" s="1"/>
  <c r="G183" i="9" a="1"/>
  <c r="G183" i="9" s="1"/>
  <c r="E185" i="9" a="1"/>
  <c r="E185" i="9" s="1"/>
  <c r="J186" i="9" a="1"/>
  <c r="J186" i="9" s="1"/>
  <c r="H188" i="9" a="1"/>
  <c r="H188" i="9" s="1"/>
  <c r="F189" i="9" a="1"/>
  <c r="F189" i="9" s="1"/>
  <c r="E190" i="9" a="1"/>
  <c r="E190" i="9" s="1"/>
  <c r="D191" i="9" a="1"/>
  <c r="D191" i="9" s="1"/>
  <c r="K191" i="9" a="1"/>
  <c r="K191" i="9" s="1"/>
  <c r="J192" i="9" a="1"/>
  <c r="J192" i="9" s="1"/>
  <c r="I193" i="9" a="1"/>
  <c r="I193" i="9" s="1"/>
  <c r="H194" i="9" a="1"/>
  <c r="H194" i="9" s="1"/>
  <c r="G195" i="9" a="1"/>
  <c r="G195" i="9" s="1"/>
  <c r="F196" i="9" a="1"/>
  <c r="F196" i="9" s="1"/>
  <c r="E197" i="9" a="1"/>
  <c r="E197" i="9" s="1"/>
  <c r="E198" i="9" a="1"/>
  <c r="E198" i="9" s="1"/>
  <c r="E199" i="9" a="1"/>
  <c r="E199" i="9" s="1"/>
  <c r="D200" i="9" a="1"/>
  <c r="D200" i="9" s="1"/>
  <c r="K200" i="9" a="1"/>
  <c r="K200" i="9" s="1"/>
  <c r="J201" i="9" a="1"/>
  <c r="J201" i="9" s="1"/>
  <c r="I202" i="9" a="1"/>
  <c r="I202" i="9" s="1"/>
  <c r="H203" i="9" a="1"/>
  <c r="H203" i="9" s="1"/>
  <c r="F204" i="9" a="1"/>
  <c r="F204" i="9" s="1"/>
  <c r="E205" i="9" a="1"/>
  <c r="E205" i="9" s="1"/>
  <c r="D206" i="9" a="1"/>
  <c r="D206" i="9" s="1"/>
  <c r="K206" i="9" a="1"/>
  <c r="K206" i="9" s="1"/>
  <c r="J207" i="9" a="1"/>
  <c r="J207" i="9" s="1"/>
  <c r="I208" i="9" a="1"/>
  <c r="I208" i="9" s="1"/>
  <c r="I209" i="9" a="1"/>
  <c r="I209" i="9" s="1"/>
  <c r="H210" i="9" a="1"/>
  <c r="H210" i="9" s="1"/>
  <c r="H211" i="9" a="1"/>
  <c r="H211" i="9" s="1"/>
  <c r="H212" i="9" a="1"/>
  <c r="H212" i="9" s="1"/>
  <c r="H213" i="9" a="1"/>
  <c r="H213" i="9" s="1"/>
  <c r="H214" i="9" a="1"/>
  <c r="H214" i="9" s="1"/>
  <c r="G215" i="9" a="1"/>
  <c r="G215" i="9" s="1"/>
  <c r="G216" i="9" a="1"/>
  <c r="G216" i="9" s="1"/>
  <c r="F217" i="9" a="1"/>
  <c r="F217" i="9" s="1"/>
  <c r="E218" i="9" a="1"/>
  <c r="E218" i="9" s="1"/>
  <c r="E219" i="9" a="1"/>
  <c r="E219" i="9" s="1"/>
  <c r="E220" i="9" a="1"/>
  <c r="E220" i="9" s="1"/>
  <c r="E221" i="9" a="1"/>
  <c r="E221" i="9" s="1"/>
  <c r="D222" i="9" a="1"/>
  <c r="D222" i="9" s="1"/>
  <c r="D223" i="9" a="1"/>
  <c r="D223" i="9" s="1"/>
  <c r="K223" i="9" a="1"/>
  <c r="K223" i="9" s="1"/>
  <c r="I224" i="9" a="1"/>
  <c r="I224" i="9" s="1"/>
  <c r="I225" i="9" a="1"/>
  <c r="I225" i="9" s="1"/>
  <c r="H226" i="9" a="1"/>
  <c r="H226" i="9" s="1"/>
  <c r="H227" i="9" a="1"/>
  <c r="H227" i="9" s="1"/>
  <c r="H228" i="9" a="1"/>
  <c r="H228" i="9" s="1"/>
  <c r="G229" i="9" a="1"/>
  <c r="G229" i="9" s="1"/>
  <c r="G230" i="9" a="1"/>
  <c r="G230" i="9" s="1"/>
  <c r="G231" i="9" a="1"/>
  <c r="G231" i="9" s="1"/>
  <c r="G232" i="9" a="1"/>
  <c r="G232" i="9" s="1"/>
  <c r="G233" i="9" a="1"/>
  <c r="G233" i="9" s="1"/>
  <c r="G33" i="9" a="1"/>
  <c r="G33" i="9" s="1"/>
  <c r="G63" i="9" a="1"/>
  <c r="G63" i="9" s="1"/>
  <c r="D84" i="9" a="1"/>
  <c r="D84" i="9" s="1"/>
  <c r="H98" i="9" a="1"/>
  <c r="H98" i="9" s="1"/>
  <c r="G113" i="9" a="1"/>
  <c r="G113" i="9" s="1"/>
  <c r="J124" i="9" a="1"/>
  <c r="J124" i="9" s="1"/>
  <c r="G128" i="9" a="1"/>
  <c r="G128" i="9" s="1"/>
  <c r="E132" i="9" a="1"/>
  <c r="E132" i="9" s="1"/>
  <c r="K135" i="9" a="1"/>
  <c r="K135" i="9" s="1"/>
  <c r="I139" i="9" a="1"/>
  <c r="I139" i="9" s="1"/>
  <c r="G143" i="9" a="1"/>
  <c r="G143" i="9" s="1"/>
  <c r="I146" i="9" a="1"/>
  <c r="I146" i="9" s="1"/>
  <c r="D150" i="9" a="1"/>
  <c r="D150" i="9" s="1"/>
  <c r="G153" i="9" a="1"/>
  <c r="G153" i="9" s="1"/>
  <c r="J156" i="9" a="1"/>
  <c r="J156" i="9" s="1"/>
  <c r="D160" i="9" a="1"/>
  <c r="D160" i="9" s="1"/>
  <c r="F163" i="9" a="1"/>
  <c r="F163" i="9" s="1"/>
  <c r="I165" i="9" a="1"/>
  <c r="I165" i="9" s="1"/>
  <c r="I167" i="9" a="1"/>
  <c r="I167" i="9" s="1"/>
  <c r="E170" i="9" a="1"/>
  <c r="E170" i="9" s="1"/>
  <c r="E174" i="9" a="1"/>
  <c r="E174" i="9" s="1"/>
  <c r="K176" i="9" a="1"/>
  <c r="K176" i="9" s="1"/>
  <c r="E178" i="9" a="1"/>
  <c r="E178" i="9" s="1"/>
  <c r="G179" i="9" a="1"/>
  <c r="G179" i="9" s="1"/>
  <c r="F180" i="9" a="1"/>
  <c r="F180" i="9" s="1"/>
  <c r="D181" i="9" a="1"/>
  <c r="D181" i="9" s="1"/>
  <c r="K181" i="9" a="1"/>
  <c r="K181" i="9" s="1"/>
  <c r="I182" i="9" a="1"/>
  <c r="I182" i="9" s="1"/>
  <c r="H183" i="9" a="1"/>
  <c r="H183" i="9" s="1"/>
  <c r="G184" i="9" a="1"/>
  <c r="G184" i="9" s="1"/>
  <c r="D186" i="9" a="1"/>
  <c r="D186" i="9" s="1"/>
  <c r="K186" i="9" a="1"/>
  <c r="K186" i="9" s="1"/>
  <c r="J187" i="9" a="1"/>
  <c r="J187" i="9" s="1"/>
  <c r="G189" i="9" a="1"/>
  <c r="G189" i="9" s="1"/>
  <c r="F190" i="9" a="1"/>
  <c r="F190" i="9" s="1"/>
  <c r="E191" i="9" a="1"/>
  <c r="E191" i="9" s="1"/>
  <c r="D192" i="9" a="1"/>
  <c r="D192" i="9" s="1"/>
  <c r="K192" i="9" a="1"/>
  <c r="K192" i="9" s="1"/>
  <c r="J193" i="9" a="1"/>
  <c r="J193" i="9" s="1"/>
  <c r="I194" i="9" a="1"/>
  <c r="I194" i="9" s="1"/>
  <c r="H195" i="9" a="1"/>
  <c r="H195" i="9" s="1"/>
  <c r="G196" i="9" a="1"/>
  <c r="G196" i="9" s="1"/>
  <c r="F197" i="9" a="1"/>
  <c r="F197" i="9" s="1"/>
  <c r="F198" i="9" a="1"/>
  <c r="F198" i="9" s="1"/>
  <c r="F199" i="9" a="1"/>
  <c r="F199" i="9" s="1"/>
  <c r="E200" i="9" a="1"/>
  <c r="E200" i="9" s="1"/>
  <c r="D201" i="9" a="1"/>
  <c r="D201" i="9" s="1"/>
  <c r="K201" i="9" a="1"/>
  <c r="K201" i="9" s="1"/>
  <c r="J202" i="9" a="1"/>
  <c r="J202" i="9" s="1"/>
  <c r="I203" i="9" a="1"/>
  <c r="I203" i="9" s="1"/>
  <c r="G204" i="9" a="1"/>
  <c r="G204" i="9" s="1"/>
  <c r="F205" i="9" a="1"/>
  <c r="F205" i="9" s="1"/>
  <c r="E206" i="9" a="1"/>
  <c r="E206" i="9" s="1"/>
  <c r="D207" i="9" a="1"/>
  <c r="D207" i="9" s="1"/>
  <c r="K207" i="9" a="1"/>
  <c r="K207" i="9" s="1"/>
  <c r="J208" i="9" a="1"/>
  <c r="J208" i="9" s="1"/>
  <c r="J209" i="9" a="1"/>
  <c r="J209" i="9" s="1"/>
  <c r="I210" i="9" a="1"/>
  <c r="I210" i="9" s="1"/>
  <c r="I211" i="9" a="1"/>
  <c r="I211" i="9" s="1"/>
  <c r="I212" i="9" a="1"/>
  <c r="I212" i="9" s="1"/>
  <c r="I213" i="9" a="1"/>
  <c r="I213" i="9" s="1"/>
  <c r="I214" i="9" a="1"/>
  <c r="I214" i="9" s="1"/>
  <c r="H215" i="9" a="1"/>
  <c r="H215" i="9" s="1"/>
  <c r="H216" i="9" a="1"/>
  <c r="H216" i="9" s="1"/>
  <c r="G217" i="9" a="1"/>
  <c r="G217" i="9" s="1"/>
  <c r="F218" i="9" a="1"/>
  <c r="F218" i="9" s="1"/>
  <c r="F219" i="9" a="1"/>
  <c r="F219" i="9" s="1"/>
  <c r="F220" i="9" a="1"/>
  <c r="F220" i="9" s="1"/>
  <c r="F221" i="9" a="1"/>
  <c r="F221" i="9" s="1"/>
  <c r="E222" i="9" a="1"/>
  <c r="E222" i="9" s="1"/>
  <c r="E223" i="9" a="1"/>
  <c r="E223" i="9" s="1"/>
  <c r="H34" i="9" a="1"/>
  <c r="H34" i="9" s="1"/>
  <c r="H84" i="9" a="1"/>
  <c r="H84" i="9" s="1"/>
  <c r="K98" i="9" a="1"/>
  <c r="K98" i="9" s="1"/>
  <c r="K113" i="9" a="1"/>
  <c r="K113" i="9" s="1"/>
  <c r="K124" i="9" a="1"/>
  <c r="K124" i="9" s="1"/>
  <c r="H128" i="9" a="1"/>
  <c r="H128" i="9" s="1"/>
  <c r="F132" i="9" a="1"/>
  <c r="F132" i="9" s="1"/>
  <c r="D136" i="9" a="1"/>
  <c r="D136" i="9" s="1"/>
  <c r="J139" i="9" a="1"/>
  <c r="J139" i="9" s="1"/>
  <c r="H143" i="9" a="1"/>
  <c r="H143" i="9" s="1"/>
  <c r="J146" i="9" a="1"/>
  <c r="J146" i="9" s="1"/>
  <c r="E150" i="9" a="1"/>
  <c r="E150" i="9" s="1"/>
  <c r="H153" i="9" a="1"/>
  <c r="H153" i="9" s="1"/>
  <c r="E160" i="9" a="1"/>
  <c r="E160" i="9" s="1"/>
  <c r="G163" i="9" a="1"/>
  <c r="G163" i="9" s="1"/>
  <c r="E168" i="9" a="1"/>
  <c r="E168" i="9" s="1"/>
  <c r="J172" i="9" a="1"/>
  <c r="J172" i="9" s="1"/>
  <c r="F174" i="9" a="1"/>
  <c r="F174" i="9" s="1"/>
  <c r="H175" i="9" a="1"/>
  <c r="H175" i="9" s="1"/>
  <c r="D177" i="9" a="1"/>
  <c r="D177" i="9" s="1"/>
  <c r="H179" i="9" a="1"/>
  <c r="H179" i="9" s="1"/>
  <c r="G180" i="9" a="1"/>
  <c r="G180" i="9" s="1"/>
  <c r="E181" i="9" a="1"/>
  <c r="E181" i="9" s="1"/>
  <c r="D182" i="9" a="1"/>
  <c r="D182" i="9" s="1"/>
  <c r="J182" i="9" a="1"/>
  <c r="J182" i="9" s="1"/>
  <c r="I183" i="9" a="1"/>
  <c r="I183" i="9" s="1"/>
  <c r="H184" i="9" a="1"/>
  <c r="H184" i="9" s="1"/>
  <c r="F185" i="9" a="1"/>
  <c r="F185" i="9" s="1"/>
  <c r="E186" i="9" a="1"/>
  <c r="E186" i="9" s="1"/>
  <c r="D187" i="9" a="1"/>
  <c r="D187" i="9" s="1"/>
  <c r="K187" i="9" a="1"/>
  <c r="K187" i="9" s="1"/>
  <c r="I188" i="9" a="1"/>
  <c r="I188" i="9" s="1"/>
  <c r="H189" i="9" a="1"/>
  <c r="H189" i="9" s="1"/>
  <c r="G190" i="9" a="1"/>
  <c r="G190" i="9" s="1"/>
  <c r="E192" i="9" a="1"/>
  <c r="E192" i="9" s="1"/>
  <c r="D193" i="9" a="1"/>
  <c r="D193" i="9" s="1"/>
  <c r="K193" i="9" a="1"/>
  <c r="K193" i="9" s="1"/>
  <c r="J194" i="9" a="1"/>
  <c r="J194" i="9" s="1"/>
  <c r="I195" i="9" a="1"/>
  <c r="I195" i="9" s="1"/>
  <c r="H196" i="9" a="1"/>
  <c r="H196" i="9" s="1"/>
  <c r="G197" i="9" a="1"/>
  <c r="G197" i="9" s="1"/>
  <c r="G198" i="9" a="1"/>
  <c r="G198" i="9" s="1"/>
  <c r="F200" i="9" a="1"/>
  <c r="F200" i="9" s="1"/>
  <c r="E201" i="9" a="1"/>
  <c r="E201" i="9" s="1"/>
  <c r="K202" i="9" a="1"/>
  <c r="K202" i="9" s="1"/>
  <c r="J203" i="9" a="1"/>
  <c r="J203" i="9" s="1"/>
  <c r="H204" i="9" a="1"/>
  <c r="H204" i="9" s="1"/>
  <c r="G205" i="9" a="1"/>
  <c r="G205" i="9" s="1"/>
  <c r="F206" i="9" a="1"/>
  <c r="F206" i="9" s="1"/>
  <c r="E207" i="9" a="1"/>
  <c r="E207" i="9" s="1"/>
  <c r="D208" i="9" a="1"/>
  <c r="D208" i="9" s="1"/>
  <c r="K208" i="9" a="1"/>
  <c r="K208" i="9" s="1"/>
  <c r="K209" i="9" a="1"/>
  <c r="K209" i="9" s="1"/>
  <c r="J210" i="9" a="1"/>
  <c r="J210" i="9" s="1"/>
  <c r="J211" i="9" a="1"/>
  <c r="J211" i="9" s="1"/>
  <c r="J212" i="9" a="1"/>
  <c r="J212" i="9" s="1"/>
  <c r="J213" i="9" a="1"/>
  <c r="J213" i="9" s="1"/>
  <c r="J214" i="9" a="1"/>
  <c r="J214" i="9" s="1"/>
  <c r="I215" i="9" a="1"/>
  <c r="I215" i="9" s="1"/>
  <c r="I216" i="9" a="1"/>
  <c r="I216" i="9" s="1"/>
  <c r="H217" i="9" a="1"/>
  <c r="H217" i="9" s="1"/>
  <c r="G218" i="9" a="1"/>
  <c r="G218" i="9" s="1"/>
  <c r="G219" i="9" a="1"/>
  <c r="G219" i="9" s="1"/>
  <c r="G220" i="9" a="1"/>
  <c r="G220" i="9" s="1"/>
  <c r="G221" i="9" a="1"/>
  <c r="G221" i="9" s="1"/>
  <c r="F222" i="9" a="1"/>
  <c r="F222" i="9" s="1"/>
  <c r="K224" i="9" a="1"/>
  <c r="K224" i="9" s="1"/>
  <c r="K225" i="9" a="1"/>
  <c r="K225" i="9" s="1"/>
  <c r="J226" i="9" a="1"/>
  <c r="J226" i="9" s="1"/>
  <c r="J227" i="9" a="1"/>
  <c r="J227" i="9" s="1"/>
  <c r="J228" i="9" a="1"/>
  <c r="J228" i="9" s="1"/>
  <c r="I229" i="9" a="1"/>
  <c r="I229" i="9" s="1"/>
  <c r="I230" i="9" a="1"/>
  <c r="I230" i="9" s="1"/>
  <c r="I231" i="9" a="1"/>
  <c r="I231" i="9" s="1"/>
  <c r="I232" i="9" a="1"/>
  <c r="I232" i="9" s="1"/>
  <c r="I233" i="9" a="1"/>
  <c r="I233" i="9" s="1"/>
  <c r="K41" i="9" a="1"/>
  <c r="K41" i="9" s="1"/>
  <c r="H69" i="9" a="1"/>
  <c r="H69" i="9" s="1"/>
  <c r="I87" i="9" a="1"/>
  <c r="I87" i="9" s="1"/>
  <c r="E102" i="9" a="1"/>
  <c r="E102" i="9" s="1"/>
  <c r="D117" i="9" a="1"/>
  <c r="D117" i="9" s="1"/>
  <c r="I125" i="9" a="1"/>
  <c r="I125" i="9" s="1"/>
  <c r="G129" i="9" a="1"/>
  <c r="G129" i="9" s="1"/>
  <c r="D133" i="9" a="1"/>
  <c r="D133" i="9" s="1"/>
  <c r="I140" i="9" a="1"/>
  <c r="I140" i="9" s="1"/>
  <c r="F144" i="9" a="1"/>
  <c r="F144" i="9" s="1"/>
  <c r="H147" i="9" a="1"/>
  <c r="H147" i="9" s="1"/>
  <c r="K150" i="9" a="1"/>
  <c r="K150" i="9" s="1"/>
  <c r="E154" i="9" a="1"/>
  <c r="E154" i="9" s="1"/>
  <c r="J160" i="9" a="1"/>
  <c r="J160" i="9" s="1"/>
  <c r="E164" i="9" a="1"/>
  <c r="E164" i="9" s="1"/>
  <c r="K165" i="9" a="1"/>
  <c r="K165" i="9" s="1"/>
  <c r="F168" i="9" a="1"/>
  <c r="F168" i="9" s="1"/>
  <c r="K170" i="9" a="1"/>
  <c r="K170" i="9" s="1"/>
  <c r="K172" i="9" a="1"/>
  <c r="K172" i="9" s="1"/>
  <c r="G174" i="9" a="1"/>
  <c r="G174" i="9" s="1"/>
  <c r="K175" i="9" a="1"/>
  <c r="K175" i="9" s="1"/>
  <c r="E177" i="9" a="1"/>
  <c r="E177" i="9" s="1"/>
  <c r="H178" i="9" a="1"/>
  <c r="H178" i="9" s="1"/>
  <c r="I179" i="9" a="1"/>
  <c r="I179" i="9" s="1"/>
  <c r="H180" i="9" a="1"/>
  <c r="H180" i="9" s="1"/>
  <c r="F181" i="9" a="1"/>
  <c r="F181" i="9" s="1"/>
  <c r="E182" i="9" a="1"/>
  <c r="E182" i="9" s="1"/>
  <c r="K182" i="9" a="1"/>
  <c r="K182" i="9" s="1"/>
  <c r="J183" i="9" a="1"/>
  <c r="J183" i="9" s="1"/>
  <c r="I184" i="9" a="1"/>
  <c r="I184" i="9" s="1"/>
  <c r="G185" i="9" a="1"/>
  <c r="G185" i="9" s="1"/>
  <c r="F186" i="9" a="1"/>
  <c r="F186" i="9" s="1"/>
  <c r="E187" i="9" a="1"/>
  <c r="E187" i="9" s="1"/>
  <c r="F191" i="9" a="1"/>
  <c r="F191" i="9" s="1"/>
  <c r="E193" i="9" a="1"/>
  <c r="E193" i="9" s="1"/>
  <c r="K194" i="9" a="1"/>
  <c r="K194" i="9" s="1"/>
  <c r="J195" i="9" a="1"/>
  <c r="J195" i="9" s="1"/>
  <c r="I196" i="9" a="1"/>
  <c r="I196" i="9" s="1"/>
  <c r="H197" i="9" a="1"/>
  <c r="H197" i="9" s="1"/>
  <c r="H198" i="9" a="1"/>
  <c r="H198" i="9" s="1"/>
  <c r="G199" i="9" a="1"/>
  <c r="G199" i="9" s="1"/>
  <c r="G200" i="9" a="1"/>
  <c r="G200" i="9" s="1"/>
  <c r="F201" i="9" a="1"/>
  <c r="F201" i="9" s="1"/>
  <c r="D202" i="9" a="1"/>
  <c r="D202" i="9" s="1"/>
  <c r="D203" i="9" a="1"/>
  <c r="D203" i="9" s="1"/>
  <c r="G206" i="9" a="1"/>
  <c r="G206" i="9" s="1"/>
  <c r="F207" i="9" a="1"/>
  <c r="F207" i="9" s="1"/>
  <c r="D209" i="9" a="1"/>
  <c r="D209" i="9" s="1"/>
  <c r="D210" i="9" a="1"/>
  <c r="D210" i="9" s="1"/>
  <c r="K210" i="9" a="1"/>
  <c r="K210" i="9" s="1"/>
  <c r="K211" i="9" a="1"/>
  <c r="K211" i="9" s="1"/>
  <c r="K212" i="9" a="1"/>
  <c r="K212" i="9" s="1"/>
  <c r="K213" i="9" a="1"/>
  <c r="K213" i="9" s="1"/>
  <c r="K214" i="9" a="1"/>
  <c r="K214" i="9" s="1"/>
  <c r="J215" i="9" a="1"/>
  <c r="J215" i="9" s="1"/>
  <c r="J216" i="9" a="1"/>
  <c r="J216" i="9" s="1"/>
  <c r="I217" i="9" a="1"/>
  <c r="I217" i="9" s="1"/>
  <c r="H218" i="9" a="1"/>
  <c r="H218" i="9" s="1"/>
  <c r="H219" i="9" a="1"/>
  <c r="H219" i="9" s="1"/>
  <c r="H220" i="9" a="1"/>
  <c r="H220" i="9" s="1"/>
  <c r="H221" i="9" a="1"/>
  <c r="H221" i="9" s="1"/>
  <c r="G222" i="9" a="1"/>
  <c r="G222" i="9" s="1"/>
  <c r="F223" i="9" a="1"/>
  <c r="F223" i="9" s="1"/>
  <c r="E224" i="9" a="1"/>
  <c r="E224" i="9" s="1"/>
  <c r="D225" i="9" a="1"/>
  <c r="D225" i="9" s="1"/>
  <c r="D226" i="9" a="1"/>
  <c r="D226" i="9" s="1"/>
  <c r="K226" i="9" a="1"/>
  <c r="K226" i="9" s="1"/>
  <c r="K227" i="9" a="1"/>
  <c r="K227" i="9" s="1"/>
  <c r="J229" i="9" a="1"/>
  <c r="J229" i="9" s="1"/>
  <c r="J230" i="9" a="1"/>
  <c r="J230" i="9" s="1"/>
  <c r="J231" i="9" a="1"/>
  <c r="J231" i="9" s="1"/>
  <c r="J232" i="9" a="1"/>
  <c r="J232" i="9" s="1"/>
  <c r="J233" i="9" a="1"/>
  <c r="J233" i="9" s="1"/>
  <c r="E43" i="9" a="1"/>
  <c r="E43" i="9" s="1"/>
  <c r="D70" i="9" a="1"/>
  <c r="D70" i="9" s="1"/>
  <c r="E88" i="9" a="1"/>
  <c r="E88" i="9" s="1"/>
  <c r="I102" i="9" a="1"/>
  <c r="I102" i="9" s="1"/>
  <c r="G117" i="9" a="1"/>
  <c r="G117" i="9" s="1"/>
  <c r="J125" i="9" a="1"/>
  <c r="J125" i="9" s="1"/>
  <c r="H129" i="9" a="1"/>
  <c r="H129" i="9" s="1"/>
  <c r="E133" i="9" a="1"/>
  <c r="E133" i="9" s="1"/>
  <c r="K136" i="9" a="1"/>
  <c r="K136" i="9" s="1"/>
  <c r="J140" i="9" a="1"/>
  <c r="J140" i="9" s="1"/>
  <c r="I147" i="9" a="1"/>
  <c r="I147" i="9" s="1"/>
  <c r="D151" i="9" a="1"/>
  <c r="D151" i="9" s="1"/>
  <c r="F154" i="9" a="1"/>
  <c r="F154" i="9" s="1"/>
  <c r="I157" i="9" a="1"/>
  <c r="I157" i="9" s="1"/>
  <c r="K160" i="9" a="1"/>
  <c r="K160" i="9" s="1"/>
  <c r="F164" i="9" a="1"/>
  <c r="F164" i="9" s="1"/>
  <c r="H166" i="9" a="1"/>
  <c r="H166" i="9" s="1"/>
  <c r="H168" i="9" a="1"/>
  <c r="H168" i="9" s="1"/>
  <c r="D171" i="9" a="1"/>
  <c r="D171" i="9" s="1"/>
  <c r="D173" i="9" a="1"/>
  <c r="D173" i="9" s="1"/>
  <c r="H174" i="9" a="1"/>
  <c r="H174" i="9" s="1"/>
  <c r="D176" i="9" a="1"/>
  <c r="D176" i="9" s="1"/>
  <c r="F177" i="9" a="1"/>
  <c r="F177" i="9" s="1"/>
  <c r="I178" i="9" a="1"/>
  <c r="I178" i="9" s="1"/>
  <c r="G181" i="9" a="1"/>
  <c r="G181" i="9" s="1"/>
  <c r="F182" i="9" a="1"/>
  <c r="F182" i="9" s="1"/>
  <c r="D183" i="9" a="1"/>
  <c r="D183" i="9" s="1"/>
  <c r="K183" i="9" a="1"/>
  <c r="K183" i="9" s="1"/>
  <c r="J184" i="9" a="1"/>
  <c r="J184" i="9" s="1"/>
  <c r="H185" i="9" a="1"/>
  <c r="H185" i="9" s="1"/>
  <c r="G186" i="9" a="1"/>
  <c r="G186" i="9" s="1"/>
  <c r="F187" i="9" a="1"/>
  <c r="F187" i="9" s="1"/>
  <c r="D188" i="9" a="1"/>
  <c r="D188" i="9" s="1"/>
  <c r="J188" i="9" a="1"/>
  <c r="J188" i="9" s="1"/>
  <c r="I189" i="9" a="1"/>
  <c r="I189" i="9" s="1"/>
  <c r="H190" i="9" a="1"/>
  <c r="H190" i="9" s="1"/>
  <c r="G191" i="9" a="1"/>
  <c r="G191" i="9" s="1"/>
  <c r="F192" i="9" a="1"/>
  <c r="F192" i="9" s="1"/>
  <c r="D194" i="9" a="1"/>
  <c r="D194" i="9" s="1"/>
  <c r="K195" i="9" a="1"/>
  <c r="K195" i="9" s="1"/>
  <c r="I197" i="9" a="1"/>
  <c r="I197" i="9" s="1"/>
  <c r="I198" i="9" a="1"/>
  <c r="I198" i="9" s="1"/>
  <c r="H199" i="9" a="1"/>
  <c r="H199" i="9" s="1"/>
  <c r="H200" i="9" a="1"/>
  <c r="H200" i="9" s="1"/>
  <c r="G201" i="9" a="1"/>
  <c r="G201" i="9" s="1"/>
  <c r="E202" i="9" a="1"/>
  <c r="E202" i="9" s="1"/>
  <c r="E203" i="9" a="1"/>
  <c r="E203" i="9" s="1"/>
  <c r="K203" i="9" a="1"/>
  <c r="K203" i="9" s="1"/>
  <c r="I204" i="9" a="1"/>
  <c r="I204" i="9" s="1"/>
  <c r="H205" i="9" a="1"/>
  <c r="H205" i="9" s="1"/>
  <c r="H206" i="9" a="1"/>
  <c r="H206" i="9" s="1"/>
  <c r="G207" i="9" a="1"/>
  <c r="G207" i="9" s="1"/>
  <c r="E208" i="9" a="1"/>
  <c r="E208" i="9" s="1"/>
  <c r="E209" i="9" a="1"/>
  <c r="E209" i="9" s="1"/>
  <c r="E210" i="9" a="1"/>
  <c r="E210" i="9" s="1"/>
  <c r="D211" i="9" a="1"/>
  <c r="D211" i="9" s="1"/>
  <c r="D212" i="9" a="1"/>
  <c r="D212" i="9" s="1"/>
  <c r="D213" i="9" a="1"/>
  <c r="D213" i="9" s="1"/>
  <c r="D214" i="9" a="1"/>
  <c r="D214" i="9" s="1"/>
  <c r="D215" i="9" a="1"/>
  <c r="D215" i="9" s="1"/>
  <c r="K215" i="9" a="1"/>
  <c r="K215" i="9" s="1"/>
  <c r="K216" i="9" a="1"/>
  <c r="K216" i="9" s="1"/>
  <c r="J217" i="9" a="1"/>
  <c r="J217" i="9" s="1"/>
  <c r="I218" i="9" a="1"/>
  <c r="I218" i="9" s="1"/>
  <c r="I219" i="9" a="1"/>
  <c r="I219" i="9" s="1"/>
  <c r="I220" i="9" a="1"/>
  <c r="I220" i="9" s="1"/>
  <c r="I221" i="9" a="1"/>
  <c r="I221" i="9" s="1"/>
  <c r="H222" i="9" a="1"/>
  <c r="H222" i="9" s="1"/>
  <c r="G223" i="9" a="1"/>
  <c r="G223" i="9" s="1"/>
  <c r="E225" i="9" a="1"/>
  <c r="E225" i="9" s="1"/>
  <c r="D227" i="9" a="1"/>
  <c r="D227" i="9" s="1"/>
  <c r="D228" i="9" a="1"/>
  <c r="D228" i="9" s="1"/>
  <c r="K228" i="9" a="1"/>
  <c r="K228" i="9" s="1"/>
  <c r="K229" i="9" a="1"/>
  <c r="K229" i="9" s="1"/>
  <c r="K230" i="9" a="1"/>
  <c r="K230" i="9" s="1"/>
  <c r="K231" i="9" a="1"/>
  <c r="K231" i="9" s="1"/>
  <c r="K232" i="9" a="1"/>
  <c r="K232" i="9" s="1"/>
  <c r="F50" i="9" a="1"/>
  <c r="F50" i="9" s="1"/>
  <c r="J74" i="9" a="1"/>
  <c r="J74" i="9" s="1"/>
  <c r="H91" i="9" a="1"/>
  <c r="H91" i="9" s="1"/>
  <c r="D106" i="9" a="1"/>
  <c r="D106" i="9" s="1"/>
  <c r="I126" i="9" a="1"/>
  <c r="I126" i="9" s="1"/>
  <c r="G130" i="9" a="1"/>
  <c r="G130" i="9" s="1"/>
  <c r="D134" i="9" a="1"/>
  <c r="D134" i="9" s="1"/>
  <c r="J137" i="9" a="1"/>
  <c r="J137" i="9" s="1"/>
  <c r="H141" i="9" a="1"/>
  <c r="H141" i="9" s="1"/>
  <c r="F148" i="9" a="1"/>
  <c r="F148" i="9" s="1"/>
  <c r="J151" i="9" a="1"/>
  <c r="J151" i="9" s="1"/>
  <c r="D155" i="9" a="1"/>
  <c r="D155" i="9" s="1"/>
  <c r="G158" i="9" a="1"/>
  <c r="G158" i="9" s="1"/>
  <c r="I161" i="9" a="1"/>
  <c r="I161" i="9" s="1"/>
  <c r="H164" i="9" a="1"/>
  <c r="H164" i="9" s="1"/>
  <c r="I166" i="9" a="1"/>
  <c r="I166" i="9" s="1"/>
  <c r="D169" i="9" a="1"/>
  <c r="D169" i="9" s="1"/>
  <c r="F171" i="9" a="1"/>
  <c r="F171" i="9" s="1"/>
  <c r="H173" i="9" a="1"/>
  <c r="H173" i="9" s="1"/>
  <c r="I174" i="9" a="1"/>
  <c r="I174" i="9" s="1"/>
  <c r="E176" i="9" a="1"/>
  <c r="E176" i="9" s="1"/>
  <c r="I177" i="9" a="1"/>
  <c r="I177" i="9" s="1"/>
  <c r="J179" i="9" a="1"/>
  <c r="J179" i="9" s="1"/>
  <c r="I180" i="9" a="1"/>
  <c r="I180" i="9" s="1"/>
  <c r="H181" i="9" a="1"/>
  <c r="H181" i="9" s="1"/>
  <c r="E183" i="9" a="1"/>
  <c r="E183" i="9" s="1"/>
  <c r="D184" i="9" a="1"/>
  <c r="D184" i="9" s="1"/>
  <c r="K184" i="9" a="1"/>
  <c r="K184" i="9" s="1"/>
  <c r="I185" i="9" a="1"/>
  <c r="I185" i="9" s="1"/>
  <c r="H186" i="9" a="1"/>
  <c r="H186" i="9" s="1"/>
  <c r="G187" i="9" a="1"/>
  <c r="G187" i="9" s="1"/>
  <c r="E188" i="9" a="1"/>
  <c r="E188" i="9" s="1"/>
  <c r="K188" i="9" a="1"/>
  <c r="K188" i="9" s="1"/>
  <c r="J189" i="9" a="1"/>
  <c r="J189" i="9" s="1"/>
  <c r="I190" i="9" a="1"/>
  <c r="I190" i="9" s="1"/>
  <c r="H191" i="9" a="1"/>
  <c r="H191" i="9" s="1"/>
  <c r="G192" i="9" a="1"/>
  <c r="G192" i="9" s="1"/>
  <c r="F193" i="9" a="1"/>
  <c r="F193" i="9" s="1"/>
  <c r="E194" i="9" a="1"/>
  <c r="E194" i="9" s="1"/>
  <c r="D195" i="9" a="1"/>
  <c r="D195" i="9" s="1"/>
  <c r="J196" i="9" a="1"/>
  <c r="J196" i="9" s="1"/>
  <c r="J197" i="9" a="1"/>
  <c r="J197" i="9" s="1"/>
  <c r="J198" i="9" a="1"/>
  <c r="J198" i="9" s="1"/>
  <c r="I199" i="9" a="1"/>
  <c r="I199" i="9" s="1"/>
  <c r="H201" i="9" a="1"/>
  <c r="H201" i="9" s="1"/>
  <c r="F202" i="9" a="1"/>
  <c r="F202" i="9" s="1"/>
  <c r="F203" i="9" a="1"/>
  <c r="F203" i="9" s="1"/>
  <c r="J204" i="9" a="1"/>
  <c r="J204" i="9" s="1"/>
  <c r="I205" i="9" a="1"/>
  <c r="I205" i="9" s="1"/>
  <c r="F208" i="9" a="1"/>
  <c r="F208" i="9" s="1"/>
  <c r="F209" i="9" a="1"/>
  <c r="F209" i="9" s="1"/>
  <c r="F210" i="9" a="1"/>
  <c r="F210" i="9" s="1"/>
  <c r="E211" i="9" a="1"/>
  <c r="E211" i="9" s="1"/>
  <c r="E212" i="9" a="1"/>
  <c r="E212" i="9" s="1"/>
  <c r="E213" i="9" a="1"/>
  <c r="E213" i="9" s="1"/>
  <c r="E214" i="9" a="1"/>
  <c r="E214" i="9" s="1"/>
  <c r="E215" i="9" a="1"/>
  <c r="E215" i="9" s="1"/>
  <c r="D216" i="9" a="1"/>
  <c r="D216" i="9" s="1"/>
  <c r="D217" i="9" a="1"/>
  <c r="D217" i="9" s="1"/>
  <c r="K217" i="9" a="1"/>
  <c r="K217" i="9" s="1"/>
  <c r="J218" i="9" a="1"/>
  <c r="J218" i="9" s="1"/>
  <c r="J219" i="9" a="1"/>
  <c r="J219" i="9" s="1"/>
  <c r="J220" i="9" a="1"/>
  <c r="J220" i="9" s="1"/>
  <c r="I222" i="9" a="1"/>
  <c r="I222" i="9" s="1"/>
  <c r="H223" i="9" a="1"/>
  <c r="H223" i="9" s="1"/>
  <c r="F224" i="9" a="1"/>
  <c r="F224" i="9" s="1"/>
  <c r="F225" i="9" a="1"/>
  <c r="F225" i="9" s="1"/>
  <c r="E226" i="9" a="1"/>
  <c r="E226" i="9" s="1"/>
  <c r="E227" i="9" a="1"/>
  <c r="E227" i="9" s="1"/>
  <c r="E228" i="9" a="1"/>
  <c r="E228" i="9" s="1"/>
  <c r="D229" i="9" a="1"/>
  <c r="D229" i="9" s="1"/>
  <c r="D230" i="9" a="1"/>
  <c r="D230" i="9" s="1"/>
  <c r="D231" i="9" a="1"/>
  <c r="D231" i="9" s="1"/>
  <c r="D232" i="9" a="1"/>
  <c r="D232" i="9" s="1"/>
  <c r="E24" i="9" a="1"/>
  <c r="E24" i="9" s="1"/>
  <c r="I79" i="9" a="1"/>
  <c r="I79" i="9" s="1"/>
  <c r="I109" i="9" a="1"/>
  <c r="I109" i="9" s="1"/>
  <c r="K123" i="9" a="1"/>
  <c r="K123" i="9" s="1"/>
  <c r="H127" i="9" a="1"/>
  <c r="H127" i="9" s="1"/>
  <c r="E131" i="9" a="1"/>
  <c r="E131" i="9" s="1"/>
  <c r="K134" i="9" a="1"/>
  <c r="K134" i="9" s="1"/>
  <c r="I138" i="9" a="1"/>
  <c r="I138" i="9" s="1"/>
  <c r="H142" i="9" a="1"/>
  <c r="H142" i="9" s="1"/>
  <c r="E149" i="9" a="1"/>
  <c r="E149" i="9" s="1"/>
  <c r="I152" i="9" a="1"/>
  <c r="I152" i="9" s="1"/>
  <c r="K155" i="9" a="1"/>
  <c r="K155" i="9" s="1"/>
  <c r="G162" i="9" a="1"/>
  <c r="G162" i="9" s="1"/>
  <c r="D165" i="9" a="1"/>
  <c r="D165" i="9" s="1"/>
  <c r="G167" i="9" a="1"/>
  <c r="G167" i="9" s="1"/>
  <c r="G169" i="9" a="1"/>
  <c r="G169" i="9" s="1"/>
  <c r="K171" i="9" a="1"/>
  <c r="K171" i="9" s="1"/>
  <c r="E175" i="9" a="1"/>
  <c r="E175" i="9" s="1"/>
  <c r="G176" i="9" a="1"/>
  <c r="G176" i="9" s="1"/>
  <c r="K177" i="9" a="1"/>
  <c r="K177" i="9" s="1"/>
  <c r="E179" i="9" a="1"/>
  <c r="E179" i="9" s="1"/>
  <c r="D180" i="9" a="1"/>
  <c r="D180" i="9" s="1"/>
  <c r="I181" i="9" a="1"/>
  <c r="I181" i="9" s="1"/>
  <c r="F183" i="9" a="1"/>
  <c r="F183" i="9" s="1"/>
  <c r="F184" i="9" a="1"/>
  <c r="F184" i="9" s="1"/>
  <c r="K185" i="9" a="1"/>
  <c r="K185" i="9" s="1"/>
  <c r="I186" i="9" a="1"/>
  <c r="I186" i="9" s="1"/>
  <c r="I187" i="9" a="1"/>
  <c r="I187" i="9" s="1"/>
  <c r="D300" i="9" a="1"/>
  <c r="D300" i="9" s="1"/>
  <c r="D299" i="9" a="1"/>
  <c r="D299" i="9" s="1"/>
  <c r="D298" i="9" a="1"/>
  <c r="D298" i="9" s="1"/>
  <c r="D297" i="9" a="1"/>
  <c r="D297" i="9" s="1"/>
  <c r="D296" i="9" a="1"/>
  <c r="D296" i="9" s="1"/>
  <c r="D295" i="9" a="1"/>
  <c r="D295" i="9" s="1"/>
  <c r="D294" i="9" a="1"/>
  <c r="D294" i="9" s="1"/>
  <c r="D293" i="9" a="1"/>
  <c r="D293" i="9" s="1"/>
  <c r="D292" i="9" a="1"/>
  <c r="D292" i="9" s="1"/>
  <c r="D291" i="9" a="1"/>
  <c r="D291" i="9" s="1"/>
  <c r="D290" i="9" a="1"/>
  <c r="D290" i="9" s="1"/>
  <c r="E289" i="9" a="1"/>
  <c r="E289" i="9" s="1"/>
  <c r="E288" i="9" a="1"/>
  <c r="E288" i="9" s="1"/>
  <c r="E287" i="9" a="1"/>
  <c r="E287" i="9" s="1"/>
  <c r="G285" i="9" a="1"/>
  <c r="G285" i="9" s="1"/>
  <c r="H284" i="9" a="1"/>
  <c r="H284" i="9" s="1"/>
  <c r="H283" i="9" a="1"/>
  <c r="H283" i="9" s="1"/>
  <c r="H282" i="9" a="1"/>
  <c r="H282" i="9" s="1"/>
  <c r="I281" i="9" a="1"/>
  <c r="I281" i="9" s="1"/>
  <c r="I280" i="9" a="1"/>
  <c r="I280" i="9" s="1"/>
  <c r="I279" i="9" a="1"/>
  <c r="I279" i="9" s="1"/>
  <c r="J278" i="9" a="1"/>
  <c r="J278" i="9" s="1"/>
  <c r="J277" i="9" a="1"/>
  <c r="J277" i="9" s="1"/>
  <c r="J276" i="9" a="1"/>
  <c r="J276" i="9" s="1"/>
  <c r="J275" i="9" a="1"/>
  <c r="J275" i="9" s="1"/>
  <c r="J274" i="9" a="1"/>
  <c r="J274" i="9" s="1"/>
  <c r="J273" i="9" a="1"/>
  <c r="J273" i="9" s="1"/>
  <c r="K272" i="9" a="1"/>
  <c r="K272" i="9" s="1"/>
  <c r="K271" i="9" a="1"/>
  <c r="K271" i="9" s="1"/>
  <c r="K270" i="9" a="1"/>
  <c r="K270" i="9" s="1"/>
  <c r="K269" i="9" a="1"/>
  <c r="K269" i="9" s="1"/>
  <c r="D269" i="9" a="1"/>
  <c r="D269" i="9" s="1"/>
  <c r="D268" i="9" a="1"/>
  <c r="D268" i="9" s="1"/>
  <c r="D267" i="9" a="1"/>
  <c r="D267" i="9" s="1"/>
  <c r="E265" i="9" a="1"/>
  <c r="E265" i="9" s="1"/>
  <c r="E264" i="9" a="1"/>
  <c r="E264" i="9" s="1"/>
  <c r="E263" i="9" a="1"/>
  <c r="E263" i="9" s="1"/>
  <c r="E262" i="9" a="1"/>
  <c r="E262" i="9" s="1"/>
  <c r="E261" i="9" a="1"/>
  <c r="E261" i="9" s="1"/>
  <c r="F260" i="9" a="1"/>
  <c r="F260" i="9" s="1"/>
  <c r="G259" i="9" a="1"/>
  <c r="G259" i="9" s="1"/>
  <c r="H258" i="9" a="1"/>
  <c r="H258" i="9" s="1"/>
  <c r="H257" i="9" a="1"/>
  <c r="H257" i="9" s="1"/>
  <c r="I255" i="9" a="1"/>
  <c r="I255" i="9" s="1"/>
  <c r="J254" i="9" a="1"/>
  <c r="J254" i="9" s="1"/>
  <c r="K253" i="9" a="1"/>
  <c r="K253" i="9" s="1"/>
  <c r="K252" i="9" a="1"/>
  <c r="K252" i="9" s="1"/>
  <c r="K251" i="9" a="1"/>
  <c r="K251" i="9" s="1"/>
  <c r="K250" i="9" a="1"/>
  <c r="K250" i="9" s="1"/>
  <c r="D250" i="9" a="1"/>
  <c r="D250" i="9" s="1"/>
  <c r="D249" i="9" a="1"/>
  <c r="D249" i="9" s="1"/>
  <c r="D248" i="9" a="1"/>
  <c r="D248" i="9" s="1"/>
  <c r="D247" i="9" a="1"/>
  <c r="D247" i="9" s="1"/>
  <c r="D246" i="9" a="1"/>
  <c r="D246" i="9" s="1"/>
  <c r="D245" i="9" a="1"/>
  <c r="D245" i="9" s="1"/>
  <c r="D244" i="9" a="1"/>
  <c r="D244" i="9" s="1"/>
  <c r="D243" i="9" a="1"/>
  <c r="D243" i="9" s="1"/>
  <c r="D242" i="9" a="1"/>
  <c r="D242" i="9" s="1"/>
  <c r="D241" i="9" a="1"/>
  <c r="D241" i="9" s="1"/>
  <c r="D240" i="9" a="1"/>
  <c r="D240" i="9" s="1"/>
  <c r="E239" i="9" a="1"/>
  <c r="E239" i="9" s="1"/>
  <c r="E238" i="9" a="1"/>
  <c r="E238" i="9" s="1"/>
  <c r="F237" i="9" a="1"/>
  <c r="F237" i="9" s="1"/>
  <c r="F236" i="9" a="1"/>
  <c r="F236" i="9" s="1"/>
  <c r="F235" i="9" a="1"/>
  <c r="F235" i="9" s="1"/>
  <c r="F234" i="9" a="1"/>
  <c r="F234" i="9" s="1"/>
  <c r="H232" i="9" a="1"/>
  <c r="H232" i="9" s="1"/>
  <c r="E230" i="9" a="1"/>
  <c r="E230" i="9" s="1"/>
  <c r="G227" i="9" a="1"/>
  <c r="G227" i="9" s="1"/>
  <c r="J224" i="9" a="1"/>
  <c r="J224" i="9" s="1"/>
  <c r="K221" i="9" a="1"/>
  <c r="K221" i="9" s="1"/>
  <c r="D218" i="9" a="1"/>
  <c r="D218" i="9" s="1"/>
  <c r="G214" i="9" a="1"/>
  <c r="G214" i="9" s="1"/>
  <c r="J206" i="9" a="1"/>
  <c r="J206" i="9" s="1"/>
  <c r="G203" i="9" a="1"/>
  <c r="G203" i="9" s="1"/>
  <c r="K199" i="9" a="1"/>
  <c r="K199" i="9" s="1"/>
  <c r="E196" i="9" a="1"/>
  <c r="E196" i="9" s="1"/>
  <c r="I192" i="9" a="1"/>
  <c r="I192" i="9" s="1"/>
  <c r="E189" i="9" a="1"/>
  <c r="E189" i="9" s="1"/>
  <c r="E184" i="9" a="1"/>
  <c r="E184" i="9" s="1"/>
  <c r="H158" i="9" a="1"/>
  <c r="H158" i="9" s="1"/>
  <c r="K297" i="9" a="1"/>
  <c r="K297" i="9" s="1"/>
  <c r="K296" i="9" a="1"/>
  <c r="K296" i="9" s="1"/>
  <c r="K295" i="9" a="1"/>
  <c r="K295" i="9" s="1"/>
  <c r="K294" i="9" a="1"/>
  <c r="K294" i="9" s="1"/>
  <c r="K293" i="9" a="1"/>
  <c r="K293" i="9" s="1"/>
  <c r="K292" i="9" a="1"/>
  <c r="K292" i="9" s="1"/>
  <c r="K291" i="9" a="1"/>
  <c r="K291" i="9" s="1"/>
  <c r="K290" i="9" a="1"/>
  <c r="K290" i="9" s="1"/>
  <c r="D289" i="9" a="1"/>
  <c r="D289" i="9" s="1"/>
  <c r="D288" i="9" a="1"/>
  <c r="D288" i="9" s="1"/>
  <c r="D287" i="9" a="1"/>
  <c r="D287" i="9" s="1"/>
  <c r="F286" i="9" a="1"/>
  <c r="F286" i="9" s="1"/>
  <c r="G284" i="9" a="1"/>
  <c r="G284" i="9" s="1"/>
  <c r="G283" i="9" a="1"/>
  <c r="G283" i="9" s="1"/>
  <c r="G282" i="9" a="1"/>
  <c r="G282" i="9" s="1"/>
  <c r="H281" i="9" a="1"/>
  <c r="H281" i="9" s="1"/>
  <c r="H280" i="9" a="1"/>
  <c r="H280" i="9" s="1"/>
  <c r="H279" i="9" a="1"/>
  <c r="H279" i="9" s="1"/>
  <c r="I278" i="9" a="1"/>
  <c r="I278" i="9" s="1"/>
  <c r="I277" i="9" a="1"/>
  <c r="I277" i="9" s="1"/>
  <c r="I276" i="9" a="1"/>
  <c r="I276" i="9" s="1"/>
  <c r="I275" i="9" a="1"/>
  <c r="I275" i="9" s="1"/>
  <c r="I274" i="9" a="1"/>
  <c r="I274" i="9" s="1"/>
  <c r="I273" i="9" a="1"/>
  <c r="I273" i="9" s="1"/>
  <c r="J272" i="9" a="1"/>
  <c r="J272" i="9" s="1"/>
  <c r="J271" i="9" a="1"/>
  <c r="J271" i="9" s="1"/>
  <c r="J270" i="9" a="1"/>
  <c r="J270" i="9" s="1"/>
  <c r="J269" i="9" a="1"/>
  <c r="J269" i="9" s="1"/>
  <c r="K268" i="9" a="1"/>
  <c r="K268" i="9" s="1"/>
  <c r="K267" i="9" a="1"/>
  <c r="K267" i="9" s="1"/>
  <c r="K266" i="9" a="1"/>
  <c r="K266" i="9" s="1"/>
  <c r="D266" i="9" a="1"/>
  <c r="D266" i="9" s="1"/>
  <c r="D265" i="9" a="1"/>
  <c r="D265" i="9" s="1"/>
  <c r="D264" i="9" a="1"/>
  <c r="D264" i="9" s="1"/>
  <c r="D263" i="9" a="1"/>
  <c r="D263" i="9" s="1"/>
  <c r="D262" i="9" a="1"/>
  <c r="D262" i="9" s="1"/>
  <c r="E260" i="9" a="1"/>
  <c r="E260" i="9" s="1"/>
  <c r="F259" i="9" a="1"/>
  <c r="F259" i="9" s="1"/>
  <c r="G258" i="9" a="1"/>
  <c r="G258" i="9" s="1"/>
  <c r="G257" i="9" a="1"/>
  <c r="G257" i="9" s="1"/>
  <c r="H256" i="9" a="1"/>
  <c r="H256" i="9" s="1"/>
  <c r="H255" i="9" a="1"/>
  <c r="H255" i="9" s="1"/>
  <c r="I254" i="9" a="1"/>
  <c r="I254" i="9" s="1"/>
  <c r="J253" i="9" a="1"/>
  <c r="J253" i="9" s="1"/>
  <c r="J252" i="9" a="1"/>
  <c r="J252" i="9" s="1"/>
  <c r="J251" i="9" a="1"/>
  <c r="J251" i="9" s="1"/>
  <c r="K249" i="9" a="1"/>
  <c r="K249" i="9" s="1"/>
  <c r="K248" i="9" a="1"/>
  <c r="K248" i="9" s="1"/>
  <c r="K247" i="9" a="1"/>
  <c r="K247" i="9" s="1"/>
  <c r="K246" i="9" a="1"/>
  <c r="K246" i="9" s="1"/>
  <c r="K245" i="9" a="1"/>
  <c r="K245" i="9" s="1"/>
  <c r="K244" i="9" a="1"/>
  <c r="K244" i="9" s="1"/>
  <c r="K243" i="9" a="1"/>
  <c r="K243" i="9" s="1"/>
  <c r="K242" i="9" a="1"/>
  <c r="K242" i="9" s="1"/>
  <c r="K241" i="9" a="1"/>
  <c r="K241" i="9" s="1"/>
  <c r="K240" i="9" a="1"/>
  <c r="K240" i="9" s="1"/>
  <c r="K239" i="9" a="1"/>
  <c r="K239" i="9" s="1"/>
  <c r="D239" i="9" a="1"/>
  <c r="D239" i="9" s="1"/>
  <c r="D238" i="9" a="1"/>
  <c r="D238" i="9" s="1"/>
  <c r="E237" i="9" a="1"/>
  <c r="E237" i="9" s="1"/>
  <c r="E236" i="9" a="1"/>
  <c r="E236" i="9" s="1"/>
  <c r="E235" i="9" a="1"/>
  <c r="E235" i="9" s="1"/>
  <c r="E234" i="9" a="1"/>
  <c r="E234" i="9" s="1"/>
  <c r="F232" i="9" a="1"/>
  <c r="F232" i="9" s="1"/>
  <c r="H229" i="9" a="1"/>
  <c r="H229" i="9" s="1"/>
  <c r="F227" i="9" a="1"/>
  <c r="F227" i="9" s="1"/>
  <c r="H224" i="9" a="1"/>
  <c r="H224" i="9" s="1"/>
  <c r="J221" i="9" a="1"/>
  <c r="J221" i="9" s="1"/>
  <c r="F214" i="9" a="1"/>
  <c r="F214" i="9" s="1"/>
  <c r="G210" i="9" a="1"/>
  <c r="G210" i="9" s="1"/>
  <c r="I206" i="9" a="1"/>
  <c r="I206" i="9" s="1"/>
  <c r="J199" i="9" a="1"/>
  <c r="J199" i="9" s="1"/>
  <c r="D196" i="9" a="1"/>
  <c r="D196" i="9" s="1"/>
  <c r="H192" i="9" a="1"/>
  <c r="H192" i="9" s="1"/>
  <c r="D189" i="9" a="1"/>
  <c r="D189" i="9" s="1"/>
  <c r="D175" i="9" a="1"/>
  <c r="D175" i="9" s="1"/>
  <c r="E155" i="9" a="1"/>
  <c r="E155" i="9" s="1"/>
  <c r="J126" i="9" a="1"/>
  <c r="J126" i="9" s="1"/>
  <c r="J300" i="9" a="1"/>
  <c r="J300" i="9" s="1"/>
  <c r="J299" i="9" a="1"/>
  <c r="J299" i="9" s="1"/>
  <c r="J298" i="9" a="1"/>
  <c r="J298" i="9" s="1"/>
  <c r="J297" i="9" a="1"/>
  <c r="J297" i="9" s="1"/>
  <c r="J296" i="9" a="1"/>
  <c r="J296" i="9" s="1"/>
  <c r="J295" i="9" a="1"/>
  <c r="J295" i="9" s="1"/>
  <c r="J294" i="9" a="1"/>
  <c r="J294" i="9" s="1"/>
  <c r="J293" i="9" a="1"/>
  <c r="J293" i="9" s="1"/>
  <c r="J292" i="9" a="1"/>
  <c r="J292" i="9" s="1"/>
  <c r="J291" i="9" a="1"/>
  <c r="J291" i="9" s="1"/>
  <c r="J290" i="9" a="1"/>
  <c r="J290" i="9" s="1"/>
  <c r="K289" i="9" a="1"/>
  <c r="K289" i="9" s="1"/>
  <c r="K288" i="9" a="1"/>
  <c r="K288" i="9" s="1"/>
  <c r="K287" i="9" a="1"/>
  <c r="K287" i="9" s="1"/>
  <c r="K286" i="9" a="1"/>
  <c r="K286" i="9" s="1"/>
  <c r="E286" i="9" a="1"/>
  <c r="E286" i="9" s="1"/>
  <c r="F285" i="9" a="1"/>
  <c r="F285" i="9" s="1"/>
  <c r="F284" i="9" a="1"/>
  <c r="F284" i="9" s="1"/>
  <c r="F283" i="9" a="1"/>
  <c r="F283" i="9" s="1"/>
  <c r="F282" i="9" a="1"/>
  <c r="F282" i="9" s="1"/>
  <c r="G281" i="9" a="1"/>
  <c r="G281" i="9" s="1"/>
  <c r="G280" i="9" a="1"/>
  <c r="G280" i="9" s="1"/>
  <c r="G279" i="9" a="1"/>
  <c r="G279" i="9" s="1"/>
  <c r="H278" i="9" a="1"/>
  <c r="H278" i="9" s="1"/>
  <c r="H277" i="9" a="1"/>
  <c r="H277" i="9" s="1"/>
  <c r="H276" i="9" a="1"/>
  <c r="H276" i="9" s="1"/>
  <c r="H275" i="9" a="1"/>
  <c r="H275" i="9" s="1"/>
  <c r="H274" i="9" a="1"/>
  <c r="H274" i="9" s="1"/>
  <c r="H273" i="9" a="1"/>
  <c r="H273" i="9" s="1"/>
  <c r="I272" i="9" a="1"/>
  <c r="I272" i="9" s="1"/>
  <c r="I271" i="9" a="1"/>
  <c r="I271" i="9" s="1"/>
  <c r="I270" i="9" a="1"/>
  <c r="I270" i="9" s="1"/>
  <c r="J268" i="9" a="1"/>
  <c r="J268" i="9" s="1"/>
  <c r="J267" i="9" a="1"/>
  <c r="J267" i="9" s="1"/>
  <c r="J266" i="9" a="1"/>
  <c r="J266" i="9" s="1"/>
  <c r="K265" i="9" a="1"/>
  <c r="K265" i="9" s="1"/>
  <c r="K264" i="9" a="1"/>
  <c r="K264" i="9" s="1"/>
  <c r="K263" i="9" a="1"/>
  <c r="K263" i="9" s="1"/>
  <c r="K262" i="9" a="1"/>
  <c r="K262" i="9" s="1"/>
  <c r="K261" i="9" a="1"/>
  <c r="K261" i="9" s="1"/>
  <c r="D261" i="9" a="1"/>
  <c r="D261" i="9" s="1"/>
  <c r="D260" i="9" a="1"/>
  <c r="D260" i="9" s="1"/>
  <c r="E259" i="9" a="1"/>
  <c r="E259" i="9" s="1"/>
  <c r="F258" i="9" a="1"/>
  <c r="F258" i="9" s="1"/>
  <c r="F257" i="9" a="1"/>
  <c r="F257" i="9" s="1"/>
  <c r="G256" i="9" a="1"/>
  <c r="G256" i="9" s="1"/>
  <c r="H254" i="9" a="1"/>
  <c r="H254" i="9" s="1"/>
  <c r="I253" i="9" a="1"/>
  <c r="I253" i="9" s="1"/>
  <c r="I252" i="9" a="1"/>
  <c r="I252" i="9" s="1"/>
  <c r="I251" i="9" a="1"/>
  <c r="I251" i="9" s="1"/>
  <c r="J250" i="9" a="1"/>
  <c r="J250" i="9" s="1"/>
  <c r="J249" i="9" a="1"/>
  <c r="J249" i="9" s="1"/>
  <c r="J248" i="9" a="1"/>
  <c r="J248" i="9" s="1"/>
  <c r="J247" i="9" a="1"/>
  <c r="J247" i="9" s="1"/>
  <c r="J246" i="9" a="1"/>
  <c r="J246" i="9" s="1"/>
  <c r="J245" i="9" a="1"/>
  <c r="J245" i="9" s="1"/>
  <c r="J244" i="9" a="1"/>
  <c r="J244" i="9" s="1"/>
  <c r="J243" i="9" a="1"/>
  <c r="J243" i="9" s="1"/>
  <c r="J242" i="9" a="1"/>
  <c r="J242" i="9" s="1"/>
  <c r="J241" i="9" a="1"/>
  <c r="J241" i="9" s="1"/>
  <c r="J240" i="9" a="1"/>
  <c r="J240" i="9" s="1"/>
  <c r="J239" i="9" a="1"/>
  <c r="J239" i="9" s="1"/>
  <c r="K238" i="9" a="1"/>
  <c r="K238" i="9" s="1"/>
  <c r="K237" i="9" a="1"/>
  <c r="K237" i="9" s="1"/>
  <c r="D237" i="9" a="1"/>
  <c r="D237" i="9" s="1"/>
  <c r="D236" i="9" a="1"/>
  <c r="D236" i="9" s="1"/>
  <c r="D235" i="9" a="1"/>
  <c r="D235" i="9" s="1"/>
  <c r="D234" i="9" a="1"/>
  <c r="D234" i="9" s="1"/>
  <c r="E232" i="9" a="1"/>
  <c r="E232" i="9" s="1"/>
  <c r="F229" i="9" a="1"/>
  <c r="F229" i="9" s="1"/>
  <c r="I226" i="9" a="1"/>
  <c r="I226" i="9" s="1"/>
  <c r="G224" i="9" a="1"/>
  <c r="G224" i="9" s="1"/>
  <c r="D221" i="9" a="1"/>
  <c r="D221" i="9" s="1"/>
  <c r="E217" i="9" a="1"/>
  <c r="E217" i="9" s="1"/>
  <c r="G213" i="9" a="1"/>
  <c r="G213" i="9" s="1"/>
  <c r="H209" i="9" a="1"/>
  <c r="H209" i="9" s="1"/>
  <c r="K205" i="9" a="1"/>
  <c r="K205" i="9" s="1"/>
  <c r="H202" i="9" a="1"/>
  <c r="H202" i="9" s="1"/>
  <c r="D199" i="9" a="1"/>
  <c r="D199" i="9" s="1"/>
  <c r="F195" i="9" a="1"/>
  <c r="F195" i="9" s="1"/>
  <c r="J191" i="9" a="1"/>
  <c r="J191" i="9" s="1"/>
  <c r="G188" i="9" a="1"/>
  <c r="G188" i="9" s="1"/>
  <c r="G182" i="9" a="1"/>
  <c r="G182" i="9" s="1"/>
  <c r="K151" i="9" a="1"/>
  <c r="K151" i="9" s="1"/>
  <c r="F121" i="9" a="1"/>
  <c r="F121" i="9" s="1"/>
  <c r="I300" i="9" a="1"/>
  <c r="I300" i="9" s="1"/>
  <c r="I299" i="9" a="1"/>
  <c r="I299" i="9" s="1"/>
  <c r="I298" i="9" a="1"/>
  <c r="I298" i="9" s="1"/>
  <c r="I297" i="9" a="1"/>
  <c r="I297" i="9" s="1"/>
  <c r="I296" i="9" a="1"/>
  <c r="I296" i="9" s="1"/>
  <c r="I295" i="9" a="1"/>
  <c r="I295" i="9" s="1"/>
  <c r="I294" i="9" a="1"/>
  <c r="I294" i="9" s="1"/>
  <c r="I293" i="9" a="1"/>
  <c r="I293" i="9" s="1"/>
  <c r="I292" i="9" a="1"/>
  <c r="I292" i="9" s="1"/>
  <c r="I291" i="9" a="1"/>
  <c r="I291" i="9" s="1"/>
  <c r="I290" i="9" a="1"/>
  <c r="I290" i="9" s="1"/>
  <c r="J289" i="9" a="1"/>
  <c r="J289" i="9" s="1"/>
  <c r="J288" i="9" a="1"/>
  <c r="J288" i="9" s="1"/>
  <c r="J287" i="9" a="1"/>
  <c r="J287" i="9" s="1"/>
  <c r="J286" i="9" a="1"/>
  <c r="J286" i="9" s="1"/>
  <c r="D286" i="9" a="1"/>
  <c r="D286" i="9" s="1"/>
  <c r="E285" i="9" a="1"/>
  <c r="E285" i="9" s="1"/>
  <c r="E284" i="9" a="1"/>
  <c r="E284" i="9" s="1"/>
  <c r="E283" i="9" a="1"/>
  <c r="E283" i="9" s="1"/>
  <c r="E282" i="9" a="1"/>
  <c r="E282" i="9" s="1"/>
  <c r="F281" i="9" a="1"/>
  <c r="F281" i="9" s="1"/>
  <c r="F280" i="9" a="1"/>
  <c r="F280" i="9" s="1"/>
  <c r="F279" i="9" a="1"/>
  <c r="F279" i="9" s="1"/>
  <c r="G278" i="9" a="1"/>
  <c r="G278" i="9" s="1"/>
  <c r="G277" i="9" a="1"/>
  <c r="G277" i="9" s="1"/>
  <c r="G276" i="9" a="1"/>
  <c r="G276" i="9" s="1"/>
  <c r="G275" i="9" a="1"/>
  <c r="G275" i="9" s="1"/>
  <c r="G274" i="9" a="1"/>
  <c r="G274" i="9" s="1"/>
  <c r="G273" i="9" a="1"/>
  <c r="G273" i="9" s="1"/>
  <c r="H272" i="9" a="1"/>
  <c r="H272" i="9" s="1"/>
  <c r="H271" i="9" a="1"/>
  <c r="H271" i="9" s="1"/>
  <c r="H270" i="9" a="1"/>
  <c r="H270" i="9" s="1"/>
  <c r="I269" i="9" a="1"/>
  <c r="I269" i="9" s="1"/>
  <c r="I268" i="9" a="1"/>
  <c r="I268" i="9" s="1"/>
  <c r="I267" i="9" a="1"/>
  <c r="I267" i="9" s="1"/>
  <c r="I266" i="9" a="1"/>
  <c r="I266" i="9" s="1"/>
  <c r="J265" i="9" a="1"/>
  <c r="J265" i="9" s="1"/>
  <c r="J264" i="9" a="1"/>
  <c r="J264" i="9" s="1"/>
  <c r="J263" i="9" a="1"/>
  <c r="J263" i="9" s="1"/>
  <c r="J262" i="9" a="1"/>
  <c r="J262" i="9" s="1"/>
  <c r="J261" i="9" a="1"/>
  <c r="J261" i="9" s="1"/>
  <c r="K260" i="9" a="1"/>
  <c r="K260" i="9" s="1"/>
  <c r="D259" i="9" a="1"/>
  <c r="D259" i="9" s="1"/>
  <c r="E258" i="9" a="1"/>
  <c r="E258" i="9" s="1"/>
  <c r="E257" i="9" a="1"/>
  <c r="E257" i="9" s="1"/>
  <c r="F256" i="9" a="1"/>
  <c r="F256" i="9" s="1"/>
  <c r="G255" i="9" a="1"/>
  <c r="G255" i="9" s="1"/>
  <c r="G254" i="9" a="1"/>
  <c r="G254" i="9" s="1"/>
  <c r="H253" i="9" a="1"/>
  <c r="H253" i="9" s="1"/>
  <c r="H252" i="9" a="1"/>
  <c r="H252" i="9" s="1"/>
  <c r="H251" i="9" a="1"/>
  <c r="H251" i="9" s="1"/>
  <c r="I250" i="9" a="1"/>
  <c r="I250" i="9" s="1"/>
  <c r="I249" i="9" a="1"/>
  <c r="I249" i="9" s="1"/>
  <c r="I248" i="9" a="1"/>
  <c r="I248" i="9" s="1"/>
  <c r="I247" i="9" a="1"/>
  <c r="I247" i="9" s="1"/>
  <c r="I246" i="9" a="1"/>
  <c r="I246" i="9" s="1"/>
  <c r="I245" i="9" a="1"/>
  <c r="I245" i="9" s="1"/>
  <c r="I244" i="9" a="1"/>
  <c r="I244" i="9" s="1"/>
  <c r="I243" i="9" a="1"/>
  <c r="I243" i="9" s="1"/>
  <c r="I242" i="9" a="1"/>
  <c r="I242" i="9" s="1"/>
  <c r="I241" i="9" a="1"/>
  <c r="I241" i="9" s="1"/>
  <c r="I240" i="9" a="1"/>
  <c r="I240" i="9" s="1"/>
  <c r="I239" i="9" a="1"/>
  <c r="I239" i="9" s="1"/>
  <c r="J238" i="9" a="1"/>
  <c r="J238" i="9" s="1"/>
  <c r="J237" i="9" a="1"/>
  <c r="J237" i="9" s="1"/>
  <c r="K236" i="9" a="1"/>
  <c r="K236" i="9" s="1"/>
  <c r="K235" i="9" a="1"/>
  <c r="K235" i="9" s="1"/>
  <c r="K234" i="9" a="1"/>
  <c r="K234" i="9" s="1"/>
  <c r="K233" i="9" a="1"/>
  <c r="K233" i="9" s="1"/>
  <c r="H231" i="9" a="1"/>
  <c r="H231" i="9" s="1"/>
  <c r="E229" i="9" a="1"/>
  <c r="E229" i="9" s="1"/>
  <c r="G226" i="9" a="1"/>
  <c r="G226" i="9" s="1"/>
  <c r="D224" i="9" a="1"/>
  <c r="D224" i="9" s="1"/>
  <c r="K220" i="9" a="1"/>
  <c r="K220" i="9" s="1"/>
  <c r="F213" i="9" a="1"/>
  <c r="F213" i="9" s="1"/>
  <c r="G209" i="9" a="1"/>
  <c r="G209" i="9" s="1"/>
  <c r="J205" i="9" a="1"/>
  <c r="J205" i="9" s="1"/>
  <c r="G202" i="9" a="1"/>
  <c r="G202" i="9" s="1"/>
  <c r="K198" i="9" a="1"/>
  <c r="K198" i="9" s="1"/>
  <c r="E195" i="9" a="1"/>
  <c r="E195" i="9" s="1"/>
  <c r="I191" i="9" a="1"/>
  <c r="I191" i="9" s="1"/>
  <c r="F188" i="9" a="1"/>
  <c r="F188" i="9" s="1"/>
  <c r="G148" i="9" a="1"/>
  <c r="G148" i="9" s="1"/>
  <c r="H106" i="9" a="1"/>
  <c r="H106" i="9" s="1"/>
  <c r="H291" i="9" a="1"/>
  <c r="H291" i="9" s="1"/>
  <c r="H290" i="9" a="1"/>
  <c r="H290" i="9" s="1"/>
  <c r="I289" i="9" a="1"/>
  <c r="I289" i="9" s="1"/>
  <c r="I288" i="9" a="1"/>
  <c r="I288" i="9" s="1"/>
  <c r="I287" i="9" a="1"/>
  <c r="I287" i="9" s="1"/>
  <c r="I286" i="9" a="1"/>
  <c r="I286" i="9" s="1"/>
  <c r="K285" i="9" a="1"/>
  <c r="K285" i="9" s="1"/>
  <c r="D285" i="9" a="1"/>
  <c r="D285" i="9" s="1"/>
  <c r="D284" i="9" a="1"/>
  <c r="D284" i="9" s="1"/>
  <c r="D283" i="9" a="1"/>
  <c r="D283" i="9" s="1"/>
  <c r="D282" i="9" a="1"/>
  <c r="D282" i="9" s="1"/>
  <c r="E281" i="9" a="1"/>
  <c r="E281" i="9" s="1"/>
  <c r="E280" i="9" a="1"/>
  <c r="E280" i="9" s="1"/>
  <c r="E279" i="9" a="1"/>
  <c r="E279" i="9" s="1"/>
  <c r="F278" i="9" a="1"/>
  <c r="F278" i="9" s="1"/>
  <c r="F277" i="9" a="1"/>
  <c r="F277" i="9" s="1"/>
  <c r="F276" i="9" a="1"/>
  <c r="F276" i="9" s="1"/>
  <c r="F275" i="9" a="1"/>
  <c r="F275" i="9" s="1"/>
  <c r="F274" i="9" a="1"/>
  <c r="F274" i="9" s="1"/>
  <c r="G272" i="9" a="1"/>
  <c r="G272" i="9" s="1"/>
  <c r="G271" i="9" a="1"/>
  <c r="G271" i="9" s="1"/>
  <c r="G270" i="9" a="1"/>
  <c r="G270" i="9" s="1"/>
  <c r="H269" i="9" a="1"/>
  <c r="H269" i="9" s="1"/>
  <c r="H268" i="9" a="1"/>
  <c r="H268" i="9" s="1"/>
  <c r="H267" i="9" a="1"/>
  <c r="H267" i="9" s="1"/>
  <c r="H266" i="9" a="1"/>
  <c r="H266" i="9" s="1"/>
  <c r="I265" i="9" a="1"/>
  <c r="I265" i="9" s="1"/>
  <c r="I264" i="9" a="1"/>
  <c r="I264" i="9" s="1"/>
  <c r="I263" i="9" a="1"/>
  <c r="I263" i="9" s="1"/>
  <c r="I262" i="9" a="1"/>
  <c r="I262" i="9" s="1"/>
  <c r="I261" i="9" a="1"/>
  <c r="I261" i="9" s="1"/>
  <c r="J260" i="9" a="1"/>
  <c r="J260" i="9" s="1"/>
  <c r="K259" i="9" a="1"/>
  <c r="K259" i="9" s="1"/>
  <c r="K258" i="9" a="1"/>
  <c r="K258" i="9" s="1"/>
  <c r="D258" i="9" a="1"/>
  <c r="D258" i="9" s="1"/>
  <c r="D257" i="9" a="1"/>
  <c r="D257" i="9" s="1"/>
  <c r="E256" i="9" a="1"/>
  <c r="E256" i="9" s="1"/>
  <c r="F255" i="9" a="1"/>
  <c r="F255" i="9" s="1"/>
  <c r="G253" i="9" a="1"/>
  <c r="G253" i="9" s="1"/>
  <c r="G252" i="9" a="1"/>
  <c r="G252" i="9" s="1"/>
  <c r="G251" i="9" a="1"/>
  <c r="G251" i="9" s="1"/>
  <c r="H250" i="9" a="1"/>
  <c r="H250" i="9" s="1"/>
  <c r="H249" i="9" a="1"/>
  <c r="H249" i="9" s="1"/>
  <c r="H248" i="9" a="1"/>
  <c r="H248" i="9" s="1"/>
  <c r="H247" i="9" a="1"/>
  <c r="H247" i="9" s="1"/>
  <c r="H246" i="9" a="1"/>
  <c r="H246" i="9" s="1"/>
  <c r="H245" i="9" a="1"/>
  <c r="H245" i="9" s="1"/>
  <c r="H244" i="9" a="1"/>
  <c r="H244" i="9" s="1"/>
  <c r="H243" i="9" a="1"/>
  <c r="H243" i="9" s="1"/>
  <c r="H242" i="9" a="1"/>
  <c r="H242" i="9" s="1"/>
  <c r="H241" i="9" a="1"/>
  <c r="H241" i="9" s="1"/>
  <c r="H240" i="9" a="1"/>
  <c r="H240" i="9" s="1"/>
  <c r="H239" i="9" a="1"/>
  <c r="H239" i="9" s="1"/>
  <c r="I238" i="9" a="1"/>
  <c r="I238" i="9" s="1"/>
  <c r="J236" i="9" a="1"/>
  <c r="J236" i="9" s="1"/>
  <c r="J235" i="9" a="1"/>
  <c r="J235" i="9" s="1"/>
  <c r="J234" i="9" a="1"/>
  <c r="J234" i="9" s="1"/>
  <c r="H233" i="9" a="1"/>
  <c r="H233" i="9" s="1"/>
  <c r="F231" i="9" a="1"/>
  <c r="F231" i="9" s="1"/>
  <c r="I228" i="9" a="1"/>
  <c r="I228" i="9" s="1"/>
  <c r="F226" i="9" a="1"/>
  <c r="F226" i="9" s="1"/>
  <c r="J223" i="9" a="1"/>
  <c r="J223" i="9" s="1"/>
  <c r="D220" i="9" a="1"/>
  <c r="D220" i="9" s="1"/>
  <c r="F216" i="9" a="1"/>
  <c r="F216" i="9" s="1"/>
  <c r="G212" i="9" a="1"/>
  <c r="G212" i="9" s="1"/>
  <c r="H208" i="9" a="1"/>
  <c r="H208" i="9" s="1"/>
  <c r="D205" i="9" a="1"/>
  <c r="D205" i="9" s="1"/>
  <c r="I201" i="9" a="1"/>
  <c r="I201" i="9" s="1"/>
  <c r="D198" i="9" a="1"/>
  <c r="D198" i="9" s="1"/>
  <c r="G194" i="9" a="1"/>
  <c r="G194" i="9" s="1"/>
  <c r="K190" i="9" a="1"/>
  <c r="K190" i="9" s="1"/>
  <c r="H187" i="9" a="1"/>
  <c r="H187" i="9" s="1"/>
  <c r="J180" i="9" a="1"/>
  <c r="J180" i="9" s="1"/>
  <c r="E169" i="9" a="1"/>
  <c r="E169" i="9" s="1"/>
  <c r="D145" i="9" a="1"/>
  <c r="D145" i="9" s="1"/>
  <c r="K91" i="9" a="1"/>
  <c r="K91" i="9" s="1"/>
  <c r="G300" i="9" a="1"/>
  <c r="G300" i="9" s="1"/>
  <c r="G299" i="9" a="1"/>
  <c r="G299" i="9" s="1"/>
  <c r="G298" i="9" a="1"/>
  <c r="G298" i="9" s="1"/>
  <c r="G297" i="9" a="1"/>
  <c r="G297" i="9" s="1"/>
  <c r="G296" i="9" a="1"/>
  <c r="G296" i="9" s="1"/>
  <c r="G295" i="9" a="1"/>
  <c r="G295" i="9" s="1"/>
  <c r="G294" i="9" a="1"/>
  <c r="G294" i="9" s="1"/>
  <c r="G293" i="9" a="1"/>
  <c r="G293" i="9" s="1"/>
  <c r="G292" i="9" a="1"/>
  <c r="G292" i="9" s="1"/>
  <c r="G291" i="9" a="1"/>
  <c r="G291" i="9" s="1"/>
  <c r="G290" i="9" a="1"/>
  <c r="G290" i="9" s="1"/>
  <c r="H289" i="9" a="1"/>
  <c r="H289" i="9" s="1"/>
  <c r="H288" i="9" a="1"/>
  <c r="H288" i="9" s="1"/>
  <c r="H287" i="9" a="1"/>
  <c r="H287" i="9" s="1"/>
  <c r="J285" i="9" a="1"/>
  <c r="J285" i="9" s="1"/>
  <c r="K284" i="9" a="1"/>
  <c r="K284" i="9" s="1"/>
  <c r="K283" i="9" a="1"/>
  <c r="K283" i="9" s="1"/>
  <c r="K282" i="9" a="1"/>
  <c r="K282" i="9" s="1"/>
  <c r="K281" i="9" a="1"/>
  <c r="K281" i="9" s="1"/>
  <c r="D281" i="9" a="1"/>
  <c r="D281" i="9" s="1"/>
  <c r="D280" i="9" a="1"/>
  <c r="D280" i="9" s="1"/>
  <c r="D279" i="9" a="1"/>
  <c r="D279" i="9" s="1"/>
  <c r="E278" i="9" a="1"/>
  <c r="E278" i="9" s="1"/>
  <c r="E277" i="9" a="1"/>
  <c r="E277" i="9" s="1"/>
  <c r="E276" i="9" a="1"/>
  <c r="E276" i="9" s="1"/>
  <c r="E275" i="9" a="1"/>
  <c r="E275" i="9" s="1"/>
  <c r="E274" i="9" a="1"/>
  <c r="E274" i="9" s="1"/>
  <c r="F273" i="9" a="1"/>
  <c r="F273" i="9" s="1"/>
  <c r="F272" i="9" a="1"/>
  <c r="F272" i="9" s="1"/>
  <c r="F271" i="9" a="1"/>
  <c r="F271" i="9" s="1"/>
  <c r="F270" i="9" a="1"/>
  <c r="F270" i="9" s="1"/>
  <c r="G269" i="9" a="1"/>
  <c r="G269" i="9" s="1"/>
  <c r="G268" i="9" a="1"/>
  <c r="G268" i="9" s="1"/>
  <c r="G267" i="9" a="1"/>
  <c r="G267" i="9" s="1"/>
  <c r="G266" i="9" a="1"/>
  <c r="G266" i="9" s="1"/>
  <c r="H265" i="9" a="1"/>
  <c r="H265" i="9" s="1"/>
  <c r="H264" i="9" a="1"/>
  <c r="H264" i="9" s="1"/>
  <c r="H263" i="9" a="1"/>
  <c r="H263" i="9" s="1"/>
  <c r="H262" i="9" a="1"/>
  <c r="H262" i="9" s="1"/>
  <c r="H261" i="9" a="1"/>
  <c r="H261" i="9" s="1"/>
  <c r="I260" i="9" a="1"/>
  <c r="I260" i="9" s="1"/>
  <c r="J259" i="9" a="1"/>
  <c r="J259" i="9" s="1"/>
  <c r="K257" i="9" a="1"/>
  <c r="K257" i="9" s="1"/>
  <c r="K256" i="9" a="1"/>
  <c r="K256" i="9" s="1"/>
  <c r="D256" i="9" a="1"/>
  <c r="D256" i="9" s="1"/>
  <c r="E255" i="9" a="1"/>
  <c r="E255" i="9" s="1"/>
  <c r="F254" i="9" a="1"/>
  <c r="F254" i="9" s="1"/>
  <c r="F253" i="9" a="1"/>
  <c r="F253" i="9" s="1"/>
  <c r="F252" i="9" a="1"/>
  <c r="F252" i="9" s="1"/>
  <c r="F251" i="9" a="1"/>
  <c r="F251" i="9" s="1"/>
  <c r="G250" i="9" a="1"/>
  <c r="G250" i="9" s="1"/>
  <c r="G249" i="9" a="1"/>
  <c r="G249" i="9" s="1"/>
  <c r="G248" i="9" a="1"/>
  <c r="G248" i="9" s="1"/>
  <c r="G247" i="9" a="1"/>
  <c r="G247" i="9" s="1"/>
  <c r="G246" i="9" a="1"/>
  <c r="G246" i="9" s="1"/>
  <c r="G245" i="9" a="1"/>
  <c r="G245" i="9" s="1"/>
  <c r="G244" i="9" a="1"/>
  <c r="G244" i="9" s="1"/>
  <c r="G243" i="9" a="1"/>
  <c r="G243" i="9" s="1"/>
  <c r="G242" i="9" a="1"/>
  <c r="G242" i="9" s="1"/>
  <c r="G241" i="9" a="1"/>
  <c r="G241" i="9" s="1"/>
  <c r="G240" i="9" a="1"/>
  <c r="G240" i="9" s="1"/>
  <c r="G239" i="9" a="1"/>
  <c r="G239" i="9" s="1"/>
  <c r="H238" i="9" a="1"/>
  <c r="H238" i="9" s="1"/>
  <c r="I237" i="9" a="1"/>
  <c r="I237" i="9" s="1"/>
  <c r="I236" i="9" a="1"/>
  <c r="I236" i="9" s="1"/>
  <c r="I235" i="9" a="1"/>
  <c r="I235" i="9" s="1"/>
  <c r="I234" i="9" a="1"/>
  <c r="I234" i="9" s="1"/>
  <c r="F233" i="9" a="1"/>
  <c r="F233" i="9" s="1"/>
  <c r="E231" i="9" a="1"/>
  <c r="E231" i="9" s="1"/>
  <c r="G228" i="9" a="1"/>
  <c r="G228" i="9" s="1"/>
  <c r="J225" i="9" a="1"/>
  <c r="J225" i="9" s="1"/>
  <c r="I223" i="9" a="1"/>
  <c r="I223" i="9" s="1"/>
  <c r="K219" i="9" a="1"/>
  <c r="K219" i="9" s="1"/>
  <c r="E216" i="9" a="1"/>
  <c r="E216" i="9" s="1"/>
  <c r="F212" i="9" a="1"/>
  <c r="F212" i="9" s="1"/>
  <c r="G208" i="9" a="1"/>
  <c r="G208" i="9" s="1"/>
  <c r="K204" i="9" a="1"/>
  <c r="K204" i="9" s="1"/>
  <c r="K197" i="9" a="1"/>
  <c r="K197" i="9" s="1"/>
  <c r="F194" i="9" a="1"/>
  <c r="F194" i="9" s="1"/>
  <c r="J190" i="9" a="1"/>
  <c r="J190" i="9" s="1"/>
  <c r="K179" i="9" a="1"/>
  <c r="K179" i="9" s="1"/>
  <c r="K166" i="9" a="1"/>
  <c r="K166" i="9" s="1"/>
  <c r="I141" i="9" a="1"/>
  <c r="I141" i="9" s="1"/>
  <c r="G75" i="9" a="1"/>
  <c r="G75" i="9" s="1"/>
  <c r="L315" i="2" a="1"/>
  <c r="L315" i="2" s="1"/>
  <c r="L307" i="2" a="1"/>
  <c r="L307" i="2" s="1"/>
  <c r="L316" i="2" a="1"/>
  <c r="L316" i="2" s="1"/>
  <c r="L308" i="2" a="1"/>
  <c r="L308" i="2" s="1"/>
  <c r="L314" i="2" a="1"/>
  <c r="L314" i="2" s="1"/>
  <c r="L306" i="2" a="1"/>
  <c r="L306" i="2" s="1"/>
  <c r="L313" i="2" a="1"/>
  <c r="L313" i="2" s="1"/>
  <c r="L305" i="2" a="1"/>
  <c r="L305" i="2" s="1"/>
  <c r="L312" i="2" a="1"/>
  <c r="L312" i="2" s="1"/>
  <c r="L304" i="2" a="1"/>
  <c r="L304" i="2" s="1"/>
  <c r="L311" i="2" a="1"/>
  <c r="L311" i="2" s="1"/>
  <c r="L303" i="2" a="1"/>
  <c r="L303" i="2" s="1"/>
  <c r="L310" i="2" a="1"/>
  <c r="L310" i="2" s="1"/>
  <c r="L302" i="2" a="1"/>
  <c r="L302" i="2" s="1"/>
  <c r="L317" i="2" a="1"/>
  <c r="L317" i="2" s="1"/>
  <c r="L309" i="2" a="1"/>
  <c r="L309" i="2" s="1"/>
  <c r="L301" i="2" a="1"/>
  <c r="L301" i="2" s="1"/>
  <c r="H144" i="14" a="1"/>
  <c r="H144" i="14" s="1"/>
  <c r="G138" i="14" a="1"/>
  <c r="G138" i="14" s="1"/>
  <c r="K143" i="14" a="1"/>
  <c r="K143" i="14" s="1"/>
  <c r="K137" i="14" a="1"/>
  <c r="K137" i="14" s="1"/>
  <c r="D143" i="14" a="1"/>
  <c r="D143" i="14" s="1"/>
  <c r="F148" i="14" a="1"/>
  <c r="F148" i="14" s="1"/>
  <c r="F142" i="14" a="1"/>
  <c r="F142" i="14" s="1"/>
  <c r="H147" i="14" a="1"/>
  <c r="H147" i="14" s="1"/>
  <c r="I141" i="14" a="1"/>
  <c r="I141" i="14" s="1"/>
  <c r="J140" i="14" a="1"/>
  <c r="J140" i="14" s="1"/>
  <c r="F80" i="14" a="1"/>
  <c r="F80" i="14" s="1"/>
  <c r="D146" i="14" a="1"/>
  <c r="D146" i="14" s="1"/>
  <c r="D140" i="14" a="1"/>
  <c r="D140" i="14" s="1"/>
  <c r="F145" i="14" a="1"/>
  <c r="F145" i="14" s="1"/>
  <c r="F139" i="14" a="1"/>
  <c r="F139" i="14" s="1"/>
  <c r="F59" i="14" a="1"/>
  <c r="F59" i="14" s="1"/>
  <c r="B15" i="14"/>
  <c r="H16" i="14" a="1"/>
  <c r="H16" i="14" s="1"/>
  <c r="C18" i="14" a="1"/>
  <c r="C18" i="14" s="1"/>
  <c r="G19" i="14" a="1"/>
  <c r="G19" i="14" s="1"/>
  <c r="E20" i="14" a="1"/>
  <c r="E20" i="14" s="1"/>
  <c r="K20" i="14" a="1"/>
  <c r="K20" i="14" s="1"/>
  <c r="H21" i="14" a="1"/>
  <c r="H21" i="14" s="1"/>
  <c r="C23" i="14" a="1"/>
  <c r="C23" i="14" s="1"/>
  <c r="J23" i="14" a="1"/>
  <c r="J23" i="14" s="1"/>
  <c r="G24" i="14" a="1"/>
  <c r="G24" i="14" s="1"/>
  <c r="E25" i="14" a="1"/>
  <c r="E25" i="14" s="1"/>
  <c r="C26" i="14" a="1"/>
  <c r="C26" i="14" s="1"/>
  <c r="I26" i="14" a="1"/>
  <c r="I26" i="14" s="1"/>
  <c r="D28" i="14" a="1"/>
  <c r="D28" i="14" s="1"/>
  <c r="K28" i="14" a="1"/>
  <c r="K28" i="14" s="1"/>
  <c r="I29" i="14" a="1"/>
  <c r="I29" i="14" s="1"/>
  <c r="F30" i="14" a="1"/>
  <c r="F30" i="14" s="1"/>
  <c r="D31" i="14" a="1"/>
  <c r="D31" i="14" s="1"/>
  <c r="H32" i="14" a="1"/>
  <c r="H32" i="14" s="1"/>
  <c r="E33" i="14" a="1"/>
  <c r="E33" i="14" s="1"/>
  <c r="K33" i="14" a="1"/>
  <c r="K33" i="14" s="1"/>
  <c r="I34" i="14" a="1"/>
  <c r="I34" i="14" s="1"/>
  <c r="D36" i="14" a="1"/>
  <c r="D36" i="14" s="1"/>
  <c r="J36" i="14" a="1"/>
  <c r="J36" i="14" s="1"/>
  <c r="G37" i="14" a="1"/>
  <c r="G37" i="14" s="1"/>
  <c r="E38" i="14" a="1"/>
  <c r="E38" i="14" s="1"/>
  <c r="I39" i="14" a="1"/>
  <c r="I39" i="14" s="1"/>
  <c r="F40" i="14" a="1"/>
  <c r="F40" i="14" s="1"/>
  <c r="C41" i="14" a="1"/>
  <c r="C41" i="14" s="1"/>
  <c r="J41" i="14" a="1"/>
  <c r="J41" i="14" s="1"/>
  <c r="E43" i="14" a="1"/>
  <c r="E43" i="14" s="1"/>
  <c r="K43" i="14" a="1"/>
  <c r="K43" i="14" s="1"/>
  <c r="H44" i="14" a="1"/>
  <c r="H44" i="14" s="1"/>
  <c r="F45" i="14" a="1"/>
  <c r="F45" i="14" s="1"/>
  <c r="J46" i="14" a="1"/>
  <c r="J46" i="14" s="1"/>
  <c r="G47" i="14" a="1"/>
  <c r="G47" i="14" s="1"/>
  <c r="D48" i="14" a="1"/>
  <c r="D48" i="14" s="1"/>
  <c r="K48" i="14" a="1"/>
  <c r="K48" i="14" s="1"/>
  <c r="F50" i="14" a="1"/>
  <c r="F50" i="14" s="1"/>
  <c r="C51" i="14" a="1"/>
  <c r="C51" i="14" s="1"/>
  <c r="H51" i="14" a="1"/>
  <c r="H51" i="14" s="1"/>
  <c r="C53" i="14" a="1"/>
  <c r="C53" i="14" s="1"/>
  <c r="I53" i="14" a="1"/>
  <c r="I53" i="14" s="1"/>
  <c r="C55" i="14" a="1"/>
  <c r="C55" i="14" s="1"/>
  <c r="I55" i="14" a="1"/>
  <c r="I55" i="14" s="1"/>
  <c r="E56" i="14" a="1"/>
  <c r="E56" i="14" s="1"/>
  <c r="C57" i="14" a="1"/>
  <c r="C57" i="14" s="1"/>
  <c r="H57" i="14" a="1"/>
  <c r="H57" i="14" s="1"/>
  <c r="E58" i="14" a="1"/>
  <c r="E58" i="14" s="1"/>
  <c r="G60" i="14" a="1"/>
  <c r="G60" i="14" s="1"/>
  <c r="C61" i="14" a="1"/>
  <c r="C61" i="14" s="1"/>
  <c r="I61" i="14" a="1"/>
  <c r="I61" i="14" s="1"/>
  <c r="G62" i="14" a="1"/>
  <c r="G62" i="14" s="1"/>
  <c r="D63" i="14" a="1"/>
  <c r="D63" i="14" s="1"/>
  <c r="K63" i="14" a="1"/>
  <c r="K63" i="14" s="1"/>
  <c r="K65" i="14" a="1"/>
  <c r="K65" i="14" s="1"/>
  <c r="H66" i="14" a="1"/>
  <c r="H66" i="14" s="1"/>
  <c r="F67" i="14" a="1"/>
  <c r="F67" i="14" s="1"/>
  <c r="C68" i="14" a="1"/>
  <c r="C68" i="14" s="1"/>
  <c r="I68" i="14" a="1"/>
  <c r="I68" i="14" s="1"/>
  <c r="F69" i="14" a="1"/>
  <c r="F69" i="14" s="1"/>
  <c r="J70" i="14" a="1"/>
  <c r="J70" i="14" s="1"/>
  <c r="G71" i="14" a="1"/>
  <c r="G71" i="14" s="1"/>
  <c r="J72" i="14" a="1"/>
  <c r="J72" i="14" s="1"/>
  <c r="H73" i="14" a="1"/>
  <c r="H73" i="14" s="1"/>
  <c r="E74" i="14" a="1"/>
  <c r="E74" i="14" s="1"/>
  <c r="K74" i="14" a="1"/>
  <c r="K74" i="14" s="1"/>
  <c r="C16" i="14" a="1"/>
  <c r="C16" i="14" s="1"/>
  <c r="I16" i="14" a="1"/>
  <c r="I16" i="14" s="1"/>
  <c r="F17" i="14" a="1"/>
  <c r="F17" i="14" s="1"/>
  <c r="D18" i="14" a="1"/>
  <c r="D18" i="14" s="1"/>
  <c r="K18" i="14" a="1"/>
  <c r="K18" i="14" s="1"/>
  <c r="H19" i="14" a="1"/>
  <c r="H19" i="14" s="1"/>
  <c r="F20" i="14" a="1"/>
  <c r="F20" i="14" s="1"/>
  <c r="C21" i="14" a="1"/>
  <c r="C21" i="14" s="1"/>
  <c r="I21" i="14" a="1"/>
  <c r="I21" i="14" s="1"/>
  <c r="G22" i="14" a="1"/>
  <c r="G22" i="14" s="1"/>
  <c r="D23" i="14" a="1"/>
  <c r="D23" i="14" s="1"/>
  <c r="K23" i="14" a="1"/>
  <c r="K23" i="14" s="1"/>
  <c r="H24" i="14" a="1"/>
  <c r="H24" i="14" s="1"/>
  <c r="F25" i="14" a="1"/>
  <c r="F25" i="14" s="1"/>
  <c r="D26" i="14" a="1"/>
  <c r="D26" i="14" s="1"/>
  <c r="J26" i="14" a="1"/>
  <c r="J26" i="14" s="1"/>
  <c r="H27" i="14" a="1"/>
  <c r="H27" i="14" s="1"/>
  <c r="C29" i="14" a="1"/>
  <c r="C29" i="14" s="1"/>
  <c r="G30" i="14" a="1"/>
  <c r="G30" i="14" s="1"/>
  <c r="E31" i="14" a="1"/>
  <c r="E31" i="14" s="1"/>
  <c r="J31" i="14" a="1"/>
  <c r="J31" i="14" s="1"/>
  <c r="I32" i="14" a="1"/>
  <c r="I32" i="14" s="1"/>
  <c r="C34" i="14" a="1"/>
  <c r="C34" i="14" s="1"/>
  <c r="J34" i="14" a="1"/>
  <c r="J34" i="14" s="1"/>
  <c r="F35" i="14" a="1"/>
  <c r="F35" i="14" s="1"/>
  <c r="E36" i="14" a="1"/>
  <c r="E36" i="14" s="1"/>
  <c r="H37" i="14" a="1"/>
  <c r="H37" i="14" s="1"/>
  <c r="F38" i="14" a="1"/>
  <c r="F38" i="14" s="1"/>
  <c r="K38" i="14" a="1"/>
  <c r="K38" i="14" s="1"/>
  <c r="J39" i="14" a="1"/>
  <c r="J39" i="14" s="1"/>
  <c r="D41" i="14" a="1"/>
  <c r="D41" i="14" s="1"/>
  <c r="K41" i="14" a="1"/>
  <c r="K41" i="14" s="1"/>
  <c r="G42" i="14" a="1"/>
  <c r="G42" i="14" s="1"/>
  <c r="F43" i="14" a="1"/>
  <c r="F43" i="14" s="1"/>
  <c r="I44" i="14" a="1"/>
  <c r="I44" i="14" s="1"/>
  <c r="G45" i="14" a="1"/>
  <c r="G45" i="14" s="1"/>
  <c r="C46" i="14" a="1"/>
  <c r="C46" i="14" s="1"/>
  <c r="K46" i="14" a="1"/>
  <c r="K46" i="14" s="1"/>
  <c r="E48" i="14" a="1"/>
  <c r="E48" i="14" s="1"/>
  <c r="C49" i="14" a="1"/>
  <c r="C49" i="14" s="1"/>
  <c r="H49" i="14" a="1"/>
  <c r="H49" i="14" s="1"/>
  <c r="G50" i="14" a="1"/>
  <c r="G50" i="14" s="1"/>
  <c r="I51" i="14" a="1"/>
  <c r="I51" i="14" s="1"/>
  <c r="G52" i="14" a="1"/>
  <c r="G52" i="14" s="1"/>
  <c r="D53" i="14" a="1"/>
  <c r="D53" i="14" s="1"/>
  <c r="J53" i="14" a="1"/>
  <c r="J53" i="14" s="1"/>
  <c r="G54" i="14" a="1"/>
  <c r="G54" i="14" s="1"/>
  <c r="D55" i="14" a="1"/>
  <c r="D55" i="14" s="1"/>
  <c r="J55" i="14" a="1"/>
  <c r="J55" i="14" s="1"/>
  <c r="F56" i="14" a="1"/>
  <c r="F56" i="14" s="1"/>
  <c r="I57" i="14" a="1"/>
  <c r="I57" i="14" s="1"/>
  <c r="F58" i="14" a="1"/>
  <c r="F58" i="14" s="1"/>
  <c r="C59" i="14" a="1"/>
  <c r="C59" i="14" s="1"/>
  <c r="I59" i="14" a="1"/>
  <c r="I59" i="14" s="1"/>
  <c r="D61" i="14" a="1"/>
  <c r="D61" i="14" s="1"/>
  <c r="J61" i="14" a="1"/>
  <c r="J61" i="14" s="1"/>
  <c r="C64" i="14" a="1"/>
  <c r="C64" i="14" s="1"/>
  <c r="H64" i="14" a="1"/>
  <c r="H64" i="14" s="1"/>
  <c r="E65" i="14" a="1"/>
  <c r="E65" i="14" s="1"/>
  <c r="C66" i="14" a="1"/>
  <c r="C66" i="14" s="1"/>
  <c r="I66" i="14" a="1"/>
  <c r="I66" i="14" s="1"/>
  <c r="G67" i="14" a="1"/>
  <c r="G67" i="14" s="1"/>
  <c r="G69" i="14" a="1"/>
  <c r="G69" i="14" s="1"/>
  <c r="D70" i="14" a="1"/>
  <c r="D70" i="14" s="1"/>
  <c r="K70" i="14" a="1"/>
  <c r="K70" i="14" s="1"/>
  <c r="H71" i="14" a="1"/>
  <c r="H71" i="14" s="1"/>
  <c r="E72" i="14" a="1"/>
  <c r="E72" i="14" s="1"/>
  <c r="K72" i="14" a="1"/>
  <c r="K72" i="14" s="1"/>
  <c r="F74" i="14" a="1"/>
  <c r="F74" i="14" s="1"/>
  <c r="C75" i="14" a="1"/>
  <c r="C75" i="14" s="1"/>
  <c r="D16" i="14" a="1"/>
  <c r="D16" i="14" s="1"/>
  <c r="J16" i="14" a="1"/>
  <c r="J16" i="14" s="1"/>
  <c r="G17" i="14" a="1"/>
  <c r="G17" i="14" s="1"/>
  <c r="E18" i="14" a="1"/>
  <c r="E18" i="14" s="1"/>
  <c r="C19" i="14" a="1"/>
  <c r="C19" i="14" s="1"/>
  <c r="I19" i="14" a="1"/>
  <c r="I19" i="14" s="1"/>
  <c r="G20" i="14" a="1"/>
  <c r="G20" i="14" s="1"/>
  <c r="J21" i="14" a="1"/>
  <c r="J21" i="14" s="1"/>
  <c r="H22" i="14" a="1"/>
  <c r="H22" i="14" s="1"/>
  <c r="E23" i="14" a="1"/>
  <c r="E23" i="14" s="1"/>
  <c r="C24" i="14" a="1"/>
  <c r="C24" i="14" s="1"/>
  <c r="G25" i="14" a="1"/>
  <c r="G25" i="14" s="1"/>
  <c r="K26" i="14" a="1"/>
  <c r="K26" i="14" s="1"/>
  <c r="I27" i="14" a="1"/>
  <c r="I27" i="14" s="1"/>
  <c r="E28" i="14" a="1"/>
  <c r="E28" i="14" s="1"/>
  <c r="D29" i="14" a="1"/>
  <c r="D29" i="14" s="1"/>
  <c r="J29" i="14" a="1"/>
  <c r="J29" i="14" s="1"/>
  <c r="H30" i="14" a="1"/>
  <c r="H30" i="14" s="1"/>
  <c r="K31" i="14" a="1"/>
  <c r="K31" i="14" s="1"/>
  <c r="J32" i="14" a="1"/>
  <c r="J32" i="14" s="1"/>
  <c r="F33" i="14" a="1"/>
  <c r="F33" i="14" s="1"/>
  <c r="D34" i="14" a="1"/>
  <c r="D34" i="14" s="1"/>
  <c r="G35" i="14" a="1"/>
  <c r="G35" i="14" s="1"/>
  <c r="F36" i="14" a="1"/>
  <c r="F36" i="14" s="1"/>
  <c r="K36" i="14" a="1"/>
  <c r="K36" i="14" s="1"/>
  <c r="I37" i="14" a="1"/>
  <c r="I37" i="14" s="1"/>
  <c r="C39" i="14" a="1"/>
  <c r="C39" i="14" s="1"/>
  <c r="K39" i="14" a="1"/>
  <c r="K39" i="14" s="1"/>
  <c r="G40" i="14" a="1"/>
  <c r="G40" i="14" s="1"/>
  <c r="E41" i="14" a="1"/>
  <c r="E41" i="14" s="1"/>
  <c r="H42" i="14" a="1"/>
  <c r="H42" i="14" s="1"/>
  <c r="G43" i="14" a="1"/>
  <c r="G43" i="14" s="1"/>
  <c r="C44" i="14" a="1"/>
  <c r="C44" i="14" s="1"/>
  <c r="J44" i="14" a="1"/>
  <c r="J44" i="14" s="1"/>
  <c r="D46" i="14" a="1"/>
  <c r="D46" i="14" s="1"/>
  <c r="C47" i="14" a="1"/>
  <c r="C47" i="14" s="1"/>
  <c r="H47" i="14" a="1"/>
  <c r="H47" i="14" s="1"/>
  <c r="F48" i="14" a="1"/>
  <c r="F48" i="14" s="1"/>
  <c r="I49" i="14" a="1"/>
  <c r="I49" i="14" s="1"/>
  <c r="H50" i="14" a="1"/>
  <c r="H50" i="14" s="1"/>
  <c r="D51" i="14" a="1"/>
  <c r="D51" i="14" s="1"/>
  <c r="J51" i="14" a="1"/>
  <c r="J51" i="14" s="1"/>
  <c r="H52" i="14" a="1"/>
  <c r="H52" i="14" s="1"/>
  <c r="E53" i="14" a="1"/>
  <c r="E53" i="14" s="1"/>
  <c r="G56" i="14" a="1"/>
  <c r="G56" i="14" s="1"/>
  <c r="D57" i="14" a="1"/>
  <c r="D57" i="14" s="1"/>
  <c r="J57" i="14" a="1"/>
  <c r="J57" i="14" s="1"/>
  <c r="D59" i="14" a="1"/>
  <c r="D59" i="14" s="1"/>
  <c r="J59" i="14" a="1"/>
  <c r="J59" i="14" s="1"/>
  <c r="H60" i="14" a="1"/>
  <c r="H60" i="14" s="1"/>
  <c r="E61" i="14" a="1"/>
  <c r="E61" i="14" s="1"/>
  <c r="K61" i="14" a="1"/>
  <c r="K61" i="14" s="1"/>
  <c r="H62" i="14" a="1"/>
  <c r="H62" i="14" s="1"/>
  <c r="E63" i="14" a="1"/>
  <c r="E63" i="14" s="1"/>
  <c r="I64" i="14" a="1"/>
  <c r="I64" i="14" s="1"/>
  <c r="F65" i="14" a="1"/>
  <c r="F65" i="14" s="1"/>
  <c r="H67" i="14" a="1"/>
  <c r="H67" i="14" s="1"/>
  <c r="D68" i="14" a="1"/>
  <c r="D68" i="14" s="1"/>
  <c r="J68" i="14" a="1"/>
  <c r="J68" i="14" s="1"/>
  <c r="H69" i="14" a="1"/>
  <c r="H69" i="14" s="1"/>
  <c r="E70" i="14" a="1"/>
  <c r="E70" i="14" s="1"/>
  <c r="C71" i="14" a="1"/>
  <c r="C71" i="14" s="1"/>
  <c r="C73" i="14" a="1"/>
  <c r="C73" i="14" s="1"/>
  <c r="I73" i="14" a="1"/>
  <c r="I73" i="14" s="1"/>
  <c r="G74" i="14" a="1"/>
  <c r="G74" i="14" s="1"/>
  <c r="D75" i="14" a="1"/>
  <c r="D75" i="14" s="1"/>
  <c r="K16" i="14" a="1"/>
  <c r="K16" i="14" s="1"/>
  <c r="H17" i="14" a="1"/>
  <c r="H17" i="14" s="1"/>
  <c r="F18" i="14" a="1"/>
  <c r="F18" i="14" s="1"/>
  <c r="H20" i="14" a="1"/>
  <c r="H20" i="14" s="1"/>
  <c r="D21" i="14" a="1"/>
  <c r="D21" i="14" s="1"/>
  <c r="K21" i="14" a="1"/>
  <c r="K21" i="14" s="1"/>
  <c r="D24" i="14" a="1"/>
  <c r="D24" i="14" s="1"/>
  <c r="I24" i="14" a="1"/>
  <c r="I24" i="14" s="1"/>
  <c r="H25" i="14" a="1"/>
  <c r="H25" i="14" s="1"/>
  <c r="E26" i="14" a="1"/>
  <c r="E26" i="14" s="1"/>
  <c r="C27" i="14" a="1"/>
  <c r="C27" i="14" s="1"/>
  <c r="F28" i="14" a="1"/>
  <c r="F28" i="14" s="1"/>
  <c r="E29" i="14" a="1"/>
  <c r="E29" i="14" s="1"/>
  <c r="K29" i="14" a="1"/>
  <c r="K29" i="14" s="1"/>
  <c r="I30" i="14" a="1"/>
  <c r="I30" i="14" s="1"/>
  <c r="F31" i="14" a="1"/>
  <c r="F31" i="14" s="1"/>
  <c r="C32" i="14" a="1"/>
  <c r="C32" i="14" s="1"/>
  <c r="G33" i="14" a="1"/>
  <c r="G33" i="14" s="1"/>
  <c r="E34" i="14" a="1"/>
  <c r="E34" i="14" s="1"/>
  <c r="K34" i="14" a="1"/>
  <c r="K34" i="14" s="1"/>
  <c r="H35" i="14" a="1"/>
  <c r="H35" i="14" s="1"/>
  <c r="C37" i="14" a="1"/>
  <c r="C37" i="14" s="1"/>
  <c r="J37" i="14" a="1"/>
  <c r="J37" i="14" s="1"/>
  <c r="G38" i="14" a="1"/>
  <c r="G38" i="14" s="1"/>
  <c r="D39" i="14" a="1"/>
  <c r="D39" i="14" s="1"/>
  <c r="H40" i="14" a="1"/>
  <c r="H40" i="14" s="1"/>
  <c r="F41" i="14" a="1"/>
  <c r="F41" i="14" s="1"/>
  <c r="C42" i="14" a="1"/>
  <c r="C42" i="14" s="1"/>
  <c r="I42" i="14" a="1"/>
  <c r="I42" i="14" s="1"/>
  <c r="D44" i="14" a="1"/>
  <c r="D44" i="14" s="1"/>
  <c r="K44" i="14" a="1"/>
  <c r="K44" i="14" s="1"/>
  <c r="H45" i="14" a="1"/>
  <c r="H45" i="14" s="1"/>
  <c r="E46" i="14" a="1"/>
  <c r="E46" i="14" s="1"/>
  <c r="I47" i="14" a="1"/>
  <c r="I47" i="14" s="1"/>
  <c r="G48" i="14" a="1"/>
  <c r="G48" i="14" s="1"/>
  <c r="D49" i="14" a="1"/>
  <c r="D49" i="14" s="1"/>
  <c r="J49" i="14" a="1"/>
  <c r="J49" i="14" s="1"/>
  <c r="E51" i="14" a="1"/>
  <c r="E51" i="14" s="1"/>
  <c r="K51" i="14" a="1"/>
  <c r="K51" i="14" s="1"/>
  <c r="K53" i="14" a="1"/>
  <c r="K53" i="14" s="1"/>
  <c r="H54" i="14" a="1"/>
  <c r="H54" i="14" s="1"/>
  <c r="E55" i="14" a="1"/>
  <c r="E55" i="14" s="1"/>
  <c r="K55" i="14" a="1"/>
  <c r="K55" i="14" s="1"/>
  <c r="H56" i="14" a="1"/>
  <c r="H56" i="14" s="1"/>
  <c r="K57" i="14" a="1"/>
  <c r="K57" i="14" s="1"/>
  <c r="G58" i="14" a="1"/>
  <c r="G58" i="14" s="1"/>
  <c r="E59" i="14" a="1"/>
  <c r="E59" i="14" s="1"/>
  <c r="K59" i="14" a="1"/>
  <c r="K59" i="14" s="1"/>
  <c r="F61" i="14" a="1"/>
  <c r="F61" i="14" s="1"/>
  <c r="I62" i="14" a="1"/>
  <c r="I62" i="14" s="1"/>
  <c r="F63" i="14" a="1"/>
  <c r="F63" i="14" s="1"/>
  <c r="D64" i="14" a="1"/>
  <c r="D64" i="14" s="1"/>
  <c r="J64" i="14" a="1"/>
  <c r="J64" i="14" s="1"/>
  <c r="G65" i="14" a="1"/>
  <c r="G65" i="14" s="1"/>
  <c r="D66" i="14" a="1"/>
  <c r="D66" i="14" s="1"/>
  <c r="J66" i="14" a="1"/>
  <c r="J66" i="14" s="1"/>
  <c r="E68" i="14" a="1"/>
  <c r="E68" i="14" s="1"/>
  <c r="K68" i="14" a="1"/>
  <c r="K68" i="14" s="1"/>
  <c r="D71" i="14" a="1"/>
  <c r="D71" i="14" s="1"/>
  <c r="I71" i="14" a="1"/>
  <c r="I71" i="14" s="1"/>
  <c r="F72" i="14" a="1"/>
  <c r="F72" i="14" s="1"/>
  <c r="D73" i="14" a="1"/>
  <c r="D73" i="14" s="1"/>
  <c r="J73" i="14" a="1"/>
  <c r="J73" i="14" s="1"/>
  <c r="H74" i="14" a="1"/>
  <c r="H74" i="14" s="1"/>
  <c r="F16" i="14" a="1"/>
  <c r="F16" i="14" s="1"/>
  <c r="J17" i="14" a="1"/>
  <c r="J17" i="14" s="1"/>
  <c r="H18" i="14" a="1"/>
  <c r="H18" i="14" s="1"/>
  <c r="E19" i="14" a="1"/>
  <c r="E19" i="14" s="1"/>
  <c r="K19" i="14" a="1"/>
  <c r="K19" i="14" s="1"/>
  <c r="I20" i="14" a="1"/>
  <c r="I20" i="14" s="1"/>
  <c r="F21" i="14" a="1"/>
  <c r="F21" i="14" s="1"/>
  <c r="D22" i="14" a="1"/>
  <c r="D22" i="14" s="1"/>
  <c r="J22" i="14" a="1"/>
  <c r="J22" i="14" s="1"/>
  <c r="G23" i="14" a="1"/>
  <c r="G23" i="14" s="1"/>
  <c r="E24" i="14" a="1"/>
  <c r="E24" i="14" s="1"/>
  <c r="K24" i="14" a="1"/>
  <c r="K24" i="14" s="1"/>
  <c r="J25" i="14" a="1"/>
  <c r="J25" i="14" s="1"/>
  <c r="E27" i="14" a="1"/>
  <c r="E27" i="14" s="1"/>
  <c r="K27" i="14" a="1"/>
  <c r="K27" i="14" s="1"/>
  <c r="H28" i="14" a="1"/>
  <c r="H28" i="14" s="1"/>
  <c r="G29" i="14" a="1"/>
  <c r="G29" i="14" s="1"/>
  <c r="C30" i="14" a="1"/>
  <c r="C30" i="14" s="1"/>
  <c r="K30" i="14" a="1"/>
  <c r="K30" i="14" s="1"/>
  <c r="E32" i="14" a="1"/>
  <c r="E32" i="14" s="1"/>
  <c r="C33" i="14" a="1"/>
  <c r="C33" i="14" s="1"/>
  <c r="H33" i="14" a="1"/>
  <c r="H33" i="14" s="1"/>
  <c r="G34" i="14" a="1"/>
  <c r="G34" i="14" s="1"/>
  <c r="J35" i="14" a="1"/>
  <c r="J35" i="14" s="1"/>
  <c r="H36" i="14" a="1"/>
  <c r="H36" i="14" s="1"/>
  <c r="D37" i="14" a="1"/>
  <c r="D37" i="14" s="1"/>
  <c r="C38" i="14" a="1"/>
  <c r="C38" i="14" s="1"/>
  <c r="F39" i="14" a="1"/>
  <c r="F39" i="14" s="1"/>
  <c r="D40" i="14" a="1"/>
  <c r="D40" i="14" s="1"/>
  <c r="I40" i="14" a="1"/>
  <c r="I40" i="14" s="1"/>
  <c r="H41" i="14" a="1"/>
  <c r="H41" i="14" s="1"/>
  <c r="K42" i="14" a="1"/>
  <c r="K42" i="14" s="1"/>
  <c r="I43" i="14" a="1"/>
  <c r="I43" i="14" s="1"/>
  <c r="E44" i="14" a="1"/>
  <c r="E44" i="14" s="1"/>
  <c r="D45" i="14" a="1"/>
  <c r="D45" i="14" s="1"/>
  <c r="G46" i="14" a="1"/>
  <c r="G46" i="14" s="1"/>
  <c r="E47" i="14" a="1"/>
  <c r="E47" i="14" s="1"/>
  <c r="J47" i="14" a="1"/>
  <c r="J47" i="14" s="1"/>
  <c r="I48" i="14" a="1"/>
  <c r="I48" i="14" s="1"/>
  <c r="C50" i="14" a="1"/>
  <c r="C50" i="14" s="1"/>
  <c r="J50" i="14" a="1"/>
  <c r="J50" i="14" s="1"/>
  <c r="F51" i="14" a="1"/>
  <c r="F51" i="14" s="1"/>
  <c r="D52" i="14" a="1"/>
  <c r="D52" i="14" s="1"/>
  <c r="J52" i="14" a="1"/>
  <c r="J52" i="14" s="1"/>
  <c r="G53" i="14" a="1"/>
  <c r="G53" i="14" s="1"/>
  <c r="D54" i="14" a="1"/>
  <c r="D54" i="14" s="1"/>
  <c r="J54" i="14" a="1"/>
  <c r="J54" i="14" s="1"/>
  <c r="J56" i="14" a="1"/>
  <c r="J56" i="14" s="1"/>
  <c r="F57" i="14" a="1"/>
  <c r="F57" i="14" s="1"/>
  <c r="C58" i="14" a="1"/>
  <c r="C58" i="14" s="1"/>
  <c r="I58" i="14" a="1"/>
  <c r="I58" i="14" s="1"/>
  <c r="D60" i="14" a="1"/>
  <c r="D60" i="14" s="1"/>
  <c r="J60" i="14" a="1"/>
  <c r="J60" i="14" s="1"/>
  <c r="D62" i="14" a="1"/>
  <c r="D62" i="14" s="1"/>
  <c r="K62" i="14" a="1"/>
  <c r="K62" i="14" s="1"/>
  <c r="H63" i="14" a="1"/>
  <c r="H63" i="14" s="1"/>
  <c r="E64" i="14" a="1"/>
  <c r="E64" i="14" s="1"/>
  <c r="C65" i="14" a="1"/>
  <c r="C65" i="14" s="1"/>
  <c r="H65" i="14" a="1"/>
  <c r="H65" i="14" s="1"/>
  <c r="F66" i="14" a="1"/>
  <c r="F66" i="14" s="1"/>
  <c r="C67" i="14" a="1"/>
  <c r="C67" i="14" s="1"/>
  <c r="G68" i="14" a="1"/>
  <c r="G68" i="14" s="1"/>
  <c r="J69" i="14" a="1"/>
  <c r="J69" i="14" s="1"/>
  <c r="G70" i="14" a="1"/>
  <c r="G70" i="14" s="1"/>
  <c r="E71" i="14" a="1"/>
  <c r="E71" i="14" s="1"/>
  <c r="K71" i="14" a="1"/>
  <c r="K71" i="14" s="1"/>
  <c r="H72" i="14" a="1"/>
  <c r="H72" i="14" s="1"/>
  <c r="E73" i="14" a="1"/>
  <c r="E73" i="14" s="1"/>
  <c r="K73" i="14" a="1"/>
  <c r="K73" i="14" s="1"/>
  <c r="F75" i="14" a="1"/>
  <c r="F75" i="14" s="1"/>
  <c r="E16" i="14" a="1"/>
  <c r="E16" i="14" s="1"/>
  <c r="C20" i="14" a="1"/>
  <c r="C20" i="14" s="1"/>
  <c r="C22" i="14" a="1"/>
  <c r="C22" i="14" s="1"/>
  <c r="I23" i="14" a="1"/>
  <c r="I23" i="14" s="1"/>
  <c r="K25" i="14" a="1"/>
  <c r="K25" i="14" s="1"/>
  <c r="J27" i="14" a="1"/>
  <c r="J27" i="14" s="1"/>
  <c r="H29" i="14" a="1"/>
  <c r="H29" i="14" s="1"/>
  <c r="H31" i="14" a="1"/>
  <c r="H31" i="14" s="1"/>
  <c r="E35" i="14" a="1"/>
  <c r="E35" i="14" s="1"/>
  <c r="E37" i="14" a="1"/>
  <c r="E37" i="14" s="1"/>
  <c r="E39" i="14" a="1"/>
  <c r="E39" i="14" s="1"/>
  <c r="K40" i="14" a="1"/>
  <c r="K40" i="14" s="1"/>
  <c r="C43" i="14" a="1"/>
  <c r="C43" i="14" s="1"/>
  <c r="C45" i="14" a="1"/>
  <c r="C45" i="14" s="1"/>
  <c r="I46" i="14" a="1"/>
  <c r="I46" i="14" s="1"/>
  <c r="J48" i="14" a="1"/>
  <c r="J48" i="14" s="1"/>
  <c r="I50" i="14" a="1"/>
  <c r="I50" i="14" s="1"/>
  <c r="F52" i="14" a="1"/>
  <c r="F52" i="14" s="1"/>
  <c r="E54" i="14" a="1"/>
  <c r="E54" i="14" s="1"/>
  <c r="C56" i="14" a="1"/>
  <c r="C56" i="14" s="1"/>
  <c r="G57" i="14" a="1"/>
  <c r="G57" i="14" s="1"/>
  <c r="G59" i="14" a="1"/>
  <c r="G59" i="14" s="1"/>
  <c r="G61" i="14" a="1"/>
  <c r="G61" i="14" s="1"/>
  <c r="C63" i="14" a="1"/>
  <c r="C63" i="14" s="1"/>
  <c r="K66" i="14" a="1"/>
  <c r="K66" i="14" s="1"/>
  <c r="H70" i="14" a="1"/>
  <c r="H70" i="14" s="1"/>
  <c r="G72" i="14" a="1"/>
  <c r="G72" i="14" s="1"/>
  <c r="D74" i="14" a="1"/>
  <c r="D74" i="14" s="1"/>
  <c r="I75" i="14" a="1"/>
  <c r="I75" i="14" s="1"/>
  <c r="E76" i="14" a="1"/>
  <c r="E76" i="14" s="1"/>
  <c r="C77" i="14" a="1"/>
  <c r="C77" i="14" s="1"/>
  <c r="I77" i="14" a="1"/>
  <c r="I77" i="14" s="1"/>
  <c r="D79" i="14" a="1"/>
  <c r="D79" i="14" s="1"/>
  <c r="G80" i="14" a="1"/>
  <c r="G80" i="14" s="1"/>
  <c r="K81" i="14" a="1"/>
  <c r="K81" i="14" s="1"/>
  <c r="G82" i="14" a="1"/>
  <c r="G82" i="14" s="1"/>
  <c r="F83" i="14" a="1"/>
  <c r="F83" i="14" s="1"/>
  <c r="C84" i="14" a="1"/>
  <c r="C84" i="14" s="1"/>
  <c r="I85" i="14" a="1"/>
  <c r="I85" i="14" s="1"/>
  <c r="G86" i="14" a="1"/>
  <c r="G86" i="14" s="1"/>
  <c r="E87" i="14" a="1"/>
  <c r="E87" i="14" s="1"/>
  <c r="K87" i="14" a="1"/>
  <c r="K87" i="14" s="1"/>
  <c r="H88" i="14" a="1"/>
  <c r="H88" i="14" s="1"/>
  <c r="E90" i="14" a="1"/>
  <c r="E90" i="14" s="1"/>
  <c r="C91" i="14" a="1"/>
  <c r="C91" i="14" s="1"/>
  <c r="K91" i="14" a="1"/>
  <c r="K91" i="14" s="1"/>
  <c r="I92" i="14" a="1"/>
  <c r="I92" i="14" s="1"/>
  <c r="F93" i="14" a="1"/>
  <c r="F93" i="14" s="1"/>
  <c r="D94" i="14" a="1"/>
  <c r="D94" i="14" s="1"/>
  <c r="I94" i="14" a="1"/>
  <c r="I94" i="14" s="1"/>
  <c r="E96" i="14" a="1"/>
  <c r="E96" i="14" s="1"/>
  <c r="K96" i="14" a="1"/>
  <c r="K96" i="14" s="1"/>
  <c r="I97" i="14" a="1"/>
  <c r="I97" i="14" s="1"/>
  <c r="F98" i="14" a="1"/>
  <c r="F98" i="14" s="1"/>
  <c r="I99" i="14" a="1"/>
  <c r="I99" i="14" s="1"/>
  <c r="J101" i="14" a="1"/>
  <c r="J101" i="14" s="1"/>
  <c r="H102" i="14" a="1"/>
  <c r="H102" i="14" s="1"/>
  <c r="K103" i="14" a="1"/>
  <c r="K103" i="14" s="1"/>
  <c r="I104" i="14" a="1"/>
  <c r="I104" i="14" s="1"/>
  <c r="E105" i="14" a="1"/>
  <c r="E105" i="14" s="1"/>
  <c r="K105" i="14" a="1"/>
  <c r="K105" i="14" s="1"/>
  <c r="H106" i="14" a="1"/>
  <c r="H106" i="14" s="1"/>
  <c r="E107" i="14" a="1"/>
  <c r="E107" i="14" s="1"/>
  <c r="K107" i="14" a="1"/>
  <c r="K107" i="14" s="1"/>
  <c r="I108" i="14" a="1"/>
  <c r="I108" i="14" s="1"/>
  <c r="F109" i="14" a="1"/>
  <c r="F109" i="14" s="1"/>
  <c r="E110" i="14" a="1"/>
  <c r="E110" i="14" s="1"/>
  <c r="K110" i="14" a="1"/>
  <c r="K110" i="14" s="1"/>
  <c r="F112" i="14" a="1"/>
  <c r="F112" i="14" s="1"/>
  <c r="K112" i="14" a="1"/>
  <c r="K112" i="14" s="1"/>
  <c r="G18" i="14" a="1"/>
  <c r="G18" i="14" s="1"/>
  <c r="D20" i="14" a="1"/>
  <c r="D20" i="14" s="1"/>
  <c r="E22" i="14" a="1"/>
  <c r="E22" i="14" s="1"/>
  <c r="I31" i="14" a="1"/>
  <c r="I31" i="14" s="1"/>
  <c r="I33" i="14" a="1"/>
  <c r="I33" i="14" s="1"/>
  <c r="I35" i="14" a="1"/>
  <c r="I35" i="14" s="1"/>
  <c r="F37" i="14" a="1"/>
  <c r="F37" i="14" s="1"/>
  <c r="G39" i="14" a="1"/>
  <c r="G39" i="14" s="1"/>
  <c r="G41" i="14" a="1"/>
  <c r="G41" i="14" s="1"/>
  <c r="D43" i="14" a="1"/>
  <c r="D43" i="14" s="1"/>
  <c r="E45" i="14" a="1"/>
  <c r="E45" i="14" s="1"/>
  <c r="D47" i="14" a="1"/>
  <c r="D47" i="14" s="1"/>
  <c r="I52" i="14" a="1"/>
  <c r="I52" i="14" s="1"/>
  <c r="F54" i="14" a="1"/>
  <c r="F54" i="14" s="1"/>
  <c r="D56" i="14" a="1"/>
  <c r="D56" i="14" s="1"/>
  <c r="H59" i="14" a="1"/>
  <c r="H59" i="14" s="1"/>
  <c r="H61" i="14" a="1"/>
  <c r="H61" i="14" s="1"/>
  <c r="G63" i="14" a="1"/>
  <c r="G63" i="14" s="1"/>
  <c r="D65" i="14" a="1"/>
  <c r="D65" i="14" s="1"/>
  <c r="D67" i="14" a="1"/>
  <c r="D67" i="14" s="1"/>
  <c r="C69" i="14" a="1"/>
  <c r="C69" i="14" s="1"/>
  <c r="I70" i="14" a="1"/>
  <c r="I70" i="14" s="1"/>
  <c r="I74" i="14" a="1"/>
  <c r="I74" i="14" s="1"/>
  <c r="F76" i="14" a="1"/>
  <c r="F76" i="14" s="1"/>
  <c r="D77" i="14" a="1"/>
  <c r="D77" i="14" s="1"/>
  <c r="J77" i="14" a="1"/>
  <c r="J77" i="14" s="1"/>
  <c r="G78" i="14" a="1"/>
  <c r="G78" i="14" s="1"/>
  <c r="E79" i="14" a="1"/>
  <c r="E79" i="14" s="1"/>
  <c r="J79" i="14" a="1"/>
  <c r="J79" i="14" s="1"/>
  <c r="H80" i="14" a="1"/>
  <c r="H80" i="14" s="1"/>
  <c r="D81" i="14" a="1"/>
  <c r="D81" i="14" s="1"/>
  <c r="H82" i="14" a="1"/>
  <c r="H82" i="14" s="1"/>
  <c r="G83" i="14" a="1"/>
  <c r="G83" i="14" s="1"/>
  <c r="D84" i="14" a="1"/>
  <c r="D84" i="14" s="1"/>
  <c r="K84" i="14" a="1"/>
  <c r="K84" i="14" s="1"/>
  <c r="J85" i="14" a="1"/>
  <c r="J85" i="14" s="1"/>
  <c r="F87" i="14" a="1"/>
  <c r="F87" i="14" s="1"/>
  <c r="C88" i="14" a="1"/>
  <c r="C88" i="14" s="1"/>
  <c r="I88" i="14" a="1"/>
  <c r="I88" i="14" s="1"/>
  <c r="G89" i="14" a="1"/>
  <c r="G89" i="14" s="1"/>
  <c r="F90" i="14" a="1"/>
  <c r="F90" i="14" s="1"/>
  <c r="D91" i="14" a="1"/>
  <c r="D91" i="14" s="1"/>
  <c r="J92" i="14" a="1"/>
  <c r="J92" i="14" s="1"/>
  <c r="G93" i="14" a="1"/>
  <c r="G93" i="14" s="1"/>
  <c r="E94" i="14" a="1"/>
  <c r="E94" i="14" s="1"/>
  <c r="J94" i="14" a="1"/>
  <c r="J94" i="14" s="1"/>
  <c r="H95" i="14" a="1"/>
  <c r="H95" i="14" s="1"/>
  <c r="F96" i="14" a="1"/>
  <c r="F96" i="14" s="1"/>
  <c r="C97" i="14" a="1"/>
  <c r="C97" i="14" s="1"/>
  <c r="J97" i="14" a="1"/>
  <c r="J97" i="14" s="1"/>
  <c r="G98" i="14" a="1"/>
  <c r="G98" i="14" s="1"/>
  <c r="D99" i="14" a="1"/>
  <c r="D99" i="14" s="1"/>
  <c r="J99" i="14" a="1"/>
  <c r="J99" i="14" s="1"/>
  <c r="G100" i="14" a="1"/>
  <c r="G100" i="14" s="1"/>
  <c r="E101" i="14" a="1"/>
  <c r="E101" i="14" s="1"/>
  <c r="K101" i="14" a="1"/>
  <c r="K101" i="14" s="1"/>
  <c r="E103" i="14" a="1"/>
  <c r="E103" i="14" s="1"/>
  <c r="F105" i="14" a="1"/>
  <c r="F105" i="14" s="1"/>
  <c r="C106" i="14" a="1"/>
  <c r="C106" i="14" s="1"/>
  <c r="I106" i="14" a="1"/>
  <c r="I106" i="14" s="1"/>
  <c r="F107" i="14" a="1"/>
  <c r="F107" i="14" s="1"/>
  <c r="C108" i="14" a="1"/>
  <c r="C108" i="14" s="1"/>
  <c r="G109" i="14" a="1"/>
  <c r="G109" i="14" s="1"/>
  <c r="C111" i="14" a="1"/>
  <c r="C111" i="14" s="1"/>
  <c r="I111" i="14" a="1"/>
  <c r="I111" i="14" s="1"/>
  <c r="I113" i="14" a="1"/>
  <c r="I113" i="14" s="1"/>
  <c r="G16" i="14" a="1"/>
  <c r="G16" i="14" s="1"/>
  <c r="I18" i="14" a="1"/>
  <c r="I18" i="14" s="1"/>
  <c r="F22" i="14" a="1"/>
  <c r="F22" i="14" s="1"/>
  <c r="F24" i="14" a="1"/>
  <c r="F24" i="14" s="1"/>
  <c r="F26" i="14" a="1"/>
  <c r="F26" i="14" s="1"/>
  <c r="C28" i="14" a="1"/>
  <c r="C28" i="14" s="1"/>
  <c r="D30" i="14" a="1"/>
  <c r="D30" i="14" s="1"/>
  <c r="D32" i="14" a="1"/>
  <c r="D32" i="14" s="1"/>
  <c r="J33" i="14" a="1"/>
  <c r="J33" i="14" s="1"/>
  <c r="K35" i="14" a="1"/>
  <c r="K35" i="14" s="1"/>
  <c r="K37" i="14" a="1"/>
  <c r="K37" i="14" s="1"/>
  <c r="H39" i="14" a="1"/>
  <c r="H39" i="14" s="1"/>
  <c r="I41" i="14" a="1"/>
  <c r="I41" i="14" s="1"/>
  <c r="H43" i="14" a="1"/>
  <c r="H43" i="14" s="1"/>
  <c r="E49" i="14" a="1"/>
  <c r="E49" i="14" s="1"/>
  <c r="K50" i="14" a="1"/>
  <c r="K50" i="14" s="1"/>
  <c r="I54" i="14" a="1"/>
  <c r="I54" i="14" s="1"/>
  <c r="C60" i="14" a="1"/>
  <c r="C60" i="14" s="1"/>
  <c r="I63" i="14" a="1"/>
  <c r="I63" i="14" s="1"/>
  <c r="E67" i="14" a="1"/>
  <c r="E67" i="14" s="1"/>
  <c r="D69" i="14" a="1"/>
  <c r="D69" i="14" s="1"/>
  <c r="I72" i="14" a="1"/>
  <c r="I72" i="14" s="1"/>
  <c r="J74" i="14" a="1"/>
  <c r="J74" i="14" s="1"/>
  <c r="J75" i="14" a="1"/>
  <c r="J75" i="14" s="1"/>
  <c r="G76" i="14" a="1"/>
  <c r="G76" i="14" s="1"/>
  <c r="K77" i="14" a="1"/>
  <c r="K77" i="14" s="1"/>
  <c r="H78" i="14" a="1"/>
  <c r="H78" i="14" s="1"/>
  <c r="K79" i="14" a="1"/>
  <c r="K79" i="14" s="1"/>
  <c r="I80" i="14" a="1"/>
  <c r="I80" i="14" s="1"/>
  <c r="E81" i="14" a="1"/>
  <c r="E81" i="14" s="1"/>
  <c r="C82" i="14" a="1"/>
  <c r="C82" i="14" s="1"/>
  <c r="I82" i="14" a="1"/>
  <c r="I82" i="14" s="1"/>
  <c r="H83" i="14" a="1"/>
  <c r="H83" i="14" s="1"/>
  <c r="E84" i="14" a="1"/>
  <c r="E84" i="14" s="1"/>
  <c r="C85" i="14" a="1"/>
  <c r="C85" i="14" s="1"/>
  <c r="H86" i="14" a="1"/>
  <c r="H86" i="14" s="1"/>
  <c r="D88" i="14" a="1"/>
  <c r="D88" i="14" s="1"/>
  <c r="J88" i="14" a="1"/>
  <c r="J88" i="14" s="1"/>
  <c r="H89" i="14" a="1"/>
  <c r="H89" i="14" s="1"/>
  <c r="G90" i="14" a="1"/>
  <c r="G90" i="14" s="1"/>
  <c r="E91" i="14" a="1"/>
  <c r="E91" i="14" s="1"/>
  <c r="C92" i="14" a="1"/>
  <c r="C92" i="14" s="1"/>
  <c r="K92" i="14" a="1"/>
  <c r="K92" i="14" s="1"/>
  <c r="H93" i="14" a="1"/>
  <c r="H93" i="14" s="1"/>
  <c r="K94" i="14" a="1"/>
  <c r="K94" i="14" s="1"/>
  <c r="I95" i="14" a="1"/>
  <c r="I95" i="14" s="1"/>
  <c r="G96" i="14" a="1"/>
  <c r="G96" i="14" s="1"/>
  <c r="D97" i="14" a="1"/>
  <c r="D97" i="14" s="1"/>
  <c r="H98" i="14" a="1"/>
  <c r="H98" i="14" s="1"/>
  <c r="E99" i="14" a="1"/>
  <c r="E99" i="14" s="1"/>
  <c r="K99" i="14" a="1"/>
  <c r="K99" i="14" s="1"/>
  <c r="H100" i="14" a="1"/>
  <c r="H100" i="14" s="1"/>
  <c r="F101" i="14" a="1"/>
  <c r="F101" i="14" s="1"/>
  <c r="C102" i="14" a="1"/>
  <c r="C102" i="14" s="1"/>
  <c r="I102" i="14" a="1"/>
  <c r="I102" i="14" s="1"/>
  <c r="F103" i="14" a="1"/>
  <c r="F103" i="14" s="1"/>
  <c r="C104" i="14" a="1"/>
  <c r="C104" i="14" s="1"/>
  <c r="J104" i="14" a="1"/>
  <c r="J104" i="14" s="1"/>
  <c r="G105" i="14" a="1"/>
  <c r="G105" i="14" s="1"/>
  <c r="D106" i="14" a="1"/>
  <c r="D106" i="14" s="1"/>
  <c r="D108" i="14" a="1"/>
  <c r="D108" i="14" s="1"/>
  <c r="J108" i="14" a="1"/>
  <c r="J108" i="14" s="1"/>
  <c r="H109" i="14" a="1"/>
  <c r="H109" i="14" s="1"/>
  <c r="F110" i="14" a="1"/>
  <c r="F110" i="14" s="1"/>
  <c r="D111" i="14" a="1"/>
  <c r="D111" i="14" s="1"/>
  <c r="J111" i="14" a="1"/>
  <c r="J111" i="14" s="1"/>
  <c r="G112" i="14" a="1"/>
  <c r="G112" i="14" s="1"/>
  <c r="C113" i="14" a="1"/>
  <c r="C113" i="14" s="1"/>
  <c r="C17" i="14" a="1"/>
  <c r="C17" i="14" s="1"/>
  <c r="J18" i="14" a="1"/>
  <c r="J18" i="14" s="1"/>
  <c r="J20" i="14" a="1"/>
  <c r="J20" i="14" s="1"/>
  <c r="I22" i="14" a="1"/>
  <c r="I22" i="14" s="1"/>
  <c r="G26" i="14" a="1"/>
  <c r="G26" i="14" s="1"/>
  <c r="G28" i="14" a="1"/>
  <c r="G28" i="14" s="1"/>
  <c r="E30" i="14" a="1"/>
  <c r="E30" i="14" s="1"/>
  <c r="F32" i="14" a="1"/>
  <c r="F32" i="14" s="1"/>
  <c r="F34" i="14" a="1"/>
  <c r="F34" i="14" s="1"/>
  <c r="C36" i="14" a="1"/>
  <c r="C36" i="14" s="1"/>
  <c r="D38" i="14" a="1"/>
  <c r="D38" i="14" s="1"/>
  <c r="C40" i="14" a="1"/>
  <c r="C40" i="14" s="1"/>
  <c r="I45" i="14" a="1"/>
  <c r="I45" i="14" s="1"/>
  <c r="F47" i="14" a="1"/>
  <c r="F47" i="14" s="1"/>
  <c r="F49" i="14" a="1"/>
  <c r="F49" i="14" s="1"/>
  <c r="K52" i="14" a="1"/>
  <c r="K52" i="14" s="1"/>
  <c r="I56" i="14" a="1"/>
  <c r="I56" i="14" s="1"/>
  <c r="D58" i="14" a="1"/>
  <c r="D58" i="14" s="1"/>
  <c r="E60" i="14" a="1"/>
  <c r="E60" i="14" s="1"/>
  <c r="C62" i="14" a="1"/>
  <c r="C62" i="14" s="1"/>
  <c r="J63" i="14" a="1"/>
  <c r="J63" i="14" s="1"/>
  <c r="I65" i="14" a="1"/>
  <c r="I65" i="14" s="1"/>
  <c r="I67" i="14" a="1"/>
  <c r="I67" i="14" s="1"/>
  <c r="E69" i="14" a="1"/>
  <c r="E69" i="14" s="1"/>
  <c r="H76" i="14" a="1"/>
  <c r="H76" i="14" s="1"/>
  <c r="E77" i="14" a="1"/>
  <c r="E77" i="14" s="1"/>
  <c r="C78" i="14" a="1"/>
  <c r="C78" i="14" s="1"/>
  <c r="I78" i="14" a="1"/>
  <c r="I78" i="14" s="1"/>
  <c r="F79" i="14" a="1"/>
  <c r="F79" i="14" s="1"/>
  <c r="C80" i="14" a="1"/>
  <c r="C80" i="14" s="1"/>
  <c r="F81" i="14" a="1"/>
  <c r="F81" i="14" s="1"/>
  <c r="J82" i="14" a="1"/>
  <c r="J82" i="14" s="1"/>
  <c r="I83" i="14" a="1"/>
  <c r="I83" i="14" s="1"/>
  <c r="F84" i="14" a="1"/>
  <c r="F84" i="14" s="1"/>
  <c r="D85" i="14" a="1"/>
  <c r="D85" i="14" s="1"/>
  <c r="K85" i="14" a="1"/>
  <c r="K85" i="14" s="1"/>
  <c r="I86" i="14" a="1"/>
  <c r="I86" i="14" s="1"/>
  <c r="G87" i="14" a="1"/>
  <c r="G87" i="14" s="1"/>
  <c r="E88" i="14" a="1"/>
  <c r="E88" i="14" s="1"/>
  <c r="K88" i="14" a="1"/>
  <c r="K88" i="14" s="1"/>
  <c r="I89" i="14" a="1"/>
  <c r="I89" i="14" s="1"/>
  <c r="H90" i="14" a="1"/>
  <c r="H90" i="14" s="1"/>
  <c r="F91" i="14" a="1"/>
  <c r="F91" i="14" s="1"/>
  <c r="D92" i="14" a="1"/>
  <c r="D92" i="14" s="1"/>
  <c r="F94" i="14" a="1"/>
  <c r="F94" i="14" s="1"/>
  <c r="C95" i="14" a="1"/>
  <c r="C95" i="14" s="1"/>
  <c r="J95" i="14" a="1"/>
  <c r="J95" i="14" s="1"/>
  <c r="E97" i="14" a="1"/>
  <c r="E97" i="14" s="1"/>
  <c r="K97" i="14" a="1"/>
  <c r="K97" i="14" s="1"/>
  <c r="F99" i="14" a="1"/>
  <c r="F99" i="14" s="1"/>
  <c r="C100" i="14" a="1"/>
  <c r="C100" i="14" s="1"/>
  <c r="I100" i="14" a="1"/>
  <c r="I100" i="14" s="1"/>
  <c r="D102" i="14" a="1"/>
  <c r="D102" i="14" s="1"/>
  <c r="J102" i="14" a="1"/>
  <c r="J102" i="14" s="1"/>
  <c r="G103" i="14" a="1"/>
  <c r="G103" i="14" s="1"/>
  <c r="D104" i="14" a="1"/>
  <c r="D104" i="14" s="1"/>
  <c r="K104" i="14" a="1"/>
  <c r="K104" i="14" s="1"/>
  <c r="H105" i="14" a="1"/>
  <c r="H105" i="14" s="1"/>
  <c r="J106" i="14" a="1"/>
  <c r="J106" i="14" s="1"/>
  <c r="G107" i="14" a="1"/>
  <c r="G107" i="14" s="1"/>
  <c r="E108" i="14" a="1"/>
  <c r="E108" i="14" s="1"/>
  <c r="I109" i="14" a="1"/>
  <c r="I109" i="14" s="1"/>
  <c r="G110" i="14" a="1"/>
  <c r="G110" i="14" s="1"/>
  <c r="E111" i="14" a="1"/>
  <c r="E111" i="14" s="1"/>
  <c r="D17" i="14" a="1"/>
  <c r="D17" i="14" s="1"/>
  <c r="D19" i="14" a="1"/>
  <c r="D19" i="14" s="1"/>
  <c r="J24" i="14" a="1"/>
  <c r="J24" i="14" s="1"/>
  <c r="H26" i="14" a="1"/>
  <c r="H26" i="14" s="1"/>
  <c r="I28" i="14" a="1"/>
  <c r="I28" i="14" s="1"/>
  <c r="J30" i="14" a="1"/>
  <c r="J30" i="14" s="1"/>
  <c r="G32" i="14" a="1"/>
  <c r="G32" i="14" s="1"/>
  <c r="H34" i="14" a="1"/>
  <c r="H34" i="14" s="1"/>
  <c r="G36" i="14" a="1"/>
  <c r="G36" i="14" s="1"/>
  <c r="D42" i="14" a="1"/>
  <c r="D42" i="14" s="1"/>
  <c r="J43" i="14" a="1"/>
  <c r="J43" i="14" s="1"/>
  <c r="J45" i="14" a="1"/>
  <c r="J45" i="14" s="1"/>
  <c r="G49" i="14" a="1"/>
  <c r="G49" i="14" s="1"/>
  <c r="G51" i="14" a="1"/>
  <c r="G51" i="14" s="1"/>
  <c r="F53" i="14" a="1"/>
  <c r="F53" i="14" s="1"/>
  <c r="K54" i="14" a="1"/>
  <c r="K54" i="14" s="1"/>
  <c r="K56" i="14" a="1"/>
  <c r="K56" i="14" s="1"/>
  <c r="H58" i="14" a="1"/>
  <c r="H58" i="14" s="1"/>
  <c r="F60" i="14" a="1"/>
  <c r="F60" i="14" s="1"/>
  <c r="E62" i="14" a="1"/>
  <c r="E62" i="14" s="1"/>
  <c r="J65" i="14" a="1"/>
  <c r="J65" i="14" s="1"/>
  <c r="J67" i="14" a="1"/>
  <c r="J67" i="14" s="1"/>
  <c r="I69" i="14" a="1"/>
  <c r="I69" i="14" s="1"/>
  <c r="F71" i="14" a="1"/>
  <c r="F71" i="14" s="1"/>
  <c r="F73" i="14" a="1"/>
  <c r="F73" i="14" s="1"/>
  <c r="K75" i="14" a="1"/>
  <c r="K75" i="14" s="1"/>
  <c r="I76" i="14" a="1"/>
  <c r="I76" i="14" s="1"/>
  <c r="F77" i="14" a="1"/>
  <c r="F77" i="14" s="1"/>
  <c r="D78" i="14" a="1"/>
  <c r="D78" i="14" s="1"/>
  <c r="D80" i="14" a="1"/>
  <c r="D80" i="14" s="1"/>
  <c r="J80" i="14" a="1"/>
  <c r="J80" i="14" s="1"/>
  <c r="G81" i="14" a="1"/>
  <c r="G81" i="14" s="1"/>
  <c r="D82" i="14" a="1"/>
  <c r="D82" i="14" s="1"/>
  <c r="K82" i="14" a="1"/>
  <c r="K82" i="14" s="1"/>
  <c r="J83" i="14" a="1"/>
  <c r="J83" i="14" s="1"/>
  <c r="G84" i="14" a="1"/>
  <c r="G84" i="14" s="1"/>
  <c r="E85" i="14" a="1"/>
  <c r="E85" i="14" s="1"/>
  <c r="C86" i="14" a="1"/>
  <c r="C86" i="14" s="1"/>
  <c r="J86" i="14" a="1"/>
  <c r="J86" i="14" s="1"/>
  <c r="F88" i="14" a="1"/>
  <c r="F88" i="14" s="1"/>
  <c r="C89" i="14" a="1"/>
  <c r="C89" i="14" s="1"/>
  <c r="J89" i="14" a="1"/>
  <c r="J89" i="14" s="1"/>
  <c r="I90" i="14" a="1"/>
  <c r="I90" i="14" s="1"/>
  <c r="G91" i="14" a="1"/>
  <c r="G91" i="14" s="1"/>
  <c r="E92" i="14" a="1"/>
  <c r="E92" i="14" s="1"/>
  <c r="C93" i="14" a="1"/>
  <c r="C93" i="14" s="1"/>
  <c r="I93" i="14" a="1"/>
  <c r="I93" i="14" s="1"/>
  <c r="G94" i="14" a="1"/>
  <c r="G94" i="14" s="1"/>
  <c r="D95" i="14" a="1"/>
  <c r="D95" i="14" s="1"/>
  <c r="H96" i="14" a="1"/>
  <c r="H96" i="14" s="1"/>
  <c r="F97" i="14" a="1"/>
  <c r="F97" i="14" s="1"/>
  <c r="C98" i="14" a="1"/>
  <c r="C98" i="14" s="1"/>
  <c r="I98" i="14" a="1"/>
  <c r="I98" i="14" s="1"/>
  <c r="J100" i="14" a="1"/>
  <c r="J100" i="14" s="1"/>
  <c r="G101" i="14" a="1"/>
  <c r="G101" i="14" s="1"/>
  <c r="K102" i="14" a="1"/>
  <c r="K102" i="14" s="1"/>
  <c r="H103" i="14" a="1"/>
  <c r="H103" i="14" s="1"/>
  <c r="E104" i="14" a="1"/>
  <c r="E104" i="14" s="1"/>
  <c r="I105" i="14" a="1"/>
  <c r="I105" i="14" s="1"/>
  <c r="E106" i="14" a="1"/>
  <c r="E106" i="14" s="1"/>
  <c r="K106" i="14" a="1"/>
  <c r="K106" i="14" s="1"/>
  <c r="F108" i="14" a="1"/>
  <c r="F108" i="14" s="1"/>
  <c r="K108" i="14" a="1"/>
  <c r="K108" i="14" s="1"/>
  <c r="J109" i="14" a="1"/>
  <c r="J109" i="14" s="1"/>
  <c r="H110" i="14" a="1"/>
  <c r="H110" i="14" s="1"/>
  <c r="E113" i="14" a="1"/>
  <c r="E113" i="14" s="1"/>
  <c r="E17" i="14" a="1"/>
  <c r="E17" i="14" s="1"/>
  <c r="E21" i="14" a="1"/>
  <c r="E21" i="14" s="1"/>
  <c r="K22" i="14" a="1"/>
  <c r="K22" i="14" s="1"/>
  <c r="C25" i="14" a="1"/>
  <c r="C25" i="14" s="1"/>
  <c r="D27" i="14" a="1"/>
  <c r="D27" i="14" s="1"/>
  <c r="J28" i="14" a="1"/>
  <c r="J28" i="14" s="1"/>
  <c r="C31" i="14" a="1"/>
  <c r="C31" i="14" s="1"/>
  <c r="K32" i="14" a="1"/>
  <c r="K32" i="14" s="1"/>
  <c r="H38" i="14" a="1"/>
  <c r="H38" i="14" s="1"/>
  <c r="E40" i="14" a="1"/>
  <c r="E40" i="14" s="1"/>
  <c r="E42" i="14" a="1"/>
  <c r="E42" i="14" s="1"/>
  <c r="K45" i="14" a="1"/>
  <c r="K45" i="14" s="1"/>
  <c r="K47" i="14" a="1"/>
  <c r="K47" i="14" s="1"/>
  <c r="K49" i="14" a="1"/>
  <c r="K49" i="14" s="1"/>
  <c r="F55" i="14" a="1"/>
  <c r="F55" i="14" s="1"/>
  <c r="J58" i="14" a="1"/>
  <c r="J58" i="14" s="1"/>
  <c r="I60" i="14" a="1"/>
  <c r="I60" i="14" s="1"/>
  <c r="F62" i="14" a="1"/>
  <c r="F62" i="14" s="1"/>
  <c r="F64" i="14" a="1"/>
  <c r="F64" i="14" s="1"/>
  <c r="E66" i="14" a="1"/>
  <c r="E66" i="14" s="1"/>
  <c r="K67" i="14" a="1"/>
  <c r="K67" i="14" s="1"/>
  <c r="K69" i="14" a="1"/>
  <c r="K69" i="14" s="1"/>
  <c r="J71" i="14" a="1"/>
  <c r="J71" i="14" s="1"/>
  <c r="G73" i="14" a="1"/>
  <c r="G73" i="14" s="1"/>
  <c r="E75" i="14" a="1"/>
  <c r="E75" i="14" s="1"/>
  <c r="C76" i="14" a="1"/>
  <c r="C76" i="14" s="1"/>
  <c r="E78" i="14" a="1"/>
  <c r="E78" i="14" s="1"/>
  <c r="J78" i="14" a="1"/>
  <c r="J78" i="14" s="1"/>
  <c r="G79" i="14" a="1"/>
  <c r="G79" i="14" s="1"/>
  <c r="E80" i="14" a="1"/>
  <c r="E80" i="14" s="1"/>
  <c r="K80" i="14" a="1"/>
  <c r="K80" i="14" s="1"/>
  <c r="H81" i="14" a="1"/>
  <c r="H81" i="14" s="1"/>
  <c r="E82" i="14" a="1"/>
  <c r="E82" i="14" s="1"/>
  <c r="C83" i="14" a="1"/>
  <c r="C83" i="14" s="1"/>
  <c r="H84" i="14" a="1"/>
  <c r="H84" i="14" s="1"/>
  <c r="F85" i="14" a="1"/>
  <c r="F85" i="14" s="1"/>
  <c r="D86" i="14" a="1"/>
  <c r="D86" i="14" s="1"/>
  <c r="K86" i="14" a="1"/>
  <c r="K86" i="14" s="1"/>
  <c r="H87" i="14" a="1"/>
  <c r="H87" i="14" s="1"/>
  <c r="D89" i="14" a="1"/>
  <c r="D89" i="14" s="1"/>
  <c r="K89" i="14" a="1"/>
  <c r="K89" i="14" s="1"/>
  <c r="J90" i="14" a="1"/>
  <c r="J90" i="14" s="1"/>
  <c r="H91" i="14" a="1"/>
  <c r="H91" i="14" s="1"/>
  <c r="F92" i="14" a="1"/>
  <c r="F92" i="14" s="1"/>
  <c r="D93" i="14" a="1"/>
  <c r="D93" i="14" s="1"/>
  <c r="J93" i="14" a="1"/>
  <c r="J93" i="14" s="1"/>
  <c r="E95" i="14" a="1"/>
  <c r="E95" i="14" s="1"/>
  <c r="K95" i="14" a="1"/>
  <c r="K95" i="14" s="1"/>
  <c r="I96" i="14" a="1"/>
  <c r="I96" i="14" s="1"/>
  <c r="G97" i="14" a="1"/>
  <c r="G97" i="14" s="1"/>
  <c r="J98" i="14" a="1"/>
  <c r="J98" i="14" s="1"/>
  <c r="G99" i="14" a="1"/>
  <c r="G99" i="14" s="1"/>
  <c r="D100" i="14" a="1"/>
  <c r="D100" i="14" s="1"/>
  <c r="K100" i="14" a="1"/>
  <c r="K100" i="14" s="1"/>
  <c r="H101" i="14" a="1"/>
  <c r="H101" i="14" s="1"/>
  <c r="E102" i="14" a="1"/>
  <c r="E102" i="14" s="1"/>
  <c r="F104" i="14" a="1"/>
  <c r="F104" i="14" s="1"/>
  <c r="C105" i="14" a="1"/>
  <c r="C105" i="14" s="1"/>
  <c r="F106" i="14" a="1"/>
  <c r="F106" i="14" s="1"/>
  <c r="C107" i="14" a="1"/>
  <c r="C107" i="14" s="1"/>
  <c r="H107" i="14" a="1"/>
  <c r="H107" i="14" s="1"/>
  <c r="G108" i="14" a="1"/>
  <c r="G108" i="14" s="1"/>
  <c r="C109" i="14" a="1"/>
  <c r="C109" i="14" s="1"/>
  <c r="K109" i="14" a="1"/>
  <c r="K109" i="14" s="1"/>
  <c r="F111" i="14" a="1"/>
  <c r="F111" i="14" s="1"/>
  <c r="C112" i="14" a="1"/>
  <c r="C112" i="14" s="1"/>
  <c r="I112" i="14" a="1"/>
  <c r="I112" i="14" s="1"/>
  <c r="I17" i="14" a="1"/>
  <c r="I17" i="14" s="1"/>
  <c r="F19" i="14" a="1"/>
  <c r="F19" i="14" s="1"/>
  <c r="G21" i="14" a="1"/>
  <c r="G21" i="14" s="1"/>
  <c r="F23" i="14" a="1"/>
  <c r="F23" i="14" s="1"/>
  <c r="D25" i="14" a="1"/>
  <c r="D25" i="14" s="1"/>
  <c r="F27" i="14" a="1"/>
  <c r="F27" i="14" s="1"/>
  <c r="F29" i="14" a="1"/>
  <c r="F29" i="14" s="1"/>
  <c r="C35" i="14" a="1"/>
  <c r="C35" i="14" s="1"/>
  <c r="I36" i="14" a="1"/>
  <c r="I36" i="14" s="1"/>
  <c r="I38" i="14" a="1"/>
  <c r="I38" i="14" s="1"/>
  <c r="F42" i="14" a="1"/>
  <c r="F42" i="14" s="1"/>
  <c r="F44" i="14" a="1"/>
  <c r="F44" i="14" s="1"/>
  <c r="F46" i="14" a="1"/>
  <c r="F46" i="14" s="1"/>
  <c r="C48" i="14" a="1"/>
  <c r="C48" i="14" s="1"/>
  <c r="D50" i="14" a="1"/>
  <c r="D50" i="14" s="1"/>
  <c r="C52" i="14" a="1"/>
  <c r="C52" i="14" s="1"/>
  <c r="H53" i="14" a="1"/>
  <c r="H53" i="14" s="1"/>
  <c r="G55" i="14" a="1"/>
  <c r="G55" i="14" s="1"/>
  <c r="E57" i="14" a="1"/>
  <c r="E57" i="14" s="1"/>
  <c r="K58" i="14" a="1"/>
  <c r="K58" i="14" s="1"/>
  <c r="K60" i="14" a="1"/>
  <c r="K60" i="14" s="1"/>
  <c r="J62" i="14" a="1"/>
  <c r="J62" i="14" s="1"/>
  <c r="G64" i="14" a="1"/>
  <c r="G64" i="14" s="1"/>
  <c r="G66" i="14" a="1"/>
  <c r="G66" i="14" s="1"/>
  <c r="F68" i="14" a="1"/>
  <c r="F68" i="14" s="1"/>
  <c r="C70" i="14" a="1"/>
  <c r="C70" i="14" s="1"/>
  <c r="C72" i="14" a="1"/>
  <c r="C72" i="14" s="1"/>
  <c r="G75" i="14" a="1"/>
  <c r="G75" i="14" s="1"/>
  <c r="D76" i="14" a="1"/>
  <c r="D76" i="14" s="1"/>
  <c r="J76" i="14" a="1"/>
  <c r="J76" i="14" s="1"/>
  <c r="G77" i="14" a="1"/>
  <c r="G77" i="14" s="1"/>
  <c r="K78" i="14" a="1"/>
  <c r="K78" i="14" s="1"/>
  <c r="H79" i="14" a="1"/>
  <c r="H79" i="14" s="1"/>
  <c r="I81" i="14" a="1"/>
  <c r="I81" i="14" s="1"/>
  <c r="D83" i="14" a="1"/>
  <c r="D83" i="14" s="1"/>
  <c r="K83" i="14" a="1"/>
  <c r="K83" i="14" s="1"/>
  <c r="I84" i="14" a="1"/>
  <c r="I84" i="14" s="1"/>
  <c r="G85" i="14" a="1"/>
  <c r="G85" i="14" s="1"/>
  <c r="E86" i="14" a="1"/>
  <c r="E86" i="14" s="1"/>
  <c r="C87" i="14" a="1"/>
  <c r="C87" i="14" s="1"/>
  <c r="I87" i="14" a="1"/>
  <c r="I87" i="14" s="1"/>
  <c r="G88" i="14" a="1"/>
  <c r="G88" i="14" s="1"/>
  <c r="E89" i="14" a="1"/>
  <c r="E89" i="14" s="1"/>
  <c r="C90" i="14" a="1"/>
  <c r="C90" i="14" s="1"/>
  <c r="K90" i="14" a="1"/>
  <c r="K90" i="14" s="1"/>
  <c r="I91" i="14" a="1"/>
  <c r="I91" i="14" s="1"/>
  <c r="G92" i="14" a="1"/>
  <c r="G92" i="14" s="1"/>
  <c r="E93" i="14" a="1"/>
  <c r="E93" i="14" s="1"/>
  <c r="K93" i="14" a="1"/>
  <c r="K93" i="14" s="1"/>
  <c r="H94" i="14" a="1"/>
  <c r="H94" i="14" s="1"/>
  <c r="F95" i="14" a="1"/>
  <c r="F95" i="14" s="1"/>
  <c r="C96" i="14" a="1"/>
  <c r="C96" i="14" s="1"/>
  <c r="J96" i="14" a="1"/>
  <c r="J96" i="14" s="1"/>
  <c r="H97" i="14" a="1"/>
  <c r="H97" i="14" s="1"/>
  <c r="D98" i="14" a="1"/>
  <c r="D98" i="14" s="1"/>
  <c r="K98" i="14" a="1"/>
  <c r="K98" i="14" s="1"/>
  <c r="H99" i="14" a="1"/>
  <c r="H99" i="14" s="1"/>
  <c r="E100" i="14" a="1"/>
  <c r="E100" i="14" s="1"/>
  <c r="C101" i="14" a="1"/>
  <c r="C101" i="14" s="1"/>
  <c r="F102" i="14" a="1"/>
  <c r="F102" i="14" s="1"/>
  <c r="C103" i="14" a="1"/>
  <c r="C103" i="14" s="1"/>
  <c r="I103" i="14" a="1"/>
  <c r="I103" i="14" s="1"/>
  <c r="G104" i="14" a="1"/>
  <c r="G104" i="14" s="1"/>
  <c r="D105" i="14" a="1"/>
  <c r="D105" i="14" s="1"/>
  <c r="J105" i="14" a="1"/>
  <c r="J105" i="14" s="1"/>
  <c r="G106" i="14" a="1"/>
  <c r="G106" i="14" s="1"/>
  <c r="D107" i="14" a="1"/>
  <c r="D107" i="14" s="1"/>
  <c r="I107" i="14" a="1"/>
  <c r="I107" i="14" s="1"/>
  <c r="D109" i="14" a="1"/>
  <c r="D109" i="14" s="1"/>
  <c r="C110" i="14" a="1"/>
  <c r="C110" i="14" s="1"/>
  <c r="I110" i="14" a="1"/>
  <c r="I110" i="14" s="1"/>
  <c r="G111" i="14" a="1"/>
  <c r="G111" i="14" s="1"/>
  <c r="D112" i="14" a="1"/>
  <c r="D112" i="14" s="1"/>
  <c r="J112" i="14" a="1"/>
  <c r="J112" i="14" s="1"/>
  <c r="G148" i="14" a="1"/>
  <c r="G148" i="14" s="1"/>
  <c r="I147" i="14" a="1"/>
  <c r="I147" i="14" s="1"/>
  <c r="K146" i="14" a="1"/>
  <c r="K146" i="14" s="1"/>
  <c r="E146" i="14" a="1"/>
  <c r="E146" i="14" s="1"/>
  <c r="G145" i="14" a="1"/>
  <c r="G145" i="14" s="1"/>
  <c r="I144" i="14" a="1"/>
  <c r="I144" i="14" s="1"/>
  <c r="E143" i="14" a="1"/>
  <c r="E143" i="14" s="1"/>
  <c r="G142" i="14" a="1"/>
  <c r="G142" i="14" s="1"/>
  <c r="K140" i="14" a="1"/>
  <c r="K140" i="14" s="1"/>
  <c r="E140" i="14" a="1"/>
  <c r="E140" i="14" s="1"/>
  <c r="G139" i="14" a="1"/>
  <c r="G139" i="14" s="1"/>
  <c r="H138" i="14" a="1"/>
  <c r="H138" i="14" s="1"/>
  <c r="E137" i="14" a="1"/>
  <c r="E137" i="14" s="1"/>
  <c r="H136" i="14" a="1"/>
  <c r="H136" i="14" s="1"/>
  <c r="J135" i="14" a="1"/>
  <c r="J135" i="14" s="1"/>
  <c r="G134" i="14" a="1"/>
  <c r="G134" i="14" s="1"/>
  <c r="J133" i="14" a="1"/>
  <c r="J133" i="14" s="1"/>
  <c r="C133" i="14" a="1"/>
  <c r="C133" i="14" s="1"/>
  <c r="F132" i="14" a="1"/>
  <c r="F132" i="14" s="1"/>
  <c r="I131" i="14" a="1"/>
  <c r="I131" i="14" s="1"/>
  <c r="C131" i="14" a="1"/>
  <c r="C131" i="14" s="1"/>
  <c r="F130" i="14" a="1"/>
  <c r="F130" i="14" s="1"/>
  <c r="H129" i="14" a="1"/>
  <c r="H129" i="14" s="1"/>
  <c r="K128" i="14" a="1"/>
  <c r="K128" i="14" s="1"/>
  <c r="E128" i="14" a="1"/>
  <c r="E128" i="14" s="1"/>
  <c r="H127" i="14" a="1"/>
  <c r="H127" i="14" s="1"/>
  <c r="D126" i="14" a="1"/>
  <c r="D126" i="14" s="1"/>
  <c r="G125" i="14" a="1"/>
  <c r="G125" i="14" s="1"/>
  <c r="J124" i="14" a="1"/>
  <c r="J124" i="14" s="1"/>
  <c r="F123" i="14" a="1"/>
  <c r="F123" i="14" s="1"/>
  <c r="I122" i="14" a="1"/>
  <c r="I122" i="14" s="1"/>
  <c r="H120" i="14" a="1"/>
  <c r="H120" i="14" s="1"/>
  <c r="K119" i="14" a="1"/>
  <c r="K119" i="14" s="1"/>
  <c r="E119" i="14" a="1"/>
  <c r="E119" i="14" s="1"/>
  <c r="H118" i="14" a="1"/>
  <c r="H118" i="14" s="1"/>
  <c r="K117" i="14" a="1"/>
  <c r="K117" i="14" s="1"/>
  <c r="F117" i="14" a="1"/>
  <c r="F117" i="14" s="1"/>
  <c r="H116" i="14" a="1"/>
  <c r="H116" i="14" s="1"/>
  <c r="C116" i="14" a="1"/>
  <c r="C116" i="14" s="1"/>
  <c r="F115" i="14" a="1"/>
  <c r="F115" i="14" s="1"/>
  <c r="I114" i="14" a="1"/>
  <c r="I114" i="14" s="1"/>
  <c r="C114" i="14" a="1"/>
  <c r="C114" i="14" s="1"/>
  <c r="F113" i="14" a="1"/>
  <c r="F113" i="14" s="1"/>
  <c r="D110" i="14" a="1"/>
  <c r="D110" i="14" s="1"/>
  <c r="H104" i="14" a="1"/>
  <c r="H104" i="14" s="1"/>
  <c r="C99" i="14" a="1"/>
  <c r="C99" i="14" s="1"/>
  <c r="D87" i="14" a="1"/>
  <c r="D87" i="14" s="1"/>
  <c r="C81" i="14" a="1"/>
  <c r="C81" i="14" s="1"/>
  <c r="H75" i="14" a="1"/>
  <c r="H75" i="14" s="1"/>
  <c r="H46" i="14" a="1"/>
  <c r="H46" i="14" s="1"/>
  <c r="G31" i="14" a="1"/>
  <c r="G31" i="14" s="1"/>
  <c r="F134" i="14" a="1"/>
  <c r="F134" i="14" s="1"/>
  <c r="K130" i="14" a="1"/>
  <c r="K130" i="14" s="1"/>
  <c r="G129" i="14" a="1"/>
  <c r="G129" i="14" s="1"/>
  <c r="D128" i="14" a="1"/>
  <c r="D128" i="14" s="1"/>
  <c r="J126" i="14" a="1"/>
  <c r="J126" i="14" s="1"/>
  <c r="C126" i="14" a="1"/>
  <c r="C126" i="14" s="1"/>
  <c r="I124" i="14" a="1"/>
  <c r="I124" i="14" s="1"/>
  <c r="K121" i="14" a="1"/>
  <c r="K121" i="14" s="1"/>
  <c r="J119" i="14" a="1"/>
  <c r="J119" i="14" s="1"/>
  <c r="G118" i="14" a="1"/>
  <c r="G118" i="14" s="1"/>
  <c r="J117" i="14" a="1"/>
  <c r="J117" i="14" s="1"/>
  <c r="H114" i="14" a="1"/>
  <c r="H114" i="14" s="1"/>
  <c r="E109" i="14" a="1"/>
  <c r="E109" i="14" s="1"/>
  <c r="E98" i="14" a="1"/>
  <c r="E98" i="14" s="1"/>
  <c r="F86" i="14" a="1"/>
  <c r="F86" i="14" s="1"/>
  <c r="E148" i="14" a="1"/>
  <c r="E148" i="14" s="1"/>
  <c r="J146" i="14" a="1"/>
  <c r="J146" i="14" s="1"/>
  <c r="C146" i="14" a="1"/>
  <c r="C146" i="14" s="1"/>
  <c r="G144" i="14" a="1"/>
  <c r="G144" i="14" s="1"/>
  <c r="J143" i="14" a="1"/>
  <c r="J143" i="14" s="1"/>
  <c r="C143" i="14" a="1"/>
  <c r="C143" i="14" s="1"/>
  <c r="E142" i="14" a="1"/>
  <c r="E142" i="14" s="1"/>
  <c r="H141" i="14" a="1"/>
  <c r="H141" i="14" s="1"/>
  <c r="C140" i="14" a="1"/>
  <c r="C140" i="14" s="1"/>
  <c r="E139" i="14" a="1"/>
  <c r="E139" i="14" s="1"/>
  <c r="J137" i="14" a="1"/>
  <c r="J137" i="14" s="1"/>
  <c r="D137" i="14" a="1"/>
  <c r="D137" i="14" s="1"/>
  <c r="G136" i="14" a="1"/>
  <c r="G136" i="14" s="1"/>
  <c r="I135" i="14" a="1"/>
  <c r="I135" i="14" s="1"/>
  <c r="C135" i="14" a="1"/>
  <c r="C135" i="14" s="1"/>
  <c r="E134" i="14" a="1"/>
  <c r="E134" i="14" s="1"/>
  <c r="I133" i="14" a="1"/>
  <c r="I133" i="14" s="1"/>
  <c r="K132" i="14" a="1"/>
  <c r="K132" i="14" s="1"/>
  <c r="H131" i="14" a="1"/>
  <c r="H131" i="14" s="1"/>
  <c r="J130" i="14" a="1"/>
  <c r="J130" i="14" s="1"/>
  <c r="I128" i="14" a="1"/>
  <c r="I128" i="14" s="1"/>
  <c r="F127" i="14" a="1"/>
  <c r="F127" i="14" s="1"/>
  <c r="I126" i="14" a="1"/>
  <c r="I126" i="14" s="1"/>
  <c r="K125" i="14" a="1"/>
  <c r="K125" i="14" s="1"/>
  <c r="E125" i="14" a="1"/>
  <c r="E125" i="14" s="1"/>
  <c r="H124" i="14" a="1"/>
  <c r="H124" i="14" s="1"/>
  <c r="K123" i="14" a="1"/>
  <c r="K123" i="14" s="1"/>
  <c r="E123" i="14" a="1"/>
  <c r="E123" i="14" s="1"/>
  <c r="G122" i="14" a="1"/>
  <c r="G122" i="14" s="1"/>
  <c r="J121" i="14" a="1"/>
  <c r="J121" i="14" s="1"/>
  <c r="D121" i="14" a="1"/>
  <c r="D121" i="14" s="1"/>
  <c r="G120" i="14" a="1"/>
  <c r="G120" i="14" s="1"/>
  <c r="D117" i="14" a="1"/>
  <c r="D117" i="14" s="1"/>
  <c r="G116" i="14" a="1"/>
  <c r="G116" i="14" s="1"/>
  <c r="K115" i="14" a="1"/>
  <c r="K115" i="14" s="1"/>
  <c r="G114" i="14" a="1"/>
  <c r="G114" i="14" s="1"/>
  <c r="K113" i="14" a="1"/>
  <c r="K113" i="14" s="1"/>
  <c r="H108" i="14" a="1"/>
  <c r="H108" i="14" s="1"/>
  <c r="D103" i="14" a="1"/>
  <c r="D103" i="14" s="1"/>
  <c r="J91" i="14" a="1"/>
  <c r="J91" i="14" s="1"/>
  <c r="H85" i="14" a="1"/>
  <c r="H85" i="14" s="1"/>
  <c r="I79" i="14" a="1"/>
  <c r="I79" i="14" s="1"/>
  <c r="D72" i="14" a="1"/>
  <c r="D72" i="14" s="1"/>
  <c r="J42" i="14" a="1"/>
  <c r="J42" i="14" s="1"/>
  <c r="G27" i="14" a="1"/>
  <c r="G27" i="14" s="1"/>
  <c r="D135" i="14" a="1"/>
  <c r="D135" i="14" s="1"/>
  <c r="E132" i="14" a="1"/>
  <c r="E132" i="14" s="1"/>
  <c r="E130" i="14" a="1"/>
  <c r="E130" i="14" s="1"/>
  <c r="J128" i="14" a="1"/>
  <c r="J128" i="14" s="1"/>
  <c r="G127" i="14" a="1"/>
  <c r="G127" i="14" s="1"/>
  <c r="F125" i="14" a="1"/>
  <c r="F125" i="14" s="1"/>
  <c r="C124" i="14" a="1"/>
  <c r="C124" i="14" s="1"/>
  <c r="H122" i="14" a="1"/>
  <c r="H122" i="14" s="1"/>
  <c r="E121" i="14" a="1"/>
  <c r="E121" i="14" s="1"/>
  <c r="D119" i="14" a="1"/>
  <c r="D119" i="14" s="1"/>
  <c r="E117" i="14" a="1"/>
  <c r="E117" i="14" s="1"/>
  <c r="E115" i="14" a="1"/>
  <c r="E115" i="14" s="1"/>
  <c r="D113" i="14" a="1"/>
  <c r="D113" i="14" s="1"/>
  <c r="J103" i="14" a="1"/>
  <c r="J103" i="14" s="1"/>
  <c r="H92" i="14" a="1"/>
  <c r="H92" i="14" s="1"/>
  <c r="G44" i="14" a="1"/>
  <c r="G44" i="14" s="1"/>
  <c r="K148" i="14" a="1"/>
  <c r="K148" i="14" s="1"/>
  <c r="D148" i="14" a="1"/>
  <c r="D148" i="14" s="1"/>
  <c r="G147" i="14" a="1"/>
  <c r="G147" i="14" s="1"/>
  <c r="I146" i="14" a="1"/>
  <c r="I146" i="14" s="1"/>
  <c r="K145" i="14" a="1"/>
  <c r="K145" i="14" s="1"/>
  <c r="E145" i="14" a="1"/>
  <c r="E145" i="14" s="1"/>
  <c r="F144" i="14" a="1"/>
  <c r="F144" i="14" s="1"/>
  <c r="I143" i="14" a="1"/>
  <c r="I143" i="14" s="1"/>
  <c r="D142" i="14" a="1"/>
  <c r="D142" i="14" s="1"/>
  <c r="G141" i="14" a="1"/>
  <c r="G141" i="14" s="1"/>
  <c r="I140" i="14" a="1"/>
  <c r="I140" i="14" s="1"/>
  <c r="K139" i="14" a="1"/>
  <c r="K139" i="14" s="1"/>
  <c r="D139" i="14" a="1"/>
  <c r="D139" i="14" s="1"/>
  <c r="F138" i="14" a="1"/>
  <c r="F138" i="14" s="1"/>
  <c r="C137" i="14" a="1"/>
  <c r="C137" i="14" s="1"/>
  <c r="F136" i="14" a="1"/>
  <c r="F136" i="14" s="1"/>
  <c r="H135" i="14" a="1"/>
  <c r="H135" i="14" s="1"/>
  <c r="K134" i="14" a="1"/>
  <c r="K134" i="14" s="1"/>
  <c r="H133" i="14" a="1"/>
  <c r="H133" i="14" s="1"/>
  <c r="J132" i="14" a="1"/>
  <c r="J132" i="14" s="1"/>
  <c r="D132" i="14" a="1"/>
  <c r="D132" i="14" s="1"/>
  <c r="G131" i="14" a="1"/>
  <c r="G131" i="14" s="1"/>
  <c r="I130" i="14" a="1"/>
  <c r="I130" i="14" s="1"/>
  <c r="D130" i="14" a="1"/>
  <c r="D130" i="14" s="1"/>
  <c r="F129" i="14" a="1"/>
  <c r="F129" i="14" s="1"/>
  <c r="C128" i="14" a="1"/>
  <c r="C128" i="14" s="1"/>
  <c r="E127" i="14" a="1"/>
  <c r="E127" i="14" s="1"/>
  <c r="D125" i="14" a="1"/>
  <c r="D125" i="14" s="1"/>
  <c r="J123" i="14" a="1"/>
  <c r="J123" i="14" s="1"/>
  <c r="D123" i="14" a="1"/>
  <c r="D123" i="14" s="1"/>
  <c r="F122" i="14" a="1"/>
  <c r="F122" i="14" s="1"/>
  <c r="I121" i="14" a="1"/>
  <c r="I121" i="14" s="1"/>
  <c r="C121" i="14" a="1"/>
  <c r="C121" i="14" s="1"/>
  <c r="F120" i="14" a="1"/>
  <c r="F120" i="14" s="1"/>
  <c r="I119" i="14" a="1"/>
  <c r="I119" i="14" s="1"/>
  <c r="C119" i="14" a="1"/>
  <c r="C119" i="14" s="1"/>
  <c r="F118" i="14" a="1"/>
  <c r="F118" i="14" s="1"/>
  <c r="I117" i="14" a="1"/>
  <c r="I117" i="14" s="1"/>
  <c r="C117" i="14" a="1"/>
  <c r="C117" i="14" s="1"/>
  <c r="J115" i="14" a="1"/>
  <c r="J115" i="14" s="1"/>
  <c r="D115" i="14" a="1"/>
  <c r="D115" i="14" s="1"/>
  <c r="H112" i="14" a="1"/>
  <c r="H112" i="14" s="1"/>
  <c r="J107" i="14" a="1"/>
  <c r="J107" i="14" s="1"/>
  <c r="G102" i="14" a="1"/>
  <c r="G102" i="14" s="1"/>
  <c r="J84" i="14" a="1"/>
  <c r="J84" i="14" s="1"/>
  <c r="C79" i="14" a="1"/>
  <c r="C79" i="14" s="1"/>
  <c r="F70" i="14" a="1"/>
  <c r="F70" i="14" s="1"/>
  <c r="H55" i="14" a="1"/>
  <c r="H55" i="14" s="1"/>
  <c r="J40" i="14" a="1"/>
  <c r="J40" i="14" s="1"/>
  <c r="I25" i="14" a="1"/>
  <c r="I25" i="14" s="1"/>
  <c r="C148" i="14" a="1"/>
  <c r="C148" i="14" s="1"/>
  <c r="F147" i="14" a="1"/>
  <c r="F147" i="14" s="1"/>
  <c r="H146" i="14" a="1"/>
  <c r="H146" i="14" s="1"/>
  <c r="J145" i="14" a="1"/>
  <c r="J145" i="14" s="1"/>
  <c r="D145" i="14" a="1"/>
  <c r="D145" i="14" s="1"/>
  <c r="H143" i="14" a="1"/>
  <c r="H143" i="14" s="1"/>
  <c r="K142" i="14" a="1"/>
  <c r="K142" i="14" s="1"/>
  <c r="C142" i="14" a="1"/>
  <c r="C142" i="14" s="1"/>
  <c r="F141" i="14" a="1"/>
  <c r="F141" i="14" s="1"/>
  <c r="H140" i="14" a="1"/>
  <c r="H140" i="14" s="1"/>
  <c r="J139" i="14" a="1"/>
  <c r="J139" i="14" s="1"/>
  <c r="C139" i="14" a="1"/>
  <c r="C139" i="14" s="1"/>
  <c r="E138" i="14" a="1"/>
  <c r="E138" i="14" s="1"/>
  <c r="I137" i="14" a="1"/>
  <c r="I137" i="14" s="1"/>
  <c r="K136" i="14" a="1"/>
  <c r="K136" i="14" s="1"/>
  <c r="E136" i="14" a="1"/>
  <c r="E136" i="14" s="1"/>
  <c r="J134" i="14" a="1"/>
  <c r="J134" i="14" s="1"/>
  <c r="D134" i="14" a="1"/>
  <c r="D134" i="14" s="1"/>
  <c r="G133" i="14" a="1"/>
  <c r="G133" i="14" s="1"/>
  <c r="I132" i="14" a="1"/>
  <c r="I132" i="14" s="1"/>
  <c r="C132" i="14" a="1"/>
  <c r="C132" i="14" s="1"/>
  <c r="F131" i="14" a="1"/>
  <c r="F131" i="14" s="1"/>
  <c r="C130" i="14" a="1"/>
  <c r="C130" i="14" s="1"/>
  <c r="E129" i="14" a="1"/>
  <c r="E129" i="14" s="1"/>
  <c r="H128" i="14" a="1"/>
  <c r="H128" i="14" s="1"/>
  <c r="K127" i="14" a="1"/>
  <c r="K127" i="14" s="1"/>
  <c r="D127" i="14" a="1"/>
  <c r="D127" i="14" s="1"/>
  <c r="H126" i="14" a="1"/>
  <c r="H126" i="14" s="1"/>
  <c r="J125" i="14" a="1"/>
  <c r="J125" i="14" s="1"/>
  <c r="G124" i="14" a="1"/>
  <c r="G124" i="14" s="1"/>
  <c r="I123" i="14" a="1"/>
  <c r="I123" i="14" s="1"/>
  <c r="H121" i="14" a="1"/>
  <c r="H121" i="14" s="1"/>
  <c r="E120" i="14" a="1"/>
  <c r="E120" i="14" s="1"/>
  <c r="H119" i="14" a="1"/>
  <c r="H119" i="14" s="1"/>
  <c r="K118" i="14" a="1"/>
  <c r="K118" i="14" s="1"/>
  <c r="E118" i="14" a="1"/>
  <c r="E118" i="14" s="1"/>
  <c r="H117" i="14" a="1"/>
  <c r="H117" i="14" s="1"/>
  <c r="F116" i="14" a="1"/>
  <c r="F116" i="14" s="1"/>
  <c r="I115" i="14" a="1"/>
  <c r="I115" i="14" s="1"/>
  <c r="C115" i="14" a="1"/>
  <c r="C115" i="14" s="1"/>
  <c r="F114" i="14" a="1"/>
  <c r="F114" i="14" s="1"/>
  <c r="J113" i="14" a="1"/>
  <c r="J113" i="14" s="1"/>
  <c r="E112" i="14" a="1"/>
  <c r="E112" i="14" s="1"/>
  <c r="I101" i="14" a="1"/>
  <c r="I101" i="14" s="1"/>
  <c r="D96" i="14" a="1"/>
  <c r="D96" i="14" s="1"/>
  <c r="D90" i="14" a="1"/>
  <c r="D90" i="14" s="1"/>
  <c r="F78" i="14" a="1"/>
  <c r="F78" i="14" s="1"/>
  <c r="H68" i="14" a="1"/>
  <c r="H68" i="14" s="1"/>
  <c r="C54" i="14" a="1"/>
  <c r="C54" i="14" s="1"/>
  <c r="J38" i="14" a="1"/>
  <c r="J38" i="14" s="1"/>
  <c r="H23" i="14" a="1"/>
  <c r="H23" i="14" s="1"/>
  <c r="J148" i="14" a="1"/>
  <c r="J148" i="14" s="1"/>
  <c r="K147" i="14" a="1"/>
  <c r="K147" i="14" s="1"/>
  <c r="E147" i="14" a="1"/>
  <c r="E147" i="14" s="1"/>
  <c r="I145" i="14" a="1"/>
  <c r="I145" i="14" s="1"/>
  <c r="C145" i="14" a="1"/>
  <c r="C145" i="14" s="1"/>
  <c r="E144" i="14" a="1"/>
  <c r="E144" i="14" s="1"/>
  <c r="G143" i="14" a="1"/>
  <c r="G143" i="14" s="1"/>
  <c r="J142" i="14" a="1"/>
  <c r="J142" i="14" s="1"/>
  <c r="E141" i="14" a="1"/>
  <c r="E141" i="14" s="1"/>
  <c r="G140" i="14" a="1"/>
  <c r="G140" i="14" s="1"/>
  <c r="K138" i="14" a="1"/>
  <c r="K138" i="14" s="1"/>
  <c r="H137" i="14" a="1"/>
  <c r="H137" i="14" s="1"/>
  <c r="D136" i="14" a="1"/>
  <c r="D136" i="14" s="1"/>
  <c r="G135" i="14" a="1"/>
  <c r="G135" i="14" s="1"/>
  <c r="C134" i="14" a="1"/>
  <c r="C134" i="14" s="1"/>
  <c r="F133" i="14" a="1"/>
  <c r="F133" i="14" s="1"/>
  <c r="E131" i="14" a="1"/>
  <c r="E131" i="14" s="1"/>
  <c r="H130" i="14" a="1"/>
  <c r="H130" i="14" s="1"/>
  <c r="K129" i="14" a="1"/>
  <c r="K129" i="14" s="1"/>
  <c r="D129" i="14" a="1"/>
  <c r="D129" i="14" s="1"/>
  <c r="G128" i="14" a="1"/>
  <c r="G128" i="14" s="1"/>
  <c r="J127" i="14" a="1"/>
  <c r="J127" i="14" s="1"/>
  <c r="G126" i="14" a="1"/>
  <c r="G126" i="14" s="1"/>
  <c r="I125" i="14" a="1"/>
  <c r="I125" i="14" s="1"/>
  <c r="C125" i="14" a="1"/>
  <c r="C125" i="14" s="1"/>
  <c r="F124" i="14" a="1"/>
  <c r="F124" i="14" s="1"/>
  <c r="H123" i="14" a="1"/>
  <c r="H123" i="14" s="1"/>
  <c r="C123" i="14" a="1"/>
  <c r="C123" i="14" s="1"/>
  <c r="E122" i="14" a="1"/>
  <c r="E122" i="14" s="1"/>
  <c r="K120" i="14" a="1"/>
  <c r="K120" i="14" s="1"/>
  <c r="D120" i="14" a="1"/>
  <c r="D120" i="14" s="1"/>
  <c r="J118" i="14" a="1"/>
  <c r="J118" i="14" s="1"/>
  <c r="D118" i="14" a="1"/>
  <c r="D118" i="14" s="1"/>
  <c r="K116" i="14" a="1"/>
  <c r="K116" i="14" s="1"/>
  <c r="E116" i="14" a="1"/>
  <c r="E116" i="14" s="1"/>
  <c r="H115" i="14" a="1"/>
  <c r="H115" i="14" s="1"/>
  <c r="K114" i="14" a="1"/>
  <c r="K114" i="14" s="1"/>
  <c r="E114" i="14" a="1"/>
  <c r="E114" i="14" s="1"/>
  <c r="H113" i="14" a="1"/>
  <c r="H113" i="14" s="1"/>
  <c r="K111" i="14" a="1"/>
  <c r="K111" i="14" s="1"/>
  <c r="D101" i="14" a="1"/>
  <c r="D101" i="14" s="1"/>
  <c r="G95" i="14" a="1"/>
  <c r="G95" i="14" s="1"/>
  <c r="F89" i="14" a="1"/>
  <c r="F89" i="14" s="1"/>
  <c r="L89" i="14" s="1" a="1"/>
  <c r="L89" i="14" s="1"/>
  <c r="E83" i="14" a="1"/>
  <c r="E83" i="14" s="1"/>
  <c r="H77" i="14" a="1"/>
  <c r="H77" i="14" s="1"/>
  <c r="E52" i="14" a="1"/>
  <c r="E52" i="14" s="1"/>
  <c r="I148" i="14" a="1"/>
  <c r="I148" i="14" s="1"/>
  <c r="D147" i="14" a="1"/>
  <c r="D147" i="14" s="1"/>
  <c r="G146" i="14" a="1"/>
  <c r="G146" i="14" s="1"/>
  <c r="H145" i="14" a="1"/>
  <c r="H145" i="14" s="1"/>
  <c r="K144" i="14" a="1"/>
  <c r="K144" i="14" s="1"/>
  <c r="D144" i="14" a="1"/>
  <c r="D144" i="14" s="1"/>
  <c r="F143" i="14" a="1"/>
  <c r="F143" i="14" s="1"/>
  <c r="I142" i="14" a="1"/>
  <c r="I142" i="14" s="1"/>
  <c r="K141" i="14" a="1"/>
  <c r="K141" i="14" s="1"/>
  <c r="D141" i="14" a="1"/>
  <c r="D141" i="14" s="1"/>
  <c r="I139" i="14" a="1"/>
  <c r="I139" i="14" s="1"/>
  <c r="J138" i="14" a="1"/>
  <c r="J138" i="14" s="1"/>
  <c r="D138" i="14" a="1"/>
  <c r="D138" i="14" s="1"/>
  <c r="G137" i="14" a="1"/>
  <c r="G137" i="14" s="1"/>
  <c r="J136" i="14" a="1"/>
  <c r="J136" i="14" s="1"/>
  <c r="C136" i="14" a="1"/>
  <c r="C136" i="14" s="1"/>
  <c r="F135" i="14" a="1"/>
  <c r="F135" i="14" s="1"/>
  <c r="I134" i="14" a="1"/>
  <c r="I134" i="14" s="1"/>
  <c r="E133" i="14" a="1"/>
  <c r="E133" i="14" s="1"/>
  <c r="H132" i="14" a="1"/>
  <c r="H132" i="14" s="1"/>
  <c r="K131" i="14" a="1"/>
  <c r="K131" i="14" s="1"/>
  <c r="G130" i="14" a="1"/>
  <c r="G130" i="14" s="1"/>
  <c r="J129" i="14" a="1"/>
  <c r="J129" i="14" s="1"/>
  <c r="I127" i="14" a="1"/>
  <c r="I127" i="14" s="1"/>
  <c r="C127" i="14" a="1"/>
  <c r="C127" i="14" s="1"/>
  <c r="F126" i="14" a="1"/>
  <c r="F126" i="14" s="1"/>
  <c r="H125" i="14" a="1"/>
  <c r="H125" i="14" s="1"/>
  <c r="K124" i="14" a="1"/>
  <c r="K124" i="14" s="1"/>
  <c r="E124" i="14" a="1"/>
  <c r="E124" i="14" s="1"/>
  <c r="K122" i="14" a="1"/>
  <c r="K122" i="14" s="1"/>
  <c r="D122" i="14" a="1"/>
  <c r="D122" i="14" s="1"/>
  <c r="G121" i="14" a="1"/>
  <c r="G121" i="14" s="1"/>
  <c r="J120" i="14" a="1"/>
  <c r="J120" i="14" s="1"/>
  <c r="C120" i="14" a="1"/>
  <c r="C120" i="14" s="1"/>
  <c r="G119" i="14" a="1"/>
  <c r="G119" i="14" s="1"/>
  <c r="C118" i="14" a="1"/>
  <c r="C118" i="14" s="1"/>
  <c r="G117" i="14" a="1"/>
  <c r="G117" i="14" s="1"/>
  <c r="J116" i="14" a="1"/>
  <c r="J116" i="14" s="1"/>
  <c r="G113" i="14" a="1"/>
  <c r="G113" i="14" s="1"/>
  <c r="H111" i="14" a="1"/>
  <c r="H111" i="14" s="1"/>
  <c r="F100" i="14" a="1"/>
  <c r="F100" i="14" s="1"/>
  <c r="F82" i="14" a="1"/>
  <c r="F82" i="14" s="1"/>
  <c r="K76" i="14" a="1"/>
  <c r="K76" i="14" s="1"/>
  <c r="K64" i="14" a="1"/>
  <c r="K64" i="14" s="1"/>
  <c r="E50" i="14" a="1"/>
  <c r="E50" i="14" s="1"/>
  <c r="D35" i="14" a="1"/>
  <c r="D35" i="14" s="1"/>
  <c r="J19" i="14" a="1"/>
  <c r="J19" i="14" s="1"/>
  <c r="H148" i="14" a="1"/>
  <c r="H148" i="14" s="1"/>
  <c r="J147" i="14" a="1"/>
  <c r="J147" i="14" s="1"/>
  <c r="C147" i="14" a="1"/>
  <c r="C147" i="14" s="1"/>
  <c r="F146" i="14" a="1"/>
  <c r="F146" i="14" s="1"/>
  <c r="J144" i="14" a="1"/>
  <c r="J144" i="14" s="1"/>
  <c r="C144" i="14" a="1"/>
  <c r="C144" i="14" s="1"/>
  <c r="H142" i="14" a="1"/>
  <c r="H142" i="14" s="1"/>
  <c r="J141" i="14" a="1"/>
  <c r="J141" i="14" s="1"/>
  <c r="C141" i="14" a="1"/>
  <c r="C141" i="14" s="1"/>
  <c r="F140" i="14" a="1"/>
  <c r="F140" i="14" s="1"/>
  <c r="H139" i="14" a="1"/>
  <c r="H139" i="14" s="1"/>
  <c r="I138" i="14" a="1"/>
  <c r="I138" i="14" s="1"/>
  <c r="C138" i="14" a="1"/>
  <c r="C138" i="14" s="1"/>
  <c r="F137" i="14" a="1"/>
  <c r="F137" i="14" s="1"/>
  <c r="L137" i="14" s="1" a="1"/>
  <c r="L137" i="14" s="1"/>
  <c r="I136" i="14" a="1"/>
  <c r="I136" i="14" s="1"/>
  <c r="K135" i="14" a="1"/>
  <c r="K135" i="14" s="1"/>
  <c r="E135" i="14" a="1"/>
  <c r="E135" i="14" s="1"/>
  <c r="H134" i="14" a="1"/>
  <c r="H134" i="14" s="1"/>
  <c r="K133" i="14" a="1"/>
  <c r="K133" i="14" s="1"/>
  <c r="D133" i="14" a="1"/>
  <c r="D133" i="14" s="1"/>
  <c r="G132" i="14" a="1"/>
  <c r="G132" i="14" s="1"/>
  <c r="J131" i="14" a="1"/>
  <c r="J131" i="14" s="1"/>
  <c r="D131" i="14" a="1"/>
  <c r="D131" i="14" s="1"/>
  <c r="I129" i="14" a="1"/>
  <c r="I129" i="14" s="1"/>
  <c r="C129" i="14" a="1"/>
  <c r="C129" i="14" s="1"/>
  <c r="F128" i="14" a="1"/>
  <c r="F128" i="14" s="1"/>
  <c r="K126" i="14" a="1"/>
  <c r="K126" i="14" s="1"/>
  <c r="E126" i="14" a="1"/>
  <c r="E126" i="14" s="1"/>
  <c r="D124" i="14" a="1"/>
  <c r="D124" i="14" s="1"/>
  <c r="G123" i="14" a="1"/>
  <c r="G123" i="14" s="1"/>
  <c r="J122" i="14" a="1"/>
  <c r="J122" i="14" s="1"/>
  <c r="C122" i="14" a="1"/>
  <c r="C122" i="14" s="1"/>
  <c r="F121" i="14" a="1"/>
  <c r="F121" i="14" s="1"/>
  <c r="I120" i="14" a="1"/>
  <c r="I120" i="14" s="1"/>
  <c r="F119" i="14" a="1"/>
  <c r="F119" i="14" s="1"/>
  <c r="I118" i="14" a="1"/>
  <c r="I118" i="14" s="1"/>
  <c r="I116" i="14" a="1"/>
  <c r="I116" i="14" s="1"/>
  <c r="D116" i="14" a="1"/>
  <c r="D116" i="14" s="1"/>
  <c r="G115" i="14" a="1"/>
  <c r="G115" i="14" s="1"/>
  <c r="J114" i="14" a="1"/>
  <c r="J114" i="14" s="1"/>
  <c r="D114" i="14" a="1"/>
  <c r="D114" i="14" s="1"/>
  <c r="J110" i="14" a="1"/>
  <c r="J110" i="14" s="1"/>
  <c r="C94" i="14" a="1"/>
  <c r="C94" i="14" s="1"/>
  <c r="J87" i="14" a="1"/>
  <c r="J87" i="14" s="1"/>
  <c r="J81" i="14" a="1"/>
  <c r="J81" i="14" s="1"/>
  <c r="H48" i="14" a="1"/>
  <c r="H48" i="14" s="1"/>
  <c r="D33" i="14" a="1"/>
  <c r="D33" i="14" s="1"/>
  <c r="K17" i="14" a="1"/>
  <c r="K17" i="14" s="1"/>
  <c r="L127" i="14" a="1"/>
  <c r="L127" i="14" s="1"/>
  <c r="L82" i="14" a="1"/>
  <c r="L82" i="14" s="1"/>
  <c r="L75" i="14" a="1"/>
  <c r="L75" i="14" s="1"/>
  <c r="L39" i="14" a="1"/>
  <c r="L39" i="14" s="1"/>
  <c r="D39" i="11" a="1"/>
  <c r="D39" i="11" s="1"/>
  <c r="D23" i="11" a="1"/>
  <c r="D23" i="11" s="1"/>
  <c r="D76" i="11" a="1"/>
  <c r="D76" i="11" s="1"/>
  <c r="D90" i="11" a="1"/>
  <c r="D90" i="11" s="1"/>
  <c r="C24" i="9" a="1"/>
  <c r="C24" i="9" s="1"/>
  <c r="C49" i="9" a="1"/>
  <c r="C49" i="9" s="1"/>
  <c r="C53" i="9" a="1"/>
  <c r="C53" i="9" s="1"/>
  <c r="C56" i="9" a="1"/>
  <c r="C56" i="9" s="1"/>
  <c r="C72" i="9" a="1"/>
  <c r="C72" i="9" s="1"/>
  <c r="C75" i="9" a="1"/>
  <c r="C75" i="9" s="1"/>
  <c r="C77" i="9" a="1"/>
  <c r="C77" i="9" s="1"/>
  <c r="C106" i="9" a="1"/>
  <c r="C106" i="9" s="1"/>
  <c r="C122" i="9" a="1"/>
  <c r="C122" i="9" s="1"/>
  <c r="C128" i="9" a="1"/>
  <c r="C128" i="9" s="1"/>
  <c r="C131" i="9" a="1"/>
  <c r="C131" i="9" s="1"/>
  <c r="C137" i="9" a="1"/>
  <c r="C137" i="9" s="1"/>
  <c r="C142" i="9" a="1"/>
  <c r="C142" i="9" s="1"/>
  <c r="C156" i="9" a="1"/>
  <c r="C156" i="9" s="1"/>
  <c r="C160" i="9" a="1"/>
  <c r="C160" i="9" s="1"/>
  <c r="C165" i="9" a="1"/>
  <c r="C165" i="9" s="1"/>
  <c r="C178" i="9" a="1"/>
  <c r="C178" i="9" s="1"/>
  <c r="C181" i="9" a="1"/>
  <c r="C181" i="9" s="1"/>
  <c r="C187" i="9" a="1"/>
  <c r="C187" i="9" s="1"/>
  <c r="C199" i="9" a="1"/>
  <c r="C199" i="9" s="1"/>
  <c r="C210" i="9" a="1"/>
  <c r="C210" i="9" s="1"/>
  <c r="C212" i="9" a="1"/>
  <c r="C212" i="9" s="1"/>
  <c r="C217" i="9" a="1"/>
  <c r="C217" i="9" s="1"/>
  <c r="C219" i="9" a="1"/>
  <c r="C219" i="9" s="1"/>
  <c r="C231" i="9" a="1"/>
  <c r="C231" i="9" s="1"/>
  <c r="C240" i="9" a="1"/>
  <c r="C240" i="9" s="1"/>
  <c r="C243" i="9" a="1"/>
  <c r="C243" i="9" s="1"/>
  <c r="C246" i="9" a="1"/>
  <c r="C246" i="9" s="1"/>
  <c r="C253" i="9" a="1"/>
  <c r="C253" i="9" s="1"/>
  <c r="C263" i="9" a="1"/>
  <c r="C263" i="9" s="1"/>
  <c r="C271" i="9" a="1"/>
  <c r="C271" i="9" s="1"/>
  <c r="C281" i="9" a="1"/>
  <c r="C281" i="9" s="1"/>
  <c r="C287" i="9" a="1"/>
  <c r="C287" i="9" s="1"/>
  <c r="C290" i="9" a="1"/>
  <c r="C290" i="9" s="1"/>
  <c r="C298" i="9" a="1"/>
  <c r="C298" i="9" s="1"/>
  <c r="C20" i="9" a="1"/>
  <c r="C20" i="9" s="1"/>
  <c r="C28" i="9" a="1"/>
  <c r="C28" i="9" s="1"/>
  <c r="C32" i="9" a="1"/>
  <c r="C32" i="9" s="1"/>
  <c r="C45" i="9" a="1"/>
  <c r="C45" i="9" s="1"/>
  <c r="C50" i="9" a="1"/>
  <c r="C50" i="9" s="1"/>
  <c r="C63" i="9" a="1"/>
  <c r="C63" i="9" s="1"/>
  <c r="C68" i="9" a="1"/>
  <c r="C68" i="9" s="1"/>
  <c r="C70" i="9" a="1"/>
  <c r="C70" i="9" s="1"/>
  <c r="C82" i="9" a="1"/>
  <c r="C82" i="9" s="1"/>
  <c r="C92" i="9" a="1"/>
  <c r="C92" i="9" s="1"/>
  <c r="C94" i="9" a="1"/>
  <c r="C94" i="9" s="1"/>
  <c r="C96" i="9" a="1"/>
  <c r="C96" i="9" s="1"/>
  <c r="C104" i="9" a="1"/>
  <c r="C104" i="9" s="1"/>
  <c r="C112" i="9" a="1"/>
  <c r="C112" i="9" s="1"/>
  <c r="C140" i="9" a="1"/>
  <c r="C140" i="9" s="1"/>
  <c r="C151" i="9" a="1"/>
  <c r="C151" i="9" s="1"/>
  <c r="C162" i="9" a="1"/>
  <c r="C162" i="9" s="1"/>
  <c r="C175" i="9" a="1"/>
  <c r="C175" i="9" s="1"/>
  <c r="C192" i="9" a="1"/>
  <c r="C192" i="9" s="1"/>
  <c r="C195" i="9" a="1"/>
  <c r="C195" i="9" s="1"/>
  <c r="C203" i="9" a="1"/>
  <c r="C203" i="9" s="1"/>
  <c r="C207" i="9" a="1"/>
  <c r="C207" i="9" s="1"/>
  <c r="C222" i="9" a="1"/>
  <c r="C222" i="9" s="1"/>
  <c r="C234" i="9" a="1"/>
  <c r="C234" i="9" s="1"/>
  <c r="C237" i="9" a="1"/>
  <c r="C237" i="9" s="1"/>
  <c r="C255" i="9" a="1"/>
  <c r="C255" i="9" s="1"/>
  <c r="C258" i="9" a="1"/>
  <c r="C258" i="9" s="1"/>
  <c r="C266" i="9" a="1"/>
  <c r="C266" i="9" s="1"/>
  <c r="C275" i="9" a="1"/>
  <c r="C275" i="9" s="1"/>
  <c r="C278" i="9" a="1"/>
  <c r="C278" i="9" s="1"/>
  <c r="C291" i="9" a="1"/>
  <c r="C291" i="9" s="1"/>
  <c r="C299" i="9" a="1"/>
  <c r="C299" i="9" s="1"/>
  <c r="C16" i="9" a="1"/>
  <c r="C16" i="9" s="1"/>
  <c r="C25" i="9" a="1"/>
  <c r="C25" i="9" s="1"/>
  <c r="C29" i="9" a="1"/>
  <c r="C29" i="9" s="1"/>
  <c r="C33" i="9" a="1"/>
  <c r="C33" i="9" s="1"/>
  <c r="C37" i="9" a="1"/>
  <c r="C37" i="9" s="1"/>
  <c r="C41" i="9" a="1"/>
  <c r="C41" i="9" s="1"/>
  <c r="L41" i="9" s="1" a="1"/>
  <c r="L41" i="9" s="1"/>
  <c r="C46" i="9" a="1"/>
  <c r="C46" i="9" s="1"/>
  <c r="C54" i="9" a="1"/>
  <c r="C54" i="9" s="1"/>
  <c r="C61" i="9" a="1"/>
  <c r="C61" i="9" s="1"/>
  <c r="C66" i="9" a="1"/>
  <c r="C66" i="9" s="1"/>
  <c r="C73" i="9" a="1"/>
  <c r="C73" i="9" s="1"/>
  <c r="C80" i="9" a="1"/>
  <c r="C80" i="9" s="1"/>
  <c r="C90" i="9" a="1"/>
  <c r="C90" i="9" s="1"/>
  <c r="C98" i="9" a="1"/>
  <c r="C98" i="9" s="1"/>
  <c r="C100" i="9" a="1"/>
  <c r="C100" i="9" s="1"/>
  <c r="C109" i="9" a="1"/>
  <c r="C109" i="9" s="1"/>
  <c r="C117" i="9" a="1"/>
  <c r="C117" i="9" s="1"/>
  <c r="C120" i="9" a="1"/>
  <c r="C120" i="9" s="1"/>
  <c r="C123" i="9" a="1"/>
  <c r="C123" i="9" s="1"/>
  <c r="C126" i="9" a="1"/>
  <c r="C126" i="9" s="1"/>
  <c r="C132" i="9" a="1"/>
  <c r="C132" i="9" s="1"/>
  <c r="C135" i="9" a="1"/>
  <c r="C135" i="9" s="1"/>
  <c r="C147" i="9" a="1"/>
  <c r="C147" i="9" s="1"/>
  <c r="C149" i="9" a="1"/>
  <c r="C149" i="9" s="1"/>
  <c r="C153" i="9" a="1"/>
  <c r="C153" i="9" s="1"/>
  <c r="C167" i="9" a="1"/>
  <c r="C167" i="9" s="1"/>
  <c r="C169" i="9" a="1"/>
  <c r="C169" i="9" s="1"/>
  <c r="C172" i="9" a="1"/>
  <c r="C172" i="9" s="1"/>
  <c r="C177" i="9" a="1"/>
  <c r="C177" i="9" s="1"/>
  <c r="C183" i="9" a="1"/>
  <c r="C183" i="9" s="1"/>
  <c r="C186" i="9" a="1"/>
  <c r="C186" i="9" s="1"/>
  <c r="C189" i="9" a="1"/>
  <c r="C189" i="9" s="1"/>
  <c r="C198" i="9" a="1"/>
  <c r="C198" i="9" s="1"/>
  <c r="C202" i="9" a="1"/>
  <c r="C202" i="9" s="1"/>
  <c r="C213" i="9" a="1"/>
  <c r="C213" i="9" s="1"/>
  <c r="C215" i="9" a="1"/>
  <c r="C215" i="9" s="1"/>
  <c r="C225" i="9" a="1"/>
  <c r="C225" i="9" s="1"/>
  <c r="C227" i="9" a="1"/>
  <c r="C227" i="9" s="1"/>
  <c r="C229" i="9" a="1"/>
  <c r="C229" i="9" s="1"/>
  <c r="C232" i="9" a="1"/>
  <c r="C232" i="9" s="1"/>
  <c r="C249" i="9" a="1"/>
  <c r="C249" i="9" s="1"/>
  <c r="C251" i="9" a="1"/>
  <c r="C251" i="9" s="1"/>
  <c r="C260" i="9" a="1"/>
  <c r="C260" i="9" s="1"/>
  <c r="C269" i="9" a="1"/>
  <c r="C269" i="9" s="1"/>
  <c r="C272" i="9" a="1"/>
  <c r="C272" i="9" s="1"/>
  <c r="C285" i="9" a="1"/>
  <c r="C285" i="9" s="1"/>
  <c r="C292" i="9" a="1"/>
  <c r="C292" i="9" s="1"/>
  <c r="C300" i="9" a="1"/>
  <c r="C300" i="9" s="1"/>
  <c r="C15" i="9" a="1"/>
  <c r="C15" i="9" s="1"/>
  <c r="C294" i="9" a="1"/>
  <c r="C294" i="9" s="1"/>
  <c r="C21" i="9" a="1"/>
  <c r="C21" i="9" s="1"/>
  <c r="C26" i="9" a="1"/>
  <c r="C26" i="9" s="1"/>
  <c r="C42" i="9" a="1"/>
  <c r="C42" i="9" s="1"/>
  <c r="C47" i="9" a="1"/>
  <c r="C47" i="9" s="1"/>
  <c r="C51" i="9" a="1"/>
  <c r="C51" i="9" s="1"/>
  <c r="C57" i="9" a="1"/>
  <c r="C57" i="9" s="1"/>
  <c r="C59" i="9" a="1"/>
  <c r="C59" i="9" s="1"/>
  <c r="C78" i="9" a="1"/>
  <c r="C78" i="9" s="1"/>
  <c r="C84" i="9" a="1"/>
  <c r="C84" i="9" s="1"/>
  <c r="C86" i="9" a="1"/>
  <c r="C86" i="9" s="1"/>
  <c r="C88" i="9" a="1"/>
  <c r="C88" i="9" s="1"/>
  <c r="C102" i="9" a="1"/>
  <c r="C102" i="9" s="1"/>
  <c r="C115" i="9" a="1"/>
  <c r="C115" i="9" s="1"/>
  <c r="C129" i="9" a="1"/>
  <c r="C129" i="9" s="1"/>
  <c r="C138" i="9" a="1"/>
  <c r="C138" i="9" s="1"/>
  <c r="C143" i="9" a="1"/>
  <c r="C143" i="9" s="1"/>
  <c r="C145" i="9" a="1"/>
  <c r="C145" i="9" s="1"/>
  <c r="C157" i="9" a="1"/>
  <c r="C157" i="9" s="1"/>
  <c r="C164" i="9" a="1"/>
  <c r="C164" i="9" s="1"/>
  <c r="C206" i="9" a="1"/>
  <c r="C206" i="9" s="1"/>
  <c r="C209" i="9" a="1"/>
  <c r="C209" i="9" s="1"/>
  <c r="C220" i="9" a="1"/>
  <c r="C220" i="9" s="1"/>
  <c r="C241" i="9" a="1"/>
  <c r="C241" i="9" s="1"/>
  <c r="C244" i="9" a="1"/>
  <c r="C244" i="9" s="1"/>
  <c r="C247" i="9" a="1"/>
  <c r="C247" i="9" s="1"/>
  <c r="C257" i="9" a="1"/>
  <c r="C257" i="9" s="1"/>
  <c r="C262" i="9" a="1"/>
  <c r="C262" i="9" s="1"/>
  <c r="C276" i="9" a="1"/>
  <c r="C276" i="9" s="1"/>
  <c r="C279" i="9" a="1"/>
  <c r="C279" i="9" s="1"/>
  <c r="C282" i="9" a="1"/>
  <c r="C282" i="9" s="1"/>
  <c r="C288" i="9" a="1"/>
  <c r="C288" i="9" s="1"/>
  <c r="C293" i="9" a="1"/>
  <c r="C293" i="9" s="1"/>
  <c r="L293" i="9" s="1" a="1"/>
  <c r="L293" i="9" s="1"/>
  <c r="C17" i="9" a="1"/>
  <c r="C17" i="9" s="1"/>
  <c r="C22" i="9" a="1"/>
  <c r="C22" i="9" s="1"/>
  <c r="C30" i="9" a="1"/>
  <c r="C30" i="9" s="1"/>
  <c r="C38" i="9" a="1"/>
  <c r="C38" i="9" s="1"/>
  <c r="C43" i="9" a="1"/>
  <c r="C43" i="9" s="1"/>
  <c r="C64" i="9" a="1"/>
  <c r="C64" i="9" s="1"/>
  <c r="C71" i="9" a="1"/>
  <c r="C71" i="9" s="1"/>
  <c r="C76" i="9" a="1"/>
  <c r="C76" i="9" s="1"/>
  <c r="C93" i="9" a="1"/>
  <c r="C93" i="9" s="1"/>
  <c r="C105" i="9" a="1"/>
  <c r="C105" i="9" s="1"/>
  <c r="C107" i="9" a="1"/>
  <c r="C107" i="9" s="1"/>
  <c r="C113" i="9" a="1"/>
  <c r="C113" i="9" s="1"/>
  <c r="C118" i="9" a="1"/>
  <c r="C118" i="9" s="1"/>
  <c r="C141" i="9" a="1"/>
  <c r="C141" i="9" s="1"/>
  <c r="C155" i="9" a="1"/>
  <c r="C155" i="9" s="1"/>
  <c r="L155" i="9" s="1" a="1"/>
  <c r="L155" i="9" s="1"/>
  <c r="C159" i="9" a="1"/>
  <c r="C159" i="9" s="1"/>
  <c r="C161" i="9" a="1"/>
  <c r="C161" i="9" s="1"/>
  <c r="C171" i="9" a="1"/>
  <c r="C171" i="9" s="1"/>
  <c r="C174" i="9" a="1"/>
  <c r="C174" i="9" s="1"/>
  <c r="C180" i="9" a="1"/>
  <c r="C180" i="9" s="1"/>
  <c r="L180" i="9" s="1" a="1"/>
  <c r="L180" i="9" s="1"/>
  <c r="C185" i="9" a="1"/>
  <c r="C185" i="9" s="1"/>
  <c r="C191" i="9" a="1"/>
  <c r="C191" i="9" s="1"/>
  <c r="C194" i="9" a="1"/>
  <c r="C194" i="9" s="1"/>
  <c r="C197" i="9" a="1"/>
  <c r="C197" i="9" s="1"/>
  <c r="C201" i="9" a="1"/>
  <c r="C201" i="9" s="1"/>
  <c r="L201" i="9" s="1" a="1"/>
  <c r="L201" i="9" s="1"/>
  <c r="C218" i="9" a="1"/>
  <c r="C218" i="9" s="1"/>
  <c r="C223" i="9" a="1"/>
  <c r="C223" i="9" s="1"/>
  <c r="L223" i="9" s="1" a="1"/>
  <c r="L223" i="9" s="1"/>
  <c r="C235" i="9" a="1"/>
  <c r="C235" i="9" s="1"/>
  <c r="C238" i="9" a="1"/>
  <c r="C238" i="9" s="1"/>
  <c r="C254" i="9" a="1"/>
  <c r="C254" i="9" s="1"/>
  <c r="C264" i="9" a="1"/>
  <c r="C264" i="9" s="1"/>
  <c r="C267" i="9" a="1"/>
  <c r="C267" i="9" s="1"/>
  <c r="C273" i="9" a="1"/>
  <c r="C273" i="9" s="1"/>
  <c r="C18" i="9" a="1"/>
  <c r="C18" i="9" s="1"/>
  <c r="C34" i="9" a="1"/>
  <c r="C34" i="9" s="1"/>
  <c r="C39" i="9" a="1"/>
  <c r="C39" i="9" s="1"/>
  <c r="C55" i="9" a="1"/>
  <c r="C55" i="9" s="1"/>
  <c r="C62" i="9" a="1"/>
  <c r="C62" i="9" s="1"/>
  <c r="C69" i="9" a="1"/>
  <c r="C69" i="9" s="1"/>
  <c r="C74" i="9" a="1"/>
  <c r="C74" i="9" s="1"/>
  <c r="C91" i="9" a="1"/>
  <c r="C91" i="9" s="1"/>
  <c r="C95" i="9" a="1"/>
  <c r="C95" i="9" s="1"/>
  <c r="C110" i="9" a="1"/>
  <c r="C110" i="9" s="1"/>
  <c r="C121" i="9" a="1"/>
  <c r="C121" i="9" s="1"/>
  <c r="C124" i="9" a="1"/>
  <c r="C124" i="9" s="1"/>
  <c r="C127" i="9" a="1"/>
  <c r="C127" i="9" s="1"/>
  <c r="C130" i="9" a="1"/>
  <c r="C130" i="9" s="1"/>
  <c r="L130" i="9" s="1" a="1"/>
  <c r="L130" i="9" s="1"/>
  <c r="C133" i="9" a="1"/>
  <c r="C133" i="9" s="1"/>
  <c r="C136" i="9" a="1"/>
  <c r="C136" i="9" s="1"/>
  <c r="C139" i="9" a="1"/>
  <c r="C139" i="9" s="1"/>
  <c r="C152" i="9" a="1"/>
  <c r="C152" i="9" s="1"/>
  <c r="C163" i="9" a="1"/>
  <c r="C163" i="9" s="1"/>
  <c r="L163" i="9" s="1" a="1"/>
  <c r="L163" i="9" s="1"/>
  <c r="C166" i="9" a="1"/>
  <c r="C166" i="9" s="1"/>
  <c r="C182" i="9" a="1"/>
  <c r="C182" i="9" s="1"/>
  <c r="C188" i="9" a="1"/>
  <c r="C188" i="9" s="1"/>
  <c r="L188" i="9" s="1" a="1"/>
  <c r="L188" i="9" s="1"/>
  <c r="C205" i="9" a="1"/>
  <c r="C205" i="9" s="1"/>
  <c r="C211" i="9" a="1"/>
  <c r="C211" i="9" s="1"/>
  <c r="C216" i="9" a="1"/>
  <c r="C216" i="9" s="1"/>
  <c r="C221" i="9" a="1"/>
  <c r="C221" i="9" s="1"/>
  <c r="C230" i="9" a="1"/>
  <c r="C230" i="9" s="1"/>
  <c r="C233" i="9" a="1"/>
  <c r="C233" i="9" s="1"/>
  <c r="C242" i="9" a="1"/>
  <c r="C242" i="9" s="1"/>
  <c r="C245" i="9" a="1"/>
  <c r="C245" i="9" s="1"/>
  <c r="C270" i="9" a="1"/>
  <c r="C270" i="9" s="1"/>
  <c r="C280" i="9" a="1"/>
  <c r="C280" i="9" s="1"/>
  <c r="L280" i="9" s="1" a="1"/>
  <c r="L280" i="9" s="1"/>
  <c r="C283" i="9" a="1"/>
  <c r="C283" i="9" s="1"/>
  <c r="C286" i="9" a="1"/>
  <c r="C286" i="9" s="1"/>
  <c r="C295" i="9" a="1"/>
  <c r="C295" i="9" s="1"/>
  <c r="L295" i="9" s="1" a="1"/>
  <c r="L295" i="9" s="1"/>
  <c r="C19" i="9" a="1"/>
  <c r="C19" i="9" s="1"/>
  <c r="C23" i="9" a="1"/>
  <c r="C23" i="9" s="1"/>
  <c r="C27" i="9" a="1"/>
  <c r="C27" i="9" s="1"/>
  <c r="C35" i="9" a="1"/>
  <c r="C35" i="9" s="1"/>
  <c r="C52" i="9" a="1"/>
  <c r="C52" i="9" s="1"/>
  <c r="C67" i="9" a="1"/>
  <c r="C67" i="9" s="1"/>
  <c r="C81" i="9" a="1"/>
  <c r="C81" i="9" s="1"/>
  <c r="C83" i="9" a="1"/>
  <c r="C83" i="9" s="1"/>
  <c r="C89" i="9" a="1"/>
  <c r="C89" i="9" s="1"/>
  <c r="C97" i="9" a="1"/>
  <c r="C97" i="9" s="1"/>
  <c r="C99" i="9" a="1"/>
  <c r="C99" i="9" s="1"/>
  <c r="C103" i="9" a="1"/>
  <c r="C103" i="9" s="1"/>
  <c r="C116" i="9" a="1"/>
  <c r="C116" i="9" s="1"/>
  <c r="C146" i="9" a="1"/>
  <c r="C146" i="9" s="1"/>
  <c r="C150" i="9" a="1"/>
  <c r="C150" i="9" s="1"/>
  <c r="C168" i="9" a="1"/>
  <c r="C168" i="9" s="1"/>
  <c r="C170" i="9" a="1"/>
  <c r="C170" i="9" s="1"/>
  <c r="C176" i="9" a="1"/>
  <c r="C176" i="9" s="1"/>
  <c r="C179" i="9" a="1"/>
  <c r="C179" i="9" s="1"/>
  <c r="C193" i="9" a="1"/>
  <c r="C193" i="9" s="1"/>
  <c r="L193" i="9" s="1" a="1"/>
  <c r="L193" i="9" s="1"/>
  <c r="C200" i="9" a="1"/>
  <c r="C200" i="9" s="1"/>
  <c r="C214" i="9" a="1"/>
  <c r="C214" i="9" s="1"/>
  <c r="C226" i="9" a="1"/>
  <c r="C226" i="9" s="1"/>
  <c r="C228" i="9" a="1"/>
  <c r="C228" i="9" s="1"/>
  <c r="C239" i="9" a="1"/>
  <c r="C239" i="9" s="1"/>
  <c r="C250" i="9" a="1"/>
  <c r="C250" i="9" s="1"/>
  <c r="C252" i="9" a="1"/>
  <c r="C252" i="9" s="1"/>
  <c r="C256" i="9" a="1"/>
  <c r="C256" i="9" s="1"/>
  <c r="C259" i="9" a="1"/>
  <c r="C259" i="9" s="1"/>
  <c r="C261" i="9" a="1"/>
  <c r="C261" i="9" s="1"/>
  <c r="C277" i="9" a="1"/>
  <c r="C277" i="9" s="1"/>
  <c r="C289" i="9" a="1"/>
  <c r="C289" i="9" s="1"/>
  <c r="C296" i="9" a="1"/>
  <c r="C296" i="9" s="1"/>
  <c r="C31" i="9" a="1"/>
  <c r="C31" i="9" s="1"/>
  <c r="C36" i="9" a="1"/>
  <c r="C36" i="9" s="1"/>
  <c r="C40" i="9" a="1"/>
  <c r="C40" i="9" s="1"/>
  <c r="C44" i="9" a="1"/>
  <c r="C44" i="9" s="1"/>
  <c r="C48" i="9" a="1"/>
  <c r="C48" i="9" s="1"/>
  <c r="C58" i="9" a="1"/>
  <c r="C58" i="9" s="1"/>
  <c r="C60" i="9" a="1"/>
  <c r="C60" i="9" s="1"/>
  <c r="C65" i="9" a="1"/>
  <c r="C65" i="9" s="1"/>
  <c r="C79" i="9" a="1"/>
  <c r="C79" i="9" s="1"/>
  <c r="C85" i="9" a="1"/>
  <c r="C85" i="9" s="1"/>
  <c r="C87" i="9" a="1"/>
  <c r="C87" i="9" s="1"/>
  <c r="C101" i="9" a="1"/>
  <c r="C101" i="9" s="1"/>
  <c r="C108" i="9" a="1"/>
  <c r="C108" i="9" s="1"/>
  <c r="C111" i="9" a="1"/>
  <c r="C111" i="9" s="1"/>
  <c r="C114" i="9" a="1"/>
  <c r="C114" i="9" s="1"/>
  <c r="L114" i="9" s="1" a="1"/>
  <c r="L114" i="9" s="1"/>
  <c r="C119" i="9" a="1"/>
  <c r="C119" i="9" s="1"/>
  <c r="L119" i="9" s="1" a="1"/>
  <c r="L119" i="9" s="1"/>
  <c r="C125" i="9" a="1"/>
  <c r="C125" i="9" s="1"/>
  <c r="C134" i="9" a="1"/>
  <c r="C134" i="9" s="1"/>
  <c r="C144" i="9" a="1"/>
  <c r="C144" i="9" s="1"/>
  <c r="C148" i="9" a="1"/>
  <c r="C148" i="9" s="1"/>
  <c r="C154" i="9" a="1"/>
  <c r="C154" i="9" s="1"/>
  <c r="C158" i="9" a="1"/>
  <c r="C158" i="9" s="1"/>
  <c r="C173" i="9" a="1"/>
  <c r="C173" i="9" s="1"/>
  <c r="C184" i="9" a="1"/>
  <c r="C184" i="9" s="1"/>
  <c r="C190" i="9" a="1"/>
  <c r="C190" i="9" s="1"/>
  <c r="C196" i="9" a="1"/>
  <c r="C196" i="9" s="1"/>
  <c r="C204" i="9" a="1"/>
  <c r="C204" i="9" s="1"/>
  <c r="L204" i="9" s="1" a="1"/>
  <c r="L204" i="9" s="1"/>
  <c r="C208" i="9" a="1"/>
  <c r="C208" i="9" s="1"/>
  <c r="C224" i="9" a="1"/>
  <c r="C224" i="9" s="1"/>
  <c r="C236" i="9" a="1"/>
  <c r="C236" i="9" s="1"/>
  <c r="C248" i="9" a="1"/>
  <c r="C248" i="9" s="1"/>
  <c r="C265" i="9" a="1"/>
  <c r="C265" i="9" s="1"/>
  <c r="C268" i="9" a="1"/>
  <c r="C268" i="9" s="1"/>
  <c r="C274" i="9" a="1"/>
  <c r="C274" i="9" s="1"/>
  <c r="C284" i="9" a="1"/>
  <c r="C284" i="9" s="1"/>
  <c r="C297" i="9" a="1"/>
  <c r="C297" i="9" s="1"/>
  <c r="L195" i="9" a="1"/>
  <c r="L195" i="9" s="1"/>
  <c r="L202" i="9" a="1"/>
  <c r="L202" i="9" s="1"/>
  <c r="L171" i="9" a="1"/>
  <c r="L171" i="9" s="1"/>
  <c r="L165" i="9" a="1"/>
  <c r="L165" i="9" s="1"/>
  <c r="L157" i="9" a="1"/>
  <c r="L157" i="9" s="1"/>
  <c r="L181" i="9" a="1"/>
  <c r="L181" i="9" s="1"/>
  <c r="L132" i="9" a="1"/>
  <c r="L132" i="9" s="1"/>
  <c r="L151" i="9" a="1"/>
  <c r="L151" i="9" s="1"/>
  <c r="L102" i="9" a="1"/>
  <c r="L102" i="9" s="1"/>
  <c r="L100" i="9" a="1"/>
  <c r="L100" i="9" s="1"/>
  <c r="L94" i="9" a="1"/>
  <c r="L94" i="9" s="1"/>
  <c r="L92" i="9" a="1"/>
  <c r="L92" i="9" s="1"/>
  <c r="L108" i="9" a="1"/>
  <c r="L108" i="9" s="1"/>
  <c r="L86" i="9" a="1"/>
  <c r="L86" i="9" s="1"/>
  <c r="L49" i="9" a="1"/>
  <c r="L49" i="9" s="1"/>
  <c r="J172" i="2" a="1"/>
  <c r="J172" i="2" s="1"/>
  <c r="J171" i="2" a="1"/>
  <c r="J171" i="2" s="1"/>
  <c r="J170" i="2" a="1"/>
  <c r="J170" i="2" s="1"/>
  <c r="J169" i="2" a="1"/>
  <c r="J169" i="2" s="1"/>
  <c r="J168" i="2" a="1"/>
  <c r="J168" i="2" s="1"/>
  <c r="J167" i="2" a="1"/>
  <c r="J167" i="2" s="1"/>
  <c r="J166" i="2" a="1"/>
  <c r="J166" i="2" s="1"/>
  <c r="J165" i="2" a="1"/>
  <c r="J165" i="2" s="1"/>
  <c r="J164" i="2" a="1"/>
  <c r="J164" i="2" s="1"/>
  <c r="J163" i="2" a="1"/>
  <c r="J163" i="2" s="1"/>
  <c r="J162" i="2" a="1"/>
  <c r="J162" i="2" s="1"/>
  <c r="J161" i="2" a="1"/>
  <c r="J161" i="2" s="1"/>
  <c r="J160" i="2" a="1"/>
  <c r="J160" i="2" s="1"/>
  <c r="J159" i="2" a="1"/>
  <c r="J159" i="2" s="1"/>
  <c r="J158" i="2" a="1"/>
  <c r="J158" i="2" s="1"/>
  <c r="J157" i="2" a="1"/>
  <c r="J157" i="2" s="1"/>
  <c r="J156" i="2" a="1"/>
  <c r="J156" i="2" s="1"/>
  <c r="J155" i="2" a="1"/>
  <c r="J155" i="2" s="1"/>
  <c r="J154" i="2" a="1"/>
  <c r="J154" i="2" s="1"/>
  <c r="J153" i="2" a="1"/>
  <c r="J153" i="2" s="1"/>
  <c r="J152" i="2" a="1"/>
  <c r="J152" i="2" s="1"/>
  <c r="J151" i="2" a="1"/>
  <c r="J151" i="2" s="1"/>
  <c r="J150" i="2" a="1"/>
  <c r="J150" i="2" s="1"/>
  <c r="J149" i="2" a="1"/>
  <c r="J149" i="2" s="1"/>
  <c r="J148" i="2" a="1"/>
  <c r="J148" i="2" s="1"/>
  <c r="J147" i="2" a="1"/>
  <c r="J147" i="2" s="1"/>
  <c r="J146" i="2" a="1"/>
  <c r="J146" i="2" s="1"/>
  <c r="J145" i="2" a="1"/>
  <c r="J145" i="2" s="1"/>
  <c r="J144" i="2" a="1"/>
  <c r="J144" i="2" s="1"/>
  <c r="J143" i="2" a="1"/>
  <c r="J143" i="2" s="1"/>
  <c r="J142" i="2" a="1"/>
  <c r="J142" i="2" s="1"/>
  <c r="J141" i="2" a="1"/>
  <c r="J141" i="2" s="1"/>
  <c r="J140" i="2" a="1"/>
  <c r="J140" i="2" s="1"/>
  <c r="J139" i="2" a="1"/>
  <c r="J139" i="2" s="1"/>
  <c r="J138" i="2" a="1"/>
  <c r="J138" i="2" s="1"/>
  <c r="J137" i="2" a="1"/>
  <c r="J137" i="2" s="1"/>
  <c r="J136" i="2" a="1"/>
  <c r="J136" i="2" s="1"/>
  <c r="J135" i="2" a="1"/>
  <c r="J135" i="2" s="1"/>
  <c r="J134" i="2" a="1"/>
  <c r="J134" i="2" s="1"/>
  <c r="J133" i="2" a="1"/>
  <c r="J133" i="2" s="1"/>
  <c r="J132" i="2" a="1"/>
  <c r="J132" i="2" s="1"/>
  <c r="J131" i="2" a="1"/>
  <c r="J131" i="2" s="1"/>
  <c r="J130" i="2" a="1"/>
  <c r="J130" i="2" s="1"/>
  <c r="J129" i="2" a="1"/>
  <c r="J129" i="2" s="1"/>
  <c r="J128" i="2" a="1"/>
  <c r="J128" i="2" s="1"/>
  <c r="J127" i="2" a="1"/>
  <c r="J127" i="2" s="1"/>
  <c r="J126" i="2" a="1"/>
  <c r="J126" i="2" s="1"/>
  <c r="J125" i="2" a="1"/>
  <c r="J125" i="2" s="1"/>
  <c r="J124" i="2" a="1"/>
  <c r="J124" i="2" s="1"/>
  <c r="J123" i="2" a="1"/>
  <c r="J123" i="2" s="1"/>
  <c r="J122" i="2" a="1"/>
  <c r="J122" i="2" s="1"/>
  <c r="J121" i="2" a="1"/>
  <c r="J121" i="2" s="1"/>
  <c r="J120" i="2" a="1"/>
  <c r="J120" i="2" s="1"/>
  <c r="J119" i="2" a="1"/>
  <c r="J119" i="2" s="1"/>
  <c r="J118" i="2" a="1"/>
  <c r="J118" i="2" s="1"/>
  <c r="E116" i="2" a="1"/>
  <c r="E116" i="2" s="1"/>
  <c r="F113" i="2" a="1"/>
  <c r="F113" i="2" s="1"/>
  <c r="D111" i="2" a="1"/>
  <c r="D111" i="2" s="1"/>
  <c r="E108" i="2" a="1"/>
  <c r="E108" i="2" s="1"/>
  <c r="F105" i="2" a="1"/>
  <c r="F105" i="2" s="1"/>
  <c r="G102" i="2" a="1"/>
  <c r="G102" i="2" s="1"/>
  <c r="I99" i="2" a="1"/>
  <c r="I99" i="2" s="1"/>
  <c r="J96" i="2" a="1"/>
  <c r="J96" i="2" s="1"/>
  <c r="H94" i="2" a="1"/>
  <c r="H94" i="2" s="1"/>
  <c r="I91" i="2" a="1"/>
  <c r="I91" i="2" s="1"/>
  <c r="K88" i="2" a="1"/>
  <c r="K88" i="2" s="1"/>
  <c r="D86" i="2" a="1"/>
  <c r="D86" i="2" s="1"/>
  <c r="J83" i="2" a="1"/>
  <c r="J83" i="2" s="1"/>
  <c r="E81" i="2" a="1"/>
  <c r="E81" i="2" s="1"/>
  <c r="G78" i="2" a="1"/>
  <c r="G78" i="2" s="1"/>
  <c r="I75" i="2" a="1"/>
  <c r="I75" i="2" s="1"/>
  <c r="G73" i="2" a="1"/>
  <c r="G73" i="2" s="1"/>
  <c r="I70" i="2" a="1"/>
  <c r="I70" i="2" s="1"/>
  <c r="J67" i="2" a="1"/>
  <c r="J67" i="2" s="1"/>
  <c r="H65" i="2" a="1"/>
  <c r="H65" i="2" s="1"/>
  <c r="J62" i="2" a="1"/>
  <c r="J62" i="2" s="1"/>
  <c r="K59" i="2" a="1"/>
  <c r="K59" i="2" s="1"/>
  <c r="E57" i="2" a="1"/>
  <c r="E57" i="2" s="1"/>
  <c r="J53" i="2" a="1"/>
  <c r="J53" i="2" s="1"/>
  <c r="H49" i="2" a="1"/>
  <c r="H49" i="2" s="1"/>
  <c r="I43" i="2" a="1"/>
  <c r="I43" i="2" s="1"/>
  <c r="J37" i="2" a="1"/>
  <c r="J37" i="2" s="1"/>
  <c r="D32" i="2" a="1"/>
  <c r="D32" i="2" s="1"/>
  <c r="I27" i="2" a="1"/>
  <c r="I27" i="2" s="1"/>
  <c r="K20" i="2" a="1"/>
  <c r="K20" i="2" s="1"/>
  <c r="I172" i="2" a="1"/>
  <c r="I172" i="2" s="1"/>
  <c r="I171" i="2" a="1"/>
  <c r="I171" i="2" s="1"/>
  <c r="I170" i="2" a="1"/>
  <c r="I170" i="2" s="1"/>
  <c r="I169" i="2" a="1"/>
  <c r="I169" i="2" s="1"/>
  <c r="I168" i="2" a="1"/>
  <c r="I168" i="2" s="1"/>
  <c r="I167" i="2" a="1"/>
  <c r="I167" i="2" s="1"/>
  <c r="I166" i="2" a="1"/>
  <c r="I166" i="2" s="1"/>
  <c r="I165" i="2" a="1"/>
  <c r="I165" i="2" s="1"/>
  <c r="I164" i="2" a="1"/>
  <c r="I164" i="2" s="1"/>
  <c r="I163" i="2" a="1"/>
  <c r="I163" i="2" s="1"/>
  <c r="I162" i="2" a="1"/>
  <c r="I162" i="2" s="1"/>
  <c r="I161" i="2" a="1"/>
  <c r="I161" i="2" s="1"/>
  <c r="I160" i="2" a="1"/>
  <c r="I160" i="2" s="1"/>
  <c r="I159" i="2" a="1"/>
  <c r="I159" i="2" s="1"/>
  <c r="I158" i="2" a="1"/>
  <c r="I158" i="2" s="1"/>
  <c r="I157" i="2" a="1"/>
  <c r="I157" i="2" s="1"/>
  <c r="I156" i="2" a="1"/>
  <c r="I156" i="2" s="1"/>
  <c r="I155" i="2" a="1"/>
  <c r="I155" i="2" s="1"/>
  <c r="I154" i="2" a="1"/>
  <c r="I154" i="2" s="1"/>
  <c r="I153" i="2" a="1"/>
  <c r="I153" i="2" s="1"/>
  <c r="I152" i="2" a="1"/>
  <c r="I152" i="2" s="1"/>
  <c r="I151" i="2" a="1"/>
  <c r="I151" i="2" s="1"/>
  <c r="I150" i="2" a="1"/>
  <c r="I150" i="2" s="1"/>
  <c r="I149" i="2" a="1"/>
  <c r="I149" i="2" s="1"/>
  <c r="I148" i="2" a="1"/>
  <c r="I148" i="2" s="1"/>
  <c r="I147" i="2" a="1"/>
  <c r="I147" i="2" s="1"/>
  <c r="I146" i="2" a="1"/>
  <c r="I146" i="2" s="1"/>
  <c r="I145" i="2" a="1"/>
  <c r="I145" i="2" s="1"/>
  <c r="I144" i="2" a="1"/>
  <c r="I144" i="2" s="1"/>
  <c r="I143" i="2" a="1"/>
  <c r="I143" i="2" s="1"/>
  <c r="I142" i="2" a="1"/>
  <c r="I142" i="2" s="1"/>
  <c r="I141" i="2" a="1"/>
  <c r="I141" i="2" s="1"/>
  <c r="I140" i="2" a="1"/>
  <c r="I140" i="2" s="1"/>
  <c r="I139" i="2" a="1"/>
  <c r="I139" i="2" s="1"/>
  <c r="I138" i="2" a="1"/>
  <c r="I138" i="2" s="1"/>
  <c r="I137" i="2" a="1"/>
  <c r="I137" i="2" s="1"/>
  <c r="I136" i="2" a="1"/>
  <c r="I136" i="2" s="1"/>
  <c r="I135" i="2" a="1"/>
  <c r="I135" i="2" s="1"/>
  <c r="I134" i="2" a="1"/>
  <c r="I134" i="2" s="1"/>
  <c r="I133" i="2" a="1"/>
  <c r="I133" i="2" s="1"/>
  <c r="I132" i="2" a="1"/>
  <c r="I132" i="2" s="1"/>
  <c r="I131" i="2" a="1"/>
  <c r="I131" i="2" s="1"/>
  <c r="I130" i="2" a="1"/>
  <c r="I130" i="2" s="1"/>
  <c r="I129" i="2" a="1"/>
  <c r="I129" i="2" s="1"/>
  <c r="I128" i="2" a="1"/>
  <c r="I128" i="2" s="1"/>
  <c r="I127" i="2" a="1"/>
  <c r="I127" i="2" s="1"/>
  <c r="I126" i="2" a="1"/>
  <c r="I126" i="2" s="1"/>
  <c r="I125" i="2" a="1"/>
  <c r="I125" i="2" s="1"/>
  <c r="I124" i="2" a="1"/>
  <c r="I124" i="2" s="1"/>
  <c r="I123" i="2" a="1"/>
  <c r="I123" i="2" s="1"/>
  <c r="I122" i="2" a="1"/>
  <c r="I122" i="2" s="1"/>
  <c r="I121" i="2" a="1"/>
  <c r="I121" i="2" s="1"/>
  <c r="I120" i="2" a="1"/>
  <c r="I120" i="2" s="1"/>
  <c r="I119" i="2" a="1"/>
  <c r="I119" i="2" s="1"/>
  <c r="D118" i="2" a="1"/>
  <c r="D118" i="2" s="1"/>
  <c r="D116" i="2" a="1"/>
  <c r="D116" i="2" s="1"/>
  <c r="E113" i="2" a="1"/>
  <c r="E113" i="2" s="1"/>
  <c r="F110" i="2" a="1"/>
  <c r="F110" i="2" s="1"/>
  <c r="G107" i="2" a="1"/>
  <c r="G107" i="2" s="1"/>
  <c r="E105" i="2" a="1"/>
  <c r="E105" i="2" s="1"/>
  <c r="F102" i="2" a="1"/>
  <c r="F102" i="2" s="1"/>
  <c r="H99" i="2" a="1"/>
  <c r="H99" i="2" s="1"/>
  <c r="I96" i="2" a="1"/>
  <c r="I96" i="2" s="1"/>
  <c r="J93" i="2" a="1"/>
  <c r="J93" i="2" s="1"/>
  <c r="K90" i="2" a="1"/>
  <c r="K90" i="2" s="1"/>
  <c r="J88" i="2" a="1"/>
  <c r="J88" i="2" s="1"/>
  <c r="K85" i="2" a="1"/>
  <c r="K85" i="2" s="1"/>
  <c r="D83" i="2" a="1"/>
  <c r="D83" i="2" s="1"/>
  <c r="D81" i="2" a="1"/>
  <c r="D81" i="2" s="1"/>
  <c r="F78" i="2" a="1"/>
  <c r="F78" i="2" s="1"/>
  <c r="H75" i="2" a="1"/>
  <c r="H75" i="2" s="1"/>
  <c r="I72" i="2" a="1"/>
  <c r="I72" i="2" s="1"/>
  <c r="H70" i="2" a="1"/>
  <c r="H70" i="2" s="1"/>
  <c r="I67" i="2" a="1"/>
  <c r="I67" i="2" s="1"/>
  <c r="K64" i="2" a="1"/>
  <c r="K64" i="2" s="1"/>
  <c r="D62" i="2" a="1"/>
  <c r="D62" i="2" s="1"/>
  <c r="E59" i="2" a="1"/>
  <c r="E59" i="2" s="1"/>
  <c r="D57" i="2" a="1"/>
  <c r="D57" i="2" s="1"/>
  <c r="I53" i="2" a="1"/>
  <c r="I53" i="2" s="1"/>
  <c r="K47" i="2" a="1"/>
  <c r="K47" i="2" s="1"/>
  <c r="H43" i="2" a="1"/>
  <c r="H43" i="2" s="1"/>
  <c r="I37" i="2" a="1"/>
  <c r="I37" i="2" s="1"/>
  <c r="J31" i="2" a="1"/>
  <c r="J31" i="2" s="1"/>
  <c r="D26" i="2" a="1"/>
  <c r="D26" i="2" s="1"/>
  <c r="J20" i="2" a="1"/>
  <c r="J20" i="2" s="1"/>
  <c r="H172" i="2" a="1"/>
  <c r="H172" i="2" s="1"/>
  <c r="H171" i="2" a="1"/>
  <c r="H171" i="2" s="1"/>
  <c r="H170" i="2" a="1"/>
  <c r="H170" i="2" s="1"/>
  <c r="H169" i="2" a="1"/>
  <c r="H169" i="2" s="1"/>
  <c r="H168" i="2" a="1"/>
  <c r="H168" i="2" s="1"/>
  <c r="H167" i="2" a="1"/>
  <c r="H167" i="2" s="1"/>
  <c r="H166" i="2" a="1"/>
  <c r="H166" i="2" s="1"/>
  <c r="H165" i="2" a="1"/>
  <c r="H165" i="2" s="1"/>
  <c r="H164" i="2" a="1"/>
  <c r="H164" i="2" s="1"/>
  <c r="H163" i="2" a="1"/>
  <c r="H163" i="2" s="1"/>
  <c r="H162" i="2" a="1"/>
  <c r="H162" i="2" s="1"/>
  <c r="H161" i="2" a="1"/>
  <c r="H161" i="2" s="1"/>
  <c r="H160" i="2" a="1"/>
  <c r="H160" i="2" s="1"/>
  <c r="H159" i="2" a="1"/>
  <c r="H159" i="2" s="1"/>
  <c r="H158" i="2" a="1"/>
  <c r="H158" i="2" s="1"/>
  <c r="H157" i="2" a="1"/>
  <c r="H157" i="2" s="1"/>
  <c r="H156" i="2" a="1"/>
  <c r="H156" i="2" s="1"/>
  <c r="H155" i="2" a="1"/>
  <c r="H155" i="2" s="1"/>
  <c r="H154" i="2" a="1"/>
  <c r="H154" i="2" s="1"/>
  <c r="H153" i="2" a="1"/>
  <c r="H153" i="2" s="1"/>
  <c r="H152" i="2" a="1"/>
  <c r="H152" i="2" s="1"/>
  <c r="H151" i="2" a="1"/>
  <c r="H151" i="2" s="1"/>
  <c r="H150" i="2" a="1"/>
  <c r="H150" i="2" s="1"/>
  <c r="H149" i="2" a="1"/>
  <c r="H149" i="2" s="1"/>
  <c r="H148" i="2" a="1"/>
  <c r="H148" i="2" s="1"/>
  <c r="H147" i="2" a="1"/>
  <c r="H147" i="2" s="1"/>
  <c r="H146" i="2" a="1"/>
  <c r="H146" i="2" s="1"/>
  <c r="H145" i="2" a="1"/>
  <c r="H145" i="2" s="1"/>
  <c r="H144" i="2" a="1"/>
  <c r="H144" i="2" s="1"/>
  <c r="H143" i="2" a="1"/>
  <c r="H143" i="2" s="1"/>
  <c r="H142" i="2" a="1"/>
  <c r="H142" i="2" s="1"/>
  <c r="H141" i="2" a="1"/>
  <c r="H141" i="2" s="1"/>
  <c r="H140" i="2" a="1"/>
  <c r="H140" i="2" s="1"/>
  <c r="H139" i="2" a="1"/>
  <c r="H139" i="2" s="1"/>
  <c r="H138" i="2" a="1"/>
  <c r="H138" i="2" s="1"/>
  <c r="H137" i="2" a="1"/>
  <c r="H137" i="2" s="1"/>
  <c r="H136" i="2" a="1"/>
  <c r="H136" i="2" s="1"/>
  <c r="H135" i="2" a="1"/>
  <c r="H135" i="2" s="1"/>
  <c r="H134" i="2" a="1"/>
  <c r="H134" i="2" s="1"/>
  <c r="H133" i="2" a="1"/>
  <c r="H133" i="2" s="1"/>
  <c r="H132" i="2" a="1"/>
  <c r="H132" i="2" s="1"/>
  <c r="H131" i="2" a="1"/>
  <c r="H131" i="2" s="1"/>
  <c r="H130" i="2" a="1"/>
  <c r="H130" i="2" s="1"/>
  <c r="H129" i="2" a="1"/>
  <c r="H129" i="2" s="1"/>
  <c r="H128" i="2" a="1"/>
  <c r="H128" i="2" s="1"/>
  <c r="H127" i="2" a="1"/>
  <c r="H127" i="2" s="1"/>
  <c r="H126" i="2" a="1"/>
  <c r="H126" i="2" s="1"/>
  <c r="H125" i="2" a="1"/>
  <c r="H125" i="2" s="1"/>
  <c r="H124" i="2" a="1"/>
  <c r="H124" i="2" s="1"/>
  <c r="H123" i="2" a="1"/>
  <c r="H123" i="2" s="1"/>
  <c r="H122" i="2" a="1"/>
  <c r="H122" i="2" s="1"/>
  <c r="H121" i="2" a="1"/>
  <c r="H121" i="2" s="1"/>
  <c r="H120" i="2" a="1"/>
  <c r="H120" i="2" s="1"/>
  <c r="H119" i="2" a="1"/>
  <c r="H119" i="2" s="1"/>
  <c r="K117" i="2" a="1"/>
  <c r="K117" i="2" s="1"/>
  <c r="F115" i="2" a="1"/>
  <c r="F115" i="2" s="1"/>
  <c r="D113" i="2" a="1"/>
  <c r="D113" i="2" s="1"/>
  <c r="E110" i="2" a="1"/>
  <c r="E110" i="2" s="1"/>
  <c r="F107" i="2" a="1"/>
  <c r="F107" i="2" s="1"/>
  <c r="G104" i="2" a="1"/>
  <c r="G104" i="2" s="1"/>
  <c r="H101" i="2" a="1"/>
  <c r="H101" i="2" s="1"/>
  <c r="G99" i="2" a="1"/>
  <c r="G99" i="2" s="1"/>
  <c r="H96" i="2" a="1"/>
  <c r="H96" i="2" s="1"/>
  <c r="I93" i="2" a="1"/>
  <c r="I93" i="2" s="1"/>
  <c r="J90" i="2" a="1"/>
  <c r="J90" i="2" s="1"/>
  <c r="D88" i="2" a="1"/>
  <c r="D88" i="2" s="1"/>
  <c r="J85" i="2" a="1"/>
  <c r="J85" i="2" s="1"/>
  <c r="K82" i="2" a="1"/>
  <c r="K82" i="2" s="1"/>
  <c r="F80" i="2" a="1"/>
  <c r="F80" i="2" s="1"/>
  <c r="E78" i="2" a="1"/>
  <c r="E78" i="2" s="1"/>
  <c r="G75" i="2" a="1"/>
  <c r="G75" i="2" s="1"/>
  <c r="H72" i="2" a="1"/>
  <c r="H72" i="2" s="1"/>
  <c r="J69" i="2" a="1"/>
  <c r="J69" i="2" s="1"/>
  <c r="H67" i="2" a="1"/>
  <c r="H67" i="2" s="1"/>
  <c r="J64" i="2" a="1"/>
  <c r="J64" i="2" s="1"/>
  <c r="K61" i="2" a="1"/>
  <c r="K61" i="2" s="1"/>
  <c r="D59" i="2" a="1"/>
  <c r="D59" i="2" s="1"/>
  <c r="F56" i="2" a="1"/>
  <c r="F56" i="2" s="1"/>
  <c r="G53" i="2" a="1"/>
  <c r="G53" i="2" s="1"/>
  <c r="I47" i="2" a="1"/>
  <c r="I47" i="2" s="1"/>
  <c r="K41" i="2" a="1"/>
  <c r="K41" i="2" s="1"/>
  <c r="D36" i="2" a="1"/>
  <c r="D36" i="2" s="1"/>
  <c r="I31" i="2" a="1"/>
  <c r="I31" i="2" s="1"/>
  <c r="J25" i="2" a="1"/>
  <c r="J25" i="2" s="1"/>
  <c r="J18" i="2" a="1"/>
  <c r="J18" i="2" s="1"/>
  <c r="G172" i="2" a="1"/>
  <c r="G172" i="2" s="1"/>
  <c r="G171" i="2" a="1"/>
  <c r="G171" i="2" s="1"/>
  <c r="G170" i="2" a="1"/>
  <c r="G170" i="2" s="1"/>
  <c r="G169" i="2" a="1"/>
  <c r="G169" i="2" s="1"/>
  <c r="G168" i="2" a="1"/>
  <c r="G168" i="2" s="1"/>
  <c r="G167" i="2" a="1"/>
  <c r="G167" i="2" s="1"/>
  <c r="G166" i="2" a="1"/>
  <c r="G166" i="2" s="1"/>
  <c r="G165" i="2" a="1"/>
  <c r="G165" i="2" s="1"/>
  <c r="G164" i="2" a="1"/>
  <c r="G164" i="2" s="1"/>
  <c r="G163" i="2" a="1"/>
  <c r="G163" i="2" s="1"/>
  <c r="G162" i="2" a="1"/>
  <c r="G162" i="2" s="1"/>
  <c r="G161" i="2" a="1"/>
  <c r="G161" i="2" s="1"/>
  <c r="G160" i="2" a="1"/>
  <c r="G160" i="2" s="1"/>
  <c r="G159" i="2" a="1"/>
  <c r="G159" i="2" s="1"/>
  <c r="G158" i="2" a="1"/>
  <c r="G158" i="2" s="1"/>
  <c r="G157" i="2" a="1"/>
  <c r="G157" i="2" s="1"/>
  <c r="G156" i="2" a="1"/>
  <c r="G156" i="2" s="1"/>
  <c r="G155" i="2" a="1"/>
  <c r="G155" i="2" s="1"/>
  <c r="G154" i="2" a="1"/>
  <c r="G154" i="2" s="1"/>
  <c r="G153" i="2" a="1"/>
  <c r="G153" i="2" s="1"/>
  <c r="G152" i="2" a="1"/>
  <c r="G152" i="2" s="1"/>
  <c r="G151" i="2" a="1"/>
  <c r="G151" i="2" s="1"/>
  <c r="G150" i="2" a="1"/>
  <c r="G150" i="2" s="1"/>
  <c r="G149" i="2" a="1"/>
  <c r="G149" i="2" s="1"/>
  <c r="G148" i="2" a="1"/>
  <c r="G148" i="2" s="1"/>
  <c r="G147" i="2" a="1"/>
  <c r="G147" i="2" s="1"/>
  <c r="G146" i="2" a="1"/>
  <c r="G146" i="2" s="1"/>
  <c r="G145" i="2" a="1"/>
  <c r="G145" i="2" s="1"/>
  <c r="G144" i="2" a="1"/>
  <c r="G144" i="2" s="1"/>
  <c r="G143" i="2" a="1"/>
  <c r="G143" i="2" s="1"/>
  <c r="G142" i="2" a="1"/>
  <c r="G142" i="2" s="1"/>
  <c r="G141" i="2" a="1"/>
  <c r="G141" i="2" s="1"/>
  <c r="G140" i="2" a="1"/>
  <c r="G140" i="2" s="1"/>
  <c r="G139" i="2" a="1"/>
  <c r="G139" i="2" s="1"/>
  <c r="G138" i="2" a="1"/>
  <c r="G138" i="2" s="1"/>
  <c r="G137" i="2" a="1"/>
  <c r="G137" i="2" s="1"/>
  <c r="G136" i="2" a="1"/>
  <c r="G136" i="2" s="1"/>
  <c r="G135" i="2" a="1"/>
  <c r="G135" i="2" s="1"/>
  <c r="G134" i="2" a="1"/>
  <c r="G134" i="2" s="1"/>
  <c r="G133" i="2" a="1"/>
  <c r="G133" i="2" s="1"/>
  <c r="G132" i="2" a="1"/>
  <c r="G132" i="2" s="1"/>
  <c r="G131" i="2" a="1"/>
  <c r="G131" i="2" s="1"/>
  <c r="G130" i="2" a="1"/>
  <c r="G130" i="2" s="1"/>
  <c r="G129" i="2" a="1"/>
  <c r="G129" i="2" s="1"/>
  <c r="G128" i="2" a="1"/>
  <c r="G128" i="2" s="1"/>
  <c r="G127" i="2" a="1"/>
  <c r="G127" i="2" s="1"/>
  <c r="G126" i="2" a="1"/>
  <c r="G126" i="2" s="1"/>
  <c r="G125" i="2" a="1"/>
  <c r="G125" i="2" s="1"/>
  <c r="G124" i="2" a="1"/>
  <c r="G124" i="2" s="1"/>
  <c r="G123" i="2" a="1"/>
  <c r="G123" i="2" s="1"/>
  <c r="G122" i="2" a="1"/>
  <c r="G122" i="2" s="1"/>
  <c r="G121" i="2" a="1"/>
  <c r="G121" i="2" s="1"/>
  <c r="G120" i="2" a="1"/>
  <c r="G120" i="2" s="1"/>
  <c r="G119" i="2" a="1"/>
  <c r="G119" i="2" s="1"/>
  <c r="J117" i="2" a="1"/>
  <c r="J117" i="2" s="1"/>
  <c r="E115" i="2" a="1"/>
  <c r="E115" i="2" s="1"/>
  <c r="F112" i="2" a="1"/>
  <c r="F112" i="2" s="1"/>
  <c r="G109" i="2" a="1"/>
  <c r="G109" i="2" s="1"/>
  <c r="E107" i="2" a="1"/>
  <c r="E107" i="2" s="1"/>
  <c r="F104" i="2" a="1"/>
  <c r="F104" i="2" s="1"/>
  <c r="G101" i="2" a="1"/>
  <c r="G101" i="2" s="1"/>
  <c r="I98" i="2" a="1"/>
  <c r="I98" i="2" s="1"/>
  <c r="J95" i="2" a="1"/>
  <c r="J95" i="2" s="1"/>
  <c r="H93" i="2" a="1"/>
  <c r="H93" i="2" s="1"/>
  <c r="I90" i="2" a="1"/>
  <c r="I90" i="2" s="1"/>
  <c r="K87" i="2" a="1"/>
  <c r="K87" i="2" s="1"/>
  <c r="D85" i="2" a="1"/>
  <c r="D85" i="2" s="1"/>
  <c r="J82" i="2" a="1"/>
  <c r="J82" i="2" s="1"/>
  <c r="E80" i="2" a="1"/>
  <c r="E80" i="2" s="1"/>
  <c r="H77" i="2" a="1"/>
  <c r="H77" i="2" s="1"/>
  <c r="I74" i="2" a="1"/>
  <c r="I74" i="2" s="1"/>
  <c r="G72" i="2" a="1"/>
  <c r="G72" i="2" s="1"/>
  <c r="I69" i="2" a="1"/>
  <c r="I69" i="2" s="1"/>
  <c r="J66" i="2" a="1"/>
  <c r="J66" i="2" s="1"/>
  <c r="I64" i="2" a="1"/>
  <c r="I64" i="2" s="1"/>
  <c r="J61" i="2" a="1"/>
  <c r="J61" i="2" s="1"/>
  <c r="K58" i="2" a="1"/>
  <c r="K58" i="2" s="1"/>
  <c r="E56" i="2" a="1"/>
  <c r="E56" i="2" s="1"/>
  <c r="K51" i="2" a="1"/>
  <c r="K51" i="2" s="1"/>
  <c r="H47" i="2" a="1"/>
  <c r="H47" i="2" s="1"/>
  <c r="I41" i="2" a="1"/>
  <c r="I41" i="2" s="1"/>
  <c r="J35" i="2" a="1"/>
  <c r="J35" i="2" s="1"/>
  <c r="D30" i="2" a="1"/>
  <c r="D30" i="2" s="1"/>
  <c r="I25" i="2" a="1"/>
  <c r="I25" i="2" s="1"/>
  <c r="F18" i="2" a="1"/>
  <c r="F18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7" i="2" a="1"/>
  <c r="F117" i="2" s="1"/>
  <c r="D115" i="2" a="1"/>
  <c r="D115" i="2" s="1"/>
  <c r="E112" i="2" a="1"/>
  <c r="E112" i="2" s="1"/>
  <c r="F109" i="2" a="1"/>
  <c r="F109" i="2" s="1"/>
  <c r="G106" i="2" a="1"/>
  <c r="G106" i="2" s="1"/>
  <c r="H103" i="2" a="1"/>
  <c r="H103" i="2" s="1"/>
  <c r="F101" i="2" a="1"/>
  <c r="F101" i="2" s="1"/>
  <c r="H98" i="2" a="1"/>
  <c r="H98" i="2" s="1"/>
  <c r="I95" i="2" a="1"/>
  <c r="I95" i="2" s="1"/>
  <c r="J92" i="2" a="1"/>
  <c r="J92" i="2" s="1"/>
  <c r="K89" i="2" a="1"/>
  <c r="K89" i="2" s="1"/>
  <c r="J87" i="2" a="1"/>
  <c r="J87" i="2" s="1"/>
  <c r="K84" i="2" a="1"/>
  <c r="K84" i="2" s="1"/>
  <c r="F82" i="2" a="1"/>
  <c r="F82" i="2" s="1"/>
  <c r="D80" i="2" a="1"/>
  <c r="D80" i="2" s="1"/>
  <c r="G77" i="2" a="1"/>
  <c r="G77" i="2" s="1"/>
  <c r="H74" i="2" a="1"/>
  <c r="H74" i="2" s="1"/>
  <c r="I71" i="2" a="1"/>
  <c r="I71" i="2" s="1"/>
  <c r="H69" i="2" a="1"/>
  <c r="H69" i="2" s="1"/>
  <c r="I66" i="2" a="1"/>
  <c r="I66" i="2" s="1"/>
  <c r="K63" i="2" a="1"/>
  <c r="K63" i="2" s="1"/>
  <c r="D61" i="2" a="1"/>
  <c r="D61" i="2" s="1"/>
  <c r="E58" i="2" a="1"/>
  <c r="E58" i="2" s="1"/>
  <c r="D56" i="2" a="1"/>
  <c r="D56" i="2" s="1"/>
  <c r="J51" i="2" a="1"/>
  <c r="J51" i="2" s="1"/>
  <c r="K45" i="2" a="1"/>
  <c r="K45" i="2" s="1"/>
  <c r="D40" i="2" a="1"/>
  <c r="D40" i="2" s="1"/>
  <c r="I35" i="2" a="1"/>
  <c r="I35" i="2" s="1"/>
  <c r="J29" i="2" a="1"/>
  <c r="J29" i="2" s="1"/>
  <c r="K23" i="2" a="1"/>
  <c r="K23" i="2" s="1"/>
  <c r="K17" i="2" a="1"/>
  <c r="K17" i="2" s="1"/>
  <c r="L293" i="2" a="1"/>
  <c r="L293" i="2" s="1"/>
  <c r="L261" i="2" a="1"/>
  <c r="L261" i="2" s="1"/>
  <c r="L242" i="2" a="1"/>
  <c r="L242" i="2" s="1"/>
  <c r="L255" i="2" a="1"/>
  <c r="L255" i="2" s="1"/>
  <c r="L216" i="2" a="1"/>
  <c r="L216" i="2" s="1"/>
  <c r="L248" i="2" a="1"/>
  <c r="L248" i="2" s="1"/>
  <c r="L287" i="2" a="1"/>
  <c r="L287" i="2" s="1"/>
  <c r="L280" i="2" a="1"/>
  <c r="L280" i="2" s="1"/>
  <c r="L275" i="2" a="1"/>
  <c r="L275" i="2" s="1"/>
  <c r="L223" i="2" a="1"/>
  <c r="L223" i="2" s="1"/>
  <c r="L274" i="2" a="1"/>
  <c r="L274" i="2" s="1"/>
  <c r="L229" i="2" a="1"/>
  <c r="L229" i="2" s="1"/>
  <c r="I118" i="2" a="1"/>
  <c r="I118" i="2" s="1"/>
  <c r="K116" i="2" a="1"/>
  <c r="K116" i="2" s="1"/>
  <c r="K115" i="2" a="1"/>
  <c r="K115" i="2" s="1"/>
  <c r="K114" i="2" a="1"/>
  <c r="K114" i="2" s="1"/>
  <c r="K113" i="2" a="1"/>
  <c r="K113" i="2" s="1"/>
  <c r="K112" i="2" a="1"/>
  <c r="K112" i="2" s="1"/>
  <c r="K111" i="2" a="1"/>
  <c r="K111" i="2" s="1"/>
  <c r="K110" i="2" a="1"/>
  <c r="K110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E104" i="2" a="1"/>
  <c r="E104" i="2" s="1"/>
  <c r="E103" i="2" a="1"/>
  <c r="E103" i="2" s="1"/>
  <c r="E102" i="2" a="1"/>
  <c r="E102" i="2" s="1"/>
  <c r="E101" i="2" a="1"/>
  <c r="E101" i="2" s="1"/>
  <c r="E100" i="2" a="1"/>
  <c r="E100" i="2" s="1"/>
  <c r="F99" i="2" a="1"/>
  <c r="F99" i="2" s="1"/>
  <c r="G98" i="2" a="1"/>
  <c r="G98" i="2" s="1"/>
  <c r="G97" i="2" a="1"/>
  <c r="G97" i="2" s="1"/>
  <c r="G96" i="2" a="1"/>
  <c r="G96" i="2" s="1"/>
  <c r="G95" i="2" a="1"/>
  <c r="G95" i="2" s="1"/>
  <c r="G94" i="2" a="1"/>
  <c r="G94" i="2" s="1"/>
  <c r="G93" i="2" a="1"/>
  <c r="G93" i="2" s="1"/>
  <c r="H92" i="2" a="1"/>
  <c r="H92" i="2" s="1"/>
  <c r="H91" i="2" a="1"/>
  <c r="H91" i="2" s="1"/>
  <c r="H90" i="2" a="1"/>
  <c r="H90" i="2" s="1"/>
  <c r="H89" i="2" a="1"/>
  <c r="H89" i="2" s="1"/>
  <c r="I88" i="2" a="1"/>
  <c r="I88" i="2" s="1"/>
  <c r="I87" i="2" a="1"/>
  <c r="I87" i="2" s="1"/>
  <c r="I86" i="2" a="1"/>
  <c r="I86" i="2" s="1"/>
  <c r="I85" i="2" a="1"/>
  <c r="I85" i="2" s="1"/>
  <c r="I84" i="2" a="1"/>
  <c r="I84" i="2" s="1"/>
  <c r="I83" i="2" a="1"/>
  <c r="I83" i="2" s="1"/>
  <c r="K81" i="2" a="1"/>
  <c r="K81" i="2" s="1"/>
  <c r="K80" i="2" a="1"/>
  <c r="K80" i="2" s="1"/>
  <c r="K79" i="2" a="1"/>
  <c r="K79" i="2" s="1"/>
  <c r="D78" i="2" a="1"/>
  <c r="D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G70" i="2" a="1"/>
  <c r="G70" i="2" s="1"/>
  <c r="G69" i="2" a="1"/>
  <c r="G69" i="2" s="1"/>
  <c r="G68" i="2" a="1"/>
  <c r="G68" i="2" s="1"/>
  <c r="G67" i="2" a="1"/>
  <c r="G67" i="2" s="1"/>
  <c r="G66" i="2" a="1"/>
  <c r="G66" i="2" s="1"/>
  <c r="G65" i="2" a="1"/>
  <c r="G65" i="2" s="1"/>
  <c r="H64" i="2" a="1"/>
  <c r="H64" i="2" s="1"/>
  <c r="I63" i="2" a="1"/>
  <c r="I63" i="2" s="1"/>
  <c r="I62" i="2" a="1"/>
  <c r="I62" i="2" s="1"/>
  <c r="I61" i="2" a="1"/>
  <c r="I61" i="2" s="1"/>
  <c r="J60" i="2" a="1"/>
  <c r="J60" i="2" s="1"/>
  <c r="J59" i="2" a="1"/>
  <c r="J59" i="2" s="1"/>
  <c r="J58" i="2" a="1"/>
  <c r="J58" i="2" s="1"/>
  <c r="J57" i="2" a="1"/>
  <c r="J57" i="2" s="1"/>
  <c r="K56" i="2" a="1"/>
  <c r="K56" i="2" s="1"/>
  <c r="K55" i="2" a="1"/>
  <c r="K55" i="2" s="1"/>
  <c r="J54" i="2" a="1"/>
  <c r="J54" i="2" s="1"/>
  <c r="F53" i="2" a="1"/>
  <c r="F53" i="2" s="1"/>
  <c r="G51" i="2" a="1"/>
  <c r="G51" i="2" s="1"/>
  <c r="D49" i="2" a="1"/>
  <c r="D49" i="2" s="1"/>
  <c r="D47" i="2" a="1"/>
  <c r="D47" i="2" s="1"/>
  <c r="D45" i="2" a="1"/>
  <c r="D45" i="2" s="1"/>
  <c r="D43" i="2" a="1"/>
  <c r="D43" i="2" s="1"/>
  <c r="E41" i="2" a="1"/>
  <c r="E41" i="2" s="1"/>
  <c r="E39" i="2" a="1"/>
  <c r="E39" i="2" s="1"/>
  <c r="E37" i="2" a="1"/>
  <c r="E37" i="2" s="1"/>
  <c r="E35" i="2" a="1"/>
  <c r="E35" i="2" s="1"/>
  <c r="E33" i="2" a="1"/>
  <c r="E33" i="2" s="1"/>
  <c r="E31" i="2" a="1"/>
  <c r="E31" i="2" s="1"/>
  <c r="E29" i="2" a="1"/>
  <c r="E29" i="2" s="1"/>
  <c r="E27" i="2" a="1"/>
  <c r="E27" i="2" s="1"/>
  <c r="E25" i="2" a="1"/>
  <c r="E25" i="2" s="1"/>
  <c r="K22" i="2" a="1"/>
  <c r="K22" i="2" s="1"/>
  <c r="F20" i="2" a="1"/>
  <c r="F20" i="2" s="1"/>
  <c r="J17" i="2" a="1"/>
  <c r="J17" i="2" s="1"/>
  <c r="H118" i="2" a="1"/>
  <c r="H118" i="2" s="1"/>
  <c r="I117" i="2" a="1"/>
  <c r="I117" i="2" s="1"/>
  <c r="J116" i="2" a="1"/>
  <c r="J116" i="2" s="1"/>
  <c r="J115" i="2" a="1"/>
  <c r="J115" i="2" s="1"/>
  <c r="J114" i="2" a="1"/>
  <c r="J114" i="2" s="1"/>
  <c r="J113" i="2" a="1"/>
  <c r="J113" i="2" s="1"/>
  <c r="J112" i="2" a="1"/>
  <c r="J112" i="2" s="1"/>
  <c r="J111" i="2" a="1"/>
  <c r="J111" i="2" s="1"/>
  <c r="J110" i="2" a="1"/>
  <c r="J110" i="2" s="1"/>
  <c r="K109" i="2" a="1"/>
  <c r="K109" i="2" s="1"/>
  <c r="K108" i="2" a="1"/>
  <c r="K108" i="2" s="1"/>
  <c r="K107" i="2" a="1"/>
  <c r="K107" i="2" s="1"/>
  <c r="K106" i="2" a="1"/>
  <c r="K106" i="2" s="1"/>
  <c r="K105" i="2" a="1"/>
  <c r="K105" i="2" s="1"/>
  <c r="K104" i="2" a="1"/>
  <c r="K104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E99" i="2" a="1"/>
  <c r="E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G92" i="2" a="1"/>
  <c r="G92" i="2" s="1"/>
  <c r="G91" i="2" a="1"/>
  <c r="G91" i="2" s="1"/>
  <c r="G90" i="2" a="1"/>
  <c r="G90" i="2" s="1"/>
  <c r="G89" i="2" a="1"/>
  <c r="G89" i="2" s="1"/>
  <c r="H88" i="2" a="1"/>
  <c r="H88" i="2" s="1"/>
  <c r="H87" i="2" a="1"/>
  <c r="H87" i="2" s="1"/>
  <c r="H86" i="2" a="1"/>
  <c r="H86" i="2" s="1"/>
  <c r="H85" i="2" a="1"/>
  <c r="H85" i="2" s="1"/>
  <c r="H84" i="2" a="1"/>
  <c r="H84" i="2" s="1"/>
  <c r="H83" i="2" a="1"/>
  <c r="H83" i="2" s="1"/>
  <c r="I82" i="2" a="1"/>
  <c r="I82" i="2" s="1"/>
  <c r="J81" i="2" a="1"/>
  <c r="J81" i="2" s="1"/>
  <c r="J80" i="2" a="1"/>
  <c r="J80" i="2" s="1"/>
  <c r="J79" i="2" a="1"/>
  <c r="J79" i="2" s="1"/>
  <c r="K78" i="2" a="1"/>
  <c r="K78" i="2" s="1"/>
  <c r="K77" i="2" a="1"/>
  <c r="K77" i="2" s="1"/>
  <c r="E77" i="2" a="1"/>
  <c r="E77" i="2" s="1"/>
  <c r="E76" i="2" a="1"/>
  <c r="E76" i="2" s="1"/>
  <c r="E75" i="2" a="1"/>
  <c r="E75" i="2" s="1"/>
  <c r="E74" i="2" a="1"/>
  <c r="E74" i="2" s="1"/>
  <c r="E73" i="2" a="1"/>
  <c r="E73" i="2" s="1"/>
  <c r="E72" i="2" a="1"/>
  <c r="E72" i="2" s="1"/>
  <c r="E71" i="2" a="1"/>
  <c r="E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G64" i="2" a="1"/>
  <c r="G64" i="2" s="1"/>
  <c r="H63" i="2" a="1"/>
  <c r="H63" i="2" s="1"/>
  <c r="H62" i="2" a="1"/>
  <c r="H62" i="2" s="1"/>
  <c r="H61" i="2" a="1"/>
  <c r="H61" i="2" s="1"/>
  <c r="I60" i="2" a="1"/>
  <c r="I60" i="2" s="1"/>
  <c r="I59" i="2" a="1"/>
  <c r="I59" i="2" s="1"/>
  <c r="I58" i="2" a="1"/>
  <c r="I58" i="2" s="1"/>
  <c r="I57" i="2" a="1"/>
  <c r="I57" i="2" s="1"/>
  <c r="J56" i="2" a="1"/>
  <c r="J56" i="2" s="1"/>
  <c r="J55" i="2" a="1"/>
  <c r="J55" i="2" s="1"/>
  <c r="I54" i="2" a="1"/>
  <c r="I54" i="2" s="1"/>
  <c r="K52" i="2" a="1"/>
  <c r="K52" i="2" s="1"/>
  <c r="K50" i="2" a="1"/>
  <c r="K50" i="2" s="1"/>
  <c r="K48" i="2" a="1"/>
  <c r="K48" i="2" s="1"/>
  <c r="K46" i="2" a="1"/>
  <c r="K46" i="2" s="1"/>
  <c r="K44" i="2" a="1"/>
  <c r="K44" i="2" s="1"/>
  <c r="K42" i="2" a="1"/>
  <c r="K42" i="2" s="1"/>
  <c r="D41" i="2" a="1"/>
  <c r="D41" i="2" s="1"/>
  <c r="D39" i="2" a="1"/>
  <c r="D39" i="2" s="1"/>
  <c r="D37" i="2" a="1"/>
  <c r="D37" i="2" s="1"/>
  <c r="D35" i="2" a="1"/>
  <c r="D35" i="2" s="1"/>
  <c r="D33" i="2" a="1"/>
  <c r="D33" i="2" s="1"/>
  <c r="D31" i="2" a="1"/>
  <c r="D31" i="2" s="1"/>
  <c r="D29" i="2" a="1"/>
  <c r="D29" i="2" s="1"/>
  <c r="D27" i="2" a="1"/>
  <c r="D27" i="2" s="1"/>
  <c r="K24" i="2" a="1"/>
  <c r="K24" i="2" s="1"/>
  <c r="J22" i="2" a="1"/>
  <c r="J22" i="2" s="1"/>
  <c r="K19" i="2" a="1"/>
  <c r="K19" i="2" s="1"/>
  <c r="F17" i="2" a="1"/>
  <c r="F17" i="2" s="1"/>
  <c r="G118" i="2" a="1"/>
  <c r="G118" i="2" s="1"/>
  <c r="H117" i="2" a="1"/>
  <c r="H117" i="2" s="1"/>
  <c r="I116" i="2" a="1"/>
  <c r="I116" i="2" s="1"/>
  <c r="I115" i="2" a="1"/>
  <c r="I115" i="2" s="1"/>
  <c r="I114" i="2" a="1"/>
  <c r="I114" i="2" s="1"/>
  <c r="I113" i="2" a="1"/>
  <c r="I113" i="2" s="1"/>
  <c r="I112" i="2" a="1"/>
  <c r="I112" i="2" s="1"/>
  <c r="I111" i="2" a="1"/>
  <c r="I111" i="2" s="1"/>
  <c r="I110" i="2" a="1"/>
  <c r="I110" i="2" s="1"/>
  <c r="J109" i="2" a="1"/>
  <c r="J109" i="2" s="1"/>
  <c r="J108" i="2" a="1"/>
  <c r="J108" i="2" s="1"/>
  <c r="J107" i="2" a="1"/>
  <c r="J107" i="2" s="1"/>
  <c r="J106" i="2" a="1"/>
  <c r="J106" i="2" s="1"/>
  <c r="J105" i="2" a="1"/>
  <c r="J105" i="2" s="1"/>
  <c r="J104" i="2" a="1"/>
  <c r="J104" i="2" s="1"/>
  <c r="K103" i="2" a="1"/>
  <c r="K103" i="2" s="1"/>
  <c r="K102" i="2" a="1"/>
  <c r="K102" i="2" s="1"/>
  <c r="K101" i="2" a="1"/>
  <c r="K101" i="2" s="1"/>
  <c r="K100" i="2" a="1"/>
  <c r="K100" i="2" s="1"/>
  <c r="K99" i="2" a="1"/>
  <c r="K99" i="2" s="1"/>
  <c r="D99" i="2" a="1"/>
  <c r="D99" i="2" s="1"/>
  <c r="E98" i="2" a="1"/>
  <c r="E98" i="2" s="1"/>
  <c r="E97" i="2" a="1"/>
  <c r="E97" i="2" s="1"/>
  <c r="E96" i="2" a="1"/>
  <c r="E96" i="2" s="1"/>
  <c r="E95" i="2" a="1"/>
  <c r="E95" i="2" s="1"/>
  <c r="E94" i="2" a="1"/>
  <c r="E94" i="2" s="1"/>
  <c r="E93" i="2" a="1"/>
  <c r="E93" i="2" s="1"/>
  <c r="F92" i="2" a="1"/>
  <c r="F92" i="2" s="1"/>
  <c r="F91" i="2" a="1"/>
  <c r="F91" i="2" s="1"/>
  <c r="F90" i="2" a="1"/>
  <c r="F90" i="2" s="1"/>
  <c r="F89" i="2" a="1"/>
  <c r="F89" i="2" s="1"/>
  <c r="G88" i="2" a="1"/>
  <c r="G88" i="2" s="1"/>
  <c r="G87" i="2" a="1"/>
  <c r="G87" i="2" s="1"/>
  <c r="G86" i="2" a="1"/>
  <c r="G86" i="2" s="1"/>
  <c r="G85" i="2" a="1"/>
  <c r="G85" i="2" s="1"/>
  <c r="G84" i="2" a="1"/>
  <c r="G84" i="2" s="1"/>
  <c r="G83" i="2" a="1"/>
  <c r="G83" i="2" s="1"/>
  <c r="H82" i="2" a="1"/>
  <c r="H82" i="2" s="1"/>
  <c r="I81" i="2" a="1"/>
  <c r="I81" i="2" s="1"/>
  <c r="I80" i="2" a="1"/>
  <c r="I80" i="2" s="1"/>
  <c r="I79" i="2" a="1"/>
  <c r="I79" i="2" s="1"/>
  <c r="J78" i="2" a="1"/>
  <c r="J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E70" i="2" a="1"/>
  <c r="E70" i="2" s="1"/>
  <c r="E69" i="2" a="1"/>
  <c r="E69" i="2" s="1"/>
  <c r="E68" i="2" a="1"/>
  <c r="E68" i="2" s="1"/>
  <c r="E67" i="2" a="1"/>
  <c r="E67" i="2" s="1"/>
  <c r="E66" i="2" a="1"/>
  <c r="E66" i="2" s="1"/>
  <c r="E65" i="2" a="1"/>
  <c r="E65" i="2" s="1"/>
  <c r="F64" i="2" a="1"/>
  <c r="F64" i="2" s="1"/>
  <c r="G63" i="2" a="1"/>
  <c r="G63" i="2" s="1"/>
  <c r="G62" i="2" a="1"/>
  <c r="G62" i="2" s="1"/>
  <c r="G61" i="2" a="1"/>
  <c r="G61" i="2" s="1"/>
  <c r="H60" i="2" a="1"/>
  <c r="H60" i="2" s="1"/>
  <c r="H59" i="2" a="1"/>
  <c r="H59" i="2" s="1"/>
  <c r="H58" i="2" a="1"/>
  <c r="H58" i="2" s="1"/>
  <c r="H57" i="2" a="1"/>
  <c r="H57" i="2" s="1"/>
  <c r="I56" i="2" a="1"/>
  <c r="I56" i="2" s="1"/>
  <c r="I55" i="2" a="1"/>
  <c r="I55" i="2" s="1"/>
  <c r="H54" i="2" a="1"/>
  <c r="H54" i="2" s="1"/>
  <c r="J52" i="2" a="1"/>
  <c r="J52" i="2" s="1"/>
  <c r="J50" i="2" a="1"/>
  <c r="J50" i="2" s="1"/>
  <c r="I48" i="2" a="1"/>
  <c r="I48" i="2" s="1"/>
  <c r="I46" i="2" a="1"/>
  <c r="I46" i="2" s="1"/>
  <c r="I44" i="2" a="1"/>
  <c r="I44" i="2" s="1"/>
  <c r="I42" i="2" a="1"/>
  <c r="I42" i="2" s="1"/>
  <c r="J40" i="2" a="1"/>
  <c r="J40" i="2" s="1"/>
  <c r="J38" i="2" a="1"/>
  <c r="J38" i="2" s="1"/>
  <c r="J36" i="2" a="1"/>
  <c r="J36" i="2" s="1"/>
  <c r="J34" i="2" a="1"/>
  <c r="J34" i="2" s="1"/>
  <c r="J32" i="2" a="1"/>
  <c r="J32" i="2" s="1"/>
  <c r="J30" i="2" a="1"/>
  <c r="J30" i="2" s="1"/>
  <c r="J28" i="2" a="1"/>
  <c r="J28" i="2" s="1"/>
  <c r="J26" i="2" a="1"/>
  <c r="J26" i="2" s="1"/>
  <c r="J24" i="2" a="1"/>
  <c r="J24" i="2" s="1"/>
  <c r="F22" i="2" a="1"/>
  <c r="F22" i="2" s="1"/>
  <c r="J19" i="2" a="1"/>
  <c r="J19" i="2" s="1"/>
  <c r="K16" i="2" a="1"/>
  <c r="K16" i="2" s="1"/>
  <c r="F118" i="2" a="1"/>
  <c r="F118" i="2" s="1"/>
  <c r="H116" i="2" a="1"/>
  <c r="H116" i="2" s="1"/>
  <c r="H115" i="2" a="1"/>
  <c r="H115" i="2" s="1"/>
  <c r="H114" i="2" a="1"/>
  <c r="H114" i="2" s="1"/>
  <c r="H113" i="2" a="1"/>
  <c r="H113" i="2" s="1"/>
  <c r="H112" i="2" a="1"/>
  <c r="H112" i="2" s="1"/>
  <c r="H111" i="2" a="1"/>
  <c r="H111" i="2" s="1"/>
  <c r="H110" i="2" a="1"/>
  <c r="H110" i="2" s="1"/>
  <c r="I109" i="2" a="1"/>
  <c r="I109" i="2" s="1"/>
  <c r="I108" i="2" a="1"/>
  <c r="I108" i="2" s="1"/>
  <c r="I107" i="2" a="1"/>
  <c r="I107" i="2" s="1"/>
  <c r="I106" i="2" a="1"/>
  <c r="I106" i="2" s="1"/>
  <c r="I105" i="2" a="1"/>
  <c r="I105" i="2" s="1"/>
  <c r="I104" i="2" a="1"/>
  <c r="I104" i="2" s="1"/>
  <c r="J103" i="2" a="1"/>
  <c r="J103" i="2" s="1"/>
  <c r="J102" i="2" a="1"/>
  <c r="J102" i="2" s="1"/>
  <c r="J101" i="2" a="1"/>
  <c r="J101" i="2" s="1"/>
  <c r="J100" i="2" a="1"/>
  <c r="J100" i="2" s="1"/>
  <c r="J99" i="2" a="1"/>
  <c r="J99" i="2" s="1"/>
  <c r="K98" i="2" a="1"/>
  <c r="K98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E92" i="2" a="1"/>
  <c r="E92" i="2" s="1"/>
  <c r="E91" i="2" a="1"/>
  <c r="E91" i="2" s="1"/>
  <c r="E90" i="2" a="1"/>
  <c r="E90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H81" i="2" a="1"/>
  <c r="H81" i="2" s="1"/>
  <c r="H80" i="2" a="1"/>
  <c r="H80" i="2" s="1"/>
  <c r="H79" i="2" a="1"/>
  <c r="H79" i="2" s="1"/>
  <c r="I78" i="2" a="1"/>
  <c r="I78" i="2" s="1"/>
  <c r="J77" i="2" a="1"/>
  <c r="J77" i="2" s="1"/>
  <c r="K76" i="2" a="1"/>
  <c r="K76" i="2" s="1"/>
  <c r="K75" i="2" a="1"/>
  <c r="K75" i="2" s="1"/>
  <c r="K74" i="2" a="1"/>
  <c r="K74" i="2" s="1"/>
  <c r="K73" i="2" a="1"/>
  <c r="K73" i="2" s="1"/>
  <c r="K72" i="2" a="1"/>
  <c r="K72" i="2" s="1"/>
  <c r="K71" i="2" a="1"/>
  <c r="K71" i="2" s="1"/>
  <c r="K70" i="2" a="1"/>
  <c r="K70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E64" i="2" a="1"/>
  <c r="E64" i="2" s="1"/>
  <c r="F63" i="2" a="1"/>
  <c r="F63" i="2" s="1"/>
  <c r="F62" i="2" a="1"/>
  <c r="F62" i="2" s="1"/>
  <c r="F61" i="2" a="1"/>
  <c r="F61" i="2" s="1"/>
  <c r="G60" i="2" a="1"/>
  <c r="G60" i="2" s="1"/>
  <c r="G59" i="2" a="1"/>
  <c r="G59" i="2" s="1"/>
  <c r="G58" i="2" a="1"/>
  <c r="G58" i="2" s="1"/>
  <c r="H56" i="2" a="1"/>
  <c r="H56" i="2" s="1"/>
  <c r="H55" i="2" a="1"/>
  <c r="H55" i="2" s="1"/>
  <c r="G54" i="2" a="1"/>
  <c r="G54" i="2" s="1"/>
  <c r="H52" i="2" a="1"/>
  <c r="H52" i="2" s="1"/>
  <c r="H50" i="2" a="1"/>
  <c r="H50" i="2" s="1"/>
  <c r="H48" i="2" a="1"/>
  <c r="H48" i="2" s="1"/>
  <c r="H46" i="2" a="1"/>
  <c r="H46" i="2" s="1"/>
  <c r="H44" i="2" a="1"/>
  <c r="H44" i="2" s="1"/>
  <c r="H42" i="2" a="1"/>
  <c r="H42" i="2" s="1"/>
  <c r="I40" i="2" a="1"/>
  <c r="I40" i="2" s="1"/>
  <c r="I38" i="2" a="1"/>
  <c r="I38" i="2" s="1"/>
  <c r="I36" i="2" a="1"/>
  <c r="I36" i="2" s="1"/>
  <c r="I34" i="2" a="1"/>
  <c r="I34" i="2" s="1"/>
  <c r="I32" i="2" a="1"/>
  <c r="I32" i="2" s="1"/>
  <c r="I30" i="2" a="1"/>
  <c r="I30" i="2" s="1"/>
  <c r="I28" i="2" a="1"/>
  <c r="I28" i="2" s="1"/>
  <c r="I26" i="2" a="1"/>
  <c r="I26" i="2" s="1"/>
  <c r="F24" i="2" a="1"/>
  <c r="F24" i="2" s="1"/>
  <c r="K21" i="2" a="1"/>
  <c r="K21" i="2" s="1"/>
  <c r="F19" i="2" a="1"/>
  <c r="F19" i="2" s="1"/>
  <c r="J16" i="2" a="1"/>
  <c r="J16" i="2" s="1"/>
  <c r="E118" i="2" a="1"/>
  <c r="E118" i="2" s="1"/>
  <c r="G117" i="2" a="1"/>
  <c r="G117" i="2" s="1"/>
  <c r="G116" i="2" a="1"/>
  <c r="G116" i="2" s="1"/>
  <c r="G115" i="2" a="1"/>
  <c r="G115" i="2" s="1"/>
  <c r="G114" i="2" a="1"/>
  <c r="G114" i="2" s="1"/>
  <c r="G113" i="2" a="1"/>
  <c r="G113" i="2" s="1"/>
  <c r="G112" i="2" a="1"/>
  <c r="G112" i="2" s="1"/>
  <c r="G111" i="2" a="1"/>
  <c r="G111" i="2" s="1"/>
  <c r="G110" i="2" a="1"/>
  <c r="G110" i="2" s="1"/>
  <c r="H109" i="2" a="1"/>
  <c r="H109" i="2" s="1"/>
  <c r="H108" i="2" a="1"/>
  <c r="H108" i="2" s="1"/>
  <c r="H107" i="2" a="1"/>
  <c r="H107" i="2" s="1"/>
  <c r="H106" i="2" a="1"/>
  <c r="H106" i="2" s="1"/>
  <c r="H105" i="2" a="1"/>
  <c r="H105" i="2" s="1"/>
  <c r="H104" i="2" a="1"/>
  <c r="H104" i="2" s="1"/>
  <c r="I103" i="2" a="1"/>
  <c r="I103" i="2" s="1"/>
  <c r="I102" i="2" a="1"/>
  <c r="I102" i="2" s="1"/>
  <c r="I101" i="2" a="1"/>
  <c r="I101" i="2" s="1"/>
  <c r="I100" i="2" a="1"/>
  <c r="I100" i="2" s="1"/>
  <c r="J98" i="2" a="1"/>
  <c r="J98" i="2" s="1"/>
  <c r="K97" i="2" a="1"/>
  <c r="K97" i="2" s="1"/>
  <c r="K96" i="2" a="1"/>
  <c r="K96" i="2" s="1"/>
  <c r="K95" i="2" a="1"/>
  <c r="K95" i="2" s="1"/>
  <c r="K94" i="2" a="1"/>
  <c r="K94" i="2" s="1"/>
  <c r="K93" i="2" a="1"/>
  <c r="K93" i="2" s="1"/>
  <c r="K92" i="2" a="1"/>
  <c r="K92" i="2" s="1"/>
  <c r="D92" i="2" a="1"/>
  <c r="D92" i="2" s="1"/>
  <c r="D91" i="2" a="1"/>
  <c r="D91" i="2" s="1"/>
  <c r="D90" i="2" a="1"/>
  <c r="D90" i="2" s="1"/>
  <c r="E89" i="2" a="1"/>
  <c r="E89" i="2" s="1"/>
  <c r="E88" i="2" a="1"/>
  <c r="E88" i="2" s="1"/>
  <c r="E87" i="2" a="1"/>
  <c r="E87" i="2" s="1"/>
  <c r="E86" i="2" a="1"/>
  <c r="E86" i="2" s="1"/>
  <c r="E85" i="2" a="1"/>
  <c r="E85" i="2" s="1"/>
  <c r="E84" i="2" a="1"/>
  <c r="E84" i="2" s="1"/>
  <c r="E83" i="2" a="1"/>
  <c r="E83" i="2" s="1"/>
  <c r="G82" i="2" a="1"/>
  <c r="G82" i="2" s="1"/>
  <c r="G81" i="2" a="1"/>
  <c r="G81" i="2" s="1"/>
  <c r="G80" i="2" a="1"/>
  <c r="G80" i="2" s="1"/>
  <c r="G79" i="2" a="1"/>
  <c r="G79" i="2" s="1"/>
  <c r="H78" i="2" a="1"/>
  <c r="H78" i="2" s="1"/>
  <c r="I77" i="2" a="1"/>
  <c r="I77" i="2" s="1"/>
  <c r="J76" i="2" a="1"/>
  <c r="J76" i="2" s="1"/>
  <c r="J75" i="2" a="1"/>
  <c r="J75" i="2" s="1"/>
  <c r="J74" i="2" a="1"/>
  <c r="J74" i="2" s="1"/>
  <c r="J73" i="2" a="1"/>
  <c r="J73" i="2" s="1"/>
  <c r="J72" i="2" a="1"/>
  <c r="J72" i="2" s="1"/>
  <c r="J71" i="2" a="1"/>
  <c r="J71" i="2" s="1"/>
  <c r="K69" i="2" a="1"/>
  <c r="K69" i="2" s="1"/>
  <c r="K68" i="2" a="1"/>
  <c r="K68" i="2" s="1"/>
  <c r="K67" i="2" a="1"/>
  <c r="K67" i="2" s="1"/>
  <c r="K66" i="2" a="1"/>
  <c r="K66" i="2" s="1"/>
  <c r="K65" i="2" a="1"/>
  <c r="K65" i="2" s="1"/>
  <c r="D64" i="2" a="1"/>
  <c r="D64" i="2" s="1"/>
  <c r="E63" i="2" a="1"/>
  <c r="E63" i="2" s="1"/>
  <c r="E62" i="2" a="1"/>
  <c r="E62" i="2" s="1"/>
  <c r="E61" i="2" a="1"/>
  <c r="E61" i="2" s="1"/>
  <c r="F60" i="2" a="1"/>
  <c r="F60" i="2" s="1"/>
  <c r="F59" i="2" a="1"/>
  <c r="F59" i="2" s="1"/>
  <c r="F58" i="2" a="1"/>
  <c r="F58" i="2" s="1"/>
  <c r="G57" i="2" a="1"/>
  <c r="G57" i="2" s="1"/>
  <c r="G56" i="2" a="1"/>
  <c r="G56" i="2" s="1"/>
  <c r="G55" i="2" a="1"/>
  <c r="G55" i="2" s="1"/>
  <c r="F54" i="2" a="1"/>
  <c r="F54" i="2" s="1"/>
  <c r="G52" i="2" a="1"/>
  <c r="G52" i="2" s="1"/>
  <c r="D50" i="2" a="1"/>
  <c r="D50" i="2" s="1"/>
  <c r="D48" i="2" a="1"/>
  <c r="D48" i="2" s="1"/>
  <c r="D46" i="2" a="1"/>
  <c r="D46" i="2" s="1"/>
  <c r="D44" i="2" a="1"/>
  <c r="D44" i="2" s="1"/>
  <c r="D42" i="2" a="1"/>
  <c r="D42" i="2" s="1"/>
  <c r="E40" i="2" a="1"/>
  <c r="E40" i="2" s="1"/>
  <c r="E38" i="2" a="1"/>
  <c r="E38" i="2" s="1"/>
  <c r="E36" i="2" a="1"/>
  <c r="E36" i="2" s="1"/>
  <c r="E34" i="2" a="1"/>
  <c r="E34" i="2" s="1"/>
  <c r="E32" i="2" a="1"/>
  <c r="E32" i="2" s="1"/>
  <c r="E30" i="2" a="1"/>
  <c r="E30" i="2" s="1"/>
  <c r="E28" i="2" a="1"/>
  <c r="E28" i="2" s="1"/>
  <c r="E26" i="2" a="1"/>
  <c r="E26" i="2" s="1"/>
  <c r="E24" i="2" a="1"/>
  <c r="E24" i="2" s="1"/>
  <c r="J21" i="2" a="1"/>
  <c r="J21" i="2" s="1"/>
  <c r="K18" i="2" a="1"/>
  <c r="K18" i="2" s="1"/>
  <c r="L300" i="2" a="1"/>
  <c r="L300" i="2" s="1"/>
  <c r="L299" i="2" a="1"/>
  <c r="L299" i="2" s="1"/>
  <c r="L291" i="2" a="1"/>
  <c r="L291" i="2" s="1"/>
  <c r="L278" i="2" a="1"/>
  <c r="L278" i="2" s="1"/>
  <c r="L269" i="2" a="1"/>
  <c r="L269" i="2" s="1"/>
  <c r="L264" i="2" a="1"/>
  <c r="L264" i="2" s="1"/>
  <c r="L259" i="2" a="1"/>
  <c r="L259" i="2" s="1"/>
  <c r="L253" i="2" a="1"/>
  <c r="L253" i="2" s="1"/>
  <c r="L247" i="2" a="1"/>
  <c r="L247" i="2" s="1"/>
  <c r="L239" i="2" a="1"/>
  <c r="L239" i="2" s="1"/>
  <c r="L231" i="2" a="1"/>
  <c r="L231" i="2" s="1"/>
  <c r="L214" i="2" a="1"/>
  <c r="L214" i="2" s="1"/>
  <c r="L298" i="2" a="1"/>
  <c r="L298" i="2" s="1"/>
  <c r="L283" i="2" a="1"/>
  <c r="L283" i="2" s="1"/>
  <c r="L263" i="2" a="1"/>
  <c r="L263" i="2" s="1"/>
  <c r="L258" i="2" a="1"/>
  <c r="L258" i="2" s="1"/>
  <c r="L246" i="2" a="1"/>
  <c r="L246" i="2" s="1"/>
  <c r="L238" i="2" a="1"/>
  <c r="L238" i="2" s="1"/>
  <c r="L230" i="2" a="1"/>
  <c r="L230" i="2" s="1"/>
  <c r="L222" i="2" a="1"/>
  <c r="L222" i="2" s="1"/>
  <c r="L289" i="2" a="1"/>
  <c r="L289" i="2" s="1"/>
  <c r="L273" i="2" a="1"/>
  <c r="L273" i="2" s="1"/>
  <c r="L268" i="2" a="1"/>
  <c r="L268" i="2" s="1"/>
  <c r="L257" i="2" a="1"/>
  <c r="L257" i="2" s="1"/>
  <c r="L252" i="2" a="1"/>
  <c r="L252" i="2" s="1"/>
  <c r="L245" i="2" a="1"/>
  <c r="L245" i="2" s="1"/>
  <c r="L237" i="2" a="1"/>
  <c r="L237" i="2" s="1"/>
  <c r="L221" i="2" a="1"/>
  <c r="L221" i="2" s="1"/>
  <c r="B15" i="2"/>
  <c r="C7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K25" i="2" a="1"/>
  <c r="K25" i="2" s="1"/>
  <c r="K26" i="2" a="1"/>
  <c r="K26" i="2" s="1"/>
  <c r="K27" i="2" a="1"/>
  <c r="K27" i="2" s="1"/>
  <c r="K28" i="2" a="1"/>
  <c r="K28" i="2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I50" i="2" a="1"/>
  <c r="I50" i="2" s="1"/>
  <c r="I51" i="2" a="1"/>
  <c r="I51" i="2" s="1"/>
  <c r="I52" i="2" a="1"/>
  <c r="I52" i="2" s="1"/>
  <c r="H53" i="2" a="1"/>
  <c r="H53" i="2" s="1"/>
  <c r="E16" i="2" a="1"/>
  <c r="E16" i="2" s="1"/>
  <c r="E17" i="2" a="1"/>
  <c r="E17" i="2" s="1"/>
  <c r="E18" i="2" a="1"/>
  <c r="E18" i="2" s="1"/>
  <c r="E19" i="2" a="1"/>
  <c r="E19" i="2" s="1"/>
  <c r="E20" i="2" a="1"/>
  <c r="E20" i="2" s="1"/>
  <c r="E21" i="2" a="1"/>
  <c r="E21" i="2" s="1"/>
  <c r="E22" i="2" a="1"/>
  <c r="E22" i="2" s="1"/>
  <c r="E23" i="2" a="1"/>
  <c r="E23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E42" i="2" a="1"/>
  <c r="E42" i="2" s="1"/>
  <c r="E43" i="2" a="1"/>
  <c r="E43" i="2" s="1"/>
  <c r="E44" i="2" a="1"/>
  <c r="E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D51" i="2" a="1"/>
  <c r="D51" i="2" s="1"/>
  <c r="D52" i="2" a="1"/>
  <c r="D52" i="2" s="1"/>
  <c r="D53" i="2" a="1"/>
  <c r="D53" i="2" s="1"/>
  <c r="K53" i="2" a="1"/>
  <c r="K53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E51" i="2" a="1"/>
  <c r="E51" i="2" s="1"/>
  <c r="E52" i="2" a="1"/>
  <c r="E52" i="2" s="1"/>
  <c r="E53" i="2" a="1"/>
  <c r="E53" i="2" s="1"/>
  <c r="D54" i="2" a="1"/>
  <c r="D54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F51" i="2" a="1"/>
  <c r="F51" i="2" s="1"/>
  <c r="F52" i="2" a="1"/>
  <c r="F52" i="2" s="1"/>
  <c r="E54" i="2" a="1"/>
  <c r="E54" i="2" s="1"/>
  <c r="K54" i="2" a="1"/>
  <c r="K54" i="2" s="1"/>
  <c r="L288" i="2" a="1"/>
  <c r="L288" i="2" s="1"/>
  <c r="L282" i="2" a="1"/>
  <c r="L282" i="2" s="1"/>
  <c r="L277" i="2" a="1"/>
  <c r="L277" i="2" s="1"/>
  <c r="L262" i="2" a="1"/>
  <c r="L262" i="2" s="1"/>
  <c r="L244" i="2" a="1"/>
  <c r="L244" i="2" s="1"/>
  <c r="L236" i="2" a="1"/>
  <c r="L236" i="2" s="1"/>
  <c r="L228" i="2" a="1"/>
  <c r="L228" i="2" s="1"/>
  <c r="L220" i="2" a="1"/>
  <c r="L220" i="2" s="1"/>
  <c r="L295" i="2" a="1"/>
  <c r="L295" i="2" s="1"/>
  <c r="L281" i="2" a="1"/>
  <c r="L281" i="2" s="1"/>
  <c r="L276" i="2" a="1"/>
  <c r="L276" i="2" s="1"/>
  <c r="L272" i="2" a="1"/>
  <c r="L272" i="2" s="1"/>
  <c r="L267" i="2" a="1"/>
  <c r="L267" i="2" s="1"/>
  <c r="L256" i="2" a="1"/>
  <c r="L256" i="2" s="1"/>
  <c r="L251" i="2" a="1"/>
  <c r="L251" i="2" s="1"/>
  <c r="L243" i="2" a="1"/>
  <c r="L243" i="2" s="1"/>
  <c r="L235" i="2" a="1"/>
  <c r="L235" i="2" s="1"/>
  <c r="L227" i="2" a="1"/>
  <c r="L227" i="2" s="1"/>
  <c r="L294" i="2" a="1"/>
  <c r="L294" i="2" s="1"/>
  <c r="L286" i="2" a="1"/>
  <c r="L286" i="2" s="1"/>
  <c r="L250" i="2" a="1"/>
  <c r="L250" i="2" s="1"/>
  <c r="L234" i="2" a="1"/>
  <c r="L234" i="2" s="1"/>
  <c r="L226" i="2" a="1"/>
  <c r="L226" i="2" s="1"/>
  <c r="L217" i="2" a="1"/>
  <c r="L217" i="2" s="1"/>
  <c r="L290" i="2" a="1"/>
  <c r="L290" i="2" s="1"/>
  <c r="L297" i="2" a="1"/>
  <c r="L297" i="2" s="1"/>
  <c r="L296" i="2" a="1"/>
  <c r="L296" i="2" s="1"/>
  <c r="L285" i="2" a="1"/>
  <c r="L285" i="2" s="1"/>
  <c r="L279" i="2" a="1"/>
  <c r="L279" i="2" s="1"/>
  <c r="L271" i="2" a="1"/>
  <c r="L271" i="2" s="1"/>
  <c r="L266" i="2" a="1"/>
  <c r="L266" i="2" s="1"/>
  <c r="L260" i="2" a="1"/>
  <c r="L260" i="2" s="1"/>
  <c r="L249" i="2" a="1"/>
  <c r="L249" i="2" s="1"/>
  <c r="L241" i="2" a="1"/>
  <c r="L241" i="2" s="1"/>
  <c r="L233" i="2" a="1"/>
  <c r="L233" i="2" s="1"/>
  <c r="L292" i="2" a="1"/>
  <c r="L292" i="2" s="1"/>
  <c r="L284" i="2" a="1"/>
  <c r="L284" i="2" s="1"/>
  <c r="L270" i="2" a="1"/>
  <c r="L270" i="2" s="1"/>
  <c r="L265" i="2" a="1"/>
  <c r="L265" i="2" s="1"/>
  <c r="L254" i="2" a="1"/>
  <c r="L254" i="2" s="1"/>
  <c r="L240" i="2" a="1"/>
  <c r="L240" i="2" s="1"/>
  <c r="L232" i="2" a="1"/>
  <c r="L232" i="2" s="1"/>
  <c r="L225" i="2" a="1"/>
  <c r="L225" i="2" s="1"/>
  <c r="C15" i="2" a="1"/>
  <c r="C15" i="2" s="1"/>
  <c r="H15" i="2" a="1"/>
  <c r="H15" i="2" s="1"/>
  <c r="F15" i="2" a="1"/>
  <c r="F15" i="2" s="1"/>
  <c r="J15" i="2" a="1"/>
  <c r="J15" i="2" s="1"/>
  <c r="E15" i="2" a="1"/>
  <c r="E15" i="2" s="1"/>
  <c r="C21" i="2" a="1"/>
  <c r="C21" i="2" s="1"/>
  <c r="C26" i="2" a="1"/>
  <c r="C26" i="2" s="1"/>
  <c r="C37" i="2" a="1"/>
  <c r="C37" i="2" s="1"/>
  <c r="C43" i="2" a="1"/>
  <c r="C43" i="2" s="1"/>
  <c r="C64" i="2" a="1"/>
  <c r="C64" i="2" s="1"/>
  <c r="L64" i="2" s="1" a="1"/>
  <c r="L64" i="2" s="1"/>
  <c r="C66" i="2" a="1"/>
  <c r="C66" i="2" s="1"/>
  <c r="L66" i="2" s="1" a="1"/>
  <c r="L66" i="2" s="1"/>
  <c r="C82" i="2" a="1"/>
  <c r="C82" i="2" s="1"/>
  <c r="L82" i="2" s="1" a="1"/>
  <c r="L82" i="2" s="1"/>
  <c r="C85" i="2" a="1"/>
  <c r="C85" i="2" s="1"/>
  <c r="L85" i="2" s="1" a="1"/>
  <c r="L85" i="2" s="1"/>
  <c r="C92" i="2" a="1"/>
  <c r="C92" i="2" s="1"/>
  <c r="L92" i="2" s="1" a="1"/>
  <c r="L92" i="2" s="1"/>
  <c r="C100" i="2" a="1"/>
  <c r="C100" i="2" s="1"/>
  <c r="L100" i="2" s="1" a="1"/>
  <c r="L100" i="2" s="1"/>
  <c r="C113" i="2" a="1"/>
  <c r="C113" i="2" s="1"/>
  <c r="L113" i="2" s="1" a="1"/>
  <c r="L113" i="2" s="1"/>
  <c r="C126" i="2" a="1"/>
  <c r="C126" i="2" s="1"/>
  <c r="L126" i="2" s="1" a="1"/>
  <c r="L126" i="2" s="1"/>
  <c r="C134" i="2" a="1"/>
  <c r="C134" i="2" s="1"/>
  <c r="L134" i="2" s="1" a="1"/>
  <c r="L134" i="2" s="1"/>
  <c r="C139" i="2" a="1"/>
  <c r="C139" i="2" s="1"/>
  <c r="L139" i="2" s="1" a="1"/>
  <c r="L139" i="2" s="1"/>
  <c r="C152" i="2" a="1"/>
  <c r="C152" i="2" s="1"/>
  <c r="L152" i="2" s="1" a="1"/>
  <c r="L152" i="2" s="1"/>
  <c r="C168" i="2" a="1"/>
  <c r="C168" i="2" s="1"/>
  <c r="L168" i="2" s="1" a="1"/>
  <c r="L168" i="2" s="1"/>
  <c r="C175" i="2" a="1"/>
  <c r="C175" i="2" s="1"/>
  <c r="L175" i="2" s="1" a="1"/>
  <c r="L175" i="2" s="1"/>
  <c r="C179" i="2" a="1"/>
  <c r="C179" i="2" s="1"/>
  <c r="L179" i="2" s="1" a="1"/>
  <c r="L179" i="2" s="1"/>
  <c r="C189" i="2" a="1"/>
  <c r="C189" i="2" s="1"/>
  <c r="L189" i="2" s="1" a="1"/>
  <c r="L189" i="2" s="1"/>
  <c r="C191" i="2" a="1"/>
  <c r="C191" i="2" s="1"/>
  <c r="L191" i="2" s="1" a="1"/>
  <c r="L191" i="2" s="1"/>
  <c r="C198" i="2" a="1"/>
  <c r="C198" i="2" s="1"/>
  <c r="L198" i="2" s="1" a="1"/>
  <c r="L198" i="2" s="1"/>
  <c r="C206" i="2" a="1"/>
  <c r="C206" i="2" s="1"/>
  <c r="L206" i="2" s="1" a="1"/>
  <c r="L206" i="2" s="1"/>
  <c r="C209" i="2" a="1"/>
  <c r="C209" i="2" s="1"/>
  <c r="L209" i="2" s="1" a="1"/>
  <c r="L209" i="2" s="1"/>
  <c r="C212" i="2" a="1"/>
  <c r="C212" i="2" s="1"/>
  <c r="L212" i="2" s="1" a="1"/>
  <c r="L212" i="2" s="1"/>
  <c r="C215" i="2" a="1"/>
  <c r="C215" i="2" s="1"/>
  <c r="L215" i="2" s="1" a="1"/>
  <c r="L215" i="2" s="1"/>
  <c r="C27" i="2" a="1"/>
  <c r="C27" i="2" s="1"/>
  <c r="C32" i="2" a="1"/>
  <c r="C32" i="2" s="1"/>
  <c r="C38" i="2" a="1"/>
  <c r="C38" i="2" s="1"/>
  <c r="C44" i="2" a="1"/>
  <c r="C44" i="2" s="1"/>
  <c r="C49" i="2" a="1"/>
  <c r="C49" i="2" s="1"/>
  <c r="C62" i="2" a="1"/>
  <c r="C62" i="2" s="1"/>
  <c r="L62" i="2" s="1" a="1"/>
  <c r="L62" i="2" s="1"/>
  <c r="C80" i="2" a="1"/>
  <c r="C80" i="2" s="1"/>
  <c r="L80" i="2" s="1" a="1"/>
  <c r="L80" i="2" s="1"/>
  <c r="C88" i="2" a="1"/>
  <c r="C88" i="2" s="1"/>
  <c r="L88" i="2" s="1" a="1"/>
  <c r="L88" i="2" s="1"/>
  <c r="C106" i="2" a="1"/>
  <c r="C106" i="2" s="1"/>
  <c r="L106" i="2" s="1" a="1"/>
  <c r="L106" i="2" s="1"/>
  <c r="C111" i="2" a="1"/>
  <c r="C111" i="2" s="1"/>
  <c r="L111" i="2" s="1" a="1"/>
  <c r="L111" i="2" s="1"/>
  <c r="C116" i="2" a="1"/>
  <c r="C116" i="2" s="1"/>
  <c r="L116" i="2" s="1" a="1"/>
  <c r="L116" i="2" s="1"/>
  <c r="C119" i="2" a="1"/>
  <c r="C119" i="2" s="1"/>
  <c r="L119" i="2" s="1" a="1"/>
  <c r="L119" i="2" s="1"/>
  <c r="C124" i="2" a="1"/>
  <c r="C124" i="2" s="1"/>
  <c r="L124" i="2" s="1" a="1"/>
  <c r="L124" i="2" s="1"/>
  <c r="C131" i="2" a="1"/>
  <c r="C131" i="2" s="1"/>
  <c r="L131" i="2" s="1" a="1"/>
  <c r="L131" i="2" s="1"/>
  <c r="C137" i="2" a="1"/>
  <c r="C137" i="2" s="1"/>
  <c r="L137" i="2" s="1" a="1"/>
  <c r="L137" i="2" s="1"/>
  <c r="C144" i="2" a="1"/>
  <c r="C144" i="2" s="1"/>
  <c r="L144" i="2" s="1" a="1"/>
  <c r="L144" i="2" s="1"/>
  <c r="C150" i="2" a="1"/>
  <c r="C150" i="2" s="1"/>
  <c r="L150" i="2" s="1" a="1"/>
  <c r="L150" i="2" s="1"/>
  <c r="C159" i="2" a="1"/>
  <c r="C159" i="2" s="1"/>
  <c r="L159" i="2" s="1" a="1"/>
  <c r="L159" i="2" s="1"/>
  <c r="C172" i="2" a="1"/>
  <c r="C172" i="2" s="1"/>
  <c r="L172" i="2" s="1" a="1"/>
  <c r="L172" i="2" s="1"/>
  <c r="C196" i="2" a="1"/>
  <c r="C196" i="2" s="1"/>
  <c r="L196" i="2" s="1" a="1"/>
  <c r="L196" i="2" s="1"/>
  <c r="C200" i="2" a="1"/>
  <c r="C200" i="2" s="1"/>
  <c r="L200" i="2" s="1" a="1"/>
  <c r="L200" i="2" s="1"/>
  <c r="C16" i="2" a="1"/>
  <c r="C16" i="2" s="1"/>
  <c r="C22" i="2" a="1"/>
  <c r="C22" i="2" s="1"/>
  <c r="L22" i="2" s="1" a="1"/>
  <c r="L22" i="2" s="1"/>
  <c r="C45" i="2" a="1"/>
  <c r="C45" i="2" s="1"/>
  <c r="C50" i="2" a="1"/>
  <c r="C50" i="2" s="1"/>
  <c r="C54" i="2" a="1"/>
  <c r="C54" i="2" s="1"/>
  <c r="C60" i="2" a="1"/>
  <c r="C60" i="2" s="1"/>
  <c r="L60" i="2" s="1" a="1"/>
  <c r="L60" i="2" s="1"/>
  <c r="C71" i="2" a="1"/>
  <c r="C71" i="2" s="1"/>
  <c r="L71" i="2" s="1" a="1"/>
  <c r="L71" i="2" s="1"/>
  <c r="C74" i="2" a="1"/>
  <c r="C74" i="2" s="1"/>
  <c r="L74" i="2" s="1" a="1"/>
  <c r="L74" i="2" s="1"/>
  <c r="C86" i="2" a="1"/>
  <c r="C86" i="2" s="1"/>
  <c r="L86" i="2" s="1" a="1"/>
  <c r="L86" i="2" s="1"/>
  <c r="C90" i="2" a="1"/>
  <c r="C90" i="2" s="1"/>
  <c r="L90" i="2" s="1" a="1"/>
  <c r="L90" i="2" s="1"/>
  <c r="C95" i="2" a="1"/>
  <c r="C95" i="2" s="1"/>
  <c r="L95" i="2" s="1" a="1"/>
  <c r="L95" i="2" s="1"/>
  <c r="C98" i="2" a="1"/>
  <c r="C98" i="2" s="1"/>
  <c r="L98" i="2" s="1" a="1"/>
  <c r="L98" i="2" s="1"/>
  <c r="C101" i="2" a="1"/>
  <c r="C101" i="2" s="1"/>
  <c r="L101" i="2" s="1" a="1"/>
  <c r="L101" i="2" s="1"/>
  <c r="C104" i="2" a="1"/>
  <c r="C104" i="2" s="1"/>
  <c r="L104" i="2" s="1" a="1"/>
  <c r="L104" i="2" s="1"/>
  <c r="C122" i="2" a="1"/>
  <c r="C122" i="2" s="1"/>
  <c r="L122" i="2" s="1" a="1"/>
  <c r="L122" i="2" s="1"/>
  <c r="C129" i="2" a="1"/>
  <c r="C129" i="2" s="1"/>
  <c r="L129" i="2" s="1" a="1"/>
  <c r="L129" i="2" s="1"/>
  <c r="C146" i="2" a="1"/>
  <c r="C146" i="2" s="1"/>
  <c r="L146" i="2" s="1" a="1"/>
  <c r="L146" i="2" s="1"/>
  <c r="C148" i="2" a="1"/>
  <c r="C148" i="2" s="1"/>
  <c r="L148" i="2" s="1" a="1"/>
  <c r="L148" i="2" s="1"/>
  <c r="C157" i="2" a="1"/>
  <c r="C157" i="2" s="1"/>
  <c r="L157" i="2" s="1" a="1"/>
  <c r="L157" i="2" s="1"/>
  <c r="C176" i="2" a="1"/>
  <c r="C176" i="2" s="1"/>
  <c r="L176" i="2" s="1" a="1"/>
  <c r="L176" i="2" s="1"/>
  <c r="C180" i="2" a="1"/>
  <c r="C180" i="2" s="1"/>
  <c r="L180" i="2" s="1" a="1"/>
  <c r="L180" i="2" s="1"/>
  <c r="C184" i="2" a="1"/>
  <c r="C184" i="2" s="1"/>
  <c r="L184" i="2" s="1" a="1"/>
  <c r="L184" i="2" s="1"/>
  <c r="C187" i="2" a="1"/>
  <c r="C187" i="2" s="1"/>
  <c r="L187" i="2" s="1" a="1"/>
  <c r="L187" i="2" s="1"/>
  <c r="C192" i="2" a="1"/>
  <c r="C192" i="2" s="1"/>
  <c r="L192" i="2" s="1" a="1"/>
  <c r="L192" i="2" s="1"/>
  <c r="C194" i="2" a="1"/>
  <c r="C194" i="2" s="1"/>
  <c r="L194" i="2" s="1" a="1"/>
  <c r="L194" i="2" s="1"/>
  <c r="C204" i="2" a="1"/>
  <c r="C204" i="2" s="1"/>
  <c r="L204" i="2" s="1" a="1"/>
  <c r="L204" i="2" s="1"/>
  <c r="C17" i="2" a="1"/>
  <c r="C17" i="2" s="1"/>
  <c r="C23" i="2" a="1"/>
  <c r="C23" i="2" s="1"/>
  <c r="L23" i="2" s="1" a="1"/>
  <c r="L23" i="2" s="1"/>
  <c r="C28" i="2" a="1"/>
  <c r="C28" i="2" s="1"/>
  <c r="L28" i="2" s="1" a="1"/>
  <c r="L28" i="2" s="1"/>
  <c r="C33" i="2" a="1"/>
  <c r="C33" i="2" s="1"/>
  <c r="C39" i="2" a="1"/>
  <c r="C39" i="2" s="1"/>
  <c r="C56" i="2" a="1"/>
  <c r="C56" i="2" s="1"/>
  <c r="L56" i="2" s="1" a="1"/>
  <c r="L56" i="2" s="1"/>
  <c r="C69" i="2" a="1"/>
  <c r="C69" i="2" s="1"/>
  <c r="L69" i="2" s="1" a="1"/>
  <c r="L69" i="2" s="1"/>
  <c r="C76" i="2" a="1"/>
  <c r="C76" i="2" s="1"/>
  <c r="L76" i="2" s="1" a="1"/>
  <c r="L76" i="2" s="1"/>
  <c r="C78" i="2" a="1"/>
  <c r="C78" i="2" s="1"/>
  <c r="L78" i="2" s="1" a="1"/>
  <c r="L78" i="2" s="1"/>
  <c r="C83" i="2" a="1"/>
  <c r="C83" i="2" s="1"/>
  <c r="L83" i="2" s="1" a="1"/>
  <c r="L83" i="2" s="1"/>
  <c r="C109" i="2" a="1"/>
  <c r="C109" i="2" s="1"/>
  <c r="L109" i="2" s="1" a="1"/>
  <c r="L109" i="2" s="1"/>
  <c r="C114" i="2" a="1"/>
  <c r="C114" i="2" s="1"/>
  <c r="L114" i="2" s="1" a="1"/>
  <c r="L114" i="2" s="1"/>
  <c r="C132" i="2" a="1"/>
  <c r="C132" i="2" s="1"/>
  <c r="L132" i="2" s="1" a="1"/>
  <c r="L132" i="2" s="1"/>
  <c r="C135" i="2" a="1"/>
  <c r="C135" i="2" s="1"/>
  <c r="L135" i="2" s="1" a="1"/>
  <c r="L135" i="2" s="1"/>
  <c r="C140" i="2" a="1"/>
  <c r="C140" i="2" s="1"/>
  <c r="L140" i="2" s="1" a="1"/>
  <c r="L140" i="2" s="1"/>
  <c r="C142" i="2" a="1"/>
  <c r="C142" i="2" s="1"/>
  <c r="L142" i="2" s="1" a="1"/>
  <c r="L142" i="2" s="1"/>
  <c r="C153" i="2" a="1"/>
  <c r="C153" i="2" s="1"/>
  <c r="L153" i="2" s="1" a="1"/>
  <c r="L153" i="2" s="1"/>
  <c r="C155" i="2" a="1"/>
  <c r="C155" i="2" s="1"/>
  <c r="L155" i="2" s="1" a="1"/>
  <c r="L155" i="2" s="1"/>
  <c r="C162" i="2" a="1"/>
  <c r="C162" i="2" s="1"/>
  <c r="L162" i="2" s="1" a="1"/>
  <c r="L162" i="2" s="1"/>
  <c r="C164" i="2" a="1"/>
  <c r="C164" i="2" s="1"/>
  <c r="L164" i="2" s="1" a="1"/>
  <c r="L164" i="2" s="1"/>
  <c r="C166" i="2" a="1"/>
  <c r="C166" i="2" s="1"/>
  <c r="L166" i="2" s="1" a="1"/>
  <c r="L166" i="2" s="1"/>
  <c r="C169" i="2" a="1"/>
  <c r="C169" i="2" s="1"/>
  <c r="L169" i="2" s="1" a="1"/>
  <c r="L169" i="2" s="1"/>
  <c r="C181" i="2" a="1"/>
  <c r="C181" i="2" s="1"/>
  <c r="L181" i="2" s="1" a="1"/>
  <c r="L181" i="2" s="1"/>
  <c r="C202" i="2" a="1"/>
  <c r="C202" i="2" s="1"/>
  <c r="L202" i="2" s="1" a="1"/>
  <c r="L202" i="2" s="1"/>
  <c r="C207" i="2" a="1"/>
  <c r="C207" i="2" s="1"/>
  <c r="L207" i="2" s="1" a="1"/>
  <c r="L207" i="2" s="1"/>
  <c r="C210" i="2" a="1"/>
  <c r="C210" i="2" s="1"/>
  <c r="L210" i="2" s="1" a="1"/>
  <c r="L210" i="2" s="1"/>
  <c r="C213" i="2" a="1"/>
  <c r="C213" i="2" s="1"/>
  <c r="L213" i="2" s="1" a="1"/>
  <c r="L213" i="2" s="1"/>
  <c r="C218" i="2" a="1"/>
  <c r="C218" i="2" s="1"/>
  <c r="L218" i="2" s="1" a="1"/>
  <c r="L218" i="2" s="1"/>
  <c r="C18" i="2" a="1"/>
  <c r="C18" i="2" s="1"/>
  <c r="C34" i="2" a="1"/>
  <c r="C34" i="2" s="1"/>
  <c r="C40" i="2" a="1"/>
  <c r="C40" i="2" s="1"/>
  <c r="L40" i="2" s="1" a="1"/>
  <c r="L40" i="2" s="1"/>
  <c r="C46" i="2" a="1"/>
  <c r="C46" i="2" s="1"/>
  <c r="L46" i="2" s="1" a="1"/>
  <c r="L46" i="2" s="1"/>
  <c r="C51" i="2" a="1"/>
  <c r="C51" i="2" s="1"/>
  <c r="L51" i="2" s="1" a="1"/>
  <c r="L51" i="2" s="1"/>
  <c r="C58" i="2" a="1"/>
  <c r="C58" i="2" s="1"/>
  <c r="L58" i="2" s="1" a="1"/>
  <c r="L58" i="2" s="1"/>
  <c r="C65" i="2" a="1"/>
  <c r="C65" i="2" s="1"/>
  <c r="L65" i="2" s="1" a="1"/>
  <c r="L65" i="2" s="1"/>
  <c r="C67" i="2" a="1"/>
  <c r="C67" i="2" s="1"/>
  <c r="L67" i="2" s="1" a="1"/>
  <c r="L67" i="2" s="1"/>
  <c r="C72" i="2" a="1"/>
  <c r="C72" i="2" s="1"/>
  <c r="C81" i="2" a="1"/>
  <c r="C81" i="2" s="1"/>
  <c r="L81" i="2" s="1" a="1"/>
  <c r="L81" i="2" s="1"/>
  <c r="C93" i="2" a="1"/>
  <c r="C93" i="2" s="1"/>
  <c r="L93" i="2" s="1" a="1"/>
  <c r="L93" i="2" s="1"/>
  <c r="C96" i="2" a="1"/>
  <c r="C96" i="2" s="1"/>
  <c r="L96" i="2" s="1" a="1"/>
  <c r="L96" i="2" s="1"/>
  <c r="C107" i="2" a="1"/>
  <c r="C107" i="2" s="1"/>
  <c r="L107" i="2" s="1" a="1"/>
  <c r="L107" i="2" s="1"/>
  <c r="C112" i="2" a="1"/>
  <c r="C112" i="2" s="1"/>
  <c r="L112" i="2" s="1" a="1"/>
  <c r="L112" i="2" s="1"/>
  <c r="C117" i="2" a="1"/>
  <c r="C117" i="2" s="1"/>
  <c r="L117" i="2" s="1" a="1"/>
  <c r="L117" i="2" s="1"/>
  <c r="C120" i="2" a="1"/>
  <c r="C120" i="2" s="1"/>
  <c r="L120" i="2" s="1" a="1"/>
  <c r="L120" i="2" s="1"/>
  <c r="C127" i="2" a="1"/>
  <c r="C127" i="2" s="1"/>
  <c r="L127" i="2" s="1" a="1"/>
  <c r="L127" i="2" s="1"/>
  <c r="C160" i="2" a="1"/>
  <c r="C160" i="2" s="1"/>
  <c r="L160" i="2" s="1" a="1"/>
  <c r="L160" i="2" s="1"/>
  <c r="C173" i="2" a="1"/>
  <c r="C173" i="2" s="1"/>
  <c r="L173" i="2" s="1" a="1"/>
  <c r="L173" i="2" s="1"/>
  <c r="C177" i="2" a="1"/>
  <c r="C177" i="2" s="1"/>
  <c r="L177" i="2" s="1" a="1"/>
  <c r="L177" i="2" s="1"/>
  <c r="C188" i="2" a="1"/>
  <c r="C188" i="2" s="1"/>
  <c r="L188" i="2" s="1" a="1"/>
  <c r="L188" i="2" s="1"/>
  <c r="C190" i="2" a="1"/>
  <c r="C190" i="2" s="1"/>
  <c r="L190" i="2" s="1" a="1"/>
  <c r="L190" i="2" s="1"/>
  <c r="C197" i="2" a="1"/>
  <c r="C197" i="2" s="1"/>
  <c r="L197" i="2" s="1" a="1"/>
  <c r="L197" i="2" s="1"/>
  <c r="C199" i="2" a="1"/>
  <c r="C199" i="2" s="1"/>
  <c r="L199" i="2" s="1" a="1"/>
  <c r="L199" i="2" s="1"/>
  <c r="C19" i="2" a="1"/>
  <c r="C19" i="2" s="1"/>
  <c r="C24" i="2" a="1"/>
  <c r="C24" i="2" s="1"/>
  <c r="C29" i="2" a="1"/>
  <c r="C29" i="2" s="1"/>
  <c r="L29" i="2" s="1" a="1"/>
  <c r="L29" i="2" s="1"/>
  <c r="C41" i="2" a="1"/>
  <c r="C41" i="2" s="1"/>
  <c r="C47" i="2" a="1"/>
  <c r="C47" i="2" s="1"/>
  <c r="L47" i="2" s="1" a="1"/>
  <c r="L47" i="2" s="1"/>
  <c r="C52" i="2" a="1"/>
  <c r="C52" i="2" s="1"/>
  <c r="L52" i="2" s="1" a="1"/>
  <c r="L52" i="2" s="1"/>
  <c r="C61" i="2" a="1"/>
  <c r="C61" i="2" s="1"/>
  <c r="L61" i="2" s="1" a="1"/>
  <c r="L61" i="2" s="1"/>
  <c r="C63" i="2" a="1"/>
  <c r="C63" i="2" s="1"/>
  <c r="L63" i="2" s="1" a="1"/>
  <c r="L63" i="2" s="1"/>
  <c r="C84" i="2" a="1"/>
  <c r="C84" i="2" s="1"/>
  <c r="L84" i="2" s="1" a="1"/>
  <c r="L84" i="2" s="1"/>
  <c r="C89" i="2" a="1"/>
  <c r="C89" i="2" s="1"/>
  <c r="L89" i="2" s="1" a="1"/>
  <c r="L89" i="2" s="1"/>
  <c r="C91" i="2" a="1"/>
  <c r="C91" i="2" s="1"/>
  <c r="L91" i="2" s="1" a="1"/>
  <c r="L91" i="2" s="1"/>
  <c r="C99" i="2" a="1"/>
  <c r="C99" i="2" s="1"/>
  <c r="L99" i="2" s="1" a="1"/>
  <c r="L99" i="2" s="1"/>
  <c r="C102" i="2" a="1"/>
  <c r="C102" i="2" s="1"/>
  <c r="L102" i="2" s="1" a="1"/>
  <c r="L102" i="2" s="1"/>
  <c r="C105" i="2" a="1"/>
  <c r="C105" i="2" s="1"/>
  <c r="L105" i="2" s="1" a="1"/>
  <c r="L105" i="2" s="1"/>
  <c r="C123" i="2" a="1"/>
  <c r="C123" i="2" s="1"/>
  <c r="L123" i="2" s="1" a="1"/>
  <c r="L123" i="2" s="1"/>
  <c r="C125" i="2" a="1"/>
  <c r="C125" i="2" s="1"/>
  <c r="L125" i="2" s="1" a="1"/>
  <c r="L125" i="2" s="1"/>
  <c r="C133" i="2" a="1"/>
  <c r="C133" i="2" s="1"/>
  <c r="L133" i="2" s="1" a="1"/>
  <c r="L133" i="2" s="1"/>
  <c r="C138" i="2" a="1"/>
  <c r="C138" i="2" s="1"/>
  <c r="L138" i="2" s="1" a="1"/>
  <c r="L138" i="2" s="1"/>
  <c r="C145" i="2" a="1"/>
  <c r="C145" i="2" s="1"/>
  <c r="L145" i="2" s="1" a="1"/>
  <c r="L145" i="2" s="1"/>
  <c r="C151" i="2" a="1"/>
  <c r="C151" i="2" s="1"/>
  <c r="L151" i="2" s="1" a="1"/>
  <c r="L151" i="2" s="1"/>
  <c r="C158" i="2" a="1"/>
  <c r="C158" i="2" s="1"/>
  <c r="L158" i="2" s="1" a="1"/>
  <c r="L158" i="2" s="1"/>
  <c r="C167" i="2" a="1"/>
  <c r="C167" i="2" s="1"/>
  <c r="L167" i="2" s="1" a="1"/>
  <c r="L167" i="2" s="1"/>
  <c r="C170" i="2" a="1"/>
  <c r="C170" i="2" s="1"/>
  <c r="L170" i="2" s="1" a="1"/>
  <c r="L170" i="2" s="1"/>
  <c r="C182" i="2" a="1"/>
  <c r="C182" i="2" s="1"/>
  <c r="L182" i="2" s="1" a="1"/>
  <c r="L182" i="2" s="1"/>
  <c r="C185" i="2" a="1"/>
  <c r="C185" i="2" s="1"/>
  <c r="L185" i="2" s="1" a="1"/>
  <c r="L185" i="2" s="1"/>
  <c r="C205" i="2" a="1"/>
  <c r="C205" i="2" s="1"/>
  <c r="L205" i="2" s="1" a="1"/>
  <c r="L205" i="2" s="1"/>
  <c r="C20" i="2" a="1"/>
  <c r="C20" i="2" s="1"/>
  <c r="L20" i="2" s="1" a="1"/>
  <c r="L20" i="2" s="1"/>
  <c r="C25" i="2" a="1"/>
  <c r="C25" i="2" s="1"/>
  <c r="L25" i="2" s="1" a="1"/>
  <c r="L25" i="2" s="1"/>
  <c r="C30" i="2" a="1"/>
  <c r="C30" i="2" s="1"/>
  <c r="L30" i="2" s="1" a="1"/>
  <c r="L30" i="2" s="1"/>
  <c r="C35" i="2" a="1"/>
  <c r="C35" i="2" s="1"/>
  <c r="C73" i="2" a="1"/>
  <c r="C73" i="2" s="1"/>
  <c r="L73" i="2" s="1" a="1"/>
  <c r="L73" i="2" s="1"/>
  <c r="C75" i="2" a="1"/>
  <c r="C75" i="2" s="1"/>
  <c r="L75" i="2" s="1" a="1"/>
  <c r="L75" i="2" s="1"/>
  <c r="C79" i="2" a="1"/>
  <c r="C79" i="2" s="1"/>
  <c r="L79" i="2" s="1" a="1"/>
  <c r="L79" i="2" s="1"/>
  <c r="C87" i="2" a="1"/>
  <c r="C87" i="2" s="1"/>
  <c r="L87" i="2" s="1" a="1"/>
  <c r="L87" i="2" s="1"/>
  <c r="C110" i="2" a="1"/>
  <c r="C110" i="2" s="1"/>
  <c r="L110" i="2" s="1" a="1"/>
  <c r="L110" i="2" s="1"/>
  <c r="C115" i="2" a="1"/>
  <c r="C115" i="2" s="1"/>
  <c r="L115" i="2" s="1" a="1"/>
  <c r="L115" i="2" s="1"/>
  <c r="C121" i="2" a="1"/>
  <c r="C121" i="2" s="1"/>
  <c r="L121" i="2" s="1" a="1"/>
  <c r="L121" i="2" s="1"/>
  <c r="C128" i="2" a="1"/>
  <c r="C128" i="2" s="1"/>
  <c r="L128" i="2" s="1" a="1"/>
  <c r="L128" i="2" s="1"/>
  <c r="C130" i="2" a="1"/>
  <c r="C130" i="2" s="1"/>
  <c r="L130" i="2" s="1" a="1"/>
  <c r="L130" i="2" s="1"/>
  <c r="C136" i="2" a="1"/>
  <c r="C136" i="2" s="1"/>
  <c r="L136" i="2" s="1" a="1"/>
  <c r="L136" i="2" s="1"/>
  <c r="C143" i="2" a="1"/>
  <c r="C143" i="2" s="1"/>
  <c r="L143" i="2" s="1" a="1"/>
  <c r="L143" i="2" s="1"/>
  <c r="C147" i="2" a="1"/>
  <c r="C147" i="2" s="1"/>
  <c r="L147" i="2" s="1" a="1"/>
  <c r="L147" i="2" s="1"/>
  <c r="C149" i="2" a="1"/>
  <c r="C149" i="2" s="1"/>
  <c r="L149" i="2" s="1" a="1"/>
  <c r="L149" i="2" s="1"/>
  <c r="C174" i="2" a="1"/>
  <c r="C174" i="2" s="1"/>
  <c r="L174" i="2" s="1" a="1"/>
  <c r="L174" i="2" s="1"/>
  <c r="C178" i="2" a="1"/>
  <c r="C178" i="2" s="1"/>
  <c r="L178" i="2" s="1" a="1"/>
  <c r="L178" i="2" s="1"/>
  <c r="C193" i="2" a="1"/>
  <c r="C193" i="2" s="1"/>
  <c r="L193" i="2" s="1" a="1"/>
  <c r="L193" i="2" s="1"/>
  <c r="C195" i="2" a="1"/>
  <c r="C195" i="2" s="1"/>
  <c r="L195" i="2" s="1" a="1"/>
  <c r="L195" i="2" s="1"/>
  <c r="C201" i="2" a="1"/>
  <c r="C201" i="2" s="1"/>
  <c r="L201" i="2" s="1" a="1"/>
  <c r="L201" i="2" s="1"/>
  <c r="C203" i="2" a="1"/>
  <c r="C203" i="2" s="1"/>
  <c r="L203" i="2" s="1" a="1"/>
  <c r="L203" i="2" s="1"/>
  <c r="C208" i="2" a="1"/>
  <c r="C208" i="2" s="1"/>
  <c r="L208" i="2" s="1" a="1"/>
  <c r="L208" i="2" s="1"/>
  <c r="C211" i="2" a="1"/>
  <c r="C211" i="2" s="1"/>
  <c r="L211" i="2" s="1" a="1"/>
  <c r="L211" i="2" s="1"/>
  <c r="C219" i="2" a="1"/>
  <c r="C219" i="2" s="1"/>
  <c r="L219" i="2" s="1" a="1"/>
  <c r="L219" i="2" s="1"/>
  <c r="C224" i="2" a="1"/>
  <c r="C224" i="2" s="1"/>
  <c r="L224" i="2" s="1" a="1"/>
  <c r="L224" i="2" s="1"/>
  <c r="C31" i="2" a="1"/>
  <c r="C31" i="2" s="1"/>
  <c r="L31" i="2" s="1" a="1"/>
  <c r="L31" i="2" s="1"/>
  <c r="C36" i="2" a="1"/>
  <c r="C36" i="2" s="1"/>
  <c r="L36" i="2" s="1" a="1"/>
  <c r="L36" i="2" s="1"/>
  <c r="C42" i="2" a="1"/>
  <c r="C42" i="2" s="1"/>
  <c r="C48" i="2" a="1"/>
  <c r="C48" i="2" s="1"/>
  <c r="L48" i="2" s="1" a="1"/>
  <c r="L48" i="2" s="1"/>
  <c r="C53" i="2" a="1"/>
  <c r="C53" i="2" s="1"/>
  <c r="L53" i="2" s="1" a="1"/>
  <c r="L53" i="2" s="1"/>
  <c r="C55" i="2" a="1"/>
  <c r="C55" i="2" s="1"/>
  <c r="L55" i="2" s="1" a="1"/>
  <c r="L55" i="2" s="1"/>
  <c r="C57" i="2" a="1"/>
  <c r="C57" i="2" s="1"/>
  <c r="L57" i="2" s="1" a="1"/>
  <c r="L57" i="2" s="1"/>
  <c r="C59" i="2" a="1"/>
  <c r="C59" i="2" s="1"/>
  <c r="L59" i="2" s="1" a="1"/>
  <c r="L59" i="2" s="1"/>
  <c r="C68" i="2" a="1"/>
  <c r="C68" i="2" s="1"/>
  <c r="L68" i="2" s="1" a="1"/>
  <c r="L68" i="2" s="1"/>
  <c r="C70" i="2" a="1"/>
  <c r="C70" i="2" s="1"/>
  <c r="L70" i="2" s="1" a="1"/>
  <c r="L70" i="2" s="1"/>
  <c r="C77" i="2" a="1"/>
  <c r="C77" i="2" s="1"/>
  <c r="L77" i="2" s="1" a="1"/>
  <c r="L77" i="2" s="1"/>
  <c r="C94" i="2" a="1"/>
  <c r="C94" i="2" s="1"/>
  <c r="L94" i="2" s="1" a="1"/>
  <c r="L94" i="2" s="1"/>
  <c r="C97" i="2" a="1"/>
  <c r="C97" i="2" s="1"/>
  <c r="L97" i="2" s="1" a="1"/>
  <c r="L97" i="2" s="1"/>
  <c r="C103" i="2" a="1"/>
  <c r="C103" i="2" s="1"/>
  <c r="L103" i="2" s="1" a="1"/>
  <c r="L103" i="2" s="1"/>
  <c r="C108" i="2" a="1"/>
  <c r="C108" i="2" s="1"/>
  <c r="L108" i="2" s="1" a="1"/>
  <c r="L108" i="2" s="1"/>
  <c r="C118" i="2" a="1"/>
  <c r="C118" i="2" s="1"/>
  <c r="L118" i="2" s="1" a="1"/>
  <c r="L118" i="2" s="1"/>
  <c r="C141" i="2" a="1"/>
  <c r="C141" i="2" s="1"/>
  <c r="L141" i="2" s="1" a="1"/>
  <c r="L141" i="2" s="1"/>
  <c r="C154" i="2" a="1"/>
  <c r="C154" i="2" s="1"/>
  <c r="L154" i="2" s="1" a="1"/>
  <c r="L154" i="2" s="1"/>
  <c r="C156" i="2" a="1"/>
  <c r="C156" i="2" s="1"/>
  <c r="L156" i="2" s="1" a="1"/>
  <c r="L156" i="2" s="1"/>
  <c r="C161" i="2" a="1"/>
  <c r="C161" i="2" s="1"/>
  <c r="L161" i="2" s="1" a="1"/>
  <c r="L161" i="2" s="1"/>
  <c r="C163" i="2" a="1"/>
  <c r="C163" i="2" s="1"/>
  <c r="L163" i="2" s="1" a="1"/>
  <c r="L163" i="2" s="1"/>
  <c r="C165" i="2" a="1"/>
  <c r="C165" i="2" s="1"/>
  <c r="L165" i="2" s="1" a="1"/>
  <c r="L165" i="2" s="1"/>
  <c r="C171" i="2" a="1"/>
  <c r="C171" i="2" s="1"/>
  <c r="L171" i="2" s="1" a="1"/>
  <c r="L171" i="2" s="1"/>
  <c r="C183" i="2" a="1"/>
  <c r="C183" i="2" s="1"/>
  <c r="L183" i="2" s="1" a="1"/>
  <c r="L183" i="2" s="1"/>
  <c r="C186" i="2" a="1"/>
  <c r="C186" i="2" s="1"/>
  <c r="L186" i="2" s="1" a="1"/>
  <c r="L186" i="2" s="1"/>
  <c r="L256" i="9" l="1" a="1"/>
  <c r="L256" i="9" s="1"/>
  <c r="L141" i="14" a="1"/>
  <c r="L141" i="14" s="1"/>
  <c r="L87" i="14" a="1"/>
  <c r="L87" i="14" s="1"/>
  <c r="L77" i="14" a="1"/>
  <c r="L77" i="14" s="1"/>
  <c r="L125" i="14" a="1"/>
  <c r="L125" i="14" s="1"/>
  <c r="L38" i="2" a="1"/>
  <c r="L38" i="2" s="1"/>
  <c r="L17" i="2" a="1"/>
  <c r="L17" i="2" s="1"/>
  <c r="L45" i="2" a="1"/>
  <c r="L45" i="2" s="1"/>
  <c r="L21" i="2" a="1"/>
  <c r="L21" i="2" s="1"/>
  <c r="L35" i="2" a="1"/>
  <c r="L35" i="2" s="1"/>
  <c r="L50" i="2" a="1"/>
  <c r="L50" i="2" s="1"/>
  <c r="L27" i="2" a="1"/>
  <c r="L27" i="2" s="1"/>
  <c r="L26" i="2" a="1"/>
  <c r="L26" i="2" s="1"/>
  <c r="K15" i="2" a="1"/>
  <c r="K15" i="2" s="1"/>
  <c r="G15" i="9" a="1"/>
  <c r="G15" i="9" s="1"/>
  <c r="I15" i="9" a="1"/>
  <c r="I15" i="9" s="1"/>
  <c r="J15" i="9" a="1"/>
  <c r="J15" i="9" s="1"/>
  <c r="D15" i="9" a="1"/>
  <c r="D15" i="9" s="1"/>
  <c r="K15" i="9" a="1"/>
  <c r="K15" i="9" s="1"/>
  <c r="E15" i="9" a="1"/>
  <c r="E15" i="9" s="1"/>
  <c r="H15" i="9" a="1"/>
  <c r="H15" i="9" s="1"/>
  <c r="F15" i="9" a="1"/>
  <c r="F15" i="9" s="1"/>
  <c r="L41" i="2" a="1"/>
  <c r="L41" i="2" s="1"/>
  <c r="L16" i="2" a="1"/>
  <c r="L16" i="2" s="1"/>
  <c r="L24" i="2" a="1"/>
  <c r="L24" i="2" s="1"/>
  <c r="L34" i="2" a="1"/>
  <c r="L34" i="2" s="1"/>
  <c r="L49" i="2" a="1"/>
  <c r="L49" i="2" s="1"/>
  <c r="I15" i="2" a="1"/>
  <c r="I15" i="2" s="1"/>
  <c r="L19" i="2" a="1"/>
  <c r="L19" i="2" s="1"/>
  <c r="L72" i="2" a="1"/>
  <c r="L72" i="2" s="1"/>
  <c r="L18" i="2" a="1"/>
  <c r="L18" i="2" s="1"/>
  <c r="L39" i="2" a="1"/>
  <c r="L39" i="2" s="1"/>
  <c r="L44" i="2" a="1"/>
  <c r="L44" i="2" s="1"/>
  <c r="G15" i="2" a="1"/>
  <c r="G15" i="2" s="1"/>
  <c r="L42" i="2" a="1"/>
  <c r="L42" i="2" s="1"/>
  <c r="L33" i="2" a="1"/>
  <c r="L33" i="2" s="1"/>
  <c r="L43" i="2" a="1"/>
  <c r="L43" i="2" s="1"/>
  <c r="L54" i="2" a="1"/>
  <c r="L54" i="2" s="1"/>
  <c r="L32" i="2" a="1"/>
  <c r="L32" i="2" s="1"/>
  <c r="L37" i="2" a="1"/>
  <c r="L37" i="2" s="1"/>
  <c r="D15" i="2" a="1"/>
  <c r="D15" i="2" s="1"/>
  <c r="C7" i="14"/>
  <c r="G15" i="14" a="1"/>
  <c r="G15" i="14" s="1"/>
  <c r="H15" i="14" a="1"/>
  <c r="H15" i="14" s="1"/>
  <c r="I15" i="14" a="1"/>
  <c r="I15" i="14" s="1"/>
  <c r="J15" i="14" a="1"/>
  <c r="J15" i="14" s="1"/>
  <c r="K15" i="14" a="1"/>
  <c r="K15" i="14" s="1"/>
  <c r="D15" i="14" a="1"/>
  <c r="D15" i="14" s="1"/>
  <c r="C15" i="14" a="1"/>
  <c r="C15" i="14" s="1"/>
  <c r="F15" i="14" a="1"/>
  <c r="F15" i="14" s="1"/>
  <c r="E15" i="14" a="1"/>
  <c r="E15" i="14" s="1"/>
  <c r="L62" i="14" a="1"/>
  <c r="L62" i="14" s="1"/>
  <c r="L115" i="14" a="1"/>
  <c r="L115" i="14" s="1"/>
  <c r="L86" i="14" a="1"/>
  <c r="L86" i="14" s="1"/>
  <c r="L94" i="14" a="1"/>
  <c r="L94" i="14" s="1"/>
  <c r="L145" i="14" a="1"/>
  <c r="L145" i="14" s="1"/>
  <c r="L22" i="14" a="1"/>
  <c r="L22" i="14" s="1"/>
  <c r="L55" i="14" a="1"/>
  <c r="L55" i="14" s="1"/>
  <c r="L59" i="14" a="1"/>
  <c r="L59" i="14" s="1"/>
  <c r="L66" i="14" a="1"/>
  <c r="L66" i="14" s="1"/>
  <c r="L50" i="14" a="1"/>
  <c r="L50" i="14" s="1"/>
  <c r="L63" i="14" a="1"/>
  <c r="L63" i="14" s="1"/>
  <c r="L73" i="14" a="1"/>
  <c r="L73" i="14" s="1"/>
  <c r="L100" i="14" a="1"/>
  <c r="L100" i="14" s="1"/>
  <c r="L107" i="14" a="1"/>
  <c r="L107" i="14" s="1"/>
  <c r="L132" i="14" a="1"/>
  <c r="L132" i="14" s="1"/>
  <c r="L53" i="14" a="1"/>
  <c r="L53" i="14" s="1"/>
  <c r="L32" i="14" a="1"/>
  <c r="L32" i="14" s="1"/>
  <c r="L35" i="14" a="1"/>
  <c r="L35" i="14" s="1"/>
  <c r="L44" i="14" a="1"/>
  <c r="L44" i="14" s="1"/>
  <c r="L61" i="14" a="1"/>
  <c r="L61" i="14" s="1"/>
  <c r="L68" i="14" a="1"/>
  <c r="L68" i="14" s="1"/>
  <c r="L69" i="14" a="1"/>
  <c r="L69" i="14" s="1"/>
  <c r="L58" i="14" a="1"/>
  <c r="L58" i="14" s="1"/>
  <c r="L74" i="14" a="1"/>
  <c r="L74" i="14" s="1"/>
  <c r="L102" i="14" a="1"/>
  <c r="L102" i="14" s="1"/>
  <c r="L109" i="14" a="1"/>
  <c r="L109" i="14" s="1"/>
  <c r="L97" i="14" a="1"/>
  <c r="L97" i="14" s="1"/>
  <c r="L146" i="14" a="1"/>
  <c r="L146" i="14" s="1"/>
  <c r="L139" i="14" a="1"/>
  <c r="L139" i="14" s="1"/>
  <c r="L126" i="14" a="1"/>
  <c r="L126" i="14" s="1"/>
  <c r="L140" i="14" a="1"/>
  <c r="L140" i="14" s="1"/>
  <c r="L23" i="14" a="1"/>
  <c r="L23" i="14" s="1"/>
  <c r="L57" i="14" a="1"/>
  <c r="L57" i="14" s="1"/>
  <c r="L64" i="14" a="1"/>
  <c r="L64" i="14" s="1"/>
  <c r="L38" i="14" a="1"/>
  <c r="L38" i="14" s="1"/>
  <c r="L71" i="14" a="1"/>
  <c r="L71" i="14" s="1"/>
  <c r="L79" i="14" a="1"/>
  <c r="L79" i="14" s="1"/>
  <c r="L101" i="14" a="1"/>
  <c r="L101" i="14" s="1"/>
  <c r="L96" i="14" a="1"/>
  <c r="L96" i="14" s="1"/>
  <c r="L103" i="14" a="1"/>
  <c r="L103" i="14" s="1"/>
  <c r="L98" i="14" a="1"/>
  <c r="L98" i="14" s="1"/>
  <c r="L105" i="14" a="1"/>
  <c r="L105" i="14" s="1"/>
  <c r="L116" i="14" a="1"/>
  <c r="L116" i="14" s="1"/>
  <c r="L123" i="14" a="1"/>
  <c r="L123" i="14" s="1"/>
  <c r="L95" i="14" a="1"/>
  <c r="L95" i="14" s="1"/>
  <c r="L133" i="14" a="1"/>
  <c r="L133" i="14" s="1"/>
  <c r="L134" i="14" a="1"/>
  <c r="L134" i="14" s="1"/>
  <c r="L25" i="14" a="1"/>
  <c r="L25" i="14" s="1"/>
  <c r="L47" i="14" a="1"/>
  <c r="L47" i="14" s="1"/>
  <c r="L24" i="14" a="1"/>
  <c r="L24" i="14" s="1"/>
  <c r="L26" i="14" a="1"/>
  <c r="L26" i="14" s="1"/>
  <c r="L60" i="14" a="1"/>
  <c r="L60" i="14" s="1"/>
  <c r="L48" i="14" a="1"/>
  <c r="L48" i="14" s="1"/>
  <c r="L108" i="14" a="1"/>
  <c r="L108" i="14" s="1"/>
  <c r="L56" i="14" a="1"/>
  <c r="L56" i="14" s="1"/>
  <c r="L67" i="14" a="1"/>
  <c r="L67" i="14" s="1"/>
  <c r="L99" i="14" a="1"/>
  <c r="L99" i="14" s="1"/>
  <c r="L78" i="14" a="1"/>
  <c r="L78" i="14" s="1"/>
  <c r="L118" i="14" a="1"/>
  <c r="L118" i="14" s="1"/>
  <c r="L106" i="14" a="1"/>
  <c r="L106" i="14" s="1"/>
  <c r="L113" i="14" a="1"/>
  <c r="L113" i="14" s="1"/>
  <c r="L147" i="14" a="1"/>
  <c r="L147" i="14" s="1"/>
  <c r="L130" i="14" a="1"/>
  <c r="L130" i="14" s="1"/>
  <c r="L148" i="14" a="1"/>
  <c r="L148" i="14" s="1"/>
  <c r="L18" i="14" a="1"/>
  <c r="L18" i="14" s="1"/>
  <c r="L51" i="14" a="1"/>
  <c r="L51" i="14" s="1"/>
  <c r="L17" i="14" a="1"/>
  <c r="L17" i="14" s="1"/>
  <c r="L42" i="14" a="1"/>
  <c r="L42" i="14" s="1"/>
  <c r="L85" i="14" a="1"/>
  <c r="L85" i="14" s="1"/>
  <c r="L72" i="14" a="1"/>
  <c r="L72" i="14" s="1"/>
  <c r="L84" i="14" a="1"/>
  <c r="L84" i="14" s="1"/>
  <c r="L110" i="14" a="1"/>
  <c r="L110" i="14" s="1"/>
  <c r="L117" i="14" a="1"/>
  <c r="L117" i="14" s="1"/>
  <c r="L112" i="14" a="1"/>
  <c r="L112" i="14" s="1"/>
  <c r="L119" i="14" a="1"/>
  <c r="L119" i="14" s="1"/>
  <c r="L114" i="14" a="1"/>
  <c r="L114" i="14" s="1"/>
  <c r="L121" i="14" a="1"/>
  <c r="L121" i="14" s="1"/>
  <c r="L90" i="14" a="1"/>
  <c r="L90" i="14" s="1"/>
  <c r="L104" i="14" a="1"/>
  <c r="L104" i="14" s="1"/>
  <c r="L111" i="14" a="1"/>
  <c r="L111" i="14" s="1"/>
  <c r="L131" i="14" a="1"/>
  <c r="L131" i="14" s="1"/>
  <c r="L142" i="14" a="1"/>
  <c r="L142" i="14" s="1"/>
  <c r="L135" i="14" a="1"/>
  <c r="L135" i="14" s="1"/>
  <c r="L124" i="14" a="1"/>
  <c r="L124" i="14" s="1"/>
  <c r="L136" i="14" a="1"/>
  <c r="L136" i="14" s="1"/>
  <c r="L27" i="14" a="1"/>
  <c r="L27" i="14" s="1"/>
  <c r="L36" i="14" a="1"/>
  <c r="L36" i="14" s="1"/>
  <c r="L52" i="14" a="1"/>
  <c r="L52" i="14" s="1"/>
  <c r="L65" i="14" a="1"/>
  <c r="L65" i="14" s="1"/>
  <c r="L122" i="14" a="1"/>
  <c r="L122" i="14" s="1"/>
  <c r="L41" i="14" a="1"/>
  <c r="L41" i="14" s="1"/>
  <c r="L29" i="14" a="1"/>
  <c r="L29" i="14" s="1"/>
  <c r="L37" i="14" a="1"/>
  <c r="L37" i="14" s="1"/>
  <c r="L28" i="14" a="1"/>
  <c r="L28" i="14" s="1"/>
  <c r="L45" i="14" a="1"/>
  <c r="L45" i="14" s="1"/>
  <c r="L30" i="14" a="1"/>
  <c r="L30" i="14" s="1"/>
  <c r="L16" i="14" a="1"/>
  <c r="L16" i="14" s="1"/>
  <c r="L46" i="14" a="1"/>
  <c r="L46" i="14" s="1"/>
  <c r="L54" i="14" a="1"/>
  <c r="L54" i="14" s="1"/>
  <c r="L76" i="14" a="1"/>
  <c r="L76" i="14" s="1"/>
  <c r="L92" i="14" a="1"/>
  <c r="L92" i="14" s="1"/>
  <c r="L91" i="14" a="1"/>
  <c r="L91" i="14" s="1"/>
  <c r="L129" i="14" a="1"/>
  <c r="L129" i="14" s="1"/>
  <c r="L120" i="14" a="1"/>
  <c r="L120" i="14" s="1"/>
  <c r="L143" i="14" a="1"/>
  <c r="L143" i="14" s="1"/>
  <c r="L128" i="14" a="1"/>
  <c r="L128" i="14" s="1"/>
  <c r="L144" i="14" a="1"/>
  <c r="L144" i="14" s="1"/>
  <c r="L34" i="14" a="1"/>
  <c r="L34" i="14" s="1"/>
  <c r="L19" i="14" a="1"/>
  <c r="L19" i="14" s="1"/>
  <c r="L40" i="14" a="1"/>
  <c r="L40" i="14" s="1"/>
  <c r="L81" i="14" a="1"/>
  <c r="L81" i="14" s="1"/>
  <c r="L83" i="14" a="1"/>
  <c r="L83" i="14" s="1"/>
  <c r="L70" i="14" a="1"/>
  <c r="L70" i="14" s="1"/>
  <c r="L80" i="14" a="1"/>
  <c r="L80" i="14" s="1"/>
  <c r="L88" i="14" a="1"/>
  <c r="L88" i="14" s="1"/>
  <c r="L93" i="14" a="1"/>
  <c r="L93" i="14" s="1"/>
  <c r="L138" i="14" a="1"/>
  <c r="L138" i="14" s="1"/>
  <c r="L21" i="14" a="1"/>
  <c r="L21" i="14" s="1"/>
  <c r="L33" i="14" a="1"/>
  <c r="L33" i="14" s="1"/>
  <c r="L20" i="14" a="1"/>
  <c r="L20" i="14" s="1"/>
  <c r="L43" i="14" a="1"/>
  <c r="L43" i="14" s="1"/>
  <c r="L49" i="14" a="1"/>
  <c r="L49" i="14" s="1"/>
  <c r="L31" i="14" a="1"/>
  <c r="L31" i="14" s="1"/>
  <c r="D50" i="11" a="1"/>
  <c r="D50" i="11" s="1"/>
  <c r="D22" i="11" a="1"/>
  <c r="D22" i="11" s="1"/>
  <c r="D54" i="11" a="1"/>
  <c r="D54" i="11" s="1"/>
  <c r="D66" i="11" a="1"/>
  <c r="D66" i="11" s="1"/>
  <c r="D86" i="11" a="1"/>
  <c r="D86" i="11" s="1"/>
  <c r="D36" i="11" a="1"/>
  <c r="D36" i="11" s="1"/>
  <c r="D34" i="11" a="1"/>
  <c r="D34" i="11" s="1"/>
  <c r="D43" i="11" a="1"/>
  <c r="D43" i="11" s="1"/>
  <c r="D57" i="11" a="1"/>
  <c r="D57" i="11" s="1"/>
  <c r="D73" i="11" a="1"/>
  <c r="D73" i="11" s="1"/>
  <c r="D93" i="11" a="1"/>
  <c r="D93" i="11" s="1"/>
  <c r="D98" i="11" a="1"/>
  <c r="D98" i="11" s="1"/>
  <c r="D52" i="11" a="1"/>
  <c r="D52" i="11" s="1"/>
  <c r="D62" i="11" a="1"/>
  <c r="D62" i="11" s="1"/>
  <c r="D44" i="11" a="1"/>
  <c r="D44" i="11" s="1"/>
  <c r="D64" i="11" a="1"/>
  <c r="D64" i="11" s="1"/>
  <c r="D17" i="11" a="1"/>
  <c r="D17" i="11" s="1"/>
  <c r="C7" i="11"/>
  <c r="D15" i="11" a="1"/>
  <c r="D15" i="11" s="1"/>
  <c r="D80" i="11" a="1"/>
  <c r="D80" i="11" s="1"/>
  <c r="D51" i="11" a="1"/>
  <c r="D51" i="11" s="1"/>
  <c r="D67" i="11" a="1"/>
  <c r="D67" i="11" s="1"/>
  <c r="D88" i="11" a="1"/>
  <c r="D88" i="11" s="1"/>
  <c r="D87" i="11" a="1"/>
  <c r="D87" i="11" s="1"/>
  <c r="D74" i="11" a="1"/>
  <c r="D74" i="11" s="1"/>
  <c r="D94" i="11" a="1"/>
  <c r="D94" i="11" s="1"/>
  <c r="D60" i="11" a="1"/>
  <c r="D60" i="11" s="1"/>
  <c r="D16" i="11" a="1"/>
  <c r="D16" i="11" s="1"/>
  <c r="D28" i="11" a="1"/>
  <c r="D28" i="11" s="1"/>
  <c r="D37" i="11" a="1"/>
  <c r="D37" i="11" s="1"/>
  <c r="D48" i="11" a="1"/>
  <c r="D48" i="11" s="1"/>
  <c r="D26" i="11" a="1"/>
  <c r="D26" i="11" s="1"/>
  <c r="D35" i="11" a="1"/>
  <c r="D35" i="11" s="1"/>
  <c r="D61" i="11" a="1"/>
  <c r="D61" i="11" s="1"/>
  <c r="D77" i="11" a="1"/>
  <c r="D77" i="11" s="1"/>
  <c r="D97" i="11" a="1"/>
  <c r="D97" i="11" s="1"/>
  <c r="D72" i="11" a="1"/>
  <c r="D72" i="11" s="1"/>
  <c r="D25" i="11" a="1"/>
  <c r="D25" i="11" s="1"/>
  <c r="D70" i="11" a="1"/>
  <c r="D70" i="11" s="1"/>
  <c r="D33" i="11" a="1"/>
  <c r="D33" i="11" s="1"/>
  <c r="D47" i="11" a="1"/>
  <c r="D47" i="11" s="1"/>
  <c r="D55" i="11" a="1"/>
  <c r="D55" i="11" s="1"/>
  <c r="D71" i="11" a="1"/>
  <c r="D71" i="11" s="1"/>
  <c r="D96" i="11" a="1"/>
  <c r="D96" i="11" s="1"/>
  <c r="D91" i="11" a="1"/>
  <c r="D91" i="11" s="1"/>
  <c r="D24" i="11" a="1"/>
  <c r="D24" i="11" s="1"/>
  <c r="D83" i="11" a="1"/>
  <c r="D83" i="11" s="1"/>
  <c r="D58" i="11" a="1"/>
  <c r="D58" i="11" s="1"/>
  <c r="D32" i="11" a="1"/>
  <c r="D32" i="11" s="1"/>
  <c r="D45" i="11" a="1"/>
  <c r="D45" i="11" s="1"/>
  <c r="D20" i="11" a="1"/>
  <c r="D20" i="11" s="1"/>
  <c r="D29" i="11" a="1"/>
  <c r="D29" i="11" s="1"/>
  <c r="D18" i="11" a="1"/>
  <c r="D18" i="11" s="1"/>
  <c r="D27" i="11" a="1"/>
  <c r="D27" i="11" s="1"/>
  <c r="D79" i="11" a="1"/>
  <c r="D79" i="11" s="1"/>
  <c r="D49" i="11" a="1"/>
  <c r="D49" i="11" s="1"/>
  <c r="D65" i="11" a="1"/>
  <c r="D65" i="11" s="1"/>
  <c r="D41" i="11" a="1"/>
  <c r="D41" i="11" s="1"/>
  <c r="D56" i="11" a="1"/>
  <c r="D56" i="11" s="1"/>
  <c r="D31" i="11" a="1"/>
  <c r="D31" i="11" s="1"/>
  <c r="D59" i="11" a="1"/>
  <c r="D59" i="11" s="1"/>
  <c r="D75" i="11" a="1"/>
  <c r="D75" i="11" s="1"/>
  <c r="D85" i="11" a="1"/>
  <c r="D85" i="11" s="1"/>
  <c r="D95" i="11" a="1"/>
  <c r="D95" i="11" s="1"/>
  <c r="D40" i="11" a="1"/>
  <c r="D40" i="11" s="1"/>
  <c r="D30" i="11" a="1"/>
  <c r="D30" i="11" s="1"/>
  <c r="D21" i="11" a="1"/>
  <c r="D21" i="11" s="1"/>
  <c r="D19" i="11" a="1"/>
  <c r="D19" i="11" s="1"/>
  <c r="D42" i="11" a="1"/>
  <c r="D42" i="11" s="1"/>
  <c r="D53" i="11" a="1"/>
  <c r="D53" i="11" s="1"/>
  <c r="D69" i="11" a="1"/>
  <c r="D69" i="11" s="1"/>
  <c r="D92" i="11" a="1"/>
  <c r="D92" i="11" s="1"/>
  <c r="D84" i="11" a="1"/>
  <c r="D84" i="11" s="1"/>
  <c r="D82" i="11" a="1"/>
  <c r="D82" i="11" s="1"/>
  <c r="D89" i="11" a="1"/>
  <c r="D89" i="11" s="1"/>
  <c r="D81" i="11" a="1"/>
  <c r="D81" i="11" s="1"/>
  <c r="D38" i="11" a="1"/>
  <c r="D38" i="11" s="1"/>
  <c r="D46" i="11" a="1"/>
  <c r="D46" i="11" s="1"/>
  <c r="D63" i="11" a="1"/>
  <c r="D63" i="11" s="1"/>
  <c r="D99" i="11" a="1"/>
  <c r="D99" i="11" s="1"/>
  <c r="L17" i="9" a="1"/>
  <c r="L17" i="9" s="1"/>
  <c r="L45" i="9" a="1"/>
  <c r="L45" i="9" s="1"/>
  <c r="L81" i="9" a="1"/>
  <c r="L81" i="9" s="1"/>
  <c r="L20" i="9" a="1"/>
  <c r="L20" i="9" s="1"/>
  <c r="L25" i="9" a="1"/>
  <c r="L25" i="9" s="1"/>
  <c r="L65" i="9" a="1"/>
  <c r="L65" i="9" s="1"/>
  <c r="L61" i="9" a="1"/>
  <c r="L61" i="9" s="1"/>
  <c r="L28" i="9" a="1"/>
  <c r="L28" i="9" s="1"/>
  <c r="L85" i="9" a="1"/>
  <c r="L85" i="9" s="1"/>
  <c r="L36" i="9" a="1"/>
  <c r="L36" i="9" s="1"/>
  <c r="L18" i="9" a="1"/>
  <c r="L18" i="9" s="1"/>
  <c r="L30" i="9" a="1"/>
  <c r="L30" i="9" s="1"/>
  <c r="L27" i="9" a="1"/>
  <c r="L27" i="9" s="1"/>
  <c r="L62" i="9" a="1"/>
  <c r="L62" i="9" s="1"/>
  <c r="L51" i="9" a="1"/>
  <c r="L51" i="9" s="1"/>
  <c r="L83" i="9" a="1"/>
  <c r="L83" i="9" s="1"/>
  <c r="L52" i="9" a="1"/>
  <c r="L52" i="9" s="1"/>
  <c r="L84" i="9" a="1"/>
  <c r="L84" i="9" s="1"/>
  <c r="L90" i="9" a="1"/>
  <c r="L90" i="9" s="1"/>
  <c r="L106" i="9" a="1"/>
  <c r="L106" i="9" s="1"/>
  <c r="L110" i="9" a="1"/>
  <c r="L110" i="9" s="1"/>
  <c r="L144" i="9" a="1"/>
  <c r="L144" i="9" s="1"/>
  <c r="L113" i="9" a="1"/>
  <c r="L113" i="9" s="1"/>
  <c r="L109" i="9" a="1"/>
  <c r="L109" i="9" s="1"/>
  <c r="L95" i="9" a="1"/>
  <c r="L95" i="9" s="1"/>
  <c r="L146" i="9" a="1"/>
  <c r="L146" i="9" s="1"/>
  <c r="L150" i="9" a="1"/>
  <c r="L150" i="9" s="1"/>
  <c r="L120" i="9" a="1"/>
  <c r="L120" i="9" s="1"/>
  <c r="L127" i="9" a="1"/>
  <c r="L127" i="9" s="1"/>
  <c r="L126" i="9" a="1"/>
  <c r="L126" i="9" s="1"/>
  <c r="L133" i="9" a="1"/>
  <c r="L133" i="9" s="1"/>
  <c r="L177" i="9" a="1"/>
  <c r="L177" i="9" s="1"/>
  <c r="L161" i="9" a="1"/>
  <c r="L161" i="9" s="1"/>
  <c r="L156" i="9" a="1"/>
  <c r="L156" i="9" s="1"/>
  <c r="L172" i="9" a="1"/>
  <c r="L172" i="9" s="1"/>
  <c r="L191" i="9" a="1"/>
  <c r="L191" i="9" s="1"/>
  <c r="L198" i="9" a="1"/>
  <c r="L198" i="9" s="1"/>
  <c r="L200" i="9" a="1"/>
  <c r="L200" i="9" s="1"/>
  <c r="L207" i="9" a="1"/>
  <c r="L207" i="9" s="1"/>
  <c r="L221" i="9" a="1"/>
  <c r="L221" i="9" s="1"/>
  <c r="L210" i="9" a="1"/>
  <c r="L210" i="9" s="1"/>
  <c r="L226" i="9" a="1"/>
  <c r="L226" i="9" s="1"/>
  <c r="L262" i="9" a="1"/>
  <c r="L262" i="9" s="1"/>
  <c r="L242" i="9" a="1"/>
  <c r="L242" i="9" s="1"/>
  <c r="L263" i="9" a="1"/>
  <c r="L263" i="9" s="1"/>
  <c r="L264" i="9" a="1"/>
  <c r="L264" i="9" s="1"/>
  <c r="L294" i="9" a="1"/>
  <c r="L294" i="9" s="1"/>
  <c r="L50" i="9" a="1"/>
  <c r="L50" i="9" s="1"/>
  <c r="L82" i="9" a="1"/>
  <c r="L82" i="9" s="1"/>
  <c r="L46" i="9" a="1"/>
  <c r="L46" i="9" s="1"/>
  <c r="L71" i="9" a="1"/>
  <c r="L71" i="9" s="1"/>
  <c r="L72" i="9" a="1"/>
  <c r="L72" i="9" s="1"/>
  <c r="L89" i="9" a="1"/>
  <c r="L89" i="9" s="1"/>
  <c r="L105" i="9" a="1"/>
  <c r="L105" i="9" s="1"/>
  <c r="L140" i="9" a="1"/>
  <c r="L140" i="9" s="1"/>
  <c r="L147" i="9" a="1"/>
  <c r="L147" i="9" s="1"/>
  <c r="L182" i="9" a="1"/>
  <c r="L182" i="9" s="1"/>
  <c r="L179" i="9" a="1"/>
  <c r="L179" i="9" s="1"/>
  <c r="L166" i="9" a="1"/>
  <c r="L166" i="9" s="1"/>
  <c r="L192" i="9" a="1"/>
  <c r="L192" i="9" s="1"/>
  <c r="L215" i="9" a="1"/>
  <c r="L215" i="9" s="1"/>
  <c r="L236" i="9" a="1"/>
  <c r="L236" i="9" s="1"/>
  <c r="L233" i="9" a="1"/>
  <c r="L233" i="9" s="1"/>
  <c r="L220" i="9" a="1"/>
  <c r="L220" i="9" s="1"/>
  <c r="L245" i="9" a="1"/>
  <c r="L245" i="9" s="1"/>
  <c r="L279" i="9" a="1"/>
  <c r="L279" i="9" s="1"/>
  <c r="L286" i="9" a="1"/>
  <c r="L286" i="9" s="1"/>
  <c r="L288" i="9" a="1"/>
  <c r="L288" i="9" s="1"/>
  <c r="L70" i="9" a="1"/>
  <c r="L70" i="9" s="1"/>
  <c r="L40" i="9" a="1"/>
  <c r="L40" i="9" s="1"/>
  <c r="L59" i="9" a="1"/>
  <c r="L59" i="9" s="1"/>
  <c r="L60" i="9" a="1"/>
  <c r="L60" i="9" s="1"/>
  <c r="L99" i="9" a="1"/>
  <c r="L99" i="9" s="1"/>
  <c r="L136" i="9" a="1"/>
  <c r="L136" i="9" s="1"/>
  <c r="L143" i="9" a="1"/>
  <c r="L143" i="9" s="1"/>
  <c r="L122" i="9" a="1"/>
  <c r="L122" i="9" s="1"/>
  <c r="L129" i="9" a="1"/>
  <c r="L129" i="9" s="1"/>
  <c r="L142" i="9" a="1"/>
  <c r="L142" i="9" s="1"/>
  <c r="L149" i="9" a="1"/>
  <c r="L149" i="9" s="1"/>
  <c r="L185" i="9" a="1"/>
  <c r="L185" i="9" s="1"/>
  <c r="L160" i="9" a="1"/>
  <c r="L160" i="9" s="1"/>
  <c r="L206" i="9" a="1"/>
  <c r="L206" i="9" s="1"/>
  <c r="L231" i="9" a="1"/>
  <c r="L231" i="9" s="1"/>
  <c r="L209" i="9" a="1"/>
  <c r="L209" i="9" s="1"/>
  <c r="L225" i="9" a="1"/>
  <c r="L225" i="9" s="1"/>
  <c r="L214" i="9" a="1"/>
  <c r="L214" i="9" s="1"/>
  <c r="L234" i="9" a="1"/>
  <c r="L234" i="9" s="1"/>
  <c r="L252" i="9" a="1"/>
  <c r="L252" i="9" s="1"/>
  <c r="L260" i="9" a="1"/>
  <c r="L260" i="9" s="1"/>
  <c r="L239" i="9" a="1"/>
  <c r="L239" i="9" s="1"/>
  <c r="L253" i="9" a="1"/>
  <c r="L253" i="9" s="1"/>
  <c r="L257" i="9" a="1"/>
  <c r="L257" i="9" s="1"/>
  <c r="L246" i="9" a="1"/>
  <c r="L246" i="9" s="1"/>
  <c r="L271" i="9" a="1"/>
  <c r="L271" i="9" s="1"/>
  <c r="L278" i="9" a="1"/>
  <c r="L278" i="9" s="1"/>
  <c r="L267" i="9" a="1"/>
  <c r="L267" i="9" s="1"/>
  <c r="L297" i="9" a="1"/>
  <c r="L297" i="9" s="1"/>
  <c r="L299" i="9" a="1"/>
  <c r="L299" i="9" s="1"/>
  <c r="L298" i="9" a="1"/>
  <c r="L298" i="9" s="1"/>
  <c r="L35" i="9" a="1"/>
  <c r="L35" i="9" s="1"/>
  <c r="L26" i="9" a="1"/>
  <c r="L26" i="9" s="1"/>
  <c r="L23" i="9" a="1"/>
  <c r="L23" i="9" s="1"/>
  <c r="L69" i="9" a="1"/>
  <c r="L69" i="9" s="1"/>
  <c r="L32" i="9" a="1"/>
  <c r="L32" i="9" s="1"/>
  <c r="L16" i="9" a="1"/>
  <c r="L16" i="9" s="1"/>
  <c r="L43" i="9" a="1"/>
  <c r="L43" i="9" s="1"/>
  <c r="L29" i="9" a="1"/>
  <c r="L29" i="9" s="1"/>
  <c r="L58" i="9" a="1"/>
  <c r="L58" i="9" s="1"/>
  <c r="L47" i="9" a="1"/>
  <c r="L47" i="9" s="1"/>
  <c r="L79" i="9" a="1"/>
  <c r="L79" i="9" s="1"/>
  <c r="L48" i="9" a="1"/>
  <c r="L48" i="9" s="1"/>
  <c r="L80" i="9" a="1"/>
  <c r="L80" i="9" s="1"/>
  <c r="L128" i="9" a="1"/>
  <c r="L128" i="9" s="1"/>
  <c r="L88" i="9" a="1"/>
  <c r="L88" i="9" s="1"/>
  <c r="L104" i="9" a="1"/>
  <c r="L104" i="9" s="1"/>
  <c r="L93" i="9" a="1"/>
  <c r="L93" i="9" s="1"/>
  <c r="L116" i="9" a="1"/>
  <c r="L116" i="9" s="1"/>
  <c r="L123" i="9" a="1"/>
  <c r="L123" i="9" s="1"/>
  <c r="L152" i="9" a="1"/>
  <c r="L152" i="9" s="1"/>
  <c r="L159" i="9" a="1"/>
  <c r="L159" i="9" s="1"/>
  <c r="L187" i="9" a="1"/>
  <c r="L187" i="9" s="1"/>
  <c r="L154" i="9" a="1"/>
  <c r="L154" i="9" s="1"/>
  <c r="L170" i="9" a="1"/>
  <c r="L170" i="9" s="1"/>
  <c r="L189" i="9" a="1"/>
  <c r="L189" i="9" s="1"/>
  <c r="L196" i="9" a="1"/>
  <c r="L196" i="9" s="1"/>
  <c r="L219" i="9" a="1"/>
  <c r="L219" i="9" s="1"/>
  <c r="L224" i="9" a="1"/>
  <c r="L224" i="9" s="1"/>
  <c r="L254" i="9" a="1"/>
  <c r="L254" i="9" s="1"/>
  <c r="L249" i="9" a="1"/>
  <c r="L249" i="9" s="1"/>
  <c r="L261" i="9" a="1"/>
  <c r="L261" i="9" s="1"/>
  <c r="L255" i="9" a="1"/>
  <c r="L255" i="9" s="1"/>
  <c r="L240" i="9" a="1"/>
  <c r="L240" i="9" s="1"/>
  <c r="L272" i="9" a="1"/>
  <c r="L272" i="9" s="1"/>
  <c r="L269" i="9" a="1"/>
  <c r="L269" i="9" s="1"/>
  <c r="L276" i="9" a="1"/>
  <c r="L276" i="9" s="1"/>
  <c r="L292" i="9" a="1"/>
  <c r="L292" i="9" s="1"/>
  <c r="L22" i="9" a="1"/>
  <c r="L22" i="9" s="1"/>
  <c r="L33" i="9" a="1"/>
  <c r="L33" i="9" s="1"/>
  <c r="L19" i="9" a="1"/>
  <c r="L19" i="9" s="1"/>
  <c r="L57" i="9" a="1"/>
  <c r="L57" i="9" s="1"/>
  <c r="L39" i="9" a="1"/>
  <c r="L39" i="9" s="1"/>
  <c r="L77" i="9" a="1"/>
  <c r="L77" i="9" s="1"/>
  <c r="L78" i="9" a="1"/>
  <c r="L78" i="9" s="1"/>
  <c r="L44" i="9" a="1"/>
  <c r="L44" i="9" s="1"/>
  <c r="L67" i="9" a="1"/>
  <c r="L67" i="9" s="1"/>
  <c r="L68" i="9" a="1"/>
  <c r="L68" i="9" s="1"/>
  <c r="L98" i="9" a="1"/>
  <c r="L98" i="9" s="1"/>
  <c r="L135" i="9" a="1"/>
  <c r="L135" i="9" s="1"/>
  <c r="L87" i="9" a="1"/>
  <c r="L87" i="9" s="1"/>
  <c r="L103" i="9" a="1"/>
  <c r="L103" i="9" s="1"/>
  <c r="L111" i="9" a="1"/>
  <c r="L111" i="9" s="1"/>
  <c r="L121" i="9" a="1"/>
  <c r="L121" i="9" s="1"/>
  <c r="L118" i="9" a="1"/>
  <c r="L118" i="9" s="1"/>
  <c r="L125" i="9" a="1"/>
  <c r="L125" i="9" s="1"/>
  <c r="L138" i="9" a="1"/>
  <c r="L138" i="9" s="1"/>
  <c r="L145" i="9" a="1"/>
  <c r="L145" i="9" s="1"/>
  <c r="L153" i="9" a="1"/>
  <c r="L153" i="9" s="1"/>
  <c r="L169" i="9" a="1"/>
  <c r="L169" i="9" s="1"/>
  <c r="L178" i="9" a="1"/>
  <c r="L178" i="9" s="1"/>
  <c r="L175" i="9" a="1"/>
  <c r="L175" i="9" s="1"/>
  <c r="L164" i="9" a="1"/>
  <c r="L164" i="9" s="1"/>
  <c r="L190" i="9" a="1"/>
  <c r="L190" i="9" s="1"/>
  <c r="L213" i="9" a="1"/>
  <c r="L213" i="9" s="1"/>
  <c r="L232" i="9" a="1"/>
  <c r="L232" i="9" s="1"/>
  <c r="L229" i="9" a="1"/>
  <c r="L229" i="9" s="1"/>
  <c r="L218" i="9" a="1"/>
  <c r="L218" i="9" s="1"/>
  <c r="L243" i="9" a="1"/>
  <c r="L243" i="9" s="1"/>
  <c r="L250" i="9" a="1"/>
  <c r="L250" i="9" s="1"/>
  <c r="L273" i="9" a="1"/>
  <c r="L273" i="9" s="1"/>
  <c r="L287" i="9" a="1"/>
  <c r="L287" i="9" s="1"/>
  <c r="L289" i="9" a="1"/>
  <c r="L289" i="9" s="1"/>
  <c r="L291" i="9" a="1"/>
  <c r="L291" i="9" s="1"/>
  <c r="L274" i="9" a="1"/>
  <c r="L274" i="9" s="1"/>
  <c r="L37" i="9" a="1"/>
  <c r="L37" i="9" s="1"/>
  <c r="L66" i="9" a="1"/>
  <c r="L66" i="9" s="1"/>
  <c r="L38" i="9" a="1"/>
  <c r="L38" i="9" s="1"/>
  <c r="L55" i="9" a="1"/>
  <c r="L55" i="9" s="1"/>
  <c r="L56" i="9" a="1"/>
  <c r="L56" i="9" s="1"/>
  <c r="L97" i="9" a="1"/>
  <c r="L97" i="9" s="1"/>
  <c r="L139" i="9" a="1"/>
  <c r="L139" i="9" s="1"/>
  <c r="L115" i="9" a="1"/>
  <c r="L115" i="9" s="1"/>
  <c r="L176" i="9" a="1"/>
  <c r="L176" i="9" s="1"/>
  <c r="L158" i="9" a="1"/>
  <c r="L158" i="9" s="1"/>
  <c r="L199" i="9" a="1"/>
  <c r="L199" i="9" s="1"/>
  <c r="L227" i="9" a="1"/>
  <c r="L227" i="9" s="1"/>
  <c r="L212" i="9" a="1"/>
  <c r="L212" i="9" s="1"/>
  <c r="L230" i="9" a="1"/>
  <c r="L230" i="9" s="1"/>
  <c r="L244" i="9" a="1"/>
  <c r="L244" i="9" s="1"/>
  <c r="L265" i="9" a="1"/>
  <c r="L265" i="9" s="1"/>
  <c r="L281" i="9" a="1"/>
  <c r="L281" i="9" s="1"/>
  <c r="L266" i="9" a="1"/>
  <c r="L266" i="9" s="1"/>
  <c r="L285" i="9" a="1"/>
  <c r="L285" i="9" s="1"/>
  <c r="L296" i="9" a="1"/>
  <c r="L296" i="9" s="1"/>
  <c r="L53" i="9" a="1"/>
  <c r="L53" i="9" s="1"/>
  <c r="L75" i="9" a="1"/>
  <c r="L75" i="9" s="1"/>
  <c r="L76" i="9" a="1"/>
  <c r="L76" i="9" s="1"/>
  <c r="L91" i="9" a="1"/>
  <c r="L91" i="9" s="1"/>
  <c r="L107" i="9" a="1"/>
  <c r="L107" i="9" s="1"/>
  <c r="L137" i="9" a="1"/>
  <c r="L137" i="9" s="1"/>
  <c r="L134" i="9" a="1"/>
  <c r="L134" i="9" s="1"/>
  <c r="L141" i="9" a="1"/>
  <c r="L141" i="9" s="1"/>
  <c r="L117" i="9" a="1"/>
  <c r="L117" i="9" s="1"/>
  <c r="L173" i="9" a="1"/>
  <c r="L173" i="9" s="1"/>
  <c r="L186" i="9" a="1"/>
  <c r="L186" i="9" s="1"/>
  <c r="L183" i="9" a="1"/>
  <c r="L183" i="9" s="1"/>
  <c r="L168" i="9" a="1"/>
  <c r="L168" i="9" s="1"/>
  <c r="L194" i="9" a="1"/>
  <c r="L194" i="9" s="1"/>
  <c r="L205" i="9" a="1"/>
  <c r="L205" i="9" s="1"/>
  <c r="L217" i="9" a="1"/>
  <c r="L217" i="9" s="1"/>
  <c r="L237" i="9" a="1"/>
  <c r="L237" i="9" s="1"/>
  <c r="L222" i="9" a="1"/>
  <c r="L222" i="9" s="1"/>
  <c r="L247" i="9" a="1"/>
  <c r="L247" i="9" s="1"/>
  <c r="L251" i="9" a="1"/>
  <c r="L251" i="9" s="1"/>
  <c r="L258" i="9" a="1"/>
  <c r="L258" i="9" s="1"/>
  <c r="L238" i="9" a="1"/>
  <c r="L238" i="9" s="1"/>
  <c r="L259" i="9" a="1"/>
  <c r="L259" i="9" s="1"/>
  <c r="L268" i="9" a="1"/>
  <c r="L268" i="9" s="1"/>
  <c r="L277" i="9" a="1"/>
  <c r="L277" i="9" s="1"/>
  <c r="L284" i="9" a="1"/>
  <c r="L284" i="9" s="1"/>
  <c r="L283" i="9" a="1"/>
  <c r="L283" i="9" s="1"/>
  <c r="L290" i="9" a="1"/>
  <c r="L290" i="9" s="1"/>
  <c r="L31" i="9" a="1"/>
  <c r="L31" i="9" s="1"/>
  <c r="L54" i="9" a="1"/>
  <c r="L54" i="9" s="1"/>
  <c r="L24" i="9" a="1"/>
  <c r="L24" i="9" s="1"/>
  <c r="L34" i="9" a="1"/>
  <c r="L34" i="9" s="1"/>
  <c r="C7" i="9"/>
  <c r="L21" i="9" a="1"/>
  <c r="L21" i="9" s="1"/>
  <c r="L73" i="9" a="1"/>
  <c r="L73" i="9" s="1"/>
  <c r="L74" i="9" a="1"/>
  <c r="L74" i="9" s="1"/>
  <c r="L42" i="9" a="1"/>
  <c r="L42" i="9" s="1"/>
  <c r="L63" i="9" a="1"/>
  <c r="L63" i="9" s="1"/>
  <c r="L64" i="9" a="1"/>
  <c r="L64" i="9" s="1"/>
  <c r="L96" i="9" a="1"/>
  <c r="L96" i="9" s="1"/>
  <c r="L112" i="9" a="1"/>
  <c r="L112" i="9" s="1"/>
  <c r="L101" i="9" a="1"/>
  <c r="L101" i="9" s="1"/>
  <c r="L184" i="9" a="1"/>
  <c r="L184" i="9" s="1"/>
  <c r="L148" i="9" a="1"/>
  <c r="L148" i="9" s="1"/>
  <c r="L124" i="9" a="1"/>
  <c r="L124" i="9" s="1"/>
  <c r="L131" i="9" a="1"/>
  <c r="L131" i="9" s="1"/>
  <c r="L167" i="9" a="1"/>
  <c r="L167" i="9" s="1"/>
  <c r="L174" i="9" a="1"/>
  <c r="L174" i="9" s="1"/>
  <c r="L162" i="9" a="1"/>
  <c r="L162" i="9" s="1"/>
  <c r="L197" i="9" a="1"/>
  <c r="L197" i="9" s="1"/>
  <c r="L208" i="9" a="1"/>
  <c r="L208" i="9" s="1"/>
  <c r="L203" i="9" a="1"/>
  <c r="L203" i="9" s="1"/>
  <c r="L235" i="9" a="1"/>
  <c r="L235" i="9" s="1"/>
  <c r="L211" i="9" a="1"/>
  <c r="L211" i="9" s="1"/>
  <c r="L228" i="9" a="1"/>
  <c r="L228" i="9" s="1"/>
  <c r="L216" i="9" a="1"/>
  <c r="L216" i="9" s="1"/>
  <c r="L241" i="9" a="1"/>
  <c r="L241" i="9" s="1"/>
  <c r="L248" i="9" a="1"/>
  <c r="L248" i="9" s="1"/>
  <c r="L275" i="9" a="1"/>
  <c r="L275" i="9" s="1"/>
  <c r="L282" i="9" a="1"/>
  <c r="L282" i="9" s="1"/>
  <c r="L270" i="9" a="1"/>
  <c r="L270" i="9" s="1"/>
  <c r="L300" i="9" a="1"/>
  <c r="L300" i="9" s="1"/>
  <c r="L15" i="2" l="1" a="1"/>
  <c r="L15" i="2" s="1"/>
  <c r="C8" i="2" s="1"/>
  <c r="L15" i="14" a="1"/>
  <c r="L15" i="14" s="1"/>
  <c r="C8" i="14" s="1"/>
  <c r="C8" i="11"/>
  <c r="L15" i="9" a="1"/>
  <c r="L15" i="9" s="1"/>
  <c r="C8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8EC57A-B536-4D7E-8E3D-C5AD3CEFBB19}" keepAlive="1" name="Query - _Patch" description="Connection to the '_Patch' query in the workbook." type="5" refreshedVersion="6" background="1" saveData="1">
    <dbPr connection="Provider=Microsoft.Mashup.OleDb.1;Data Source=$Workbook$;Location=_Patch;Extended Properties=&quot;&quot;" command="SELECT * FROM [_Patch]"/>
  </connection>
  <connection id="2" xr16:uid="{6A8300CD-D086-404D-A4A6-37C581772C4B}" keepAlive="1" name="Query - Flowdown" description="Connection to the 'Flowdown' query in the workbook." type="5" refreshedVersion="6" background="1" saveData="1">
    <dbPr connection="Provider=Microsoft.Mashup.OleDb.1;Data Source=$Workbook$;Location=Flowdown;Extended Properties=&quot;&quot;" command="SELECT * FROM [Flowdown]"/>
  </connection>
  <connection id="3" xr16:uid="{6E928D3F-089F-4117-8040-B0763A02052C}" keepAlive="1" name="Query - Flowdown_BTE" description="Connection to the 'Flowdown_BTE' query in the workbook." type="5" refreshedVersion="6" background="1" saveData="1">
    <dbPr connection="Provider=Microsoft.Mashup.OleDb.1;Data Source=$Workbook$;Location=Flowdown_BTE;Extended Properties=&quot;&quot;" command="SELECT * FROM [Flowdown_BTE]"/>
  </connection>
  <connection id="4" xr16:uid="{4BEE99EA-F85A-4D2E-A9EC-AF858E3A794A}" keepAlive="1" name="Query - Flowdown_CIC" description="Connection to the 'Flowdown_CIC' query in the workbook." type="5" refreshedVersion="6" background="1" saveData="1">
    <dbPr connection="Provider=Microsoft.Mashup.OleDb.1;Data Source=$Workbook$;Location=Flowdown_CIC;Extended Properties=&quot;&quot;" command="SELECT * FROM [Flowdown_CIC]"/>
  </connection>
  <connection id="5" xr16:uid="{E8B228D4-A0C8-4150-AC84-D59B4E6838F9}" keepAlive="1" name="Query - Flowdown_Inspire" description="Connection to the 'Flowdown_Inspire' query in the workbook." type="5" refreshedVersion="6" background="1" saveData="1">
    <dbPr connection="Provider=Microsoft.Mashup.OleDb.1;Data Source=$Workbook$;Location=Flowdown_Inspire;Extended Properties=&quot;&quot;" command="SELECT * FROM [Flowdown_Inspire]"/>
  </connection>
  <connection id="6" xr16:uid="{0C4CF187-3940-4598-A73A-EA1D14C1E265}" keepAlive="1" name="Query - Flowdown_Thrive" description="Connection to the 'Flowdown_Thrive' query in the workbook." type="5" refreshedVersion="6" background="1" saveData="1">
    <dbPr connection="Provider=Microsoft.Mashup.OleDb.1;Data Source=$Workbook$;Location=Flowdown_Thrive;Extended Properties=&quot;&quot;" command="SELECT * FROM [Flowdown_Thrive]"/>
  </connection>
  <connection id="7" xr16:uid="{B419D019-87B2-4749-8615-F0660BAF3DD2}" keepAlive="1" name="Query - RawPythonOutput" description="Connection to the 'RawPythonOutput' query in the workbook." type="5" refreshedVersion="6" background="1" saveData="1">
    <dbPr connection="Provider=Microsoft.Mashup.OleDb.1;Data Source=$Workbook$;Location=RawPythonOutput;Extended Properties=&quot;&quot;" command="SELECT * FROM [RawPythonOutput]"/>
  </connection>
  <connection id="8" xr16:uid="{B4DA3C43-1400-478E-B653-61A6345275CF}" keepAlive="1" name="Query - Unlinked_Parent" description="Connection to the 'Unlinked_Parent' query in the workbook." type="5" refreshedVersion="6" background="1" saveData="1">
    <dbPr connection="Provider=Microsoft.Mashup.OleDb.1;Data Source=$Workbook$;Location=Unlinked_Parent;Extended Properties=&quot;&quot;" command="SELECT * FROM [Unlinked_Par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<sst xmlns="http://schemas.openxmlformats.org/spreadsheetml/2006/main" count="52973" uniqueCount="2629">
  <si>
    <t>FROM:</t>
  </si>
  <si>
    <t>Mark Biegert</t>
  </si>
  <si>
    <t>SUBJECT:</t>
  </si>
  <si>
    <t>DATE:</t>
  </si>
  <si>
    <t>URS</t>
  </si>
  <si>
    <t>Parent Document</t>
  </si>
  <si>
    <t>SyRS</t>
  </si>
  <si>
    <t>UTICA-2310</t>
  </si>
  <si>
    <t>URSCIC</t>
  </si>
  <si>
    <t>MASTER-17394</t>
  </si>
  <si>
    <t>SyBTE</t>
  </si>
  <si>
    <t>SyCIC</t>
  </si>
  <si>
    <t>UTICA-6117</t>
  </si>
  <si>
    <t>MASTER-17121</t>
  </si>
  <si>
    <t>UTICA-6118</t>
  </si>
  <si>
    <t>UTICA-6378</t>
  </si>
  <si>
    <t>UTICA-2495</t>
  </si>
  <si>
    <t>UTICA-6849</t>
  </si>
  <si>
    <t>MASTER-6167</t>
  </si>
  <si>
    <t>MASTER-20049</t>
  </si>
  <si>
    <t>UTICA-211</t>
  </si>
  <si>
    <t>MASTER-16473</t>
  </si>
  <si>
    <t>Thrive</t>
  </si>
  <si>
    <t>UTICA-6410</t>
  </si>
  <si>
    <t>MASTER-6168</t>
  </si>
  <si>
    <t>MASTER-6182</t>
  </si>
  <si>
    <t>MASTER-17131</t>
  </si>
  <si>
    <t>UTICA-164</t>
  </si>
  <si>
    <t>MASTER-6188</t>
  </si>
  <si>
    <t>MASTER-42251</t>
  </si>
  <si>
    <t>MASTER-6193</t>
  </si>
  <si>
    <t>MASTER-6206</t>
  </si>
  <si>
    <t>MASTER-6238</t>
  </si>
  <si>
    <t>MASTER-17275</t>
  </si>
  <si>
    <t>MASTER-6239</t>
  </si>
  <si>
    <t>MASTER-17285</t>
  </si>
  <si>
    <t>MASTER-17287</t>
  </si>
  <si>
    <t>MASTER-17288</t>
  </si>
  <si>
    <t>UTICA-165</t>
  </si>
  <si>
    <t>MASTER-6241</t>
  </si>
  <si>
    <t>MASTER-17284</t>
  </si>
  <si>
    <t>MASTER-6246</t>
  </si>
  <si>
    <t>MASTER-17308</t>
  </si>
  <si>
    <t>UTICA-167</t>
  </si>
  <si>
    <t>MASTER-17301</t>
  </si>
  <si>
    <t>UTICA-2459</t>
  </si>
  <si>
    <t>MASTER-6247</t>
  </si>
  <si>
    <t>UTICA-172</t>
  </si>
  <si>
    <t>UTICA-171</t>
  </si>
  <si>
    <t>MASTER-48450</t>
  </si>
  <si>
    <t>MASTER-53165</t>
  </si>
  <si>
    <t>MASTER-6255</t>
  </si>
  <si>
    <t>MASTER-19149</t>
  </si>
  <si>
    <t>HAFP</t>
  </si>
  <si>
    <t>HAFQ</t>
  </si>
  <si>
    <t>HAFS</t>
  </si>
  <si>
    <t>HAFT</t>
  </si>
  <si>
    <t>HAFU</t>
  </si>
  <si>
    <t>MASTER-17313</t>
  </si>
  <si>
    <t>MASTER-17316</t>
  </si>
  <si>
    <t>MASTER-17452</t>
  </si>
  <si>
    <t>UTICA-169</t>
  </si>
  <si>
    <t>UTICA-170</t>
  </si>
  <si>
    <t>UTICA-198</t>
  </si>
  <si>
    <t>UTICA-2460</t>
  </si>
  <si>
    <t>UTICA-2458</t>
  </si>
  <si>
    <t>MASTER-6260</t>
  </si>
  <si>
    <t>MASTER-6261</t>
  </si>
  <si>
    <t>UTICA-168</t>
  </si>
  <si>
    <t>MASTER-6270</t>
  </si>
  <si>
    <t>MASTER-17390</t>
  </si>
  <si>
    <t>MASTER-17391</t>
  </si>
  <si>
    <t>UTICA-177</t>
  </si>
  <si>
    <t>UTICA-178</t>
  </si>
  <si>
    <t>MASTER-6272</t>
  </si>
  <si>
    <t>MASTER-17397</t>
  </si>
  <si>
    <t>UTICA-181</t>
  </si>
  <si>
    <t>MASTER-6273</t>
  </si>
  <si>
    <t>MASTER-17393</t>
  </si>
  <si>
    <t>UTICA-179</t>
  </si>
  <si>
    <t>UTICA-180</t>
  </si>
  <si>
    <t>MASTER-6274</t>
  </si>
  <si>
    <t>MASTER-17410</t>
  </si>
  <si>
    <t>MASTER-17411</t>
  </si>
  <si>
    <t>UTICA-188</t>
  </si>
  <si>
    <t>UTICA-189</t>
  </si>
  <si>
    <t>UTICA-2499</t>
  </si>
  <si>
    <t>MASTER-6275</t>
  </si>
  <si>
    <t>MASTER-17386</t>
  </si>
  <si>
    <t>MASTER-17387</t>
  </si>
  <si>
    <t>MASTER-17412</t>
  </si>
  <si>
    <t>MASTER-17388</t>
  </si>
  <si>
    <t>UTICA-173</t>
  </si>
  <si>
    <t>UTICA-174</t>
  </si>
  <si>
    <t>UTICA-190</t>
  </si>
  <si>
    <t>UTICA-175</t>
  </si>
  <si>
    <t>MASTER-17413</t>
  </si>
  <si>
    <t>UTICA-2500</t>
  </si>
  <si>
    <t>UTICA-2501</t>
  </si>
  <si>
    <t>MASTER-6276</t>
  </si>
  <si>
    <t>MASTER-17398</t>
  </si>
  <si>
    <t>MASTER-17399</t>
  </si>
  <si>
    <t>MASTER-17400</t>
  </si>
  <si>
    <t>MASTER-17401</t>
  </si>
  <si>
    <t>MASTER-17414</t>
  </si>
  <si>
    <t>MASTER-17415</t>
  </si>
  <si>
    <t>MASTER-17403</t>
  </si>
  <si>
    <t>MASTER-17405</t>
  </si>
  <si>
    <t>UTICA-182</t>
  </si>
  <si>
    <t>UTICA-183</t>
  </si>
  <si>
    <t>UTICA-184</t>
  </si>
  <si>
    <t>UTICA-185</t>
  </si>
  <si>
    <t>UTICA-191</t>
  </si>
  <si>
    <t>UTICA-192</t>
  </si>
  <si>
    <t>UTICA-186</t>
  </si>
  <si>
    <t>UTICA-187</t>
  </si>
  <si>
    <t>MASTER-6277</t>
  </si>
  <si>
    <t>MASTER-17419</t>
  </si>
  <si>
    <t>MASTER-17420</t>
  </si>
  <si>
    <t>UTICA-193</t>
  </si>
  <si>
    <t>UTICA-194</t>
  </si>
  <si>
    <t>MASTER-17430</t>
  </si>
  <si>
    <t>UTICA-2463</t>
  </si>
  <si>
    <t>MASTER-6278</t>
  </si>
  <si>
    <t>MASTER-17389</t>
  </si>
  <si>
    <t>UTICA-176</t>
  </si>
  <si>
    <t>UTICA-2462</t>
  </si>
  <si>
    <t>UTICA-2461</t>
  </si>
  <si>
    <t>MASTER-6279</t>
  </si>
  <si>
    <t>MASTER-6286</t>
  </si>
  <si>
    <t>UTICA-2466</t>
  </si>
  <si>
    <t>MASTER-6291</t>
  </si>
  <si>
    <t>MASTER-17469</t>
  </si>
  <si>
    <t>MASTER-6292</t>
  </si>
  <si>
    <t>MASTER-17474</t>
  </si>
  <si>
    <t>MASTER-17471</t>
  </si>
  <si>
    <t>MASTER-17475</t>
  </si>
  <si>
    <t>MASTER-6298</t>
  </si>
  <si>
    <t>MASTER-17509</t>
  </si>
  <si>
    <t>UTICA-2467</t>
  </si>
  <si>
    <t>MASTER-6304</t>
  </si>
  <si>
    <t>MASTER-17518</t>
  </si>
  <si>
    <t>MASTER-17519</t>
  </si>
  <si>
    <t>MASTER-6309</t>
  </si>
  <si>
    <t>UTICA-2468</t>
  </si>
  <si>
    <t>MASTER-6310</t>
  </si>
  <si>
    <t>MASTER-17537</t>
  </si>
  <si>
    <t>UTICA-200</t>
  </si>
  <si>
    <t>MASTER-6315</t>
  </si>
  <si>
    <t>MASTER-20295</t>
  </si>
  <si>
    <t>MASTER-59956</t>
  </si>
  <si>
    <t>MASTER-6318</t>
  </si>
  <si>
    <t>MASTER-6336</t>
  </si>
  <si>
    <t>MASTER-17662</t>
  </si>
  <si>
    <t>UTICA-2470</t>
  </si>
  <si>
    <t>MASTER-6338</t>
  </si>
  <si>
    <t>MASTER-17654</t>
  </si>
  <si>
    <t>MASTER-17657</t>
  </si>
  <si>
    <t>MASTER-17659</t>
  </si>
  <si>
    <t>UTICA-2469</t>
  </si>
  <si>
    <t>UTICA-2521</t>
  </si>
  <si>
    <t>UTICA-2472</t>
  </si>
  <si>
    <t>MASTER-6339</t>
  </si>
  <si>
    <t>MASTER-17660</t>
  </si>
  <si>
    <t>UTICA-2471</t>
  </si>
  <si>
    <t>MASTER-6358</t>
  </si>
  <si>
    <t>MASTER-17676</t>
  </si>
  <si>
    <t>MASTER-17679</t>
  </si>
  <si>
    <t>MASTER-21791</t>
  </si>
  <si>
    <t>Inspire</t>
  </si>
  <si>
    <t>MASTER-6359</t>
  </si>
  <si>
    <t>MASTER-18353</t>
  </si>
  <si>
    <t>MASTER-21792</t>
  </si>
  <si>
    <t>MASTER-21793</t>
  </si>
  <si>
    <t>MASTER-21794</t>
  </si>
  <si>
    <t>MASTER-21795</t>
  </si>
  <si>
    <t>MASTER-50255</t>
  </si>
  <si>
    <t>MASTER-76083</t>
  </si>
  <si>
    <t>UTICA-25681</t>
  </si>
  <si>
    <t>MASTER-6360</t>
  </si>
  <si>
    <t>MASTER-18684</t>
  </si>
  <si>
    <t>MASTER-6362</t>
  </si>
  <si>
    <t>MASTER-19181</t>
  </si>
  <si>
    <t>MASTER-19249</t>
  </si>
  <si>
    <t>MASTER-22580</t>
  </si>
  <si>
    <t>MASTER-22581</t>
  </si>
  <si>
    <t>MASTER-20027</t>
  </si>
  <si>
    <t>UTICA-210</t>
  </si>
  <si>
    <t>MASTER-6363</t>
  </si>
  <si>
    <t>MASTER-6365</t>
  </si>
  <si>
    <t>MASTER-19217</t>
  </si>
  <si>
    <t>MASTER-42144</t>
  </si>
  <si>
    <t>MASTER-42145</t>
  </si>
  <si>
    <t>MASTER-19216</t>
  </si>
  <si>
    <t>MASTER-22275</t>
  </si>
  <si>
    <t>MASTER-22276</t>
  </si>
  <si>
    <t>MASTER-6370</t>
  </si>
  <si>
    <t>MASTER-50013</t>
  </si>
  <si>
    <t>MASTER-50021</t>
  </si>
  <si>
    <t>MASTER-60681</t>
  </si>
  <si>
    <t>MASTER-60682</t>
  </si>
  <si>
    <t>MASTER-60690</t>
  </si>
  <si>
    <t>MASTER-60691</t>
  </si>
  <si>
    <t>MASTER-60692</t>
  </si>
  <si>
    <t>MASTER-60693</t>
  </si>
  <si>
    <t>MASTER-60704</t>
  </si>
  <si>
    <t>MASTER-60706</t>
  </si>
  <si>
    <t>MASTER-60721</t>
  </si>
  <si>
    <t>MASTER-60722</t>
  </si>
  <si>
    <t>MASTER-60725</t>
  </si>
  <si>
    <t>MASTER-60726</t>
  </si>
  <si>
    <t>MASTER-60727</t>
  </si>
  <si>
    <t>MASTER-60728</t>
  </si>
  <si>
    <t>MASTER-60732</t>
  </si>
  <si>
    <t>MASTER-60733</t>
  </si>
  <si>
    <t>MASTER-60735</t>
  </si>
  <si>
    <t>MASTER-60737</t>
  </si>
  <si>
    <t>MASTER-60903</t>
  </si>
  <si>
    <t>MASTER-60904</t>
  </si>
  <si>
    <t>MASTER-17763</t>
  </si>
  <si>
    <t>MASTER-17764</t>
  </si>
  <si>
    <t>MASTER-60675</t>
  </si>
  <si>
    <t>MASTER-60676</t>
  </si>
  <si>
    <t>MASTER-60709</t>
  </si>
  <si>
    <t>MASTER-60711</t>
  </si>
  <si>
    <t>MASTER-60713</t>
  </si>
  <si>
    <t>MASTER-60714</t>
  </si>
  <si>
    <t>MASTER-60716</t>
  </si>
  <si>
    <t>MASTER-60720</t>
  </si>
  <si>
    <t>MASTER-60723</t>
  </si>
  <si>
    <t>MASTER-60724</t>
  </si>
  <si>
    <t>MASTER-60729</t>
  </si>
  <si>
    <t>MASTER-21839</t>
  </si>
  <si>
    <t>MASTER-21840</t>
  </si>
  <si>
    <t>MASTER-22540</t>
  </si>
  <si>
    <t>MASTER-22541</t>
  </si>
  <si>
    <t>MASTER-22542</t>
  </si>
  <si>
    <t>MASTER-60779</t>
  </si>
  <si>
    <t>MASTER-60783</t>
  </si>
  <si>
    <t>MASTER-60784</t>
  </si>
  <si>
    <t>MASTER-60785</t>
  </si>
  <si>
    <t>MASTER-60786</t>
  </si>
  <si>
    <t>MASTER-60788</t>
  </si>
  <si>
    <t>MASTER-60791</t>
  </si>
  <si>
    <t>MASTER-60793</t>
  </si>
  <si>
    <t>MASTER-60794</t>
  </si>
  <si>
    <t>MASTER-60795</t>
  </si>
  <si>
    <t>MASTER-60796</t>
  </si>
  <si>
    <t>MASTER-60797</t>
  </si>
  <si>
    <t>MASTER-60798</t>
  </si>
  <si>
    <t>MASTER-60926</t>
  </si>
  <si>
    <t>MASTER-22608</t>
  </si>
  <si>
    <t>MASTER-22609</t>
  </si>
  <si>
    <t>MASTER-6376</t>
  </si>
  <si>
    <t>MASTER-60679</t>
  </si>
  <si>
    <t>MASTER-60680</t>
  </si>
  <si>
    <t>MASTER-60685</t>
  </si>
  <si>
    <t>MASTER-6377</t>
  </si>
  <si>
    <t>MASTER-6381</t>
  </si>
  <si>
    <t>MASTER-18254</t>
  </si>
  <si>
    <t>MASTER-18255</t>
  </si>
  <si>
    <t>MASTER-18259</t>
  </si>
  <si>
    <t>MASTER-18262</t>
  </si>
  <si>
    <t>MASTER-18264</t>
  </si>
  <si>
    <t>MASTER-18267</t>
  </si>
  <si>
    <t>MASTER-16529</t>
  </si>
  <si>
    <t>MASTER-16530</t>
  </si>
  <si>
    <t>MASTER-16532</t>
  </si>
  <si>
    <t>MASTER-16533</t>
  </si>
  <si>
    <t>MASTER-16534</t>
  </si>
  <si>
    <t>MASTER-16535</t>
  </si>
  <si>
    <t>MASTER-16544</t>
  </si>
  <si>
    <t>MASTER-16547</t>
  </si>
  <si>
    <t>MASTER-16549</t>
  </si>
  <si>
    <t>MASTER-16550</t>
  </si>
  <si>
    <t>MASTER-16551</t>
  </si>
  <si>
    <t>MASTER-16552</t>
  </si>
  <si>
    <t>MASTER-16553</t>
  </si>
  <si>
    <t>MASTER-16561</t>
  </si>
  <si>
    <t>MASTER-16564</t>
  </si>
  <si>
    <t>MASTER-16565</t>
  </si>
  <si>
    <t>MASTER-16566</t>
  </si>
  <si>
    <t>MASTER-16569</t>
  </si>
  <si>
    <t>MASTER-16570</t>
  </si>
  <si>
    <t>MASTER-6382</t>
  </si>
  <si>
    <t>MASTER-18283</t>
  </si>
  <si>
    <t>MASTER-18284</t>
  </si>
  <si>
    <t>MASTER-6383</t>
  </si>
  <si>
    <t>MASTER-18114</t>
  </si>
  <si>
    <t>MASTER-18225</t>
  </si>
  <si>
    <t>MASTER-18227</t>
  </si>
  <si>
    <t>MASTER-18282</t>
  </si>
  <si>
    <t>MASTER-6385</t>
  </si>
  <si>
    <t>MASTER-22345</t>
  </si>
  <si>
    <t>MASTER-6386</t>
  </si>
  <si>
    <t>MASTER-20021</t>
  </si>
  <si>
    <t>MASTER-64822</t>
  </si>
  <si>
    <t>UTICA-209</t>
  </si>
  <si>
    <t>MASTER-6387</t>
  </si>
  <si>
    <t>MASTER-18248</t>
  </si>
  <si>
    <t>MASTER-18249</t>
  </si>
  <si>
    <t>MASTER-21375</t>
  </si>
  <si>
    <t>MASTER-21397</t>
  </si>
  <si>
    <t>MASTER-21398</t>
  </si>
  <si>
    <t>MASTER-22342</t>
  </si>
  <si>
    <t>MASTER-22344</t>
  </si>
  <si>
    <t>MASTER-22346</t>
  </si>
  <si>
    <t>MASTER-22347</t>
  </si>
  <si>
    <t>MASTER-22348</t>
  </si>
  <si>
    <t>MASTER-22349</t>
  </si>
  <si>
    <t>MASTER-22350</t>
  </si>
  <si>
    <t>MASTER-22352</t>
  </si>
  <si>
    <t>MASTER-22353</t>
  </si>
  <si>
    <t>MASTER-22354</t>
  </si>
  <si>
    <t>MASTER-22355</t>
  </si>
  <si>
    <t>MASTER-22356</t>
  </si>
  <si>
    <t>MASTER-22357</t>
  </si>
  <si>
    <t>MASTER-22358</t>
  </si>
  <si>
    <t>MASTER-61650</t>
  </si>
  <si>
    <t>MASTER-6389</t>
  </si>
  <si>
    <t>MASTER-18182</t>
  </si>
  <si>
    <t>MASTER-18190</t>
  </si>
  <si>
    <t>MASTER-18200</t>
  </si>
  <si>
    <t>MASTER-18201</t>
  </si>
  <si>
    <t>MASTER-18203</t>
  </si>
  <si>
    <t>MASTER-18208</t>
  </si>
  <si>
    <t>MASTER-18209</t>
  </si>
  <si>
    <t>MASTER-18210</t>
  </si>
  <si>
    <t>MASTER-18211</t>
  </si>
  <si>
    <t>MASTER-18212</t>
  </si>
  <si>
    <t>MASTER-20296</t>
  </si>
  <si>
    <t>MASTER-16704</t>
  </si>
  <si>
    <t>MASTER-6390</t>
  </si>
  <si>
    <t>MASTER-6391</t>
  </si>
  <si>
    <t>MASTER-21930</t>
  </si>
  <si>
    <t>MASTER-21877</t>
  </si>
  <si>
    <t>MASTER-21878</t>
  </si>
  <si>
    <t>MASTER-21935</t>
  </si>
  <si>
    <t>MASTER-21937</t>
  </si>
  <si>
    <t>MASTER-21939</t>
  </si>
  <si>
    <t>MASTER-21941</t>
  </si>
  <si>
    <t>MASTER-21951</t>
  </si>
  <si>
    <t>MASTER-6392</t>
  </si>
  <si>
    <t>MASTER-16739</t>
  </si>
  <si>
    <t>MASTER-6393</t>
  </si>
  <si>
    <t>MASTER-6394</t>
  </si>
  <si>
    <t>MASTER-18050</t>
  </si>
  <si>
    <t>MASTER-16679</t>
  </si>
  <si>
    <t>MASTER-16681</t>
  </si>
  <si>
    <t>MASTER-16675</t>
  </si>
  <si>
    <t>MASTER-16680</t>
  </si>
  <si>
    <t>MASTER-16682</t>
  </si>
  <si>
    <t>MASTER-16690</t>
  </si>
  <si>
    <t>MASTER-16692</t>
  </si>
  <si>
    <t>MASTER-16676</t>
  </si>
  <si>
    <t>MASTER-16691</t>
  </si>
  <si>
    <t>MASTER-16699</t>
  </si>
  <si>
    <t>MASTER-16700</t>
  </si>
  <si>
    <t>MASTER-16701</t>
  </si>
  <si>
    <t>MASTER-16702</t>
  </si>
  <si>
    <t>MASTER-16703</t>
  </si>
  <si>
    <t>MASTER-16718</t>
  </si>
  <si>
    <t>MASTER-50181</t>
  </si>
  <si>
    <t>MASTER-16578</t>
  </si>
  <si>
    <t>MASTER-16581</t>
  </si>
  <si>
    <t>MASTER-16582</t>
  </si>
  <si>
    <t>MASTER-16584</t>
  </si>
  <si>
    <t>MASTER-16585</t>
  </si>
  <si>
    <t>MASTER-16586</t>
  </si>
  <si>
    <t>MASTER-16588</t>
  </si>
  <si>
    <t>MASTER-16589</t>
  </si>
  <si>
    <t>MASTER-16591</t>
  </si>
  <si>
    <t>MASTER-16592</t>
  </si>
  <si>
    <t>MASTER-16707</t>
  </si>
  <si>
    <t>MASTER-16708</t>
  </si>
  <si>
    <t>MASTER-16709</t>
  </si>
  <si>
    <t>MASTER-16710</t>
  </si>
  <si>
    <t>MASTER-16741</t>
  </si>
  <si>
    <t>MASTER-50118</t>
  </si>
  <si>
    <t>MASTER-6395</t>
  </si>
  <si>
    <t>MASTER-18189</t>
  </si>
  <si>
    <t>MASTER-21879</t>
  </si>
  <si>
    <t>MASTER-21912</t>
  </si>
  <si>
    <t>MASTER-21914</t>
  </si>
  <si>
    <t>MASTER-21916</t>
  </si>
  <si>
    <t>MASTER-21918</t>
  </si>
  <si>
    <t>MASTER-21920</t>
  </si>
  <si>
    <t>MASTER-21922</t>
  </si>
  <si>
    <t>MASTER-21924</t>
  </si>
  <si>
    <t>MASTER-21926</t>
  </si>
  <si>
    <t>MASTER-21928</t>
  </si>
  <si>
    <t>MASTER-22571</t>
  </si>
  <si>
    <t>MASTER-22572</t>
  </si>
  <si>
    <t>MASTER-22573</t>
  </si>
  <si>
    <t>MASTER-22574</t>
  </si>
  <si>
    <t>MASTER-22559</t>
  </si>
  <si>
    <t>MASTER-22560</t>
  </si>
  <si>
    <t>MASTER-22561</t>
  </si>
  <si>
    <t>MASTER-22563</t>
  </si>
  <si>
    <t>MASTER-22564</t>
  </si>
  <si>
    <t>MASTER-22565</t>
  </si>
  <si>
    <t>MASTER-22567</t>
  </si>
  <si>
    <t>MASTER-22569</t>
  </si>
  <si>
    <t>MASTER-22576</t>
  </si>
  <si>
    <t>MASTER-22577</t>
  </si>
  <si>
    <t>MASTER-22578</t>
  </si>
  <si>
    <t>MASTER-6396</t>
  </si>
  <si>
    <t>MASTER-19314</t>
  </si>
  <si>
    <t>MASTER-50183</t>
  </si>
  <si>
    <t>MASTER-20651</t>
  </si>
  <si>
    <t>MASTER-20652</t>
  </si>
  <si>
    <t>MASTER-6397</t>
  </si>
  <si>
    <t>MASTER-20657</t>
  </si>
  <si>
    <t>MASTER-50129</t>
  </si>
  <si>
    <t>MASTER-50131</t>
  </si>
  <si>
    <t>MASTER-50132</t>
  </si>
  <si>
    <t>MASTER-16640</t>
  </si>
  <si>
    <t>MASTER-16641</t>
  </si>
  <si>
    <t>MASTER-16648</t>
  </si>
  <si>
    <t>MASTER-16650</t>
  </si>
  <si>
    <t>MASTER-16651</t>
  </si>
  <si>
    <t>MASTER-16652</t>
  </si>
  <si>
    <t>MASTER-41923</t>
  </si>
  <si>
    <t>MASTER-50161</t>
  </si>
  <si>
    <t>MASTER-50162</t>
  </si>
  <si>
    <t>MASTER-50164</t>
  </si>
  <si>
    <t>MASTER-50169</t>
  </si>
  <si>
    <t>MASTER-50171</t>
  </si>
  <si>
    <t>MASTER-50174</t>
  </si>
  <si>
    <t>MASTER-16642</t>
  </si>
  <si>
    <t>MASTER-16643</t>
  </si>
  <si>
    <t>MASTER-16645</t>
  </si>
  <si>
    <t>MASTER-16646</t>
  </si>
  <si>
    <t>MASTER-16647</t>
  </si>
  <si>
    <t>MASTER-16653</t>
  </si>
  <si>
    <t>MASTER-16655</t>
  </si>
  <si>
    <t>MASTER-16656</t>
  </si>
  <si>
    <t>MASTER-16657</t>
  </si>
  <si>
    <t>MASTER-41922</t>
  </si>
  <si>
    <t>MASTER-41924</t>
  </si>
  <si>
    <t>MASTER-41926</t>
  </si>
  <si>
    <t>MASTER-41927</t>
  </si>
  <si>
    <t>MASTER-50160</t>
  </si>
  <si>
    <t>MASTER-50163</t>
  </si>
  <si>
    <t>MASTER-50166</t>
  </si>
  <si>
    <t>MASTER-50167</t>
  </si>
  <si>
    <t>MASTER-50172</t>
  </si>
  <si>
    <t>MASTER-16620</t>
  </si>
  <si>
    <t>MASTER-16622</t>
  </si>
  <si>
    <t>MASTER-16623</t>
  </si>
  <si>
    <t>MASTER-16624</t>
  </si>
  <si>
    <t>MASTER-16625</t>
  </si>
  <si>
    <t>MASTER-16626</t>
  </si>
  <si>
    <t>MASTER-16627</t>
  </si>
  <si>
    <t>MASTER-16628</t>
  </si>
  <si>
    <t>UTICA-6411</t>
  </si>
  <si>
    <t>MASTER-6398</t>
  </si>
  <si>
    <t>UTICA-6120</t>
  </si>
  <si>
    <t>MASTER-6400</t>
  </si>
  <si>
    <t>MASTER-42113</t>
  </si>
  <si>
    <t>MASTER-42114</t>
  </si>
  <si>
    <t>MASTER-18144</t>
  </si>
  <si>
    <t>MASTER-18152</t>
  </si>
  <si>
    <t>MASTER-18682</t>
  </si>
  <si>
    <t>MASTER-18155</t>
  </si>
  <si>
    <t>MASTER-16489</t>
  </si>
  <si>
    <t>MASTER-16490</t>
  </si>
  <si>
    <t>MASTER-16491</t>
  </si>
  <si>
    <t>MASTER-16492</t>
  </si>
  <si>
    <t>MASTER-16499</t>
  </si>
  <si>
    <t>MASTER-16500</t>
  </si>
  <si>
    <t>MASTER-16501</t>
  </si>
  <si>
    <t>MASTER-16502</t>
  </si>
  <si>
    <t>MASTER-16503</t>
  </si>
  <si>
    <t>MASTER-16504</t>
  </si>
  <si>
    <t>MASTER-16505</t>
  </si>
  <si>
    <t>MASTER-16510</t>
  </si>
  <si>
    <t>MASTER-16511</t>
  </si>
  <si>
    <t>MASTER-16514</t>
  </si>
  <si>
    <t>MASTER-16516</t>
  </si>
  <si>
    <t>MASTER-16520</t>
  </si>
  <si>
    <t>MASTER-16521</t>
  </si>
  <si>
    <t>MASTER-6401</t>
  </si>
  <si>
    <t>MASTER-6402</t>
  </si>
  <si>
    <t>MASTER-18118</t>
  </si>
  <si>
    <t>MASTER-18162</t>
  </si>
  <si>
    <t>MASTER-18163</t>
  </si>
  <si>
    <t>MASTER-18167</t>
  </si>
  <si>
    <t>MASTER-6404</t>
  </si>
  <si>
    <t>MASTER-21897</t>
  </si>
  <si>
    <t>MASTER-21900</t>
  </si>
  <si>
    <t>MASTER-21901</t>
  </si>
  <si>
    <t>MASTER-6405</t>
  </si>
  <si>
    <t>MASTER-18116</t>
  </si>
  <si>
    <t>MASTER-18160</t>
  </si>
  <si>
    <t>MASTER-24072</t>
  </si>
  <si>
    <t>MASTER-50015</t>
  </si>
  <si>
    <t>MASTER-50017</t>
  </si>
  <si>
    <t>MASTER-64681</t>
  </si>
  <si>
    <t>MASTER-18132</t>
  </si>
  <si>
    <t>MASTER-20695</t>
  </si>
  <si>
    <t>MASTER-20698</t>
  </si>
  <si>
    <t>MASTER-21884</t>
  </si>
  <si>
    <t>MASTER-21885</t>
  </si>
  <si>
    <t>MASTER-21886</t>
  </si>
  <si>
    <t>MASTER-21891</t>
  </si>
  <si>
    <t>MASTER-21893</t>
  </si>
  <si>
    <t>MASTER-21895</t>
  </si>
  <si>
    <t>MASTER-21905</t>
  </si>
  <si>
    <t>MASTER-22549</t>
  </si>
  <si>
    <t>MASTER-22550</t>
  </si>
  <si>
    <t>MASTER-22551</t>
  </si>
  <si>
    <t>MASTER-22552</t>
  </si>
  <si>
    <t>MASTER-22553</t>
  </si>
  <si>
    <t>MASTER-22554</t>
  </si>
  <si>
    <t>MASTER-61649</t>
  </si>
  <si>
    <t>MASTER-64389</t>
  </si>
  <si>
    <t>MASTER-6406</t>
  </si>
  <si>
    <t>MASTER-18119</t>
  </si>
  <si>
    <t>MASTER-50018</t>
  </si>
  <si>
    <t>MASTER-21894</t>
  </si>
  <si>
    <t>MASTER-21904</t>
  </si>
  <si>
    <t>MASTER-6407</t>
  </si>
  <si>
    <t>MASTER-18164</t>
  </si>
  <si>
    <t>MASTER-21899</t>
  </si>
  <si>
    <t>MASTER-22555</t>
  </si>
  <si>
    <t>MASTER-22556</t>
  </si>
  <si>
    <t>MASTER-6409</t>
  </si>
  <si>
    <t>MASTER-18386</t>
  </si>
  <si>
    <t>MASTER-18388</t>
  </si>
  <si>
    <t>MASTER-51773</t>
  </si>
  <si>
    <t>MASTER-18355</t>
  </si>
  <si>
    <t>MASTER-18356</t>
  </si>
  <si>
    <t>MASTER-18358</t>
  </si>
  <si>
    <t>MASTER-18367</t>
  </si>
  <si>
    <t>MASTER-18368</t>
  </si>
  <si>
    <t>MASTER-18369</t>
  </si>
  <si>
    <t>MASTER-18370</t>
  </si>
  <si>
    <t>MASTER-18373</t>
  </si>
  <si>
    <t>MASTER-18379</t>
  </si>
  <si>
    <t>MASTER-18382</t>
  </si>
  <si>
    <t>MASTER-18383</t>
  </si>
  <si>
    <t>MASTER-18393</t>
  </si>
  <si>
    <t>MASTER-18394</t>
  </si>
  <si>
    <t>MASTER-18397</t>
  </si>
  <si>
    <t>MASTER-18398</t>
  </si>
  <si>
    <t>MASTER-18404</t>
  </si>
  <si>
    <t>MASTER-50242</t>
  </si>
  <si>
    <t>UTICA-25679</t>
  </si>
  <si>
    <t>UTICA-25188</t>
  </si>
  <si>
    <t>UTICA-25190</t>
  </si>
  <si>
    <t>UTICA-25191</t>
  </si>
  <si>
    <t>MASTER-50245</t>
  </si>
  <si>
    <t>MASTER-50248</t>
  </si>
  <si>
    <t>MASTER-50249</t>
  </si>
  <si>
    <t>MASTER-50250</t>
  </si>
  <si>
    <t>MASTER-42125</t>
  </si>
  <si>
    <t>MASTER-55413</t>
  </si>
  <si>
    <t>MASTER-55414</t>
  </si>
  <si>
    <t>MASTER-55415</t>
  </si>
  <si>
    <t>MASTER-6410</t>
  </si>
  <si>
    <t>MASTER-18357</t>
  </si>
  <si>
    <t>MASTER-6411</t>
  </si>
  <si>
    <t>MASTER-18389</t>
  </si>
  <si>
    <t>MASTER-6412</t>
  </si>
  <si>
    <t>MASTER-18351</t>
  </si>
  <si>
    <t>MASTER-18354</t>
  </si>
  <si>
    <t>MASTER-18359</t>
  </si>
  <si>
    <t>MASTER-18361</t>
  </si>
  <si>
    <t>MASTER-18362</t>
  </si>
  <si>
    <t>MASTER-18363</t>
  </si>
  <si>
    <t>MASTER-55395</t>
  </si>
  <si>
    <t>MASTER-21976</t>
  </si>
  <si>
    <t>MASTER-21977</t>
  </si>
  <si>
    <t>MASTER-21978</t>
  </si>
  <si>
    <t>MASTER-21980</t>
  </si>
  <si>
    <t>MASTER-21982</t>
  </si>
  <si>
    <t>MASTER-21983</t>
  </si>
  <si>
    <t>MASTER-21991</t>
  </si>
  <si>
    <t>MASTER-21992</t>
  </si>
  <si>
    <t>MASTER-22000</t>
  </si>
  <si>
    <t>MASTER-22001</t>
  </si>
  <si>
    <t>MASTER-21988</t>
  </si>
  <si>
    <t>MASTER-21989</t>
  </si>
  <si>
    <t>MASTER-21990</t>
  </si>
  <si>
    <t>MASTER-21997</t>
  </si>
  <si>
    <t>MASTER-21998</t>
  </si>
  <si>
    <t>MASTER-21999</t>
  </si>
  <si>
    <t>MASTER-6413</t>
  </si>
  <si>
    <t>MASTER-21975</t>
  </si>
  <si>
    <t>MASTER-21979</t>
  </si>
  <si>
    <t>MASTER-21987</t>
  </si>
  <si>
    <t>MASTER-21996</t>
  </si>
  <si>
    <t>MASTER-50256</t>
  </si>
  <si>
    <t>MASTER-50257</t>
  </si>
  <si>
    <t>MASTER-50258</t>
  </si>
  <si>
    <t>MASTER-6414</t>
  </si>
  <si>
    <t>MASTER-18352</t>
  </si>
  <si>
    <t>MASTER-18360</t>
  </si>
  <si>
    <t>MASTER-21984</t>
  </si>
  <si>
    <t>MASTER-21993</t>
  </si>
  <si>
    <t>MASTER-22002</t>
  </si>
  <si>
    <t>MASTER-6415</t>
  </si>
  <si>
    <t>MASTER-18634</t>
  </si>
  <si>
    <t>MASTER-18638</t>
  </si>
  <si>
    <t>MASTER-51789</t>
  </si>
  <si>
    <t>MASTER-6448</t>
  </si>
  <si>
    <t>MASTER-22547</t>
  </si>
  <si>
    <t>UTICA-2474</t>
  </si>
  <si>
    <t>MASTER-6449</t>
  </si>
  <si>
    <t>MASTER-18640</t>
  </si>
  <si>
    <t>MASTER-18642</t>
  </si>
  <si>
    <t>MASTER-18644</t>
  </si>
  <si>
    <t>MASTER-18646</t>
  </si>
  <si>
    <t>MASTER-18648</t>
  </si>
  <si>
    <t>MASTER-6450</t>
  </si>
  <si>
    <t>MASTER-18617</t>
  </si>
  <si>
    <t>MASTER-48451</t>
  </si>
  <si>
    <t>UTICA-202</t>
  </si>
  <si>
    <t>UTICA-25732</t>
  </si>
  <si>
    <t>UTICA-2476</t>
  </si>
  <si>
    <t>MASTER-6451</t>
  </si>
  <si>
    <t>MASTER-6452</t>
  </si>
  <si>
    <t>MASTER-51774</t>
  </si>
  <si>
    <t>MASTER-51777</t>
  </si>
  <si>
    <t>MASTER-51778</t>
  </si>
  <si>
    <t>MASTER-6453</t>
  </si>
  <si>
    <t>MASTER-6454</t>
  </si>
  <si>
    <t>MASTER-18647</t>
  </si>
  <si>
    <t>MASTER-6455</t>
  </si>
  <si>
    <t>MASTER-18681</t>
  </si>
  <si>
    <t>MASTER-6458</t>
  </si>
  <si>
    <t>MASTER-53031</t>
  </si>
  <si>
    <t>MASTER-53034</t>
  </si>
  <si>
    <t>MASTER-53035</t>
  </si>
  <si>
    <t>MASTER-53036</t>
  </si>
  <si>
    <t>MASTER-53038</t>
  </si>
  <si>
    <t>MASTER-53039</t>
  </si>
  <si>
    <t>MASTER-53040</t>
  </si>
  <si>
    <t>MASTER-22025</t>
  </si>
  <si>
    <t>MASTER-53019</t>
  </si>
  <si>
    <t>MASTER-53021</t>
  </si>
  <si>
    <t>MASTER-53022</t>
  </si>
  <si>
    <t>MASTER-53023</t>
  </si>
  <si>
    <t>MASTER-53025</t>
  </si>
  <si>
    <t>MASTER-6459</t>
  </si>
  <si>
    <t>MASTER-53026</t>
  </si>
  <si>
    <t>MASTER-6460</t>
  </si>
  <si>
    <t>MASTER-53015</t>
  </si>
  <si>
    <t>MASTER-53020</t>
  </si>
  <si>
    <t>MASTER-53024</t>
  </si>
  <si>
    <t>MASTER-53027</t>
  </si>
  <si>
    <t>MASTER-53029</t>
  </si>
  <si>
    <t>MASTER-6461</t>
  </si>
  <si>
    <t>MASTER-53028</t>
  </si>
  <si>
    <t>MASTER-6463</t>
  </si>
  <si>
    <t>MASTER-18702</t>
  </si>
  <si>
    <t>MASTER-18704</t>
  </si>
  <si>
    <t>MASTER-19352</t>
  </si>
  <si>
    <t>MASTER-19353</t>
  </si>
  <si>
    <t>MASTER-19354</t>
  </si>
  <si>
    <t>MASTER-19355</t>
  </si>
  <si>
    <t>MASTER-19357</t>
  </si>
  <si>
    <t>MASTER-19358</t>
  </si>
  <si>
    <t>MASTER-19360</t>
  </si>
  <si>
    <t>MASTER-19362</t>
  </si>
  <si>
    <t>MASTER-19364</t>
  </si>
  <si>
    <t>MASTER-19365</t>
  </si>
  <si>
    <t>MASTER-19366</t>
  </si>
  <si>
    <t>MASTER-19368</t>
  </si>
  <si>
    <t>MASTER-19370</t>
  </si>
  <si>
    <t>MASTER-19371</t>
  </si>
  <si>
    <t>MASTER-19372</t>
  </si>
  <si>
    <t>MASTER-6464</t>
  </si>
  <si>
    <t>MASTER-18700</t>
  </si>
  <si>
    <t>MASTER-18705</t>
  </si>
  <si>
    <t>MASTER-6465</t>
  </si>
  <si>
    <t>MASTER-18701</t>
  </si>
  <si>
    <t>MASTER-18706</t>
  </si>
  <si>
    <t>MASTER-6466</t>
  </si>
  <si>
    <t>MASTER-18713</t>
  </si>
  <si>
    <t>MASTER-19318</t>
  </si>
  <si>
    <t>MASTER-19322</t>
  </si>
  <si>
    <t>MASTER-19328</t>
  </si>
  <si>
    <t>MASTER-42167</t>
  </si>
  <si>
    <t>MASTER-50296</t>
  </si>
  <si>
    <t>MASTER-6468</t>
  </si>
  <si>
    <t>MASTER-18740</t>
  </si>
  <si>
    <t>MASTER-18742</t>
  </si>
  <si>
    <t>MASTER-22029</t>
  </si>
  <si>
    <t>MASTER-22031</t>
  </si>
  <si>
    <t>MASTER-21943</t>
  </si>
  <si>
    <t>MASTER-21945</t>
  </si>
  <si>
    <t>MASTER-21947</t>
  </si>
  <si>
    <t>MASTER-6470</t>
  </si>
  <si>
    <t>MASTER-21949</t>
  </si>
  <si>
    <t>MASTER-22196</t>
  </si>
  <si>
    <t>MASTER-22197</t>
  </si>
  <si>
    <t>MASTER-22198</t>
  </si>
  <si>
    <t>MASTER-22200</t>
  </si>
  <si>
    <t>MASTER-22201</t>
  </si>
  <si>
    <t>MASTER-22202</t>
  </si>
  <si>
    <t>MASTER-22204</t>
  </si>
  <si>
    <t>MASTER-22205</t>
  </si>
  <si>
    <t>MASTER-42077</t>
  </si>
  <si>
    <t>MASTER-6471</t>
  </si>
  <si>
    <t>MASTER-6472</t>
  </si>
  <si>
    <t>MASTER-42199</t>
  </si>
  <si>
    <t>MASTER-6473</t>
  </si>
  <si>
    <t>MASTER-6475</t>
  </si>
  <si>
    <t>MASTER-50860</t>
  </si>
  <si>
    <t>MASTER-18758</t>
  </si>
  <si>
    <t>MASTER-6476</t>
  </si>
  <si>
    <t>MASTER-18749</t>
  </si>
  <si>
    <t>MASTER-60897</t>
  </si>
  <si>
    <t>MASTER-60896</t>
  </si>
  <si>
    <t>MASTER-60900</t>
  </si>
  <si>
    <t>MASTER-60920</t>
  </si>
  <si>
    <t>MASTER-6479</t>
  </si>
  <si>
    <t>MASTER-18322</t>
  </si>
  <si>
    <t>MASTER-18040</t>
  </si>
  <si>
    <t>MASTER-18041</t>
  </si>
  <si>
    <t>MASTER-18042</t>
  </si>
  <si>
    <t>MASTER-18068</t>
  </si>
  <si>
    <t>MASTER-18069</t>
  </si>
  <si>
    <t>MASTER-18070</t>
  </si>
  <si>
    <t>MASTER-18321</t>
  </si>
  <si>
    <t>MASTER-18324</t>
  </si>
  <si>
    <t>MASTER-18333</t>
  </si>
  <si>
    <t>MASTER-42116</t>
  </si>
  <si>
    <t>MASTER-51080</t>
  </si>
  <si>
    <t>MASTER-16537</t>
  </si>
  <si>
    <t>MASTER-16538</t>
  </si>
  <si>
    <t>MASTER-16494</t>
  </si>
  <si>
    <t>MASTER-16495</t>
  </si>
  <si>
    <t>MASTER-16507</t>
  </si>
  <si>
    <t>MASTER-16512</t>
  </si>
  <si>
    <t>MASTER-16515</t>
  </si>
  <si>
    <t>MASTER-16517</t>
  </si>
  <si>
    <t>MASTER-16518</t>
  </si>
  <si>
    <t>MASTER-16548</t>
  </si>
  <si>
    <t>MASTER-51247</t>
  </si>
  <si>
    <t>MASTER-51249</t>
  </si>
  <si>
    <t>MASTER-51250</t>
  </si>
  <si>
    <t>MASTER-6481</t>
  </si>
  <si>
    <t>MASTER-21931</t>
  </si>
  <si>
    <t>MASTER-6484</t>
  </si>
  <si>
    <t>MASTER-18334</t>
  </si>
  <si>
    <t>MASTER-19473</t>
  </si>
  <si>
    <t>MASTER-19474</t>
  </si>
  <si>
    <t>MASTER-6485</t>
  </si>
  <si>
    <t>MASTER-6486</t>
  </si>
  <si>
    <t>MASTER-6488</t>
  </si>
  <si>
    <t>MASTER-18239</t>
  </si>
  <si>
    <t>MASTER-18964</t>
  </si>
  <si>
    <t>MASTER-18966</t>
  </si>
  <si>
    <t>MASTER-51084</t>
  </si>
  <si>
    <t>MASTER-60742</t>
  </si>
  <si>
    <t>MASTER-60745</t>
  </si>
  <si>
    <t>MASTER-60748</t>
  </si>
  <si>
    <t>MASTER-60749</t>
  </si>
  <si>
    <t>MASTER-60751</t>
  </si>
  <si>
    <t>MASTER-60752</t>
  </si>
  <si>
    <t>MASTER-60754</t>
  </si>
  <si>
    <t>MASTER-60755</t>
  </si>
  <si>
    <t>MASTER-60756</t>
  </si>
  <si>
    <t>MASTER-60757</t>
  </si>
  <si>
    <t>MASTER-60759</t>
  </si>
  <si>
    <t>MASTER-60760</t>
  </si>
  <si>
    <t>MASTER-60763</t>
  </si>
  <si>
    <t>MASTER-60765</t>
  </si>
  <si>
    <t>MASTER-60766</t>
  </si>
  <si>
    <t>MASTER-22138</t>
  </si>
  <si>
    <t>MASTER-60812</t>
  </si>
  <si>
    <t>MASTER-6489</t>
  </si>
  <si>
    <t>MASTER-19493</t>
  </si>
  <si>
    <t>MASTER-22115</t>
  </si>
  <si>
    <t>MASTER-22090</t>
  </si>
  <si>
    <t>MASTER-6490</t>
  </si>
  <si>
    <t>MASTER-60743</t>
  </si>
  <si>
    <t>MASTER-60809</t>
  </si>
  <si>
    <t>MASTER-60815</t>
  </si>
  <si>
    <t>MASTER-60818</t>
  </si>
  <si>
    <t>MASTER-60819</t>
  </si>
  <si>
    <t>MASTER-22593</t>
  </si>
  <si>
    <t>MASTER-22594</t>
  </si>
  <si>
    <t>MASTER-22595</t>
  </si>
  <si>
    <t>MASTER-22596</t>
  </si>
  <si>
    <t>MASTER-22597</t>
  </si>
  <si>
    <t>MASTER-22598</t>
  </si>
  <si>
    <t>MASTER-22600</t>
  </si>
  <si>
    <t>MASTER-22601</t>
  </si>
  <si>
    <t>MASTER-6491</t>
  </si>
  <si>
    <t>MASTER-6493</t>
  </si>
  <si>
    <t>MASTER-22145</t>
  </si>
  <si>
    <t>MASTER-6494</t>
  </si>
  <si>
    <t>MASTER-60826</t>
  </si>
  <si>
    <t>MASTER-60829</t>
  </si>
  <si>
    <t>MASTER-60830</t>
  </si>
  <si>
    <t>MASTER-60831</t>
  </si>
  <si>
    <t>MASTER-61647</t>
  </si>
  <si>
    <t>MASTER-61648</t>
  </si>
  <si>
    <t>MASTER-6496</t>
  </si>
  <si>
    <t>MASTER-53067</t>
  </si>
  <si>
    <t>MASTER-53068</t>
  </si>
  <si>
    <t>MASTER-19162</t>
  </si>
  <si>
    <t>MASTER-19163</t>
  </si>
  <si>
    <t>MASTER-53064</t>
  </si>
  <si>
    <t>MASTER-53065</t>
  </si>
  <si>
    <t>MASTER-53066</t>
  </si>
  <si>
    <t>MASTER-60800</t>
  </si>
  <si>
    <t>MASTER-60810</t>
  </si>
  <si>
    <t>MASTER-6497</t>
  </si>
  <si>
    <t>MASTER-19179</t>
  </si>
  <si>
    <t>MASTER-19164</t>
  </si>
  <si>
    <t>MASTER-58687</t>
  </si>
  <si>
    <t>MASTER-55718</t>
  </si>
  <si>
    <t>MASTER-6499</t>
  </si>
  <si>
    <t>MASTER-19156</t>
  </si>
  <si>
    <t>MASTER-19728</t>
  </si>
  <si>
    <t>MASTER-19729</t>
  </si>
  <si>
    <t>MASTER-6501</t>
  </si>
  <si>
    <t>MASTER-18223</t>
  </si>
  <si>
    <t>MASTER-60768</t>
  </si>
  <si>
    <t>UTICA-19406</t>
  </si>
  <si>
    <t>MASTER-18222</t>
  </si>
  <si>
    <t>MASTER-19454</t>
  </si>
  <si>
    <t>MASTER-51078</t>
  </si>
  <si>
    <t>MASTER-6502</t>
  </si>
  <si>
    <t>MASTER-21034</t>
  </si>
  <si>
    <t>MASTER-21035</t>
  </si>
  <si>
    <t>MASTER-6504</t>
  </si>
  <si>
    <t>MASTER-18171</t>
  </si>
  <si>
    <t>MASTER-60816</t>
  </si>
  <si>
    <t>MASTER-6505</t>
  </si>
  <si>
    <t>MASTER-6507</t>
  </si>
  <si>
    <t>MASTER-18286</t>
  </si>
  <si>
    <t>MASTER-18287</t>
  </si>
  <si>
    <t>MASTER-18288</t>
  </si>
  <si>
    <t>MASTER-6509</t>
  </si>
  <si>
    <t>MASTER-18708</t>
  </si>
  <si>
    <t>MASTER-18710</t>
  </si>
  <si>
    <t>MASTER-18711</t>
  </si>
  <si>
    <t>MASTER-18712</t>
  </si>
  <si>
    <t>MASTER-18730</t>
  </si>
  <si>
    <t>MASTER-6513</t>
  </si>
  <si>
    <t>MASTER-18332</t>
  </si>
  <si>
    <t>MASTER-19469</t>
  </si>
  <si>
    <t>MASTER-6523</t>
  </si>
  <si>
    <t>MASTER-18107</t>
  </si>
  <si>
    <t>MASTER-18108</t>
  </si>
  <si>
    <t>MASTER-18109</t>
  </si>
  <si>
    <t>MASTER-6530</t>
  </si>
  <si>
    <t>MASTER-60835</t>
  </si>
  <si>
    <t>UTICA-24565</t>
  </si>
  <si>
    <t>MASTER-6531</t>
  </si>
  <si>
    <t>MASTER-60833</t>
  </si>
  <si>
    <t>UTICA-24845</t>
  </si>
  <si>
    <t>MASTER-6532</t>
  </si>
  <si>
    <t>MASTER-60822</t>
  </si>
  <si>
    <t>MASTER-60825</t>
  </si>
  <si>
    <t>MASTER-60827</t>
  </si>
  <si>
    <t>MASTER-60828</t>
  </si>
  <si>
    <t>MASTER-6534</t>
  </si>
  <si>
    <t>MASTER-60770</t>
  </si>
  <si>
    <t>MASTER-60771</t>
  </si>
  <si>
    <t>MASTER-60772</t>
  </si>
  <si>
    <t>MASTER-60838</t>
  </si>
  <si>
    <t>MASTER-6535</t>
  </si>
  <si>
    <t>MASTER-19252</t>
  </si>
  <si>
    <t>MASTER-19254</t>
  </si>
  <si>
    <t>MASTER-50080</t>
  </si>
  <si>
    <t>MASTER-60837</t>
  </si>
  <si>
    <t>MASTER-6547</t>
  </si>
  <si>
    <t>MASTER-19153</t>
  </si>
  <si>
    <t>MASTER-19155</t>
  </si>
  <si>
    <t>MASTER-19158</t>
  </si>
  <si>
    <t>MASTER-22154</t>
  </si>
  <si>
    <t>MASTER-22155</t>
  </si>
  <si>
    <t>MASTER-6549</t>
  </si>
  <si>
    <t>MASTER-18073</t>
  </si>
  <si>
    <t>MASTER-18074</t>
  </si>
  <si>
    <t>MASTER-50001</t>
  </si>
  <si>
    <t>MASTER-50019</t>
  </si>
  <si>
    <t>MASTER-50020</t>
  </si>
  <si>
    <t>MASTER-6551</t>
  </si>
  <si>
    <t>MASTER-58670</t>
  </si>
  <si>
    <t>MASTER-19278</t>
  </si>
  <si>
    <t>MASTER-50036</t>
  </si>
  <si>
    <t>MASTER-63411</t>
  </si>
  <si>
    <t>MASTER-63412</t>
  </si>
  <si>
    <t>UTICA-24846</t>
  </si>
  <si>
    <t>MASTER-6552</t>
  </si>
  <si>
    <t>MASTER-19866</t>
  </si>
  <si>
    <t>MASTER-6553</t>
  </si>
  <si>
    <t>MASTER-6555</t>
  </si>
  <si>
    <t>MASTER-42194</t>
  </si>
  <si>
    <t>MASTER-19255</t>
  </si>
  <si>
    <t>MASTER-6557</t>
  </si>
  <si>
    <t>MASTER-19253</t>
  </si>
  <si>
    <t>MASTER-19267</t>
  </si>
  <si>
    <t>MASTER-19268</t>
  </si>
  <si>
    <t>MASTER-42160</t>
  </si>
  <si>
    <t>MASTER-42168</t>
  </si>
  <si>
    <t>MASTER-60080</t>
  </si>
  <si>
    <t>MASTER-59912</t>
  </si>
  <si>
    <t>MASTER-59915</t>
  </si>
  <si>
    <t>MASTER-59918</t>
  </si>
  <si>
    <t>MASTER-50869</t>
  </si>
  <si>
    <t>MASTER-6558</t>
  </si>
  <si>
    <t>MASTER-6562</t>
  </si>
  <si>
    <t>MASTER-19308</t>
  </si>
  <si>
    <t>MASTER-58671</t>
  </si>
  <si>
    <t>MASTER-22191</t>
  </si>
  <si>
    <t>MASTER-6563</t>
  </si>
  <si>
    <t>MASTER-6565</t>
  </si>
  <si>
    <t>MASTER-19326</t>
  </si>
  <si>
    <t>MASTER-19329</t>
  </si>
  <si>
    <t>MASTER-6566</t>
  </si>
  <si>
    <t>MASTER-19321</t>
  </si>
  <si>
    <t>MASTER-19327</t>
  </si>
  <si>
    <t>MASTER-6569</t>
  </si>
  <si>
    <t>MASTER-19234</t>
  </si>
  <si>
    <t>MASTER-19235</t>
  </si>
  <si>
    <t>MASTER-19236</t>
  </si>
  <si>
    <t>MASTER-19237</t>
  </si>
  <si>
    <t>MASTER-19240</t>
  </si>
  <si>
    <t>MASTER-42153</t>
  </si>
  <si>
    <t>MASTER-42154</t>
  </si>
  <si>
    <t>MASTER-42158</t>
  </si>
  <si>
    <t>MASTER-42159</t>
  </si>
  <si>
    <t>MASTER-20011</t>
  </si>
  <si>
    <t>MASTER-20001</t>
  </si>
  <si>
    <t>MASTER-20002</t>
  </si>
  <si>
    <t>MASTER-20000</t>
  </si>
  <si>
    <t>MASTER-48455</t>
  </si>
  <si>
    <t>UTICA-206</t>
  </si>
  <si>
    <t>UTICA-207</t>
  </si>
  <si>
    <t>UTICA-204</t>
  </si>
  <si>
    <t>UTICA-205</t>
  </si>
  <si>
    <t>UTICA-208</t>
  </si>
  <si>
    <t>MASTER-61163</t>
  </si>
  <si>
    <t>MASTER-50685</t>
  </si>
  <si>
    <t>MASTER-6570</t>
  </si>
  <si>
    <t>MASTER-19241</t>
  </si>
  <si>
    <t>MASTER-25416</t>
  </si>
  <si>
    <t>MASTER-50664</t>
  </si>
  <si>
    <t>MASTER-50665</t>
  </si>
  <si>
    <t>MASTER-50667</t>
  </si>
  <si>
    <t>MASTER-50669</t>
  </si>
  <si>
    <t>MASTER-50670</t>
  </si>
  <si>
    <t>MASTER-21159</t>
  </si>
  <si>
    <t>MASTER-22174</t>
  </si>
  <si>
    <t>MASTER-50674</t>
  </si>
  <si>
    <t>MASTER-50675</t>
  </si>
  <si>
    <t>MASTER-50677</t>
  </si>
  <si>
    <t>MASTER-50678</t>
  </si>
  <si>
    <t>MASTER-50679</t>
  </si>
  <si>
    <t>MASTER-50680</t>
  </si>
  <si>
    <t>MASTER-50681</t>
  </si>
  <si>
    <t>MASTER-50682</t>
  </si>
  <si>
    <t>UTICA-8591</t>
  </si>
  <si>
    <t>UTICA-8592</t>
  </si>
  <si>
    <t>MASTER-6573</t>
  </si>
  <si>
    <t>MASTER-19594</t>
  </si>
  <si>
    <t>MASTER-18044</t>
  </si>
  <si>
    <t>MASTER-18045</t>
  </si>
  <si>
    <t>MASTER-18053</t>
  </si>
  <si>
    <t>MASTER-18081</t>
  </si>
  <si>
    <t>MASTER-18086</t>
  </si>
  <si>
    <t>MASTER-18104</t>
  </si>
  <si>
    <t>MASTER-18105</t>
  </si>
  <si>
    <t>MASTER-18111</t>
  </si>
  <si>
    <t>MASTER-18112</t>
  </si>
  <si>
    <t>MASTER-19242</t>
  </si>
  <si>
    <t>MASTER-19429</t>
  </si>
  <si>
    <t>MASTER-19431</t>
  </si>
  <si>
    <t>MASTER-19432</t>
  </si>
  <si>
    <t>MASTER-19435</t>
  </si>
  <si>
    <t>MASTER-19447</t>
  </si>
  <si>
    <t>MASTER-19449</t>
  </si>
  <si>
    <t>MASTER-19450</t>
  </si>
  <si>
    <t>MASTER-19460</t>
  </si>
  <si>
    <t>MASTER-19535</t>
  </si>
  <si>
    <t>MASTER-42106</t>
  </si>
  <si>
    <t>MASTER-42110</t>
  </si>
  <si>
    <t>MASTER-42111</t>
  </si>
  <si>
    <t>MASTER-42112</t>
  </si>
  <si>
    <t>MASTER-50004</t>
  </si>
  <si>
    <t>MASTER-50005</t>
  </si>
  <si>
    <t>MASTER-51043</t>
  </si>
  <si>
    <t>MASTER-51662</t>
  </si>
  <si>
    <t>MASTER-51663</t>
  </si>
  <si>
    <t>MASTER-6574</t>
  </si>
  <si>
    <t>MASTER-19239</t>
  </si>
  <si>
    <t>MASTER-6577</t>
  </si>
  <si>
    <t>MASTER-6585</t>
  </si>
  <si>
    <t>MASTER-6587</t>
  </si>
  <si>
    <t>MASTER-18101</t>
  </si>
  <si>
    <t>MASTER-18102</t>
  </si>
  <si>
    <t>MASTER-19558</t>
  </si>
  <si>
    <t>MASTER-19562</t>
  </si>
  <si>
    <t>MASTER-51533</t>
  </si>
  <si>
    <t>MASTER-18056</t>
  </si>
  <si>
    <t>MASTER-18057</t>
  </si>
  <si>
    <t>MASTER-18065</t>
  </si>
  <si>
    <t>MASTER-18066</t>
  </si>
  <si>
    <t>MASTER-19539</t>
  </si>
  <si>
    <t>MASTER-19540</t>
  </si>
  <si>
    <t>MASTER-19541</t>
  </si>
  <si>
    <t>MASTER-19542</t>
  </si>
  <si>
    <t>MASTER-19544</t>
  </si>
  <si>
    <t>MASTER-19545</t>
  </si>
  <si>
    <t>MASTER-19546</t>
  </si>
  <si>
    <t>MASTER-19549</t>
  </si>
  <si>
    <t>MASTER-19550</t>
  </si>
  <si>
    <t>MASTER-19551</t>
  </si>
  <si>
    <t>MASTER-19556</t>
  </si>
  <si>
    <t>MASTER-19560</t>
  </si>
  <si>
    <t>MASTER-19564</t>
  </si>
  <si>
    <t>MASTER-42201</t>
  </si>
  <si>
    <t>MASTER-50082</t>
  </si>
  <si>
    <t>MASTER-50084</t>
  </si>
  <si>
    <t>MASTER-50193</t>
  </si>
  <si>
    <t>MASTER-50870</t>
  </si>
  <si>
    <t>MASTER-50871</t>
  </si>
  <si>
    <t>MASTER-51028</t>
  </si>
  <si>
    <t>MASTER-51031</t>
  </si>
  <si>
    <t>MASTER-51032</t>
  </si>
  <si>
    <t>MASTER-51147</t>
  </si>
  <si>
    <t>MASTER-60918</t>
  </si>
  <si>
    <t>MASTER-19553</t>
  </si>
  <si>
    <t>MASTER-19554</t>
  </si>
  <si>
    <t>MASTER-19555</t>
  </si>
  <si>
    <t>MASTER-56161</t>
  </si>
  <si>
    <t>MASTER-56162</t>
  </si>
  <si>
    <t>MASTER-16726</t>
  </si>
  <si>
    <t>MASTER-16728</t>
  </si>
  <si>
    <t>MASTER-16735</t>
  </si>
  <si>
    <t>MASTER-16736</t>
  </si>
  <si>
    <t>MASTER-6591</t>
  </si>
  <si>
    <t>MASTER-19593</t>
  </si>
  <si>
    <t>MASTER-19598</t>
  </si>
  <si>
    <t>MASTER-19599</t>
  </si>
  <si>
    <t>MASTER-19602</t>
  </si>
  <si>
    <t>MASTER-18622</t>
  </si>
  <si>
    <t>UTICA-6854</t>
  </si>
  <si>
    <t>MASTER-42148</t>
  </si>
  <si>
    <t>UTICA-24698</t>
  </si>
  <si>
    <t>MASTER-50125</t>
  </si>
  <si>
    <t>MASTER-16598</t>
  </si>
  <si>
    <t>MASTER-16599</t>
  </si>
  <si>
    <t>MASTER-16600</t>
  </si>
  <si>
    <t>MASTER-16601</t>
  </si>
  <si>
    <t>MASTER-16604</t>
  </si>
  <si>
    <t>MASTER-16605</t>
  </si>
  <si>
    <t>MASTER-16606</t>
  </si>
  <si>
    <t>MASTER-16609</t>
  </si>
  <si>
    <t>MASTER-16611</t>
  </si>
  <si>
    <t>MASTER-16612</t>
  </si>
  <si>
    <t>MASTER-16613</t>
  </si>
  <si>
    <t>MASTER-16615</t>
  </si>
  <si>
    <t>MASTER-16616</t>
  </si>
  <si>
    <t>MASTER-6592</t>
  </si>
  <si>
    <t>MASTER-19596</t>
  </si>
  <si>
    <t>MASTER-6593</t>
  </si>
  <si>
    <t>MASTER-6595</t>
  </si>
  <si>
    <t>MASTER-19615</t>
  </si>
  <si>
    <t>MASTER-19617</t>
  </si>
  <si>
    <t>MASTER-19618</t>
  </si>
  <si>
    <t>MASTER-19619</t>
  </si>
  <si>
    <t>MASTER-19620</t>
  </si>
  <si>
    <t>MASTER-19621</t>
  </si>
  <si>
    <t>MASTER-6596</t>
  </si>
  <si>
    <t>MASTER-22278</t>
  </si>
  <si>
    <t>MASTER-22293</t>
  </si>
  <si>
    <t>MASTER-22294</t>
  </si>
  <si>
    <t>MASTER-41122</t>
  </si>
  <si>
    <t>MASTER-6597</t>
  </si>
  <si>
    <t>MASTER-22280</t>
  </si>
  <si>
    <t>MASTER-22292</t>
  </si>
  <si>
    <t>MASTER-6598</t>
  </si>
  <si>
    <t>MASTER-22281</t>
  </si>
  <si>
    <t>MASTER-22282</t>
  </si>
  <si>
    <t>MASTER-22283</t>
  </si>
  <si>
    <t>MASTER-22284</t>
  </si>
  <si>
    <t>MASTER-22285</t>
  </si>
  <si>
    <t>MASTER-6599</t>
  </si>
  <si>
    <t>MASTER-19609</t>
  </si>
  <si>
    <t>MASTER-22279</t>
  </si>
  <si>
    <t>MASTER-6600</t>
  </si>
  <si>
    <t>MASTER-22290</t>
  </si>
  <si>
    <t>MASTER-22291</t>
  </si>
  <si>
    <t>MASTER-6601</t>
  </si>
  <si>
    <t>MASTER-19610</t>
  </si>
  <si>
    <t>MASTER-19611</t>
  </si>
  <si>
    <t>MASTER-19612</t>
  </si>
  <si>
    <t>MASTER-19613</t>
  </si>
  <si>
    <t>MASTER-19614</t>
  </si>
  <si>
    <t>MASTER-22286</t>
  </si>
  <si>
    <t>MASTER-22287</t>
  </si>
  <si>
    <t>MASTER-22288</t>
  </si>
  <si>
    <t>MASTER-22289</t>
  </si>
  <si>
    <t>MASTER-6609</t>
  </si>
  <si>
    <t>MASTER-18240</t>
  </si>
  <si>
    <t>MASTER-18271</t>
  </si>
  <si>
    <t>MASTER-18272</t>
  </si>
  <si>
    <t>MASTER-18275</t>
  </si>
  <si>
    <t>MASTER-18276</t>
  </si>
  <si>
    <t>MASTER-18297</t>
  </si>
  <si>
    <t>MASTER-18299</t>
  </si>
  <si>
    <t>MASTER-18300</t>
  </si>
  <si>
    <t>MASTER-18301</t>
  </si>
  <si>
    <t>MASTER-18303</t>
  </si>
  <si>
    <t>MASTER-18304</t>
  </si>
  <si>
    <t>MASTER-18305</t>
  </si>
  <si>
    <t>MASTER-18306</t>
  </si>
  <si>
    <t>MASTER-18307</t>
  </si>
  <si>
    <t>MASTER-18308</t>
  </si>
  <si>
    <t>MASTER-18309</t>
  </si>
  <si>
    <t>MASTER-18310</t>
  </si>
  <si>
    <t>MASTER-18311</t>
  </si>
  <si>
    <t>MASTER-18312</t>
  </si>
  <si>
    <t>MASTER-18313</t>
  </si>
  <si>
    <t>MASTER-18315</t>
  </si>
  <si>
    <t>MASTER-18316</t>
  </si>
  <si>
    <t>MASTER-18270</t>
  </si>
  <si>
    <t>UTICA-5352</t>
  </si>
  <si>
    <t>UTICA-4768</t>
  </si>
  <si>
    <t>UTICA-4131</t>
  </si>
  <si>
    <t>UTICA-3188</t>
  </si>
  <si>
    <t>MASTER-64686</t>
  </si>
  <si>
    <t>MASTER-64687</t>
  </si>
  <si>
    <t>MASTER-64688</t>
  </si>
  <si>
    <t>MASTER-64689</t>
  </si>
  <si>
    <t>MASTER-64690</t>
  </si>
  <si>
    <t>MASTER-64693</t>
  </si>
  <si>
    <t>MASTER-64694</t>
  </si>
  <si>
    <t>MASTER-64696</t>
  </si>
  <si>
    <t>MASTER-64697</t>
  </si>
  <si>
    <t>MASTER-16540</t>
  </si>
  <si>
    <t>MASTER-16557</t>
  </si>
  <si>
    <t>MASTER-16567</t>
  </si>
  <si>
    <t>MASTER-6610</t>
  </si>
  <si>
    <t>MASTER-18242</t>
  </si>
  <si>
    <t>MASTER-18244</t>
  </si>
  <si>
    <t>MASTER-18293</t>
  </si>
  <si>
    <t>MASTER-18294</t>
  </si>
  <si>
    <t>MASTER-18295</t>
  </si>
  <si>
    <t>MASTER-18296</t>
  </si>
  <si>
    <t>MASTER-22332</t>
  </si>
  <si>
    <t>MASTER-6611</t>
  </si>
  <si>
    <t>MASTER-18229</t>
  </si>
  <si>
    <t>MASTER-18235</t>
  </si>
  <si>
    <t>MASTER-22333</t>
  </si>
  <si>
    <t>MASTER-22335</t>
  </si>
  <si>
    <t>MASTER-22336</t>
  </si>
  <si>
    <t>MASTER-22338</t>
  </si>
  <si>
    <t>MASTER-22339</t>
  </si>
  <si>
    <t>MASTER-22340</t>
  </si>
  <si>
    <t>MASTER-22362</t>
  </si>
  <si>
    <t>MASTER-22363</t>
  </si>
  <si>
    <t>MASTER-22364</t>
  </si>
  <si>
    <t>MASTER-22365</t>
  </si>
  <si>
    <t>MASTER-21367</t>
  </si>
  <si>
    <t>MASTER-6612</t>
  </si>
  <si>
    <t>MASTER-18236</t>
  </si>
  <si>
    <t>MASTER-18237</t>
  </si>
  <si>
    <t>MASTER-18238</t>
  </si>
  <si>
    <t>MASTER-22337</t>
  </si>
  <si>
    <t>MASTER-64359</t>
  </si>
  <si>
    <t>MASTER-6613</t>
  </si>
  <si>
    <t>MASTER-6615</t>
  </si>
  <si>
    <t>MASTER-19643</t>
  </si>
  <si>
    <t>MASTER-19644</t>
  </si>
  <si>
    <t>MASTER-19648</t>
  </si>
  <si>
    <t>MASTER-19636</t>
  </si>
  <si>
    <t>MASTER-19638</t>
  </si>
  <si>
    <t>MASTER-19641</t>
  </si>
  <si>
    <t>MASTER-19642</t>
  </si>
  <si>
    <t>MASTER-21909</t>
  </si>
  <si>
    <t>MASTER-22368</t>
  </si>
  <si>
    <t>MASTER-22402</t>
  </si>
  <si>
    <t>MASTER-22411</t>
  </si>
  <si>
    <t>MASTER-22584</t>
  </si>
  <si>
    <t>MASTER-22585</t>
  </si>
  <si>
    <t>MASTER-22586</t>
  </si>
  <si>
    <t>MASTER-6616</t>
  </si>
  <si>
    <t>MASTER-22369</t>
  </si>
  <si>
    <t>MASTER-22370</t>
  </si>
  <si>
    <t>MASTER-22371</t>
  </si>
  <si>
    <t>MASTER-6617</t>
  </si>
  <si>
    <t>MASTER-19639</t>
  </si>
  <si>
    <t>MASTER-22381</t>
  </si>
  <si>
    <t>MASTER-22382</t>
  </si>
  <si>
    <t>MASTER-22372</t>
  </si>
  <si>
    <t>MASTER-6618</t>
  </si>
  <si>
    <t>MASTER-19649</t>
  </si>
  <si>
    <t>MASTER-22386</t>
  </si>
  <si>
    <t>MASTER-22373</t>
  </si>
  <si>
    <t>MASTER-22374</t>
  </si>
  <si>
    <t>MASTER-22375</t>
  </si>
  <si>
    <t>MASTER-22384</t>
  </si>
  <si>
    <t>MASTER-22385</t>
  </si>
  <si>
    <t>MASTER-6619</t>
  </si>
  <si>
    <t>MASTER-22392</t>
  </si>
  <si>
    <t>MASTER-22404</t>
  </si>
  <si>
    <t>MASTER-22405</t>
  </si>
  <si>
    <t>MASTER-22387</t>
  </si>
  <si>
    <t>MASTER-22389</t>
  </si>
  <si>
    <t>MASTER-22390</t>
  </si>
  <si>
    <t>MASTER-22391</t>
  </si>
  <si>
    <t>MASTER-22403</t>
  </si>
  <si>
    <t>MASTER-6620</t>
  </si>
  <si>
    <t>MASTER-22408</t>
  </si>
  <si>
    <t>MASTER-22377</t>
  </si>
  <si>
    <t>MASTER-22378</t>
  </si>
  <si>
    <t>MASTER-64400</t>
  </si>
  <si>
    <t>MASTER-22388</t>
  </si>
  <si>
    <t>MASTER-6621</t>
  </si>
  <si>
    <t>MASTER-19645</t>
  </si>
  <si>
    <t>MASTER-19646</t>
  </si>
  <si>
    <t>MASTER-19647</t>
  </si>
  <si>
    <t>MASTER-22395</t>
  </si>
  <si>
    <t>MASTER-22393</t>
  </si>
  <si>
    <t>MASTER-22394</t>
  </si>
  <si>
    <t>MASTER-22396</t>
  </si>
  <si>
    <t>MASTER-22397</t>
  </si>
  <si>
    <t>MASTER-6622</t>
  </si>
  <si>
    <t>MASTER-22398</t>
  </si>
  <si>
    <t>MASTER-22399</t>
  </si>
  <si>
    <t>MASTER-22400</t>
  </si>
  <si>
    <t>MASTER-6623</t>
  </si>
  <si>
    <t>MASTER-6655</t>
  </si>
  <si>
    <t>MASTER-19790</t>
  </si>
  <si>
    <t>UTICA-362</t>
  </si>
  <si>
    <t>MASTER-6656</t>
  </si>
  <si>
    <t>MASTER-19808</t>
  </si>
  <si>
    <t>MASTER-6657</t>
  </si>
  <si>
    <t>MASTER-20102</t>
  </si>
  <si>
    <t>MASTER-20104</t>
  </si>
  <si>
    <t>UTICA-2176</t>
  </si>
  <si>
    <t>MASTER-6659</t>
  </si>
  <si>
    <t>MASTER-57690</t>
  </si>
  <si>
    <t>MASTER-19849</t>
  </si>
  <si>
    <t>MASTER-17282</t>
  </si>
  <si>
    <t>MASTER-17289</t>
  </si>
  <si>
    <t>MASTER-19844</t>
  </si>
  <si>
    <t>MASTER-19848</t>
  </si>
  <si>
    <t>MASTER-19906</t>
  </si>
  <si>
    <t>MASTER-19907</t>
  </si>
  <si>
    <t>MASTER-19908</t>
  </si>
  <si>
    <t>MASTER-19909</t>
  </si>
  <si>
    <t>MASTER-19880</t>
  </si>
  <si>
    <t>MASTER-19889</t>
  </si>
  <si>
    <t>MASTER-20210</t>
  </si>
  <si>
    <t>MASTER-46245</t>
  </si>
  <si>
    <t>UTICA-25729</t>
  </si>
  <si>
    <t>UTICA-25733</t>
  </si>
  <si>
    <t>UTICA-203</t>
  </si>
  <si>
    <t>UTICA-2511</t>
  </si>
  <si>
    <t>UTICA-2517</t>
  </si>
  <si>
    <t>UTICA-11615</t>
  </si>
  <si>
    <t>UTICA-2480</t>
  </si>
  <si>
    <t>UTICA-2512</t>
  </si>
  <si>
    <t>UTICA-2676</t>
  </si>
  <si>
    <t>UTICA-2515</t>
  </si>
  <si>
    <t>MASTER-6660</t>
  </si>
  <si>
    <t>MASTER-17204</t>
  </si>
  <si>
    <t>MASTER-17423</t>
  </si>
  <si>
    <t>MASTER-17425</t>
  </si>
  <si>
    <t>MASTER-17428</t>
  </si>
  <si>
    <t>MASTER-17453</t>
  </si>
  <si>
    <t>MASTER-17476</t>
  </si>
  <si>
    <t>MASTER-19897</t>
  </si>
  <si>
    <t>MASTER-60016</t>
  </si>
  <si>
    <t>MASTER-17203</t>
  </si>
  <si>
    <t>MASTER-17226</t>
  </si>
  <si>
    <t>UTICA-157</t>
  </si>
  <si>
    <t>UTICA-364</t>
  </si>
  <si>
    <t>UTICA-18505</t>
  </si>
  <si>
    <t>UTICA-195</t>
  </si>
  <si>
    <t>UTICA-196</t>
  </si>
  <si>
    <t>UTICA-197</t>
  </si>
  <si>
    <t>UTICA-199</t>
  </si>
  <si>
    <t>MASTER-19930</t>
  </si>
  <si>
    <t>MASTER-20298</t>
  </si>
  <si>
    <t>MASTER-23011</t>
  </si>
  <si>
    <t>UTICA-2482</t>
  </si>
  <si>
    <t>UTICA-2483</t>
  </si>
  <si>
    <t>UTICA-2484</t>
  </si>
  <si>
    <t>MASTER-6661</t>
  </si>
  <si>
    <t>MASTER-19926</t>
  </si>
  <si>
    <t>MASTER-6666</t>
  </si>
  <si>
    <t>MASTER-48453</t>
  </si>
  <si>
    <t>MASTER-6688</t>
  </si>
  <si>
    <t>UTICA-5360</t>
  </si>
  <si>
    <t>MASTER-19204</t>
  </si>
  <si>
    <t>MASTER-19205</t>
  </si>
  <si>
    <t>MASTER-19208</t>
  </si>
  <si>
    <t>MASTER-51113</t>
  </si>
  <si>
    <t>UTICA-3193</t>
  </si>
  <si>
    <t>UTICA-4795</t>
  </si>
  <si>
    <t>UTICA-4166</t>
  </si>
  <si>
    <t>MASTER-21278</t>
  </si>
  <si>
    <t>MASTER-22274</t>
  </si>
  <si>
    <t>MASTER-20064</t>
  </si>
  <si>
    <t>MASTER-20065</t>
  </si>
  <si>
    <t>MASTER-20034</t>
  </si>
  <si>
    <t>MASTER-20035</t>
  </si>
  <si>
    <t>MASTER-6689</t>
  </si>
  <si>
    <t>MASTER-20174</t>
  </si>
  <si>
    <t>MASTER-6690</t>
  </si>
  <si>
    <t>MASTER-6699</t>
  </si>
  <si>
    <t>MASTER-20052</t>
  </si>
  <si>
    <t>MASTER-64684</t>
  </si>
  <si>
    <t>UTICA-6777</t>
  </si>
  <si>
    <t>MASTER-6700</t>
  </si>
  <si>
    <t>MASTER-6701</t>
  </si>
  <si>
    <t>MASTER-6702</t>
  </si>
  <si>
    <t>MASTER-6704</t>
  </si>
  <si>
    <t>MASTER-19838</t>
  </si>
  <si>
    <t>MASTER-19839</t>
  </si>
  <si>
    <t>MASTER-19840</t>
  </si>
  <si>
    <t>MASTER-19841</t>
  </si>
  <si>
    <t>MASTER-19842</t>
  </si>
  <si>
    <t>MASTER-50186</t>
  </si>
  <si>
    <t>MASTER-42207</t>
  </si>
  <si>
    <t>MASTER-42208</t>
  </si>
  <si>
    <t>MASTER-42209</t>
  </si>
  <si>
    <t>MASTER-41125</t>
  </si>
  <si>
    <t>MASTER-41126</t>
  </si>
  <si>
    <t>MASTER-20085</t>
  </si>
  <si>
    <t>MASTER-41127</t>
  </si>
  <si>
    <t>MASTER-48458</t>
  </si>
  <si>
    <t>MASTER-48459</t>
  </si>
  <si>
    <t>MASTER-17383</t>
  </si>
  <si>
    <t>MASTER-19916</t>
  </si>
  <si>
    <t>MASTER-19917</t>
  </si>
  <si>
    <t>MASTER-19918</t>
  </si>
  <si>
    <t>MASTER-19919</t>
  </si>
  <si>
    <t>MASTER-19927</t>
  </si>
  <si>
    <t>MASTER-19928</t>
  </si>
  <si>
    <t>MASTER-59991</t>
  </si>
  <si>
    <t>MASTER-19912</t>
  </si>
  <si>
    <t>MASTER-20078</t>
  </si>
  <si>
    <t>MASTER-20079</t>
  </si>
  <si>
    <t>MASTER-20082</t>
  </si>
  <si>
    <t>MASTER-20084</t>
  </si>
  <si>
    <t>MASTER-20136</t>
  </si>
  <si>
    <t>MASTER-20138</t>
  </si>
  <si>
    <t>MASTER-20143</t>
  </si>
  <si>
    <t>MASTER-20144</t>
  </si>
  <si>
    <t>MASTER-20145</t>
  </si>
  <si>
    <t>MASTER-20147</t>
  </si>
  <si>
    <t>MASTER-20148</t>
  </si>
  <si>
    <t>MASTER-20152</t>
  </si>
  <si>
    <t>MASTER-20153</t>
  </si>
  <si>
    <t>MASTER-20154</t>
  </si>
  <si>
    <t>MASTER-20158</t>
  </si>
  <si>
    <t>MASTER-20159</t>
  </si>
  <si>
    <t>MASTER-20160</t>
  </si>
  <si>
    <t>MASTER-20161</t>
  </si>
  <si>
    <t>MASTER-20164</t>
  </si>
  <si>
    <t>MASTER-20167</t>
  </si>
  <si>
    <t>MASTER-20170</t>
  </si>
  <si>
    <t>MASTER-20172</t>
  </si>
  <si>
    <t>MASTER-42289</t>
  </si>
  <si>
    <t>MASTER-42290</t>
  </si>
  <si>
    <t>MASTER-50185</t>
  </si>
  <si>
    <t>MASTER-59992</t>
  </si>
  <si>
    <t>MASTER-59993</t>
  </si>
  <si>
    <t>MASTER-60000</t>
  </si>
  <si>
    <t>MASTER-60001</t>
  </si>
  <si>
    <t>UTICA-368</t>
  </si>
  <si>
    <t>MASTER-19813</t>
  </si>
  <si>
    <t>MASTER-20106</t>
  </si>
  <si>
    <t>MASTER-19812</t>
  </si>
  <si>
    <t>MASTER-19817</t>
  </si>
  <si>
    <t>MASTER-19818</t>
  </si>
  <si>
    <t>MASTER-19819</t>
  </si>
  <si>
    <t>MASTER-19820</t>
  </si>
  <si>
    <t>MASTER-19821</t>
  </si>
  <si>
    <t>MASTER-20092</t>
  </si>
  <si>
    <t>MASTER-20099</t>
  </si>
  <si>
    <t>MASTER-20113</t>
  </si>
  <si>
    <t>MASTER-20116</t>
  </si>
  <si>
    <t>MASTER-20120</t>
  </si>
  <si>
    <t>MASTER-20126</t>
  </si>
  <si>
    <t>MASTER-26435</t>
  </si>
  <si>
    <t>UTICA-2519</t>
  </si>
  <si>
    <t>UTICA-2520</t>
  </si>
  <si>
    <t>UTICA-2487</t>
  </si>
  <si>
    <t>UTICA-2488</t>
  </si>
  <si>
    <t>UTICA-2514</t>
  </si>
  <si>
    <t>UTICA-2677</t>
  </si>
  <si>
    <t>UTICA-2678</t>
  </si>
  <si>
    <t>MASTER-50182</t>
  </si>
  <si>
    <t>MASTER-62149</t>
  </si>
  <si>
    <t>MASTER-6705</t>
  </si>
  <si>
    <t>MASTER-6706</t>
  </si>
  <si>
    <t>MASTER-6708</t>
  </si>
  <si>
    <t>MASTER-55160</t>
  </si>
  <si>
    <t>MASTER-55162</t>
  </si>
  <si>
    <t>MASTER-55163</t>
  </si>
  <si>
    <t>MASTER-55165</t>
  </si>
  <si>
    <t>MASTER-55166</t>
  </si>
  <si>
    <t>MASTER-55167</t>
  </si>
  <si>
    <t>MASTER-55169</t>
  </si>
  <si>
    <t>MASTER-55171</t>
  </si>
  <si>
    <t>MASTER-35630</t>
  </si>
  <si>
    <t>MASTER-49260</t>
  </si>
  <si>
    <t>MASTER-49262</t>
  </si>
  <si>
    <t>MASTER-50794</t>
  </si>
  <si>
    <t>MASTER-42254</t>
  </si>
  <si>
    <t>MASTER-35632</t>
  </si>
  <si>
    <t>MASTER-47583</t>
  </si>
  <si>
    <t>MASTER-47585</t>
  </si>
  <si>
    <t>MASTER-47589</t>
  </si>
  <si>
    <t>MASTER-47590</t>
  </si>
  <si>
    <t>MASTER-49276</t>
  </si>
  <si>
    <t>MASTER-62898</t>
  </si>
  <si>
    <t>MASTER-47579</t>
  </si>
  <si>
    <t>MASTER-47593</t>
  </si>
  <si>
    <t>MASTER-50195</t>
  </si>
  <si>
    <t>MASTER-50197</t>
  </si>
  <si>
    <t>UTICA-6403</t>
  </si>
  <si>
    <t>UTICA-6419</t>
  </si>
  <si>
    <t>UTICA-24855</t>
  </si>
  <si>
    <t>MASTER-47592</t>
  </si>
  <si>
    <t>MASTER-47596</t>
  </si>
  <si>
    <t>MASTER-47598</t>
  </si>
  <si>
    <t>MASTER-47600</t>
  </si>
  <si>
    <t>MASTER-47602</t>
  </si>
  <si>
    <t>MASTER-47607</t>
  </si>
  <si>
    <t>MASTER-47608</t>
  </si>
  <si>
    <t>UTICA-6415</t>
  </si>
  <si>
    <t>UTICA-6418</t>
  </si>
  <si>
    <t>MASTER-35634</t>
  </si>
  <si>
    <t>MASTER-41958</t>
  </si>
  <si>
    <t>MASTER-41960</t>
  </si>
  <si>
    <t>UTICA-24742</t>
  </si>
  <si>
    <t>MASTER-41959</t>
  </si>
  <si>
    <t>MASTER-35635</t>
  </si>
  <si>
    <t>MASTER-51109</t>
  </si>
  <si>
    <t>MASTER-51110</t>
  </si>
  <si>
    <t>MASTER-51646</t>
  </si>
  <si>
    <t>MASTER-35638</t>
  </si>
  <si>
    <t>MASTER-18076</t>
  </si>
  <si>
    <t>MASTER-35639</t>
  </si>
  <si>
    <t>MASTER-35642</t>
  </si>
  <si>
    <t>MASTER-42169</t>
  </si>
  <si>
    <t>MASTER-41950</t>
  </si>
  <si>
    <t>MASTER-35643</t>
  </si>
  <si>
    <t>MASTER-35645</t>
  </si>
  <si>
    <t>MASTER-35646</t>
  </si>
  <si>
    <t>MASTER-64606</t>
  </si>
  <si>
    <t>MASTER-16723</t>
  </si>
  <si>
    <t>MASTER-16724</t>
  </si>
  <si>
    <t>MASTER-16474</t>
  </si>
  <si>
    <t>UTICA-6398</t>
  </si>
  <si>
    <t>MASTER-35648</t>
  </si>
  <si>
    <t>MASTER-35649</t>
  </si>
  <si>
    <t>MASTER-39835</t>
  </si>
  <si>
    <t>MASTER-51893</t>
  </si>
  <si>
    <t>MASTER-51894</t>
  </si>
  <si>
    <t>MASTER-41912</t>
  </si>
  <si>
    <t>MASTER-22523</t>
  </si>
  <si>
    <t>MASTER-22238</t>
  </si>
  <si>
    <t>MASTER-21593</t>
  </si>
  <si>
    <t>MASTER-22521</t>
  </si>
  <si>
    <t>MASTER-41913</t>
  </si>
  <si>
    <t>MASTER-22533</t>
  </si>
  <si>
    <t>MASTER-22529</t>
  </si>
  <si>
    <t>MASTER-22530</t>
  </si>
  <si>
    <t>MASTER-22531</t>
  </si>
  <si>
    <t>MASTER-22532</t>
  </si>
  <si>
    <t>MASTER-22534</t>
  </si>
  <si>
    <t>MASTER-22535</t>
  </si>
  <si>
    <t>MASTER-22544</t>
  </si>
  <si>
    <t>MASTER-22611</t>
  </si>
  <si>
    <t>MASTER-51238</t>
  </si>
  <si>
    <t>MASTER-51239</t>
  </si>
  <si>
    <t>MASTER-51240</t>
  </si>
  <si>
    <t>MASTER-51241</t>
  </si>
  <si>
    <t>MASTER-51242</t>
  </si>
  <si>
    <t>MASTER-51243</t>
  </si>
  <si>
    <t>MASTER-21585</t>
  </si>
  <si>
    <t>MASTER-21588</t>
  </si>
  <si>
    <t>MASTER-22517</t>
  </si>
  <si>
    <t>MASTER-22518</t>
  </si>
  <si>
    <t>MASTER-22522</t>
  </si>
  <si>
    <t>MASTER-51771</t>
  </si>
  <si>
    <t>MASTER-41914</t>
  </si>
  <si>
    <t>MASTER-22545</t>
  </si>
  <si>
    <t>MASTER-21694</t>
  </si>
  <si>
    <t>MASTER-21695</t>
  </si>
  <si>
    <t>MASTER-21696</t>
  </si>
  <si>
    <t>MASTER-22537</t>
  </si>
  <si>
    <t>MASTER-41941</t>
  </si>
  <si>
    <t>MASTER-22472</t>
  </si>
  <si>
    <t>MASTER-22502</t>
  </si>
  <si>
    <t>MASTER-22503</t>
  </si>
  <si>
    <t>MASTER-22504</t>
  </si>
  <si>
    <t>MASTER-22465</t>
  </si>
  <si>
    <t>MASTER-22466</t>
  </si>
  <si>
    <t>MASTER-22467</t>
  </si>
  <si>
    <t>MASTER-22468</t>
  </si>
  <si>
    <t>MASTER-22469</t>
  </si>
  <si>
    <t>MASTER-22470</t>
  </si>
  <si>
    <t>MASTER-22471</t>
  </si>
  <si>
    <t>MASTER-22474</t>
  </si>
  <si>
    <t>MASTER-22476</t>
  </si>
  <si>
    <t>MASTER-22477</t>
  </si>
  <si>
    <t>MASTER-22478</t>
  </si>
  <si>
    <t>MASTER-22479</t>
  </si>
  <si>
    <t>MASTER-22480</t>
  </si>
  <si>
    <t>MASTER-22481</t>
  </si>
  <si>
    <t>MASTER-22482</t>
  </si>
  <si>
    <t>MASTER-22483</t>
  </si>
  <si>
    <t>MASTER-22485</t>
  </si>
  <si>
    <t>MASTER-22486</t>
  </si>
  <si>
    <t>MASTER-22492</t>
  </si>
  <si>
    <t>MASTER-22493</t>
  </si>
  <si>
    <t>MASTER-22494</t>
  </si>
  <si>
    <t>MASTER-22506</t>
  </si>
  <si>
    <t>MASTER-22507</t>
  </si>
  <si>
    <t>MASTER-22509</t>
  </si>
  <si>
    <t>MASTER-22510</t>
  </si>
  <si>
    <t>MASTER-22511</t>
  </si>
  <si>
    <t>MASTER-22513</t>
  </si>
  <si>
    <t>MASTER-22514</t>
  </si>
  <si>
    <t>MASTER-22525</t>
  </si>
  <si>
    <t>MASTER-22463</t>
  </si>
  <si>
    <t>MASTER-22497</t>
  </si>
  <si>
    <t>MASTER-22498</t>
  </si>
  <si>
    <t>MASTER-41942</t>
  </si>
  <si>
    <t>MASTER-22487</t>
  </si>
  <si>
    <t>MASTER-22488</t>
  </si>
  <si>
    <t>MASTER-22490</t>
  </si>
  <si>
    <t>MASTER-41943</t>
  </si>
  <si>
    <t>MASTER-22491</t>
  </si>
  <si>
    <t>MASTER-41944</t>
  </si>
  <si>
    <t>MASTER-41945</t>
  </si>
  <si>
    <t>MASTER-41946</t>
  </si>
  <si>
    <t>MASTER-41947</t>
  </si>
  <si>
    <t>MASTER-22489</t>
  </si>
  <si>
    <t>MASTER-46116</t>
  </si>
  <si>
    <t>MASTER-42182</t>
  </si>
  <si>
    <t>MASTER-42187</t>
  </si>
  <si>
    <t>MASTER-42188</t>
  </si>
  <si>
    <t>MASTER-42189</t>
  </si>
  <si>
    <t>MASTER-42191</t>
  </si>
  <si>
    <t>MASTER-41931</t>
  </si>
  <si>
    <t>MASTER-41933</t>
  </si>
  <si>
    <t>MASTER-41934</t>
  </si>
  <si>
    <t>MASTER-41935</t>
  </si>
  <si>
    <t>MASTER-41951</t>
  </si>
  <si>
    <t>MASTER-41952</t>
  </si>
  <si>
    <t>MASTER-51276</t>
  </si>
  <si>
    <t>MASTER-51277</t>
  </si>
  <si>
    <t>MASTER-58690</t>
  </si>
  <si>
    <t>MASTER-58693</t>
  </si>
  <si>
    <t>MASTER-46117</t>
  </si>
  <si>
    <t>MASTER-42177</t>
  </si>
  <si>
    <t>MASTER-42178</t>
  </si>
  <si>
    <t>MASTER-42180</t>
  </si>
  <si>
    <t>MASTER-42192</t>
  </si>
  <si>
    <t>MASTER-41936</t>
  </si>
  <si>
    <t>MASTER-41937</t>
  </si>
  <si>
    <t>MASTER-41953</t>
  </si>
  <si>
    <t>MASTER-51275</t>
  </si>
  <si>
    <t>MASTER-58691</t>
  </si>
  <si>
    <t>MASTER-46243</t>
  </si>
  <si>
    <t>MASTER-49266</t>
  </si>
  <si>
    <t>MASTER-60683</t>
  </si>
  <si>
    <t>MASTER-60789</t>
  </si>
  <si>
    <t>MASTER-49268</t>
  </si>
  <si>
    <t>MASTER-56840</t>
  </si>
  <si>
    <t>MASTER-56841</t>
  </si>
  <si>
    <t>MASTER-56842</t>
  </si>
  <si>
    <t>MASTER-46244</t>
  </si>
  <si>
    <t>MASTER-47567</t>
  </si>
  <si>
    <t>MASTER-50022</t>
  </si>
  <si>
    <t>MASTER-47568</t>
  </si>
  <si>
    <t>MASTER-47569</t>
  </si>
  <si>
    <t>MASTER-50091</t>
  </si>
  <si>
    <t>MASTER-50092</t>
  </si>
  <si>
    <t>MASTER-50095</t>
  </si>
  <si>
    <t>MASTER-50099</t>
  </si>
  <si>
    <t>MASTER-50100</t>
  </si>
  <si>
    <t>MASTER-50102</t>
  </si>
  <si>
    <t>MASTER-50106</t>
  </si>
  <si>
    <t>MASTER-47629</t>
  </si>
  <si>
    <t>MASTER-47630</t>
  </si>
  <si>
    <t>MASTER-47631</t>
  </si>
  <si>
    <t>MASTER-48036</t>
  </si>
  <si>
    <t>MASTER-19459</t>
  </si>
  <si>
    <t>MASTER-51056</t>
  </si>
  <si>
    <t>MASTER-51076</t>
  </si>
  <si>
    <t>MASTER-48037</t>
  </si>
  <si>
    <t>MASTER-51530</t>
  </si>
  <si>
    <t>MASTER-51531</t>
  </si>
  <si>
    <t>MASTER-48038</t>
  </si>
  <si>
    <t>MASTER-19444</t>
  </si>
  <si>
    <t>MASTER-48039</t>
  </si>
  <si>
    <t>MASTER-48040</t>
  </si>
  <si>
    <t>MASTER-50686</t>
  </si>
  <si>
    <t>MASTER-50687</t>
  </si>
  <si>
    <t>MASTER-48041</t>
  </si>
  <si>
    <t>MASTER-48042</t>
  </si>
  <si>
    <t>MASTER-42151</t>
  </si>
  <si>
    <t>MASTER-42152</t>
  </si>
  <si>
    <t>MASTER-50666</t>
  </si>
  <si>
    <t>MASTER-50861</t>
  </si>
  <si>
    <t>MASTER-50862</t>
  </si>
  <si>
    <t>MASTER-50863</t>
  </si>
  <si>
    <t>MASTER-50864</t>
  </si>
  <si>
    <t>MASTER-50865</t>
  </si>
  <si>
    <t>MASTER-50866</t>
  </si>
  <si>
    <t>MASTER-48043</t>
  </si>
  <si>
    <t>MASTER-48044</t>
  </si>
  <si>
    <t>MASTER-48045</t>
  </si>
  <si>
    <t>MASTER-42156</t>
  </si>
  <si>
    <t>MASTER-42157</t>
  </si>
  <si>
    <t>MASTER-50668</t>
  </si>
  <si>
    <t>UTICA-5364</t>
  </si>
  <si>
    <t>UTICA-4135</t>
  </si>
  <si>
    <t>UTICA-3212</t>
  </si>
  <si>
    <t>MASTER-48046</t>
  </si>
  <si>
    <t>MASTER-48047</t>
  </si>
  <si>
    <t>MASTER-48048</t>
  </si>
  <si>
    <t>MASTER-62843</t>
  </si>
  <si>
    <t>MASTER-62844</t>
  </si>
  <si>
    <t>MASTER-62845</t>
  </si>
  <si>
    <t>MASTER-62846</t>
  </si>
  <si>
    <t>MASTER-62847</t>
  </si>
  <si>
    <t>MASTER-62848</t>
  </si>
  <si>
    <t>MASTER-50058</t>
  </si>
  <si>
    <t>MASTER-50012</t>
  </si>
  <si>
    <t>MASTER-51667</t>
  </si>
  <si>
    <t>MASTER-51380</t>
  </si>
  <si>
    <t>MASTER-51821</t>
  </si>
  <si>
    <t>MASTER-51822</t>
  </si>
  <si>
    <t>MASTER-51850</t>
  </si>
  <si>
    <t>MASTER-51668</t>
  </si>
  <si>
    <t>MASTER-51825</t>
  </si>
  <si>
    <t>MASTER-51418</t>
  </si>
  <si>
    <t>MASTER-51855</t>
  </si>
  <si>
    <t>MASTER-51670</t>
  </si>
  <si>
    <t>MASTER-51377</t>
  </si>
  <si>
    <t>MASTER-51378</t>
  </si>
  <si>
    <t>MASTER-51426</t>
  </si>
  <si>
    <t>MASTER-51820</t>
  </si>
  <si>
    <t>MASTER-51373</t>
  </si>
  <si>
    <t>MASTER-51671</t>
  </si>
  <si>
    <t>MASTER-51827</t>
  </si>
  <si>
    <t>MASTER-51828</t>
  </si>
  <si>
    <t>MASTER-51829</t>
  </si>
  <si>
    <t>MASTER-51852</t>
  </si>
  <si>
    <t>MASTER-51672</t>
  </si>
  <si>
    <t>MASTER-51387</t>
  </si>
  <si>
    <t>MASTER-51388</t>
  </si>
  <si>
    <t>MASTER-51400</t>
  </si>
  <si>
    <t>MASTER-51401</t>
  </si>
  <si>
    <t>MASTER-51823</t>
  </si>
  <si>
    <t>MASTER-51396</t>
  </si>
  <si>
    <t>MASTER-51673</t>
  </si>
  <si>
    <t>MASTER-51674</t>
  </si>
  <si>
    <t>MASTER-51330</t>
  </si>
  <si>
    <t>MASTER-51809</t>
  </si>
  <si>
    <t>MASTER-56914</t>
  </si>
  <si>
    <t>MASTER-51322</t>
  </si>
  <si>
    <t>MASTER-51833</t>
  </si>
  <si>
    <t>MASTER-51841</t>
  </si>
  <si>
    <t>MASTER-56140</t>
  </si>
  <si>
    <t>MASTER-51675</t>
  </si>
  <si>
    <t>MASTER-51338</t>
  </si>
  <si>
    <t>MASTER-51341</t>
  </si>
  <si>
    <t>MASTER-51808</t>
  </si>
  <si>
    <t>MASTER-51811</t>
  </si>
  <si>
    <t>UTICA-6116</t>
  </si>
  <si>
    <t>MASTER-51320</t>
  </si>
  <si>
    <t>MASTER-51323</t>
  </si>
  <si>
    <t>MASTER-51832</t>
  </si>
  <si>
    <t>MASTER-51677</t>
  </si>
  <si>
    <t>MASTER-51332</t>
  </si>
  <si>
    <t>MASTER-51368</t>
  </si>
  <si>
    <t>MASTER-51409</t>
  </si>
  <si>
    <t>MASTER-51411</t>
  </si>
  <si>
    <t>MASTER-51423</t>
  </si>
  <si>
    <t>MASTER-51460</t>
  </si>
  <si>
    <t>MASTER-51468</t>
  </si>
  <si>
    <t>MASTER-51815</t>
  </si>
  <si>
    <t>MASTER-51817</t>
  </si>
  <si>
    <t>MASTER-51859</t>
  </si>
  <si>
    <t>MASTER-51365</t>
  </si>
  <si>
    <t>MASTER-51375</t>
  </si>
  <si>
    <t>MASTER-51404</t>
  </si>
  <si>
    <t>MASTER-51406</t>
  </si>
  <si>
    <t>MASTER-51421</t>
  </si>
  <si>
    <t>MASTER-51849</t>
  </si>
  <si>
    <t>MASTER-51856</t>
  </si>
  <si>
    <t>MASTER-51446</t>
  </si>
  <si>
    <t>MASTER-51462</t>
  </si>
  <si>
    <t>MASTER-51678</t>
  </si>
  <si>
    <t>MASTER-56916</t>
  </si>
  <si>
    <t>MASTER-51834</t>
  </si>
  <si>
    <t>MASTER-51679</t>
  </si>
  <si>
    <t>MASTER-60782</t>
  </si>
  <si>
    <t>MASTER-60787</t>
  </si>
  <si>
    <t>MASTER-51680</t>
  </si>
  <si>
    <t>MASTER-51681</t>
  </si>
  <si>
    <t>MASTER-51848</t>
  </si>
  <si>
    <t>MASTER-51682</t>
  </si>
  <si>
    <t>MASTER-51433</t>
  </si>
  <si>
    <t>MASTER-51440</t>
  </si>
  <si>
    <t>MASTER-51429</t>
  </si>
  <si>
    <t>MASTER-51435</t>
  </si>
  <si>
    <t>MASTER-51436</t>
  </si>
  <si>
    <t>MASTER-51441</t>
  </si>
  <si>
    <t>MASTER-51442</t>
  </si>
  <si>
    <t>MASTER-51837</t>
  </si>
  <si>
    <t>MASTER-51843</t>
  </si>
  <si>
    <t>MASTER-51845</t>
  </si>
  <si>
    <t>MASTER-51846</t>
  </si>
  <si>
    <t>MASTER-51683</t>
  </si>
  <si>
    <t>MASTER-51454</t>
  </si>
  <si>
    <t>MASTER-51455</t>
  </si>
  <si>
    <t>MASTER-51684</t>
  </si>
  <si>
    <t>MASTER-51384</t>
  </si>
  <si>
    <t>MASTER-51395</t>
  </si>
  <si>
    <t>MASTER-51685</t>
  </si>
  <si>
    <t>MASTER-51319</t>
  </si>
  <si>
    <t>MASTER-56919</t>
  </si>
  <si>
    <t>MASTER-51686</t>
  </si>
  <si>
    <t>MASTER-51353</t>
  </si>
  <si>
    <t>MASTER-51326</t>
  </si>
  <si>
    <t>MASTER-51325</t>
  </si>
  <si>
    <t>MASTER-51351</t>
  </si>
  <si>
    <t>MASTER-51806</t>
  </si>
  <si>
    <t>MASTER-50434</t>
  </si>
  <si>
    <t>MASTER-50306</t>
  </si>
  <si>
    <t>MASTER-50308</t>
  </si>
  <si>
    <t>MASTER-50309</t>
  </si>
  <si>
    <t>MASTER-50311</t>
  </si>
  <si>
    <t>MASTER-50312</t>
  </si>
  <si>
    <t>MASTER-50314</t>
  </si>
  <si>
    <t>MASTER-50315</t>
  </si>
  <si>
    <t>MASTER-50316</t>
  </si>
  <si>
    <t>MASTER-50318</t>
  </si>
  <si>
    <t>MASTER-50320</t>
  </si>
  <si>
    <t>MASTER-50322</t>
  </si>
  <si>
    <t>MASTER-50323</t>
  </si>
  <si>
    <t>MASTER-50324</t>
  </si>
  <si>
    <t>MASTER-50326</t>
  </si>
  <si>
    <t>MASTER-50330</t>
  </si>
  <si>
    <t>MASTER-50331</t>
  </si>
  <si>
    <t>MASTER-50358</t>
  </si>
  <si>
    <t>MASTER-50359</t>
  </si>
  <si>
    <t>MASTER-50360</t>
  </si>
  <si>
    <t>MASTER-50363</t>
  </si>
  <si>
    <t>MASTER-50364</t>
  </si>
  <si>
    <t>MASTER-50365</t>
  </si>
  <si>
    <t>MASTER-50366</t>
  </si>
  <si>
    <t>MASTER-50367</t>
  </si>
  <si>
    <t>MASTER-50368</t>
  </si>
  <si>
    <t>MASTER-50369</t>
  </si>
  <si>
    <t>MASTER-50370</t>
  </si>
  <si>
    <t>MASTER-50371</t>
  </si>
  <si>
    <t>MASTER-50373</t>
  </si>
  <si>
    <t>MASTER-50374</t>
  </si>
  <si>
    <t>MASTER-50376</t>
  </si>
  <si>
    <t>MASTER-50377</t>
  </si>
  <si>
    <t>MASTER-50378</t>
  </si>
  <si>
    <t>MASTER-50379</t>
  </si>
  <si>
    <t>MASTER-50380</t>
  </si>
  <si>
    <t>MASTER-50383</t>
  </si>
  <si>
    <t>MASTER-50384</t>
  </si>
  <si>
    <t>MASTER-50385</t>
  </si>
  <si>
    <t>MASTER-50387</t>
  </si>
  <si>
    <t>MASTER-50388</t>
  </si>
  <si>
    <t>MASTER-50389</t>
  </si>
  <si>
    <t>MASTER-50390</t>
  </si>
  <si>
    <t>MASTER-50392</t>
  </si>
  <si>
    <t>MASTER-50395</t>
  </si>
  <si>
    <t>MASTER-50403</t>
  </si>
  <si>
    <t>MASTER-50404</t>
  </si>
  <si>
    <t>MASTER-50405</t>
  </si>
  <si>
    <t>MASTER-55094</t>
  </si>
  <si>
    <t>MASTER-64619</t>
  </si>
  <si>
    <t>MASTER-64621</t>
  </si>
  <si>
    <t>MASTER-64622</t>
  </si>
  <si>
    <t>MASTER-64624</t>
  </si>
  <si>
    <t>MASTER-64625</t>
  </si>
  <si>
    <t>MASTER-64626</t>
  </si>
  <si>
    <t>MASTER-64627</t>
  </si>
  <si>
    <t>MASTER-64629</t>
  </si>
  <si>
    <t>MASTER-64630</t>
  </si>
  <si>
    <t>MASTER-64634</t>
  </si>
  <si>
    <t>MASTER-67080</t>
  </si>
  <si>
    <t>MASTER-67081</t>
  </si>
  <si>
    <t>MASTER-67082</t>
  </si>
  <si>
    <t>MASTER-67083</t>
  </si>
  <si>
    <t>MASTER-50305</t>
  </si>
  <si>
    <t>MASTER-50328</t>
  </si>
  <si>
    <t>MASTER-50350</t>
  </si>
  <si>
    <t>MASTER-50355</t>
  </si>
  <si>
    <t>MASTER-50396</t>
  </si>
  <si>
    <t>MASTER-50398</t>
  </si>
  <si>
    <t>MASTER-50400</t>
  </si>
  <si>
    <t>MASTER-50401</t>
  </si>
  <si>
    <t>MASTER-50436</t>
  </si>
  <si>
    <t>MASTER-50437</t>
  </si>
  <si>
    <t>MASTER-50438</t>
  </si>
  <si>
    <t>MASTER-55257</t>
  </si>
  <si>
    <t>MASTER-55258</t>
  </si>
  <si>
    <t>MASTER-64632</t>
  </si>
  <si>
    <t>MASTER-64636</t>
  </si>
  <si>
    <t>MASTER-64637</t>
  </si>
  <si>
    <t>MASTER-64638</t>
  </si>
  <si>
    <t>MASTER-64639</t>
  </si>
  <si>
    <t>MASTER-64641</t>
  </si>
  <si>
    <t>MASTER-64642</t>
  </si>
  <si>
    <t>MASTER-64643</t>
  </si>
  <si>
    <t>MASTER-64644</t>
  </si>
  <si>
    <t>MASTER-64645</t>
  </si>
  <si>
    <t>MASTER-64646</t>
  </si>
  <si>
    <t>MASTER-64647</t>
  </si>
  <si>
    <t>MASTER-64648</t>
  </si>
  <si>
    <t>MASTER-64649</t>
  </si>
  <si>
    <t>MASTER-64650</t>
  </si>
  <si>
    <t>MASTER-64651</t>
  </si>
  <si>
    <t>MASTER-64653</t>
  </si>
  <si>
    <t>MASTER-66516</t>
  </si>
  <si>
    <t>MASTER-75377</t>
  </si>
  <si>
    <t>MASTER-75378</t>
  </si>
  <si>
    <t>UTICA-6760</t>
  </si>
  <si>
    <t>UTICA-24666</t>
  </si>
  <si>
    <t>MASTER-50550</t>
  </si>
  <si>
    <t>MASTER-50551</t>
  </si>
  <si>
    <t>MASTER-50553</t>
  </si>
  <si>
    <t>UTICA-6553</t>
  </si>
  <si>
    <t>UTICA-6554</t>
  </si>
  <si>
    <t>UTICA-25438</t>
  </si>
  <si>
    <t>MASTER-50449</t>
  </si>
  <si>
    <t>MASTER-50450</t>
  </si>
  <si>
    <t>MASTER-50451</t>
  </si>
  <si>
    <t>MASTER-50452</t>
  </si>
  <si>
    <t>MASTER-50454</t>
  </si>
  <si>
    <t>MASTER-50456</t>
  </si>
  <si>
    <t>MASTER-50459</t>
  </si>
  <si>
    <t>MASTER-50460</t>
  </si>
  <si>
    <t>MASTER-50461</t>
  </si>
  <si>
    <t>MASTER-50462</t>
  </si>
  <si>
    <t>MASTER-50478</t>
  </si>
  <si>
    <t>MASTER-50479</t>
  </si>
  <si>
    <t>MASTER-50484</t>
  </si>
  <si>
    <t>MASTER-50485</t>
  </si>
  <si>
    <t>MASTER-50489</t>
  </si>
  <si>
    <t>MASTER-50490</t>
  </si>
  <si>
    <t>MASTER-50491</t>
  </si>
  <si>
    <t>MASTER-50493</t>
  </si>
  <si>
    <t>MASTER-50494</t>
  </si>
  <si>
    <t>MASTER-50495</t>
  </si>
  <si>
    <t>MASTER-50497</t>
  </si>
  <si>
    <t>MASTER-50498</t>
  </si>
  <si>
    <t>MASTER-50499</t>
  </si>
  <si>
    <t>MASTER-50500</t>
  </si>
  <si>
    <t>MASTER-50502</t>
  </si>
  <si>
    <t>MASTER-50503</t>
  </si>
  <si>
    <t>MASTER-50504</t>
  </si>
  <si>
    <t>MASTER-50505</t>
  </si>
  <si>
    <t>MASTER-50506</t>
  </si>
  <si>
    <t>MASTER-50507</t>
  </si>
  <si>
    <t>MASTER-50509</t>
  </si>
  <si>
    <t>MASTER-50511</t>
  </si>
  <si>
    <t>MASTER-50513</t>
  </si>
  <si>
    <t>MASTER-50515</t>
  </si>
  <si>
    <t>MASTER-50516</t>
  </si>
  <si>
    <t>MASTER-50517</t>
  </si>
  <si>
    <t>MASTER-50518</t>
  </si>
  <si>
    <t>MASTER-50519</t>
  </si>
  <si>
    <t>MASTER-50520</t>
  </si>
  <si>
    <t>MASTER-50521</t>
  </si>
  <si>
    <t>MASTER-50524</t>
  </si>
  <si>
    <t>MASTER-50552</t>
  </si>
  <si>
    <t>MASTER-50554</t>
  </si>
  <si>
    <t>MASTER-50555</t>
  </si>
  <si>
    <t>MASTER-50559</t>
  </si>
  <si>
    <t>MASTER-50560</t>
  </si>
  <si>
    <t>MASTER-64656</t>
  </si>
  <si>
    <t>MASTER-64657</t>
  </si>
  <si>
    <t>MASTER-64658</t>
  </si>
  <si>
    <t>MASTER-64661</t>
  </si>
  <si>
    <t>MASTER-64663</t>
  </si>
  <si>
    <t>MASTER-64665</t>
  </si>
  <si>
    <t>MASTER-64666</t>
  </si>
  <si>
    <t>MASTER-64669</t>
  </si>
  <si>
    <t>MASTER-64670</t>
  </si>
  <si>
    <t>MASTER-64671</t>
  </si>
  <si>
    <t>MASTER-64672</t>
  </si>
  <si>
    <t>MASTER-64674</t>
  </si>
  <si>
    <t>MASTER-64676</t>
  </si>
  <si>
    <t>MASTER-64677</t>
  </si>
  <si>
    <t>MASTER-64678</t>
  </si>
  <si>
    <t>UTICA-6774</t>
  </si>
  <si>
    <t>UTICA-6775</t>
  </si>
  <si>
    <t>UTICA-6776</t>
  </si>
  <si>
    <t>MASTER-53050</t>
  </si>
  <si>
    <t>MASTER-51891</t>
  </si>
  <si>
    <t>MASTER-51895</t>
  </si>
  <si>
    <t>MASTER-51897</t>
  </si>
  <si>
    <t>MASTER-51898</t>
  </si>
  <si>
    <t>MASTER-51899</t>
  </si>
  <si>
    <t>MASTER-51883</t>
  </si>
  <si>
    <t>MASTER-51886</t>
  </si>
  <si>
    <t>MASTER-51887</t>
  </si>
  <si>
    <t>MASTER-51889</t>
  </si>
  <si>
    <t>MASTER-51890</t>
  </si>
  <si>
    <t>MASTER-51888</t>
  </si>
  <si>
    <t>UTICA-4774</t>
  </si>
  <si>
    <t>MASTER-56060</t>
  </si>
  <si>
    <t>MASTER-56550</t>
  </si>
  <si>
    <t>MASTER-56552</t>
  </si>
  <si>
    <t>MASTER-56553</t>
  </si>
  <si>
    <t>MASTER-56554</t>
  </si>
  <si>
    <t>MASTER-56555</t>
  </si>
  <si>
    <t>MASTER-56556</t>
  </si>
  <si>
    <t>MASTER-56559</t>
  </si>
  <si>
    <t>MASTER-56561</t>
  </si>
  <si>
    <t>MASTER-56562</t>
  </si>
  <si>
    <t>MASTER-56564</t>
  </si>
  <si>
    <t>MASTER-56567</t>
  </si>
  <si>
    <t>MASTER-56568</t>
  </si>
  <si>
    <t>MASTER-56569</t>
  </si>
  <si>
    <t>MASTER-56571</t>
  </si>
  <si>
    <t>MASTER-56573</t>
  </si>
  <si>
    <t>UTICA-24859</t>
  </si>
  <si>
    <t>MASTER-56594</t>
  </si>
  <si>
    <t>MASTER-56596</t>
  </si>
  <si>
    <t>MASTER-56598</t>
  </si>
  <si>
    <t>MASTER-57009</t>
  </si>
  <si>
    <t>MASTER-56062</t>
  </si>
  <si>
    <t>MASTER-56586</t>
  </si>
  <si>
    <t>MASTER-56589</t>
  </si>
  <si>
    <t>MASTER-56575</t>
  </si>
  <si>
    <t>MASTER-56578</t>
  </si>
  <si>
    <t>MASTER-56579</t>
  </si>
  <si>
    <t>MASTER-56583</t>
  </si>
  <si>
    <t>MASTER-56585</t>
  </si>
  <si>
    <t>MASTER-56063</t>
  </si>
  <si>
    <t>MASTER-56883</t>
  </si>
  <si>
    <t>MASTER-56885</t>
  </si>
  <si>
    <t>MASTER-56886</t>
  </si>
  <si>
    <t>MASTER-56887</t>
  </si>
  <si>
    <t>MASTER-56888</t>
  </si>
  <si>
    <t>MASTER-56889</t>
  </si>
  <si>
    <t>MASTER-60855</t>
  </si>
  <si>
    <t>MASTER-60856</t>
  </si>
  <si>
    <t>MASTER-60857</t>
  </si>
  <si>
    <t>MASTER-61843</t>
  </si>
  <si>
    <t>MASTER-61844</t>
  </si>
  <si>
    <t>MASTER-60885</t>
  </si>
  <si>
    <t>MASTER-56857</t>
  </si>
  <si>
    <t>MASTER-56867</t>
  </si>
  <si>
    <t>MASTER-60866</t>
  </si>
  <si>
    <t>MASTER-56844</t>
  </si>
  <si>
    <t>MASTER-56846</t>
  </si>
  <si>
    <t>MASTER-56847</t>
  </si>
  <si>
    <t>MASTER-56848</t>
  </si>
  <si>
    <t>MASTER-56850</t>
  </si>
  <si>
    <t>MASTER-56852</t>
  </si>
  <si>
    <t>MASTER-56854</t>
  </si>
  <si>
    <t>MASTER-56855</t>
  </si>
  <si>
    <t>MASTER-56856</t>
  </si>
  <si>
    <t>MASTER-56859</t>
  </si>
  <si>
    <t>MASTER-56861</t>
  </si>
  <si>
    <t>MASTER-56862</t>
  </si>
  <si>
    <t>MASTER-56863</t>
  </si>
  <si>
    <t>MASTER-56868</t>
  </si>
  <si>
    <t>MASTER-56871</t>
  </si>
  <si>
    <t>MASTER-56872</t>
  </si>
  <si>
    <t>MASTER-60859</t>
  </si>
  <si>
    <t>MASTER-60861</t>
  </si>
  <si>
    <t>MASTER-60862</t>
  </si>
  <si>
    <t>MASTER-60864</t>
  </si>
  <si>
    <t>MASTER-60865</t>
  </si>
  <si>
    <t>MASTER-60883</t>
  </si>
  <si>
    <t>MASTER-60884</t>
  </si>
  <si>
    <t>MASTER-60886</t>
  </si>
  <si>
    <t>MASTER-60887</t>
  </si>
  <si>
    <t>MASTER-60888</t>
  </si>
  <si>
    <t>MASTER-60889</t>
  </si>
  <si>
    <t>MASTER-60890</t>
  </si>
  <si>
    <t>MASTER-60892</t>
  </si>
  <si>
    <t>MASTER-60893</t>
  </si>
  <si>
    <t>MASTER-60894</t>
  </si>
  <si>
    <t>MASTER-56066</t>
  </si>
  <si>
    <t>MASTER-57025</t>
  </si>
  <si>
    <t>MASTER-56904</t>
  </si>
  <si>
    <t>MASTER-56902</t>
  </si>
  <si>
    <t>MASTER-56905</t>
  </si>
  <si>
    <t>MASTER-56906</t>
  </si>
  <si>
    <t>MASTER-56907</t>
  </si>
  <si>
    <t>MASTER-56909</t>
  </si>
  <si>
    <t>MASTER-56910</t>
  </si>
  <si>
    <t>MASTER-56911</t>
  </si>
  <si>
    <t>MASTER-56912</t>
  </si>
  <si>
    <t>MASTER-57026</t>
  </si>
  <si>
    <t>MASTER-56823</t>
  </si>
  <si>
    <t>MASTER-56824</t>
  </si>
  <si>
    <t>MASTER-56825</t>
  </si>
  <si>
    <t>MASTER-56826</t>
  </si>
  <si>
    <t>MASTER-56828</t>
  </si>
  <si>
    <t>MASTER-56829</t>
  </si>
  <si>
    <t>MASTER-56831</t>
  </si>
  <si>
    <t>MASTER-56832</t>
  </si>
  <si>
    <t>MASTER-56833</t>
  </si>
  <si>
    <t>MASTER-56835</t>
  </si>
  <si>
    <t>MASTER-57027</t>
  </si>
  <si>
    <t>MASTER-50196</t>
  </si>
  <si>
    <t>MASTER-50207</t>
  </si>
  <si>
    <t>MASTER-50210</t>
  </si>
  <si>
    <t>MASTER-50212</t>
  </si>
  <si>
    <t>MASTER-50213</t>
  </si>
  <si>
    <t>MASTER-50214</t>
  </si>
  <si>
    <t>MASTER-51651</t>
  </si>
  <si>
    <t>MASTER-51665</t>
  </si>
  <si>
    <t>MASTER-51790</t>
  </si>
  <si>
    <t>MASTER-50201</t>
  </si>
  <si>
    <t>MASTER-50204</t>
  </si>
  <si>
    <t>MASTER-50215</t>
  </si>
  <si>
    <t>UTICA-6404</t>
  </si>
  <si>
    <t>UTICA-6399</t>
  </si>
  <si>
    <t>UTICA-6400</t>
  </si>
  <si>
    <t>UTICA-6402</t>
  </si>
  <si>
    <t>UTICA-6405</t>
  </si>
  <si>
    <t>UTICA-6406</t>
  </si>
  <si>
    <t>UTICA-6407</t>
  </si>
  <si>
    <t>UTICA-6408</t>
  </si>
  <si>
    <t>UTICA-6409</t>
  </si>
  <si>
    <t>UTICA-6412</t>
  </si>
  <si>
    <t>UTICA-6414</t>
  </si>
  <si>
    <t>UTICA-6416</t>
  </si>
  <si>
    <t>UTICA-6417</t>
  </si>
  <si>
    <t>MASTER-57682</t>
  </si>
  <si>
    <t>UTICA-25382</t>
  </si>
  <si>
    <t>MASTER-64595</t>
  </si>
  <si>
    <t>MASTER-19422</t>
  </si>
  <si>
    <t>MASTER-60906</t>
  </si>
  <si>
    <t>MASTER-60910</t>
  </si>
  <si>
    <t>MASTER-60911</t>
  </si>
  <si>
    <t>MASTER-60912</t>
  </si>
  <si>
    <t>MASTER-60913</t>
  </si>
  <si>
    <t>MASTER-60915</t>
  </si>
  <si>
    <t>MASTER-60917</t>
  </si>
  <si>
    <t>MASTER-61644</t>
  </si>
  <si>
    <t>MASTER-61645</t>
  </si>
  <si>
    <t>MASTER-64596</t>
  </si>
  <si>
    <t>UTICA-25383</t>
  </si>
  <si>
    <t>UTICA-25380</t>
  </si>
  <si>
    <t>UTICA-25381</t>
  </si>
  <si>
    <t>UTICA-24505</t>
  </si>
  <si>
    <t>UTICA-6861</t>
  </si>
  <si>
    <t>MASTER-60901</t>
  </si>
  <si>
    <t>UTICA-8389</t>
  </si>
  <si>
    <t>MASTER-60922</t>
  </si>
  <si>
    <t>MASTER-60923</t>
  </si>
  <si>
    <t>MASTER-60924</t>
  </si>
  <si>
    <t>MASTER-57684</t>
  </si>
  <si>
    <t>MASTER-57693</t>
  </si>
  <si>
    <t>MASTER-57685</t>
  </si>
  <si>
    <t>MASTER-57695</t>
  </si>
  <si>
    <t>MASTER-57696</t>
  </si>
  <si>
    <t>MASTER-57698</t>
  </si>
  <si>
    <t>MASTER-57686</t>
  </si>
  <si>
    <t>MASTER-58654</t>
  </si>
  <si>
    <t>MASTER-58656</t>
  </si>
  <si>
    <t>MASTER-59117</t>
  </si>
  <si>
    <t>MASTER-60876</t>
  </si>
  <si>
    <t>MASTER-58694</t>
  </si>
  <si>
    <t>MASTER-58695</t>
  </si>
  <si>
    <t>MASTER-58697</t>
  </si>
  <si>
    <t>MASTER-58698</t>
  </si>
  <si>
    <t>MASTER-58699</t>
  </si>
  <si>
    <t>MASTER-58700</t>
  </si>
  <si>
    <t>MASTER-58701</t>
  </si>
  <si>
    <t>MASTER-58702</t>
  </si>
  <si>
    <t>MASTER-60858</t>
  </si>
  <si>
    <t>MASTER-60868</t>
  </si>
  <si>
    <t>MASTER-60870</t>
  </si>
  <si>
    <t>MASTER-60871</t>
  </si>
  <si>
    <t>MASTER-60875</t>
  </si>
  <si>
    <t>MASTER-60877</t>
  </si>
  <si>
    <t>MASTER-60880</t>
  </si>
  <si>
    <t>MASTER-60881</t>
  </si>
  <si>
    <t>MASTER-59958</t>
  </si>
  <si>
    <t>MASTER-59959</t>
  </si>
  <si>
    <t>MASTER-59960</t>
  </si>
  <si>
    <t>MASTER-61705</t>
  </si>
  <si>
    <t>MASTER-61708</t>
  </si>
  <si>
    <t>MASTER-61698</t>
  </si>
  <si>
    <t>MASTER-61699</t>
  </si>
  <si>
    <t>MASTER-61700</t>
  </si>
  <si>
    <t>MASTER-61701</t>
  </si>
  <si>
    <t>MASTER-61702</t>
  </si>
  <si>
    <t>MASTER-61703</t>
  </si>
  <si>
    <t>MASTER-61704</t>
  </si>
  <si>
    <t>MASTER-61707</t>
  </si>
  <si>
    <t>MASTER-61709</t>
  </si>
  <si>
    <t>MASTER-61710</t>
  </si>
  <si>
    <t>MASTER-59964</t>
  </si>
  <si>
    <t>MASTER-61208</t>
  </si>
  <si>
    <t>MASTER-61209</t>
  </si>
  <si>
    <t>MASTER-61784</t>
  </si>
  <si>
    <t>MASTER-61878</t>
  </si>
  <si>
    <t>UTICA-24856</t>
  </si>
  <si>
    <t>MASTER-61607</t>
  </si>
  <si>
    <t>MASTER-63178</t>
  </si>
  <si>
    <t>MASTER-64367</t>
  </si>
  <si>
    <t>MASTER-64576</t>
  </si>
  <si>
    <t>MASTER-64582</t>
  </si>
  <si>
    <t>MASTER-64594</t>
  </si>
  <si>
    <t>MASTER-64573</t>
  </si>
  <si>
    <t>MASTER-64577</t>
  </si>
  <si>
    <t>MASTER-64578</t>
  </si>
  <si>
    <t>MASTER-64579</t>
  </si>
  <si>
    <t>MASTER-64580</t>
  </si>
  <si>
    <t>MASTER-64581</t>
  </si>
  <si>
    <t>MASTER-64584</t>
  </si>
  <si>
    <t>MASTER-64585</t>
  </si>
  <si>
    <t>MASTER-64586</t>
  </si>
  <si>
    <t>MASTER-64587</t>
  </si>
  <si>
    <t>MASTER-64588</t>
  </si>
  <si>
    <t>MASTER-64591</t>
  </si>
  <si>
    <t>MASTER-64592</t>
  </si>
  <si>
    <t>MASTER-64368</t>
  </si>
  <si>
    <t>MASTER-63153</t>
  </si>
  <si>
    <t>MASTER-63155</t>
  </si>
  <si>
    <t>MASTER-63164</t>
  </si>
  <si>
    <t>MASTER-63165</t>
  </si>
  <si>
    <t>MASTER-64370</t>
  </si>
  <si>
    <t>MASTER-64360</t>
  </si>
  <si>
    <t>MASTER-64362</t>
  </si>
  <si>
    <t>MASTER-64364</t>
  </si>
  <si>
    <t>MASTER-64366</t>
  </si>
  <si>
    <t>MASTER-64570</t>
  </si>
  <si>
    <t>MASTER-62909</t>
  </si>
  <si>
    <t>MASTER-62910</t>
  </si>
  <si>
    <t>MASTER-62912</t>
  </si>
  <si>
    <t>MASTER-62913</t>
  </si>
  <si>
    <t>MASTER-62915</t>
  </si>
  <si>
    <t>MASTER-62916</t>
  </si>
  <si>
    <t>MASTER-62918</t>
  </si>
  <si>
    <t>MASTER-73071</t>
  </si>
  <si>
    <t>MASTER-63139</t>
  </si>
  <si>
    <t>MASTER-63141</t>
  </si>
  <si>
    <t>MASTER-63142</t>
  </si>
  <si>
    <t>MASTER-63144</t>
  </si>
  <si>
    <t>MASTER-63145</t>
  </si>
  <si>
    <t>MASTER-63146</t>
  </si>
  <si>
    <t>MASTER-63148</t>
  </si>
  <si>
    <t>MASTER-63149</t>
  </si>
  <si>
    <t>MASTER-63151</t>
  </si>
  <si>
    <t>MASTER-63152</t>
  </si>
  <si>
    <t>MASTER-63156</t>
  </si>
  <si>
    <t>MASTER-63157</t>
  </si>
  <si>
    <t>MASTER-63158</t>
  </si>
  <si>
    <t>MASTER-63160</t>
  </si>
  <si>
    <t>MASTER-63161</t>
  </si>
  <si>
    <t>MASTER-63167</t>
  </si>
  <si>
    <t>MASTER-63168</t>
  </si>
  <si>
    <t>MASTER-63169</t>
  </si>
  <si>
    <t>MASTER-63170</t>
  </si>
  <si>
    <t>MASTER-63172</t>
  </si>
  <si>
    <t>MASTER-63173</t>
  </si>
  <si>
    <t>MASTER-63175</t>
  </si>
  <si>
    <t>MASTER-63176</t>
  </si>
  <si>
    <t>MASTER-64306</t>
  </si>
  <si>
    <t>MASTER-63147</t>
  </si>
  <si>
    <t>MASTER-73072</t>
  </si>
  <si>
    <t>MASTER-73073</t>
  </si>
  <si>
    <t>UTICA-26148</t>
  </si>
  <si>
    <t>URSFitting</t>
  </si>
  <si>
    <t>UTICA-26149</t>
  </si>
  <si>
    <t>MASTER-22008</t>
  </si>
  <si>
    <t>UTICA-26150</t>
  </si>
  <si>
    <t>MASTER-22147</t>
  </si>
  <si>
    <t>UTICA-26151</t>
  </si>
  <si>
    <t>UTICA-26152</t>
  </si>
  <si>
    <t>UTICA-26154</t>
  </si>
  <si>
    <t>UTICA-26155</t>
  </si>
  <si>
    <t>MASTER-6364</t>
  </si>
  <si>
    <t>MASTER-22208</t>
  </si>
  <si>
    <t>MASTER-22210</t>
  </si>
  <si>
    <t>MASTER-22211</t>
  </si>
  <si>
    <t>MASTER-22212</t>
  </si>
  <si>
    <t>MASTER-22214</t>
  </si>
  <si>
    <t>MASTER-22216</t>
  </si>
  <si>
    <t>MASTER-6371</t>
  </si>
  <si>
    <t>MASTER-17709</t>
  </si>
  <si>
    <t>MASTER-17710</t>
  </si>
  <si>
    <t>MASTER-60684</t>
  </si>
  <si>
    <t>MASTER-60703</t>
  </si>
  <si>
    <t>MASTER-60792</t>
  </si>
  <si>
    <t>MASTER-6372</t>
  </si>
  <si>
    <t>MASTER-6375</t>
  </si>
  <si>
    <t>MASTER-6379</t>
  </si>
  <si>
    <t>MASTER-19710</t>
  </si>
  <si>
    <t>MASTER-51873</t>
  </si>
  <si>
    <t>MASTER-6434</t>
  </si>
  <si>
    <t>MASTER-18465</t>
  </si>
  <si>
    <t>MASTER-22009</t>
  </si>
  <si>
    <t>MASTER-22013</t>
  </si>
  <si>
    <t>MASTER-22018</t>
  </si>
  <si>
    <t>MASTER-22015</t>
  </si>
  <si>
    <t>MASTER-22010</t>
  </si>
  <si>
    <t>MASTER-22011</t>
  </si>
  <si>
    <t>MASTER-22012</t>
  </si>
  <si>
    <t>MASTER-22016</t>
  </si>
  <si>
    <t>MASTER-22017</t>
  </si>
  <si>
    <t>MASTER-49934</t>
  </si>
  <si>
    <t>MASTER-49935</t>
  </si>
  <si>
    <t>MASTER-49937</t>
  </si>
  <si>
    <t>MASTER-22603</t>
  </si>
  <si>
    <t>MASTER-22604</t>
  </si>
  <si>
    <t>MASTER-22605</t>
  </si>
  <si>
    <t>MASTER-6435</t>
  </si>
  <si>
    <t>MASTER-18464</t>
  </si>
  <si>
    <t>MASTER-18474</t>
  </si>
  <si>
    <t>MASTER-18478</t>
  </si>
  <si>
    <t>MASTER-18463</t>
  </si>
  <si>
    <t>MASTER-18471</t>
  </si>
  <si>
    <t>MASTER-18473</t>
  </si>
  <si>
    <t>MASTER-18476</t>
  </si>
  <si>
    <t>MASTER-6436</t>
  </si>
  <si>
    <t>MASTER-18472</t>
  </si>
  <si>
    <t>MASTER-18483</t>
  </si>
  <si>
    <t>MASTER-6437</t>
  </si>
  <si>
    <t>MASTER-18562</t>
  </si>
  <si>
    <t>MASTER-18467</t>
  </si>
  <si>
    <t>MASTER-22023</t>
  </si>
  <si>
    <t>MASTER-55416</t>
  </si>
  <si>
    <t>MASTER-6439</t>
  </si>
  <si>
    <t>MASTER-6467</t>
  </si>
  <si>
    <t>MASTER-24800</t>
  </si>
  <si>
    <t>MASTER-18736</t>
  </si>
  <si>
    <t>MASTER-18738</t>
  </si>
  <si>
    <t>MASTER-22030</t>
  </si>
  <si>
    <t>MASTER-6482</t>
  </si>
  <si>
    <t>MASTER-6528</t>
  </si>
  <si>
    <t>MASTER-6542</t>
  </si>
  <si>
    <t>MASTER-22152</t>
  </si>
  <si>
    <t>MASTER-6627</t>
  </si>
  <si>
    <t>MASTER-19383</t>
  </si>
  <si>
    <t>MASTER-19395</t>
  </si>
  <si>
    <t>MASTER-19405</t>
  </si>
  <si>
    <t>MASTER-19406</t>
  </si>
  <si>
    <t>MASTER-19463</t>
  </si>
  <si>
    <t>MASTER-51115</t>
  </si>
  <si>
    <t>MASTER-22219</t>
  </si>
  <si>
    <t>MASTER-22220</t>
  </si>
  <si>
    <t>MASTER-6629</t>
  </si>
  <si>
    <t>MASTER-19388</t>
  </si>
  <si>
    <t>MASTER-19394</t>
  </si>
  <si>
    <t>MASTER-19399</t>
  </si>
  <si>
    <t>MASTER-19424</t>
  </si>
  <si>
    <t>MASTER-22227</t>
  </si>
  <si>
    <t>MASTER-22228</t>
  </si>
  <si>
    <t>MASTER-22251</t>
  </si>
  <si>
    <t>MASTER-22253</t>
  </si>
  <si>
    <t>MASTER-6630</t>
  </si>
  <si>
    <t>MASTER-22209</t>
  </si>
  <si>
    <t>MASTER-6642</t>
  </si>
  <si>
    <t>MASTER-19411</t>
  </si>
  <si>
    <t>MASTER-19413</t>
  </si>
  <si>
    <t>MASTER-22223</t>
  </si>
  <si>
    <t>MASTER-6644</t>
  </si>
  <si>
    <t>MASTER-19408</t>
  </si>
  <si>
    <t>MASTER-19409</t>
  </si>
  <si>
    <t>MASTER-19417</t>
  </si>
  <si>
    <t>MASTER-22224</t>
  </si>
  <si>
    <t>MASTER-22225</t>
  </si>
  <si>
    <t>MASTER-51904</t>
  </si>
  <si>
    <t>UTICA-221</t>
  </si>
  <si>
    <t>URSPPBTE</t>
  </si>
  <si>
    <t>MASTER-17102</t>
  </si>
  <si>
    <t>UTICA-342</t>
  </si>
  <si>
    <t>UTICA-367</t>
  </si>
  <si>
    <t>MASTER-17107</t>
  </si>
  <si>
    <t>MASTER-6205</t>
  </si>
  <si>
    <t>MASTER-17164</t>
  </si>
  <si>
    <t>UTICA-162</t>
  </si>
  <si>
    <t>MASTER-6210</t>
  </si>
  <si>
    <t>MASTER-17194</t>
  </si>
  <si>
    <t>MASTER-17195</t>
  </si>
  <si>
    <t>MASTER-17196</t>
  </si>
  <si>
    <t>MASTER-17199</t>
  </si>
  <si>
    <t>MASTER-17200</t>
  </si>
  <si>
    <t>MASTER-60009</t>
  </si>
  <si>
    <t>MASTER-17193</t>
  </si>
  <si>
    <t>MASTER-17197</t>
  </si>
  <si>
    <t>MASTER-17198</t>
  </si>
  <si>
    <t>MASTER-17201</t>
  </si>
  <si>
    <t>MASTER-60010</t>
  </si>
  <si>
    <t>MASTER-6215</t>
  </si>
  <si>
    <t>MASTER-17222</t>
  </si>
  <si>
    <t>MASTER-17223</t>
  </si>
  <si>
    <t>MASTER-17224</t>
  </si>
  <si>
    <t>MASTER-60013</t>
  </si>
  <si>
    <t>MASTER-17220</t>
  </si>
  <si>
    <t>MASTER-17221</t>
  </si>
  <si>
    <t>MASTER-17225</t>
  </si>
  <si>
    <t>MASTER-60014</t>
  </si>
  <si>
    <t>MASTER-60015</t>
  </si>
  <si>
    <t>MASTER-6226</t>
  </si>
  <si>
    <t>MASTER-17268</t>
  </si>
  <si>
    <t>MASTER-6228</t>
  </si>
  <si>
    <t>MASTER-6232</t>
  </si>
  <si>
    <t>MASTER-59973</t>
  </si>
  <si>
    <t>MASTER-6236</t>
  </si>
  <si>
    <t>MASTER-17280</t>
  </si>
  <si>
    <t>MASTER-6237</t>
  </si>
  <si>
    <t>MASTER-17281</t>
  </si>
  <si>
    <t>MASTER-6240</t>
  </si>
  <si>
    <t>MASTER-17283</t>
  </si>
  <si>
    <t>MASTER-6245</t>
  </si>
  <si>
    <t>MASTER-17298</t>
  </si>
  <si>
    <t>UTICA-166</t>
  </si>
  <si>
    <t>MASTER-6257</t>
  </si>
  <si>
    <t>MASTER-6268</t>
  </si>
  <si>
    <t>MASTER-6283</t>
  </si>
  <si>
    <t>MASTER-59986</t>
  </si>
  <si>
    <t>MASTER-6296</t>
  </si>
  <si>
    <t>MASTER-17498</t>
  </si>
  <si>
    <t>MASTER-6301</t>
  </si>
  <si>
    <t>MASTER-17503</t>
  </si>
  <si>
    <t>MASTER-6307</t>
  </si>
  <si>
    <t>MASTER-17520</t>
  </si>
  <si>
    <t>MASTER-17524</t>
  </si>
  <si>
    <t>UTICA-19407</t>
  </si>
  <si>
    <t>MASTER-6308</t>
  </si>
  <si>
    <t>MASTER-17525</t>
  </si>
  <si>
    <t>MASTER-6321</t>
  </si>
  <si>
    <t>MASTER-17575</t>
  </si>
  <si>
    <t>MASTER-17577</t>
  </si>
  <si>
    <t>MASTER-17573</t>
  </si>
  <si>
    <t>MASTER-6325</t>
  </si>
  <si>
    <t>MASTER-18707</t>
  </si>
  <si>
    <t>MASTER-6326</t>
  </si>
  <si>
    <t>MASTER-6327</t>
  </si>
  <si>
    <t>MASTER-6345</t>
  </si>
  <si>
    <t>MASTER-6346</t>
  </si>
  <si>
    <t>MASTER-6347</t>
  </si>
  <si>
    <t>MASTER-6348</t>
  </si>
  <si>
    <t>MASTER-6353</t>
  </si>
  <si>
    <t>MASTER-6354</t>
  </si>
  <si>
    <t>MASTER-6355</t>
  </si>
  <si>
    <t>MASTER-6432</t>
  </si>
  <si>
    <t>MASTER-18469</t>
  </si>
  <si>
    <t>MASTER-18399</t>
  </si>
  <si>
    <t>MASTER-18481</t>
  </si>
  <si>
    <t>MASTER-18547</t>
  </si>
  <si>
    <t>MASTER-18550</t>
  </si>
  <si>
    <t>MASTER-18554</t>
  </si>
  <si>
    <t>MASTER-18614</t>
  </si>
  <si>
    <t>MASTER-18615</t>
  </si>
  <si>
    <t>MASTER-55396</t>
  </si>
  <si>
    <t>MASTER-19854</t>
  </si>
  <si>
    <t>MASTER-19859</t>
  </si>
  <si>
    <t>MASTER-19861</t>
  </si>
  <si>
    <t>MASTER-19853</t>
  </si>
  <si>
    <t>MASTER-19862</t>
  </si>
  <si>
    <t>MASTER-19863</t>
  </si>
  <si>
    <t>MASTER-6433</t>
  </si>
  <si>
    <t>MASTER-18466</t>
  </si>
  <si>
    <t>MASTER-18477</t>
  </si>
  <si>
    <t>MASTER-18482</t>
  </si>
  <si>
    <t>MASTER-18484</t>
  </si>
  <si>
    <t>MASTER-18486</t>
  </si>
  <si>
    <t>MASTER-6438</t>
  </si>
  <si>
    <t>MASTER-18557</t>
  </si>
  <si>
    <t>MASTER-6511</t>
  </si>
  <si>
    <t>MASTER-6522</t>
  </si>
  <si>
    <t>MASTER-6556</t>
  </si>
  <si>
    <t>MASTER-51793</t>
  </si>
  <si>
    <t>MASTER-51866</t>
  </si>
  <si>
    <t>MASTER-51796</t>
  </si>
  <si>
    <t>MASTER-51798</t>
  </si>
  <si>
    <t>MASTER-51800</t>
  </si>
  <si>
    <t>MASTER-51867</t>
  </si>
  <si>
    <t>MASTER-51871</t>
  </si>
  <si>
    <t>MASTER-51870</t>
  </si>
  <si>
    <t>MASTER-51801</t>
  </si>
  <si>
    <t>MASTER-51802</t>
  </si>
  <si>
    <t>MASTER-51869</t>
  </si>
  <si>
    <t>MASTER-51804</t>
  </si>
  <si>
    <t>MASTER-51805</t>
  </si>
  <si>
    <t>MASTER-51872</t>
  </si>
  <si>
    <t>UTICA-19408</t>
  </si>
  <si>
    <t>MASTER-58655</t>
  </si>
  <si>
    <t>MASTER-58657</t>
  </si>
  <si>
    <t>MASTER-61597</t>
  </si>
  <si>
    <t>MASTER-61601</t>
  </si>
  <si>
    <t>MASTER-61602</t>
  </si>
  <si>
    <t>MASTER-61604</t>
  </si>
  <si>
    <t>MASTER-61622</t>
  </si>
  <si>
    <t>GENESIS-8189</t>
  </si>
  <si>
    <t>MASTER-64984</t>
  </si>
  <si>
    <t>URSThrive</t>
  </si>
  <si>
    <t>MASTER-64989</t>
  </si>
  <si>
    <t>MASTER-64990</t>
  </si>
  <si>
    <t>MASTER-64991</t>
  </si>
  <si>
    <t>MASTER-64992</t>
  </si>
  <si>
    <t>MASTER-64994</t>
  </si>
  <si>
    <t>MASTER-64995</t>
  </si>
  <si>
    <t>MASTER-64999</t>
  </si>
  <si>
    <t>MASTER-65000</t>
  </si>
  <si>
    <t>MASTER-65001</t>
  </si>
  <si>
    <t>MASTER-65003</t>
  </si>
  <si>
    <t>MASTER-51252</t>
  </si>
  <si>
    <t>MASTER-51255</t>
  </si>
  <si>
    <t>MASTER-51256</t>
  </si>
  <si>
    <t>MASTER-51257</t>
  </si>
  <si>
    <t>MASTER-51259</t>
  </si>
  <si>
    <t>MASTER-51262</t>
  </si>
  <si>
    <t>MASTER-51263</t>
  </si>
  <si>
    <t>MASTER-51264</t>
  </si>
  <si>
    <t>MASTER-51266</t>
  </si>
  <si>
    <t>MASTER-51267</t>
  </si>
  <si>
    <t>MASTER-51269</t>
  </si>
  <si>
    <t>MASTER-65005</t>
  </si>
  <si>
    <t>MASTER-65006</t>
  </si>
  <si>
    <t>MASTER-65007</t>
  </si>
  <si>
    <t>MASTER-65011</t>
  </si>
  <si>
    <t>MASTER-65013</t>
  </si>
  <si>
    <t>MASTER-64600</t>
  </si>
  <si>
    <t>MASTER-67127</t>
  </si>
  <si>
    <t>MASTER-67129</t>
  </si>
  <si>
    <t>MASTER-67130</t>
  </si>
  <si>
    <t>MASTER-67131</t>
  </si>
  <si>
    <t>MASTER-67132</t>
  </si>
  <si>
    <t>MASTER-65019</t>
  </si>
  <si>
    <t>MASTER-65020</t>
  </si>
  <si>
    <t>MASTER-65024</t>
  </si>
  <si>
    <t>MASTER-65025</t>
  </si>
  <si>
    <t>MASTER-65026</t>
  </si>
  <si>
    <t>MASTER-65027</t>
  </si>
  <si>
    <t>MASTER-65029</t>
  </si>
  <si>
    <t>MASTER-65031</t>
  </si>
  <si>
    <t>MASTER-65035</t>
  </si>
  <si>
    <t>MASTER-65036</t>
  </si>
  <si>
    <t>MASTER-65037</t>
  </si>
  <si>
    <t>MASTER-65038</t>
  </si>
  <si>
    <t>MASTER-65039</t>
  </si>
  <si>
    <t>MASTER-65040</t>
  </si>
  <si>
    <t>MASTER-65041</t>
  </si>
  <si>
    <t>MASTER-65042</t>
  </si>
  <si>
    <t>MASTER-65043</t>
  </si>
  <si>
    <t>MASTER-65045</t>
  </si>
  <si>
    <t>MASTER-65046</t>
  </si>
  <si>
    <t>MASTER-65047</t>
  </si>
  <si>
    <t>MASTER-65049</t>
  </si>
  <si>
    <t>MASTER-65052</t>
  </si>
  <si>
    <t>MASTER-65053</t>
  </si>
  <si>
    <t>MASTER-65055</t>
  </si>
  <si>
    <t>MASTER-65057</t>
  </si>
  <si>
    <t>MASTER-65059</t>
  </si>
  <si>
    <t>MASTER-65061</t>
  </si>
  <si>
    <t>MASTER-65063</t>
  </si>
  <si>
    <t>MASTER-65065</t>
  </si>
  <si>
    <t>MASTER-65073</t>
  </si>
  <si>
    <t>MASTER-65075</t>
  </si>
  <si>
    <t>MASTER-65079</t>
  </si>
  <si>
    <t>MASTER-65084</t>
  </si>
  <si>
    <t>MASTER-65086</t>
  </si>
  <si>
    <t>MASTER-65087</t>
  </si>
  <si>
    <t>MASTER-65088</t>
  </si>
  <si>
    <t>MASTER-65090</t>
  </si>
  <si>
    <t>MASTER-65094</t>
  </si>
  <si>
    <t>MASTER-65095</t>
  </si>
  <si>
    <t>MASTER-65096</t>
  </si>
  <si>
    <t>MASTER-65098</t>
  </si>
  <si>
    <t>MASTER-66515</t>
  </si>
  <si>
    <t>MASTER-65100</t>
  </si>
  <si>
    <t>MASTER-65116</t>
  </si>
  <si>
    <t>Summary Statistics</t>
  </si>
  <si>
    <t>Trace Matrix</t>
  </si>
  <si>
    <t>Source.Name</t>
  </si>
  <si>
    <t>CIC URS Requirements</t>
  </si>
  <si>
    <t>All Reqs Covered</t>
  </si>
  <si>
    <t>Parent ID</t>
  </si>
  <si>
    <t>Item Type</t>
  </si>
  <si>
    <t>MASTER-6201</t>
  </si>
  <si>
    <t>User Requirement</t>
  </si>
  <si>
    <t>MASTER-6271</t>
  </si>
  <si>
    <t>MASTER-6311</t>
  </si>
  <si>
    <t>MASTER-6312</t>
  </si>
  <si>
    <t>MASTER-6384</t>
  </si>
  <si>
    <t>MASTER-6403</t>
  </si>
  <si>
    <t>MASTER-6492</t>
  </si>
  <si>
    <t>MASTER-6567</t>
  </si>
  <si>
    <t>MASTER-6579</t>
  </si>
  <si>
    <t>MASTER-6684</t>
  </si>
  <si>
    <t>MASTER-6707</t>
  </si>
  <si>
    <t>MASTER-41911</t>
  </si>
  <si>
    <t>MASTER-41916</t>
  </si>
  <si>
    <t>MASTER-41917</t>
  </si>
  <si>
    <t>MASTER-41918</t>
  </si>
  <si>
    <t>MASTER-41919</t>
  </si>
  <si>
    <t>MASTER-61595</t>
  </si>
  <si>
    <t>UTICA-2312</t>
  </si>
  <si>
    <t>MASTER-6603</t>
  </si>
  <si>
    <t>MASTER-6604</t>
  </si>
  <si>
    <t>MASTER-6605</t>
  </si>
  <si>
    <t>MASTER-6606</t>
  </si>
  <si>
    <t>MASTER-6607</t>
  </si>
  <si>
    <t>MASTER-6626</t>
  </si>
  <si>
    <t>MASTER-61605</t>
  </si>
  <si>
    <t>UTICA-9391</t>
  </si>
  <si>
    <t>MASTER-6456</t>
  </si>
  <si>
    <t>UTICA-222</t>
  </si>
  <si>
    <t>UTICA-224</t>
  </si>
  <si>
    <t>UTICA-225</t>
  </si>
  <si>
    <t>UTICA-239</t>
  </si>
  <si>
    <t>UTICA-243</t>
  </si>
  <si>
    <t>UTICA-255</t>
  </si>
  <si>
    <t>UTICA-256</t>
  </si>
  <si>
    <t>UTICA-355</t>
  </si>
  <si>
    <t>UTICA-356</t>
  </si>
  <si>
    <t>UTICA-357</t>
  </si>
  <si>
    <t>UTICA-358</t>
  </si>
  <si>
    <t>UTICA-363</t>
  </si>
  <si>
    <t>MASTER-64980</t>
  </si>
  <si>
    <t>MASTER-64981</t>
  </si>
  <si>
    <t>MASTER-64982</t>
  </si>
  <si>
    <t>MASTER-64983</t>
  </si>
  <si>
    <t>MASTER-64986</t>
  </si>
  <si>
    <t>MASTER-64987</t>
  </si>
  <si>
    <t>MASTER-64996</t>
  </si>
  <si>
    <t>MASTER-65008</t>
  </si>
  <si>
    <t>MASTER-65009</t>
  </si>
  <si>
    <t>MASTER-65021</t>
  </si>
  <si>
    <t>MASTER-65023</t>
  </si>
  <si>
    <t>MASTER-65030</t>
  </si>
  <si>
    <t>MASTER-65032</t>
  </si>
  <si>
    <t>MASTER-65034</t>
  </si>
  <si>
    <t>MASTER-65044</t>
  </si>
  <si>
    <t>MASTER-65050</t>
  </si>
  <si>
    <t>MASTER-65051</t>
  </si>
  <si>
    <t>MASTER-65054</t>
  </si>
  <si>
    <t>MASTER-65058</t>
  </si>
  <si>
    <t>MASTER-65062</t>
  </si>
  <si>
    <t>MASTER-65066</t>
  </si>
  <si>
    <t>MASTER-65067</t>
  </si>
  <si>
    <t>MASTER-65069</t>
  </si>
  <si>
    <t>MASTER-65118</t>
  </si>
  <si>
    <t>MASTER-65119</t>
  </si>
  <si>
    <t>MASTER-65120</t>
  </si>
  <si>
    <t>GENESIS-19959</t>
  </si>
  <si>
    <t>GENESIS-19960</t>
  </si>
  <si>
    <t>UTICA-26260</t>
  </si>
  <si>
    <t>MASTER-20222</t>
  </si>
  <si>
    <t>MASTER-6009</t>
  </si>
  <si>
    <t>MASTER-19678</t>
  </si>
  <si>
    <t>UTICA-25739</t>
  </si>
  <si>
    <t>MASTER-50090</t>
  </si>
  <si>
    <t>SyRS Documents</t>
  </si>
  <si>
    <t>Table of Contents</t>
  </si>
  <si>
    <t>Background</t>
  </si>
  <si>
    <t>Methodology</t>
  </si>
  <si>
    <t>ENGINEER:</t>
  </si>
  <si>
    <t>CIC Requirement Trace</t>
  </si>
  <si>
    <t>BTE Requirement Trace</t>
  </si>
  <si>
    <t>Thrive Requirement Trace</t>
  </si>
  <si>
    <t>Inspire Requirement Trace</t>
  </si>
  <si>
    <t>URSs</t>
  </si>
  <si>
    <t>SyRSs</t>
  </si>
  <si>
    <t>Utica Features on Tulum HA Feature SyRS</t>
  </si>
  <si>
    <t>Utica Features on Sydney HA Feature Spec</t>
  </si>
  <si>
    <t>Utica Features on Quebec HA Feature SyRS</t>
  </si>
  <si>
    <t>Utica Features on Paris HA Feature SyRS</t>
  </si>
  <si>
    <t>Utica HA Feature SyRS</t>
  </si>
  <si>
    <t>Thrive Mobile App SyRS</t>
  </si>
  <si>
    <t>2.4 GHz Power Plus BTE 13 SyRS</t>
  </si>
  <si>
    <t>2.4 GHz CIC 312 Zn-air SyRS</t>
  </si>
  <si>
    <t>Inspire SyRS</t>
  </si>
  <si>
    <t>Utica 2.4GHz Power Plus BTE 13</t>
  </si>
  <si>
    <t>Utica 2.4 GHz CIC 312 URS</t>
  </si>
  <si>
    <t>Thrive Mobile App URS</t>
  </si>
  <si>
    <t>Utica Fitting Software URS</t>
  </si>
  <si>
    <t>Acronym List</t>
  </si>
  <si>
    <t>CIC URS Reqs</t>
  </si>
  <si>
    <t>BTE URS Reqs</t>
  </si>
  <si>
    <t>Thrive URS Reqs</t>
  </si>
  <si>
    <t>Inspire URS Reqs</t>
  </si>
  <si>
    <t>Introduction</t>
  </si>
  <si>
    <t>Acronym</t>
  </si>
  <si>
    <t>Definition</t>
  </si>
  <si>
    <t>User Requirement Specification</t>
  </si>
  <si>
    <t>System Requirement Specification</t>
  </si>
  <si>
    <t>Xref</t>
  </si>
  <si>
    <t>Cross Reference</t>
  </si>
  <si>
    <t>Title</t>
  </si>
  <si>
    <t>This document presents the mapping between the Utica Continuation Release 1.0 user requirements and the system requirements.</t>
  </si>
  <si>
    <t>The mapping is performed between these sets of user requirement documents and system requirement documents.</t>
  </si>
  <si>
    <t>HA</t>
  </si>
  <si>
    <t>Hearing Aid</t>
  </si>
  <si>
    <t>CIC</t>
  </si>
  <si>
    <t>BTE</t>
  </si>
  <si>
    <t>Behind the Ear</t>
  </si>
  <si>
    <t>Completely in the Canal</t>
  </si>
  <si>
    <t>UTICA-28121</t>
  </si>
  <si>
    <t>UTICA-28120</t>
  </si>
  <si>
    <t>GQ-SPEC-00834v3</t>
  </si>
  <si>
    <t>GQ-SPEC-00885v2</t>
  </si>
  <si>
    <t>GQ-SPEC-00886v2</t>
  </si>
  <si>
    <t>GQ-SPEC-00887v2</t>
  </si>
  <si>
    <t>GQ-SPEC-00888v2</t>
  </si>
  <si>
    <t>GQ-SPEC-00884v2</t>
  </si>
  <si>
    <t>GQ-SPEC-00882v1</t>
  </si>
  <si>
    <t>GQ-SPEC-00883v1</t>
  </si>
  <si>
    <t>GQ-SPEC-00889v1</t>
  </si>
  <si>
    <t>GQ-SPEC-00969v2</t>
  </si>
  <si>
    <t>GQ-SPEC-00989v2</t>
  </si>
  <si>
    <t>GQ-SPEC-01001v1</t>
  </si>
  <si>
    <t>GQ-SPEC-01002v1</t>
  </si>
  <si>
    <t>Utica Continuation Release 2 Trace Matrices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</si>
</sst>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theme="1"/>
      <name val="Courier New"/>
      <family val="3"/>
    </font>
    <font>
      <sz val="8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theme="1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">
    <xf numFmtId="0" fontId="0" fillId="0" borderId="0" xfId="0"/>
    <xf numFmtId="0" fontId="5" fillId="3" borderId="0" xfId="7"/>
    <xf numFmtId="0" fontId="6" fillId="4" borderId="0" xfId="8"/>
    <xf numFmtId="0" fontId="0" fillId="0" borderId="0" xfId="0" applyNumberFormat="1"/>
    <xf numFmtId="0" fontId="3" fillId="2" borderId="0" xfId="2"/>
    <xf numFmtId="0" fontId="3" fillId="6" borderId="3" xfId="0" applyFont="1" applyFill="1" applyBorder="1" applyAlignment="1">
      <alignment horizontal="center" vertical="top"/>
    </xf>
    <xf numFmtId="0" fontId="3" fillId="7" borderId="4" xfId="0" applyFont="1" applyFill="1" applyBorder="1" applyAlignment="1">
      <alignment horizontal="centerContinuous" vertical="top"/>
    </xf>
    <xf numFmtId="0" fontId="3" fillId="7" borderId="5" xfId="0" applyFont="1" applyFill="1" applyBorder="1" applyAlignment="1">
      <alignment horizontal="centerContinuous" vertical="top"/>
    </xf>
    <xf numFmtId="0" fontId="3" fillId="7" borderId="6" xfId="0" applyFont="1" applyFill="1" applyBorder="1" applyAlignment="1">
      <alignment horizontal="centerContinuous" vertical="top"/>
    </xf>
    <xf numFmtId="0" fontId="11" fillId="0" borderId="7" xfId="0" applyFont="1" applyBorder="1" applyAlignment="1">
      <alignment vertical="top"/>
    </xf>
    <xf numFmtId="0" fontId="11" fillId="0" borderId="7" xfId="0" applyFont="1" applyBorder="1" applyAlignment="1">
      <alignment vertical="top" wrapText="1"/>
    </xf>
    <xf numFmtId="0" fontId="11" fillId="0" borderId="8" xfId="0" applyFont="1" applyBorder="1" applyAlignment="1">
      <alignment vertical="top"/>
    </xf>
    <xf numFmtId="0" fontId="11" fillId="0" borderId="8" xfId="0" applyFont="1" applyBorder="1" applyAlignment="1">
      <alignment vertical="top" wrapText="1"/>
    </xf>
    <xf numFmtId="0" fontId="11" fillId="0" borderId="9" xfId="0" applyFont="1" applyBorder="1" applyAlignment="1">
      <alignment vertical="top"/>
    </xf>
    <xf numFmtId="0" fontId="11" fillId="0" borderId="9" xfId="0" applyFont="1" applyBorder="1" applyAlignment="1">
      <alignment vertical="top" wrapText="1"/>
    </xf>
    <xf numFmtId="0" fontId="3" fillId="5" borderId="3" xfId="0" applyFont="1" applyFill="1" applyBorder="1" applyAlignment="1">
      <alignment horizontal="center" vertical="top"/>
    </xf>
    <xf numFmtId="0" fontId="11" fillId="0" borderId="8" xfId="0" applyFont="1" applyFill="1" applyBorder="1" applyAlignment="1">
      <alignment vertical="top" wrapText="1"/>
    </xf>
    <xf numFmtId="0" fontId="0" fillId="0" borderId="0" xfId="0" applyAlignment="1">
      <alignment horizontal="right"/>
    </xf>
    <xf numFmtId="0" fontId="11" fillId="0" borderId="9" xfId="0" applyFont="1" applyFill="1" applyBorder="1" applyAlignment="1">
      <alignment vertical="top" wrapText="1"/>
    </xf>
    <xf numFmtId="0" fontId="9" fillId="0" borderId="0" xfId="12"/>
    <xf numFmtId="0" fontId="0" fillId="0" borderId="12" xfId="0" applyBorder="1"/>
    <xf numFmtId="0" fontId="13" fillId="0" borderId="13" xfId="0" applyFont="1" applyBorder="1"/>
    <xf numFmtId="0" fontId="13" fillId="0" borderId="11" xfId="0" applyFont="1" applyBorder="1"/>
    <xf numFmtId="0" fontId="14" fillId="0" borderId="12" xfId="0" applyFont="1" applyBorder="1"/>
    <xf numFmtId="0" fontId="14" fillId="0" borderId="0" xfId="0" applyFont="1" applyBorder="1"/>
    <xf numFmtId="0" fontId="14" fillId="0" borderId="14" xfId="0" applyFont="1" applyBorder="1"/>
    <xf numFmtId="0" fontId="14" fillId="0" borderId="12" xfId="0" applyFont="1" applyBorder="1" applyAlignment="1">
      <alignment shrinkToFit="1"/>
    </xf>
    <xf numFmtId="0" fontId="14" fillId="0" borderId="12" xfId="0" applyFont="1" applyBorder="1" applyAlignment="1">
      <alignment horizontal="left" shrinkToFit="1"/>
    </xf>
    <xf numFmtId="0" fontId="0" fillId="4" borderId="0" xfId="8" applyFont="1"/>
    <xf numFmtId="0" fontId="6" fillId="4" borderId="0" xfId="8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3" fillId="7" borderId="10" xfId="0" applyFont="1" applyFill="1" applyBorder="1" applyAlignment="1">
      <alignment horizontal="centerContinuous" vertical="top" wrapText="1"/>
    </xf>
    <xf numFmtId="0" fontId="3" fillId="6" borderId="15" xfId="0" applyFont="1" applyFill="1" applyBorder="1" applyAlignment="1">
      <alignment horizontal="center" vertical="top" wrapText="1"/>
    </xf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Biegert Table Standard" defaultPivotStyle="PivotStyleLight16"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</xdr:colOff>
      <xdr:row>36</xdr:row>
      <xdr:rowOff>133350</xdr:rowOff>
    </xdr:from>
    <xdr:to>
      <xdr:col>3</xdr:col>
      <xdr:colOff>421005</xdr:colOff>
      <xdr:row>38</xdr:row>
      <xdr:rowOff>49530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AA65D9E-6810-462D-AE8B-68A76E21898C}"/>
            </a:ext>
          </a:extLst>
        </xdr:cNvPr>
        <xdr:cNvSpPr/>
      </xdr:nvSpPr>
      <xdr:spPr>
        <a:xfrm>
          <a:off x="4617720" y="6343650"/>
          <a:ext cx="327660" cy="2590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9A0B6CCD-0341-4426-B796-92AA833E4530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07910E1-9FC2-480D-A7D2-3FDC50F0DBB8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BAE0255-BC7D-40F9-99C3-8534AEF4736A}" autoFormatId="16" applyNumberFormats="0" applyBorderFormats="0" applyFontFormats="0" applyPatternFormats="0" applyAlignmentFormats="0" applyWidthHeightFormats="0">
  <queryTableRefresh nextId="7">
    <queryTableFields count="4">
      <queryTableField id="1" name="URS" tableColumnId="1"/>
      <queryTableField id="5" name="Parent Document" tableColumnId="5"/>
      <queryTableField id="2" name="SyRS" tableColumnId="2"/>
      <queryTableField id="4" name="Source.Nam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9AD77E2F-CEED-4BBF-A946-EA0AA2943D66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E369F742-AD0B-4843-8A55-0DC2D0420733}" autoFormatId="16" applyNumberFormats="0" applyBorderFormats="0" applyFontFormats="0" applyPatternFormats="0" applyAlignmentFormats="0" applyWidthHeightFormats="0">
  <queryTableRefresh nextId="4">
    <queryTableFields count="3">
      <queryTableField id="1" name="Parent ID" tableColumnId="1"/>
      <queryTableField id="2" name="Item Type" tableColumnId="2"/>
      <queryTableField id="3" name="Parent Docum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73DBE7-CFC1-477D-B529-66679287D49E}" name="Flowdown_Thrive" displayName="Flowdown_Thrive" ref="A1:C551" tableType="queryTable" totalsRowShown="0">
  <autoFilter ref="A1:C551" xr:uid="{0AEA9590-3465-4212-BBE0-ABE8334DEA35}"/>
  <tableColumns count="3">
    <tableColumn id="1" xr3:uid="{7A02210C-2839-4E73-8131-CF6F9FA3021E}" uniqueName="1" name="URS" queryTableFieldId="1" dataDxfId="14"/>
    <tableColumn id="2" xr3:uid="{6F08CDA9-29E5-4DC0-8339-6847C875F75E}" uniqueName="2" name="SyRS" queryTableFieldId="2" dataDxfId="13"/>
    <tableColumn id="3" xr3:uid="{045249A1-5EB7-4583-9581-4B57C44C88E3}" uniqueName="3" name="Source.Name" queryTableFieldId="3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259287-7283-4D32-919A-F451E935DC5E}" name="Flowdown_Inspire" displayName="Flowdown_Inspire" ref="A1:C2531" tableType="queryTable" totalsRowShown="0">
  <autoFilter ref="A1:C2531" xr:uid="{91D36352-DA8E-4B39-8ABA-2ABE1373DDB5}"/>
  <tableColumns count="3">
    <tableColumn id="1" xr3:uid="{718C885E-4E8E-4C45-B3A1-CA4F377D58B3}" uniqueName="1" name="URS" queryTableFieldId="1" dataDxfId="11"/>
    <tableColumn id="2" xr3:uid="{25625A87-6B6E-4254-994E-531D8749254B}" uniqueName="2" name="SyRS" queryTableFieldId="2" dataDxfId="10"/>
    <tableColumn id="3" xr3:uid="{7EB65CE9-2C1B-4061-BC65-6A3EC5F98758}" uniqueName="3" name="Source.Name" queryTableFieldId="3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F24EFA-D1ED-471A-A199-A61D1FA681A6}" name="Flowdown_CIC" displayName="Flowdown_CIC" ref="A1:D6083" tableType="queryTable" totalsRowShown="0">
  <autoFilter ref="A1:D6083" xr:uid="{58D328B9-77AE-4A6F-B048-D7B1ADD7FB3E}"/>
  <tableColumns count="4">
    <tableColumn id="1" xr3:uid="{415CE40C-AE9F-4341-A756-457EB77B637C}" uniqueName="1" name="URS" queryTableFieldId="1" dataDxfId="8"/>
    <tableColumn id="5" xr3:uid="{E3A575F7-85D0-497B-8022-42F052BCE85B}" uniqueName="5" name="Parent Document" queryTableFieldId="5"/>
    <tableColumn id="2" xr3:uid="{2EB8A162-65D7-4AEA-8416-EA5B6A188A7D}" uniqueName="2" name="SyRS" queryTableFieldId="2" dataDxfId="7"/>
    <tableColumn id="4" xr3:uid="{6DD304F4-F460-4BE1-A5EE-DCE08AEDFBED}" uniqueName="4" name="Source.Name" queryTableFieldId="4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CB7EBA-18F8-44D9-9B9F-9E13DA3603CC}" name="Flowdown_BTE" displayName="Flowdown_BTE" ref="A1:C6187" tableType="queryTable" totalsRowShown="0">
  <autoFilter ref="A1:C6187" xr:uid="{FB8D28A5-E1E2-46B2-8F9D-1FEE497931D6}"/>
  <tableColumns count="3">
    <tableColumn id="1" xr3:uid="{412F3284-32D7-495D-8FF2-383C416FC9D6}" uniqueName="1" name="URS" queryTableFieldId="1" dataDxfId="5"/>
    <tableColumn id="2" xr3:uid="{D6541243-CDA8-4D2B-ABF3-0098CF3EB72F}" uniqueName="2" name="SyRS" queryTableFieldId="2" dataDxfId="4"/>
    <tableColumn id="3" xr3:uid="{E5820300-908C-4E43-9378-C46D29D88230}" uniqueName="3" name="Source.Name" queryTableFieldId="3" dataDxf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B4B170-6044-488C-B6F4-C912A73A875B}" name="Unlinked_Parent" displayName="Unlinked_Parent" ref="A1:C83" tableType="queryTable" totalsRowShown="0">
  <autoFilter ref="A1:C83" xr:uid="{F6A9ECB8-D5CB-4DDC-A596-3F2546FB81EF}"/>
  <tableColumns count="3">
    <tableColumn id="1" xr3:uid="{3794A859-AF91-4126-ACA2-AEDC84818F14}" uniqueName="1" name="Parent ID" queryTableFieldId="1" dataDxfId="2"/>
    <tableColumn id="2" xr3:uid="{1AC26689-EF42-40D0-890B-0B3D52F71CD1}" uniqueName="2" name="Item Type" queryTableFieldId="2" dataDxfId="1"/>
    <tableColumn id="3" xr3:uid="{3DD38C18-CDC4-4898-8957-C4E40345F44F}" uniqueName="3" name="Parent Document" queryTableFieldId="3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94E2AB-34A5-406F-A149-7D6DD1117508}" name="_Patch" displayName="_Patch" ref="H1:K116" totalsRowShown="0">
  <autoFilter ref="H1:K116" xr:uid="{D8BB599A-73A7-4B32-9EED-73DF3A3B1D40}"/>
  <tableColumns count="4">
    <tableColumn id="1" xr3:uid="{FD7FB678-09EA-4C42-8CA0-37003EC8E4A0}" name="Parent ID"/>
    <tableColumn id="3" xr3:uid="{47A66B74-4725-491B-9E91-0ADC900EE749}" name="Parent Document"/>
    <tableColumn id="4" xr3:uid="{88C8ADE1-C285-40EA-8F46-101855D2EE18}" name="SyRS"/>
    <tableColumn id="5" xr3:uid="{4A993C98-7A19-40E5-ABEF-D189F987FA46}" name="Source.Nam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77DB-E52B-432D-A38C-ACDD2292E968}">
  <sheetPr codeName="Sheet1">
    <tabColor rgb="FF92D050"/>
    <pageSetUpPr fitToPage="1"/>
  </sheetPr>
  <dimension ref="A1:J44"/>
  <sheetViews>
    <sheetView workbookViewId="0">
      <selection activeCell="I5" sqref="I5"/>
    </sheetView>
  </sheetViews>
  <sheetFormatPr defaultRowHeight="12.75" x14ac:dyDescent="0.2"/>
  <cols>
    <col min="1" max="1" width="9.7109375" customWidth="1"/>
    <col min="2" max="2" width="14.7109375" customWidth="1"/>
    <col min="3" max="3" width="41.5703125" customWidth="1"/>
    <col min="5" max="5" width="15.42578125" customWidth="1"/>
  </cols>
  <sheetData>
    <row r="1" spans="1:3" x14ac:dyDescent="0.2">
      <c r="A1" s="1" t="s">
        <v>2572</v>
      </c>
      <c r="B1" s="2" t="s">
        <v>1</v>
      </c>
      <c r="C1" s="2"/>
    </row>
    <row r="2" spans="1:3" x14ac:dyDescent="0.2">
      <c r="A2" s="1" t="s">
        <v>2</v>
      </c>
      <c r="B2" s="28" t="s">
        <v>2628</v>
      </c>
      <c r="C2" s="2"/>
    </row>
    <row r="3" spans="1:3" ht="4.9000000000000004" customHeight="1" x14ac:dyDescent="0.2"/>
    <row r="4" spans="1:3" ht="15" x14ac:dyDescent="0.25">
      <c r="A4" s="4" t="s">
        <v>2569</v>
      </c>
    </row>
    <row r="5" spans="1:3" x14ac:dyDescent="0.2">
      <c r="B5" s="19" t="s">
        <v>2597</v>
      </c>
    </row>
    <row r="6" spans="1:3" x14ac:dyDescent="0.2">
      <c r="B6" s="19" t="s">
        <v>2573</v>
      </c>
    </row>
    <row r="7" spans="1:3" x14ac:dyDescent="0.2">
      <c r="B7" s="19" t="s">
        <v>2574</v>
      </c>
    </row>
    <row r="8" spans="1:3" x14ac:dyDescent="0.2">
      <c r="B8" s="19" t="s">
        <v>2575</v>
      </c>
    </row>
    <row r="9" spans="1:3" x14ac:dyDescent="0.2">
      <c r="B9" s="19" t="s">
        <v>2576</v>
      </c>
    </row>
    <row r="10" spans="1:3" ht="4.9000000000000004" customHeight="1" x14ac:dyDescent="0.2"/>
    <row r="11" spans="1:3" ht="15" x14ac:dyDescent="0.25">
      <c r="A11" s="4" t="s">
        <v>2592</v>
      </c>
    </row>
    <row r="12" spans="1:3" ht="13.5" thickBot="1" x14ac:dyDescent="0.25">
      <c r="B12" s="21" t="s">
        <v>2598</v>
      </c>
      <c r="C12" s="22" t="s">
        <v>2599</v>
      </c>
    </row>
    <row r="13" spans="1:3" ht="13.5" thickTop="1" x14ac:dyDescent="0.2">
      <c r="B13" s="23" t="s">
        <v>2610</v>
      </c>
      <c r="C13" s="24" t="s">
        <v>2611</v>
      </c>
    </row>
    <row r="14" spans="1:3" x14ac:dyDescent="0.2">
      <c r="B14" s="23" t="s">
        <v>2609</v>
      </c>
      <c r="C14" s="24" t="s">
        <v>2612</v>
      </c>
    </row>
    <row r="15" spans="1:3" x14ac:dyDescent="0.2">
      <c r="B15" s="23" t="s">
        <v>2607</v>
      </c>
      <c r="C15" s="24" t="s">
        <v>2608</v>
      </c>
    </row>
    <row r="16" spans="1:3" x14ac:dyDescent="0.2">
      <c r="B16" s="20" t="s">
        <v>53</v>
      </c>
      <c r="C16" t="s">
        <v>2582</v>
      </c>
    </row>
    <row r="17" spans="1:3" x14ac:dyDescent="0.2">
      <c r="B17" s="20" t="s">
        <v>54</v>
      </c>
      <c r="C17" t="s">
        <v>2581</v>
      </c>
    </row>
    <row r="18" spans="1:3" x14ac:dyDescent="0.2">
      <c r="B18" s="20" t="s">
        <v>55</v>
      </c>
      <c r="C18" t="s">
        <v>2580</v>
      </c>
    </row>
    <row r="19" spans="1:3" x14ac:dyDescent="0.2">
      <c r="B19" s="20" t="s">
        <v>56</v>
      </c>
      <c r="C19" t="s">
        <v>2579</v>
      </c>
    </row>
    <row r="20" spans="1:3" x14ac:dyDescent="0.2">
      <c r="B20" s="20" t="s">
        <v>57</v>
      </c>
      <c r="C20" t="s">
        <v>2583</v>
      </c>
    </row>
    <row r="21" spans="1:3" x14ac:dyDescent="0.2">
      <c r="B21" s="20" t="s">
        <v>169</v>
      </c>
      <c r="C21" t="s">
        <v>2587</v>
      </c>
    </row>
    <row r="22" spans="1:3" x14ac:dyDescent="0.2">
      <c r="B22" s="20" t="s">
        <v>10</v>
      </c>
      <c r="C22" t="s">
        <v>2585</v>
      </c>
    </row>
    <row r="23" spans="1:3" x14ac:dyDescent="0.2">
      <c r="B23" s="20" t="s">
        <v>11</v>
      </c>
      <c r="C23" t="s">
        <v>2586</v>
      </c>
    </row>
    <row r="24" spans="1:3" x14ac:dyDescent="0.2">
      <c r="B24" s="20" t="s">
        <v>6</v>
      </c>
      <c r="C24" t="s">
        <v>2601</v>
      </c>
    </row>
    <row r="25" spans="1:3" x14ac:dyDescent="0.2">
      <c r="B25" s="20" t="s">
        <v>22</v>
      </c>
      <c r="C25" t="s">
        <v>2584</v>
      </c>
    </row>
    <row r="26" spans="1:3" x14ac:dyDescent="0.2">
      <c r="B26" s="20" t="s">
        <v>4</v>
      </c>
      <c r="C26" t="s">
        <v>2600</v>
      </c>
    </row>
    <row r="27" spans="1:3" x14ac:dyDescent="0.2">
      <c r="B27" s="20" t="s">
        <v>2602</v>
      </c>
      <c r="C27" t="s">
        <v>2603</v>
      </c>
    </row>
    <row r="28" spans="1:3" ht="4.9000000000000004" customHeight="1" x14ac:dyDescent="0.2"/>
    <row r="29" spans="1:3" ht="15" x14ac:dyDescent="0.25">
      <c r="A29" s="4" t="s">
        <v>2570</v>
      </c>
    </row>
    <row r="30" spans="1:3" x14ac:dyDescent="0.2">
      <c r="B30" t="s">
        <v>2605</v>
      </c>
    </row>
    <row r="31" spans="1:3" ht="4.9000000000000004" customHeight="1" x14ac:dyDescent="0.2"/>
    <row r="32" spans="1:3" ht="15" x14ac:dyDescent="0.25">
      <c r="A32" s="4" t="s">
        <v>2571</v>
      </c>
    </row>
    <row r="33" spans="2:10" x14ac:dyDescent="0.2">
      <c r="B33" t="s">
        <v>2606</v>
      </c>
    </row>
    <row r="35" spans="2:10" ht="13.5" thickBot="1" x14ac:dyDescent="0.25">
      <c r="B35" s="21" t="s">
        <v>2577</v>
      </c>
      <c r="C35" s="22" t="s">
        <v>2604</v>
      </c>
      <c r="E35" s="21" t="s">
        <v>2578</v>
      </c>
      <c r="F35" s="22" t="s">
        <v>2604</v>
      </c>
      <c r="G35" s="22"/>
      <c r="H35" s="22"/>
      <c r="I35" s="22"/>
      <c r="J35" s="22"/>
    </row>
    <row r="36" spans="2:10" ht="13.5" thickTop="1" x14ac:dyDescent="0.2">
      <c r="B36" s="26" t="s">
        <v>2627</v>
      </c>
      <c r="C36" s="24" t="s">
        <v>2590</v>
      </c>
      <c r="E36" s="26" t="s">
        <v>2619</v>
      </c>
      <c r="F36" s="24" t="s">
        <v>2579</v>
      </c>
      <c r="G36" s="23"/>
      <c r="H36" s="24"/>
      <c r="I36" s="23"/>
      <c r="J36" s="24"/>
    </row>
    <row r="37" spans="2:10" x14ac:dyDescent="0.2">
      <c r="B37" s="26" t="s">
        <v>2626</v>
      </c>
      <c r="C37" s="24" t="s">
        <v>2591</v>
      </c>
      <c r="E37" s="26" t="s">
        <v>2618</v>
      </c>
      <c r="F37" s="24" t="s">
        <v>2580</v>
      </c>
      <c r="G37" s="23"/>
      <c r="H37" s="24"/>
      <c r="I37" s="23"/>
      <c r="J37" s="24"/>
    </row>
    <row r="38" spans="2:10" x14ac:dyDescent="0.2">
      <c r="B38" s="27" t="s">
        <v>2625</v>
      </c>
      <c r="C38" s="24" t="s">
        <v>2588</v>
      </c>
      <c r="E38" s="26" t="s">
        <v>2617</v>
      </c>
      <c r="F38" s="24" t="s">
        <v>2581</v>
      </c>
      <c r="G38" s="23"/>
      <c r="H38" s="24"/>
      <c r="I38" s="23"/>
      <c r="J38" s="24"/>
    </row>
    <row r="39" spans="2:10" x14ac:dyDescent="0.2">
      <c r="B39" s="27" t="s">
        <v>2624</v>
      </c>
      <c r="C39" s="24" t="s">
        <v>2589</v>
      </c>
      <c r="E39" s="26" t="s">
        <v>2616</v>
      </c>
      <c r="F39" s="24" t="s">
        <v>2582</v>
      </c>
      <c r="G39" s="23"/>
      <c r="H39" s="24"/>
      <c r="I39" s="23"/>
      <c r="J39" s="24"/>
    </row>
    <row r="40" spans="2:10" x14ac:dyDescent="0.2">
      <c r="E40" s="26" t="s">
        <v>2620</v>
      </c>
      <c r="F40" s="25" t="s">
        <v>2583</v>
      </c>
      <c r="G40" s="23"/>
      <c r="H40" s="24"/>
      <c r="I40" s="24"/>
      <c r="J40" s="24"/>
    </row>
    <row r="41" spans="2:10" x14ac:dyDescent="0.2">
      <c r="E41" s="26" t="s">
        <v>2615</v>
      </c>
      <c r="F41" s="25" t="s">
        <v>2584</v>
      </c>
      <c r="G41" s="23"/>
      <c r="H41" s="24"/>
      <c r="I41" s="24"/>
      <c r="J41" s="24"/>
    </row>
    <row r="42" spans="2:10" x14ac:dyDescent="0.2">
      <c r="E42" s="26" t="s">
        <v>2621</v>
      </c>
      <c r="F42" s="25" t="s">
        <v>2585</v>
      </c>
      <c r="G42" s="23"/>
      <c r="H42" s="24"/>
      <c r="I42" s="24"/>
      <c r="J42" s="24"/>
    </row>
    <row r="43" spans="2:10" x14ac:dyDescent="0.2">
      <c r="E43" s="26" t="s">
        <v>2622</v>
      </c>
      <c r="F43" s="25" t="s">
        <v>2586</v>
      </c>
      <c r="G43" s="23"/>
      <c r="H43" s="24"/>
      <c r="I43" s="24"/>
      <c r="J43" s="24"/>
    </row>
    <row r="44" spans="2:10" x14ac:dyDescent="0.2">
      <c r="E44" s="26" t="s">
        <v>2623</v>
      </c>
      <c r="F44" s="25" t="s">
        <v>2587</v>
      </c>
      <c r="G44" s="24"/>
      <c r="H44" s="24"/>
      <c r="I44" s="24"/>
      <c r="J44" s="24"/>
    </row>
  </sheetData>
  <sortState xmlns:xlrd2="http://schemas.microsoft.com/office/spreadsheetml/2017/richdata2" ref="B13:C27">
    <sortCondition ref="B13:B27"/>
  </sortState>
  <conditionalFormatting sqref="B13:C27">
    <cfRule type="expression" dxfId="23" priority="3">
      <formula>MOD(ROW(B13)-ROW($B$13),2)</formula>
    </cfRule>
  </conditionalFormatting>
  <conditionalFormatting sqref="E36:J44">
    <cfRule type="expression" dxfId="22" priority="2">
      <formula>MOD(ROW(E36)-ROW($B$13),2)</formula>
    </cfRule>
  </conditionalFormatting>
  <conditionalFormatting sqref="B36:C39">
    <cfRule type="expression" dxfId="21" priority="1">
      <formula>MOD(ROW(B36)-ROW($B$13),2)</formula>
    </cfRule>
  </conditionalFormatting>
  <hyperlinks>
    <hyperlink ref="B6" location="Xref_CIC!Print_Area" display="CIC Requirement Trace" xr:uid="{174E01DF-43BB-499E-930F-44BF61069E3A}"/>
    <hyperlink ref="B7" location="Xref_BTE!Print_Titles" display="BTE Requirement Trace" xr:uid="{AD0DB366-C681-44FD-A6C7-C2A39737B523}"/>
    <hyperlink ref="B8" location="Xref_Thrive!Print_Area" display="Thrive Requirement Trace" xr:uid="{D64F1B58-89BB-477D-9341-034760EC83E6}"/>
    <hyperlink ref="B9" location="Xref_Inspire!Print_Area" display="Inspire Requirement Trace" xr:uid="{EA695D27-2185-47E4-8511-C3E9D7A35212}"/>
    <hyperlink ref="B5" location="ReportIntro!A1" display="Introduction" xr:uid="{2375DF81-29D4-4975-8C8D-8FF8CA6D0535}"/>
  </hyperlinks>
  <pageMargins left="0.7" right="0.7" top="0.75" bottom="0.75" header="0.3" footer="0.3"/>
  <pageSetup scale="92" fitToHeight="0" orientation="landscape" r:id="rId1"/>
  <headerFooter>
    <oddHeader>&amp;RGQ-RPT-01787
Rev 2.0&amp;LTrace Matrices for Utica Continuation Release 2.0</oddHeader>
    <oddFooter>&amp;LIntroduction&amp;R&amp;P of &amp;N&amp;CStarkey-Confidential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5F33-F7B4-4C8B-B6E9-E0CC316E7851}">
  <sheetPr codeName="Sheet2">
    <tabColor rgb="FF92D050"/>
    <pageSetUpPr fitToPage="1"/>
  </sheetPr>
  <dimension ref="A1:L317"/>
  <sheetViews>
    <sheetView tabSelected="1" workbookViewId="0">
      <selection activeCell="H324" sqref="H324"/>
    </sheetView>
  </sheetViews>
  <sheetFormatPr defaultRowHeight="12.75" x14ac:dyDescent="0.2"/>
  <cols>
    <col min="2" max="2" width="15.140625" customWidth="1"/>
    <col min="3" max="11" width="16.42578125" customWidth="1"/>
    <col min="12" max="12" width="8.85546875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 t="s">
        <v>2628</v>
      </c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303</v>
      </c>
    </row>
    <row r="8" spans="1:12" x14ac:dyDescent="0.2">
      <c r="A8" t="s">
        <v>2491</v>
      </c>
      <c r="C8" s="17" t="b">
        <f>AND(L15:L300)</f>
        <v>1</v>
      </c>
    </row>
    <row r="10" spans="1:12" ht="4.9000000000000004" customHeight="1" x14ac:dyDescent="0.2"/>
    <row r="11" spans="1:12" ht="15" x14ac:dyDescent="0.25">
      <c r="A11" s="4" t="s">
        <v>2488</v>
      </c>
    </row>
    <row r="13" spans="1:12" ht="15" x14ac:dyDescent="0.2">
      <c r="C13" s="6" t="s">
        <v>2568</v>
      </c>
      <c r="D13" s="7"/>
      <c r="E13" s="7"/>
      <c r="F13" s="7"/>
      <c r="G13" s="7"/>
      <c r="H13" s="7"/>
      <c r="I13" s="7"/>
      <c r="J13" s="8"/>
      <c r="K13" s="8"/>
    </row>
    <row r="14" spans="1:12" ht="15.75" thickBot="1" x14ac:dyDescent="0.25">
      <c r="B14" s="15" t="s">
        <v>2593</v>
      </c>
      <c r="C14" s="5" t="str" cm="1">
        <f t="array" ref="C14:K14">TRANSPOSE(_xlfn._xlws.SORT(_xlfn.UNIQUE(Flowdown_CIC[Source.Name])))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41.25" thickTop="1" x14ac:dyDescent="0.2">
      <c r="B15" s="9" t="str" cm="1">
        <f t="array" ref="B15:B317">_xlfn.UNIQUE(_xlfn._xlws.SORT(Flowdown_CIC[URS]))</f>
        <v>MASTER-35630</v>
      </c>
      <c r="C15" s="10" t="str" cm="1">
        <f t="array" ref="C15">_xlfn.TEXTJOIN(CHAR(10),TRUE,_xlfn._xlws.SORT(IF((--($B15=Flowdown_CIC[[URS]:[URS]]))*(--(C$14=Flowdown_CIC[[Source.Name]:[Source.Name]])),Flowdown_CIC[[SyRS]:[SyRS]],"")))</f>
        <v>MASTER-49260
MASTER-49262
MASTER-50794</v>
      </c>
      <c r="D15" s="10" t="str" cm="1">
        <f t="array" ref="D15">_xlfn.TEXTJOIN(CHAR(10),TRUE,_xlfn._xlws.SORT(IF((--($B15=Flowdown_CIC[[URS]:[URS]]))*(--(D$14=Flowdown_CIC[[Source.Name]:[Source.Name]])),Flowdown_CIC[[SyRS]:[SyRS]],"")))</f>
        <v>MASTER-49260
MASTER-49262
MASTER-50794</v>
      </c>
      <c r="E15" s="10" t="str" cm="1">
        <f t="array" ref="E15">_xlfn.TEXTJOIN(CHAR(10),TRUE,_xlfn._xlws.SORT(IF((--($B15=Flowdown_CIC[[URS]:[URS]]))*(--(E$14=Flowdown_CIC[[Source.Name]:[Source.Name]])),Flowdown_CIC[[SyRS]:[SyRS]],"")))</f>
        <v>MASTER-49260
MASTER-49262
MASTER-50794</v>
      </c>
      <c r="F15" s="10" t="str" cm="1">
        <f t="array" ref="F15">_xlfn.TEXTJOIN(CHAR(10),TRUE,_xlfn._xlws.SORT(IF((--($B15=Flowdown_CIC[[URS]:[URS]]))*(--(F$14=Flowdown_CIC[[Source.Name]:[Source.Name]])),Flowdown_CIC[[SyRS]:[SyRS]],"")))</f>
        <v>MASTER-49260
MASTER-49262
MASTER-50794</v>
      </c>
      <c r="G15" s="10" t="str" cm="1">
        <f t="array" ref="G15">_xlfn.TEXTJOIN(CHAR(10),TRUE,_xlfn._xlws.SORT(IF((--($B15=Flowdown_CIC[[URS]:[URS]]))*(--(G$14=Flowdown_CIC[[Source.Name]:[Source.Name]])),Flowdown_CIC[[SyRS]:[SyRS]],"")))</f>
        <v>MASTER-49260
MASTER-49262
MASTER-50794</v>
      </c>
      <c r="H15" s="10" t="str" cm="1">
        <f t="array" ref="H15">_xlfn.TEXTJOIN(CHAR(10),TRUE,_xlfn._xlws.SORT(IF((--($B15=Flowdown_CIC[[URS]:[URS]]))*(--(H$14=Flowdown_CIC[[Source.Name]:[Source.Name]])),Flowdown_CIC[[SyRS]:[SyRS]],"")))</f>
        <v/>
      </c>
      <c r="I15" s="10" t="str" cm="1">
        <f t="array" ref="I15">_xlfn.TEXTJOIN(CHAR(10),TRUE,_xlfn._xlws.SORT(IF((--($B15=Flowdown_CIC[[URS]:[URS]]))*(--(I$14=Flowdown_CIC[[Source.Name]:[Source.Name]])),Flowdown_CIC[[SyRS]:[SyRS]],"")))</f>
        <v>MASTER-42254</v>
      </c>
      <c r="J15" s="10" t="str" cm="1">
        <f t="array" ref="J15">_xlfn.TEXTJOIN(CHAR(10),TRUE,_xlfn._xlws.SORT(IF((--($B15=Flowdown_CIC[[URS]:[URS]]))*(--(J$14=Flowdown_CIC[[Source.Name]:[Source.Name]])),Flowdown_CIC[[SyRS]:[SyRS]],"")))</f>
        <v>MASTER-42254</v>
      </c>
      <c r="K15" s="10" t="str" cm="1">
        <f t="array" ref="K15">_xlfn.TEXTJOIN(CHAR(10),TRUE,_xlfn._xlws.SORT(IF((--($B15=Flowdown_CIC[[URS]:[URS]]))*(--(K$14=Flowdown_CIC[[Source.Name]:[Source.Name]])),Flowdown_CIC[[SyRS]:[SyRS]],"")))</f>
        <v/>
      </c>
      <c r="L15" s="16" t="b" cm="1">
        <f t="array" ref="L15">OR(LEN(C15:K15)&gt;0)</f>
        <v>1</v>
      </c>
    </row>
    <row r="16" spans="1:12" ht="202.5" x14ac:dyDescent="0.2">
      <c r="B16" s="11" t="str">
        <v>MASTER-35632</v>
      </c>
      <c r="C16" s="12" t="str" cm="1">
        <f t="array" ref="C16">_xlfn.TEXTJOIN(CHAR(10),TRUE,_xlfn._xlws.SORT(IF((--($B16=Flowdown_CIC[[URS]:[URS]]))*(--(C$14=Flowdown_CIC[[Source.Name]:[Source.Name]])),Flowdown_CIC[[SyRS]:[SyRS]],"")))</f>
        <v>MASTER-47583
MASTER-47585
MASTER-47589
MASTER-47590
MASTER-49276
MASTER-62898</v>
      </c>
      <c r="D16" s="12" t="str" cm="1">
        <f t="array" ref="D16">_xlfn.TEXTJOIN(CHAR(10),TRUE,_xlfn._xlws.SORT(IF((--($B16=Flowdown_CIC[[URS]:[URS]]))*(--(D$14=Flowdown_CIC[[Source.Name]:[Source.Name]])),Flowdown_CIC[[SyRS]:[SyRS]],"")))</f>
        <v>MASTER-47583
MASTER-47585
MASTER-47589
MASTER-47590
MASTER-49276
MASTER-62898</v>
      </c>
      <c r="E16" s="12" t="str" cm="1">
        <f t="array" ref="E16">_xlfn.TEXTJOIN(CHAR(10),TRUE,_xlfn._xlws.SORT(IF((--($B16=Flowdown_CIC[[URS]:[URS]]))*(--(E$14=Flowdown_CIC[[Source.Name]:[Source.Name]])),Flowdown_CIC[[SyRS]:[SyRS]],"")))</f>
        <v>MASTER-47579
MASTER-47583
MASTER-47585
MASTER-47589
MASTER-47590
MASTER-49276
MASTER-62898</v>
      </c>
      <c r="F16" s="12" t="str" cm="1">
        <f t="array" ref="F16">_xlfn.TEXTJOIN(CHAR(10),TRUE,_xlfn._xlws.SORT(IF((--($B16=Flowdown_CIC[[URS]:[URS]]))*(--(F$14=Flowdown_CIC[[Source.Name]:[Source.Name]])),Flowdown_CIC[[SyRS]:[SyRS]],"")))</f>
        <v>MASTER-47583
MASTER-47585
MASTER-47589
MASTER-47590
MASTER-49276
MASTER-62898</v>
      </c>
      <c r="G16" s="12" t="str" cm="1">
        <f t="array" ref="G16">_xlfn.TEXTJOIN(CHAR(10),TRUE,_xlfn._xlws.SORT(IF((--($B16=Flowdown_CIC[[URS]:[URS]]))*(--(G$14=Flowdown_CIC[[Source.Name]:[Source.Name]])),Flowdown_CIC[[SyRS]:[SyRS]],"")))</f>
        <v>MASTER-47579
MASTER-47583
MASTER-47585
MASTER-47589
MASTER-47590
MASTER-49276
MASTER-62898</v>
      </c>
      <c r="H16" s="12" t="str" cm="1">
        <f t="array" ref="H16">_xlfn.TEXTJOIN(CHAR(10),TRUE,_xlfn._xlws.SORT(IF((--($B16=Flowdown_CIC[[URS]:[URS]]))*(--(H$14=Flowdown_CIC[[Source.Name]:[Source.Name]])),Flowdown_CIC[[SyRS]:[SyRS]],"")))</f>
        <v/>
      </c>
      <c r="I16" s="12" t="str" cm="1">
        <f t="array" ref="I16">_xlfn.TEXTJOIN(CHAR(10),TRUE,_xlfn._xlws.SORT(IF((--($B16=Flowdown_CIC[[URS]:[URS]]))*(--(I$14=Flowdown_CIC[[Source.Name]:[Source.Name]])),Flowdown_CIC[[SyRS]:[SyRS]],"")))</f>
        <v/>
      </c>
      <c r="J16" s="12" t="str" cm="1">
        <f t="array" ref="J16">_xlfn.TEXTJOIN(CHAR(10),TRUE,_xlfn._xlws.SORT(IF((--($B16=Flowdown_CIC[[URS]:[URS]]))*(--(J$14=Flowdown_CIC[[Source.Name]:[Source.Name]])),Flowdown_CIC[[SyRS]:[SyRS]],"")))</f>
        <v/>
      </c>
      <c r="K16" s="12" t="str" cm="1">
        <f t="array" ref="K16">_xlfn.TEXTJOIN(CHAR(10),TRUE,_xlfn._xlws.SORT(IF((--($B16=Flowdown_CIC[[URS]:[URS]]))*(--(K$14=Flowdown_CIC[[Source.Name]:[Source.Name]])),Flowdown_CIC[[SyRS]:[SyRS]],"")))</f>
        <v>MASTER-47592
MASTER-47593
MASTER-47596
MASTER-47598
MASTER-47600
MASTER-47602
MASTER-47607
MASTER-47608
MASTER-50195
MASTER-50197
UTICA-24855
UTICA-6403
UTICA-6415
UTICA-6418
UTICA-6419</v>
      </c>
      <c r="L16" s="16" t="b" cm="1">
        <f t="array" ref="L16">OR(LEN(C16:K16)&gt;0)</f>
        <v>1</v>
      </c>
    </row>
    <row r="17" spans="2:12" ht="54" x14ac:dyDescent="0.2">
      <c r="B17" s="11" t="str">
        <v>MASTER-35634</v>
      </c>
      <c r="C17" s="12" t="str" cm="1">
        <f t="array" ref="C17">_xlfn.TEXTJOIN(CHAR(10),TRUE,_xlfn._xlws.SORT(IF((--($B17=Flowdown_CIC[[URS]:[URS]]))*(--(C$14=Flowdown_CIC[[Source.Name]:[Source.Name]])),Flowdown_CIC[[SyRS]:[SyRS]],"")))</f>
        <v>MASTER-42144</v>
      </c>
      <c r="D17" s="12" t="str" cm="1">
        <f t="array" ref="D17">_xlfn.TEXTJOIN(CHAR(10),TRUE,_xlfn._xlws.SORT(IF((--($B17=Flowdown_CIC[[URS]:[URS]]))*(--(D$14=Flowdown_CIC[[Source.Name]:[Source.Name]])),Flowdown_CIC[[SyRS]:[SyRS]],"")))</f>
        <v>MASTER-42144</v>
      </c>
      <c r="E17" s="12" t="str" cm="1">
        <f t="array" ref="E17">_xlfn.TEXTJOIN(CHAR(10),TRUE,_xlfn._xlws.SORT(IF((--($B17=Flowdown_CIC[[URS]:[URS]]))*(--(E$14=Flowdown_CIC[[Source.Name]:[Source.Name]])),Flowdown_CIC[[SyRS]:[SyRS]],"")))</f>
        <v>MASTER-42144</v>
      </c>
      <c r="F17" s="12" t="str" cm="1">
        <f t="array" ref="F17">_xlfn.TEXTJOIN(CHAR(10),TRUE,_xlfn._xlws.SORT(IF((--($B17=Flowdown_CIC[[URS]:[URS]]))*(--(F$14=Flowdown_CIC[[Source.Name]:[Source.Name]])),Flowdown_CIC[[SyRS]:[SyRS]],"")))</f>
        <v>MASTER-42144</v>
      </c>
      <c r="G17" s="12" t="str" cm="1">
        <f t="array" ref="G17">_xlfn.TEXTJOIN(CHAR(10),TRUE,_xlfn._xlws.SORT(IF((--($B17=Flowdown_CIC[[URS]:[URS]]))*(--(G$14=Flowdown_CIC[[Source.Name]:[Source.Name]])),Flowdown_CIC[[SyRS]:[SyRS]],"")))</f>
        <v>MASTER-42144</v>
      </c>
      <c r="H17" s="12" t="str" cm="1">
        <f t="array" ref="H17">_xlfn.TEXTJOIN(CHAR(10),TRUE,_xlfn._xlws.SORT(IF((--($B17=Flowdown_CIC[[URS]:[URS]]))*(--(H$14=Flowdown_CIC[[Source.Name]:[Source.Name]])),Flowdown_CIC[[SyRS]:[SyRS]],"")))</f>
        <v/>
      </c>
      <c r="I17" s="12" t="str" cm="1">
        <f t="array" ref="I17">_xlfn.TEXTJOIN(CHAR(10),TRUE,_xlfn._xlws.SORT(IF((--($B17=Flowdown_CIC[[URS]:[URS]]))*(--(I$14=Flowdown_CIC[[Source.Name]:[Source.Name]])),Flowdown_CIC[[SyRS]:[SyRS]],"")))</f>
        <v/>
      </c>
      <c r="J17" s="12" t="str" cm="1">
        <f t="array" ref="J17">_xlfn.TEXTJOIN(CHAR(10),TRUE,_xlfn._xlws.SORT(IF((--($B17=Flowdown_CIC[[URS]:[URS]]))*(--(J$14=Flowdown_CIC[[Source.Name]:[Source.Name]])),Flowdown_CIC[[SyRS]:[SyRS]],"")))</f>
        <v/>
      </c>
      <c r="K17" s="12" t="str" cm="1">
        <f t="array" ref="K17">_xlfn.TEXTJOIN(CHAR(10),TRUE,_xlfn._xlws.SORT(IF((--($B17=Flowdown_CIC[[URS]:[URS]]))*(--(K$14=Flowdown_CIC[[Source.Name]:[Source.Name]])),Flowdown_CIC[[SyRS]:[SyRS]],"")))</f>
        <v>MASTER-41958
MASTER-41959
MASTER-41960
UTICA-24742</v>
      </c>
      <c r="L17" s="16" t="b" cm="1">
        <f t="array" ref="L17">OR(LEN(C17:K17)&gt;0)</f>
        <v>1</v>
      </c>
    </row>
    <row r="18" spans="2:12" ht="40.5" x14ac:dyDescent="0.2">
      <c r="B18" s="11" t="str">
        <v>MASTER-35635</v>
      </c>
      <c r="C18" s="12" t="str" cm="1">
        <f t="array" ref="C18">_xlfn.TEXTJOIN(CHAR(10),TRUE,_xlfn._xlws.SORT(IF((--($B18=Flowdown_CIC[[URS]:[URS]]))*(--(C$14=Flowdown_CIC[[Source.Name]:[Source.Name]])),Flowdown_CIC[[SyRS]:[SyRS]],"")))</f>
        <v>MASTER-51109
MASTER-51110
MASTER-51646</v>
      </c>
      <c r="D18" s="12" t="str" cm="1">
        <f t="array" ref="D18">_xlfn.TEXTJOIN(CHAR(10),TRUE,_xlfn._xlws.SORT(IF((--($B18=Flowdown_CIC[[URS]:[URS]]))*(--(D$14=Flowdown_CIC[[Source.Name]:[Source.Name]])),Flowdown_CIC[[SyRS]:[SyRS]],"")))</f>
        <v>MASTER-51109
MASTER-51110
MASTER-51646</v>
      </c>
      <c r="E18" s="12" t="str" cm="1">
        <f t="array" ref="E18">_xlfn.TEXTJOIN(CHAR(10),TRUE,_xlfn._xlws.SORT(IF((--($B18=Flowdown_CIC[[URS]:[URS]]))*(--(E$14=Flowdown_CIC[[Source.Name]:[Source.Name]])),Flowdown_CIC[[SyRS]:[SyRS]],"")))</f>
        <v/>
      </c>
      <c r="F18" s="12" t="str" cm="1">
        <f t="array" ref="F18">_xlfn.TEXTJOIN(CHAR(10),TRUE,_xlfn._xlws.SORT(IF((--($B18=Flowdown_CIC[[URS]:[URS]]))*(--(F$14=Flowdown_CIC[[Source.Name]:[Source.Name]])),Flowdown_CIC[[SyRS]:[SyRS]],"")))</f>
        <v/>
      </c>
      <c r="G18" s="12" t="str" cm="1">
        <f t="array" ref="G18">_xlfn.TEXTJOIN(CHAR(10),TRUE,_xlfn._xlws.SORT(IF((--($B18=Flowdown_CIC[[URS]:[URS]]))*(--(G$14=Flowdown_CIC[[Source.Name]:[Source.Name]])),Flowdown_CIC[[SyRS]:[SyRS]],"")))</f>
        <v/>
      </c>
      <c r="H18" s="12" t="str" cm="1">
        <f t="array" ref="H18">_xlfn.TEXTJOIN(CHAR(10),TRUE,_xlfn._xlws.SORT(IF((--($B18=Flowdown_CIC[[URS]:[URS]]))*(--(H$14=Flowdown_CIC[[Source.Name]:[Source.Name]])),Flowdown_CIC[[SyRS]:[SyRS]],"")))</f>
        <v/>
      </c>
      <c r="I18" s="12" t="str" cm="1">
        <f t="array" ref="I18">_xlfn.TEXTJOIN(CHAR(10),TRUE,_xlfn._xlws.SORT(IF((--($B18=Flowdown_CIC[[URS]:[URS]]))*(--(I$14=Flowdown_CIC[[Source.Name]:[Source.Name]])),Flowdown_CIC[[SyRS]:[SyRS]],"")))</f>
        <v/>
      </c>
      <c r="J18" s="12" t="str" cm="1">
        <f t="array" ref="J18">_xlfn.TEXTJOIN(CHAR(10),TRUE,_xlfn._xlws.SORT(IF((--($B18=Flowdown_CIC[[URS]:[URS]]))*(--(J$14=Flowdown_CIC[[Source.Name]:[Source.Name]])),Flowdown_CIC[[SyRS]:[SyRS]],"")))</f>
        <v/>
      </c>
      <c r="K18" s="12" t="str" cm="1">
        <f t="array" ref="K18">_xlfn.TEXTJOIN(CHAR(10),TRUE,_xlfn._xlws.SORT(IF((--($B18=Flowdown_CIC[[URS]:[URS]]))*(--(K$14=Flowdown_CIC[[Source.Name]:[Source.Name]])),Flowdown_CIC[[SyRS]:[SyRS]],"")))</f>
        <v/>
      </c>
      <c r="L18" s="16" t="b" cm="1">
        <f t="array" ref="L18">OR(LEN(C18:K18)&gt;0)</f>
        <v>1</v>
      </c>
    </row>
    <row r="19" spans="2:12" ht="13.5" x14ac:dyDescent="0.2">
      <c r="B19" s="11" t="str">
        <v>MASTER-35638</v>
      </c>
      <c r="C19" s="12" t="str" cm="1">
        <f t="array" ref="C19">_xlfn.TEXTJOIN(CHAR(10),TRUE,_xlfn._xlws.SORT(IF((--($B19=Flowdown_CIC[[URS]:[URS]]))*(--(C$14=Flowdown_CIC[[Source.Name]:[Source.Name]])),Flowdown_CIC[[SyRS]:[SyRS]],"")))</f>
        <v>MASTER-18076</v>
      </c>
      <c r="D19" s="12" t="str" cm="1">
        <f t="array" ref="D19">_xlfn.TEXTJOIN(CHAR(10),TRUE,_xlfn._xlws.SORT(IF((--($B19=Flowdown_CIC[[URS]:[URS]]))*(--(D$14=Flowdown_CIC[[Source.Name]:[Source.Name]])),Flowdown_CIC[[SyRS]:[SyRS]],"")))</f>
        <v>MASTER-18076</v>
      </c>
      <c r="E19" s="12" t="str" cm="1">
        <f t="array" ref="E19">_xlfn.TEXTJOIN(CHAR(10),TRUE,_xlfn._xlws.SORT(IF((--($B19=Flowdown_CIC[[URS]:[URS]]))*(--(E$14=Flowdown_CIC[[Source.Name]:[Source.Name]])),Flowdown_CIC[[SyRS]:[SyRS]],"")))</f>
        <v>MASTER-18076</v>
      </c>
      <c r="F19" s="12" t="str" cm="1">
        <f t="array" ref="F19">_xlfn.TEXTJOIN(CHAR(10),TRUE,_xlfn._xlws.SORT(IF((--($B19=Flowdown_CIC[[URS]:[URS]]))*(--(F$14=Flowdown_CIC[[Source.Name]:[Source.Name]])),Flowdown_CIC[[SyRS]:[SyRS]],"")))</f>
        <v>MASTER-18076</v>
      </c>
      <c r="G19" s="12" t="str" cm="1">
        <f t="array" ref="G19">_xlfn.TEXTJOIN(CHAR(10),TRUE,_xlfn._xlws.SORT(IF((--($B19=Flowdown_CIC[[URS]:[URS]]))*(--(G$14=Flowdown_CIC[[Source.Name]:[Source.Name]])),Flowdown_CIC[[SyRS]:[SyRS]],"")))</f>
        <v>MASTER-18076</v>
      </c>
      <c r="H19" s="12" t="str" cm="1">
        <f t="array" ref="H19">_xlfn.TEXTJOIN(CHAR(10),TRUE,_xlfn._xlws.SORT(IF((--($B19=Flowdown_CIC[[URS]:[URS]]))*(--(H$14=Flowdown_CIC[[Source.Name]:[Source.Name]])),Flowdown_CIC[[SyRS]:[SyRS]],"")))</f>
        <v/>
      </c>
      <c r="I19" s="12" t="str" cm="1">
        <f t="array" ref="I19">_xlfn.TEXTJOIN(CHAR(10),TRUE,_xlfn._xlws.SORT(IF((--($B19=Flowdown_CIC[[URS]:[URS]]))*(--(I$14=Flowdown_CIC[[Source.Name]:[Source.Name]])),Flowdown_CIC[[SyRS]:[SyRS]],"")))</f>
        <v/>
      </c>
      <c r="J19" s="12" t="str" cm="1">
        <f t="array" ref="J19">_xlfn.TEXTJOIN(CHAR(10),TRUE,_xlfn._xlws.SORT(IF((--($B19=Flowdown_CIC[[URS]:[URS]]))*(--(J$14=Flowdown_CIC[[Source.Name]:[Source.Name]])),Flowdown_CIC[[SyRS]:[SyRS]],"")))</f>
        <v/>
      </c>
      <c r="K19" s="12" t="str" cm="1">
        <f t="array" ref="K19">_xlfn.TEXTJOIN(CHAR(10),TRUE,_xlfn._xlws.SORT(IF((--($B19=Flowdown_CIC[[URS]:[URS]]))*(--(K$14=Flowdown_CIC[[Source.Name]:[Source.Name]])),Flowdown_CIC[[SyRS]:[SyRS]],"")))</f>
        <v/>
      </c>
      <c r="L19" s="16" t="b" cm="1">
        <f t="array" ref="L19">OR(LEN(C19:K19)&gt;0)</f>
        <v>1</v>
      </c>
    </row>
    <row r="20" spans="2:12" ht="162" x14ac:dyDescent="0.2">
      <c r="B20" s="11" t="str">
        <v>MASTER-35639</v>
      </c>
      <c r="C20" s="12" t="str" cm="1">
        <f t="array" ref="C20">_xlfn.TEXTJOIN(CHAR(10),TRUE,_xlfn._xlws.SORT(IF((--($B20=Flowdown_CIC[[URS]:[URS]]))*(--(C$14=Flowdown_CIC[[Source.Name]:[Source.Name]])),Flowdown_CIC[[SyRS]:[SyRS]],"")))</f>
        <v/>
      </c>
      <c r="D20" s="12" t="str" cm="1">
        <f t="array" ref="D20">_xlfn.TEXTJOIN(CHAR(10),TRUE,_xlfn._xlws.SORT(IF((--($B20=Flowdown_CIC[[URS]:[URS]]))*(--(D$14=Flowdown_CIC[[Source.Name]:[Source.Name]])),Flowdown_CIC[[SyRS]:[SyRS]],"")))</f>
        <v/>
      </c>
      <c r="E20" s="12" t="str" cm="1">
        <f t="array" ref="E20">_xlfn.TEXTJOIN(CHAR(10),TRUE,_xlfn._xlws.SORT(IF((--($B20=Flowdown_CIC[[URS]:[URS]]))*(--(E$14=Flowdown_CIC[[Source.Name]:[Source.Name]])),Flowdown_CIC[[SyRS]:[SyRS]],"")))</f>
        <v/>
      </c>
      <c r="F20" s="12" t="str" cm="1">
        <f t="array" ref="F20">_xlfn.TEXTJOIN(CHAR(10),TRUE,_xlfn._xlws.SORT(IF((--($B20=Flowdown_CIC[[URS]:[URS]]))*(--(F$14=Flowdown_CIC[[Source.Name]:[Source.Name]])),Flowdown_CIC[[SyRS]:[SyRS]],"")))</f>
        <v/>
      </c>
      <c r="G20" s="12" t="str" cm="1">
        <f t="array" ref="G20">_xlfn.TEXTJOIN(CHAR(10),TRUE,_xlfn._xlws.SORT(IF((--($B20=Flowdown_CIC[[URS]:[URS]]))*(--(G$14=Flowdown_CIC[[Source.Name]:[Source.Name]])),Flowdown_CIC[[SyRS]:[SyRS]],"")))</f>
        <v/>
      </c>
      <c r="H20" s="12" t="str" cm="1">
        <f t="array" ref="H20">_xlfn.TEXTJOIN(CHAR(10),TRUE,_xlfn._xlws.SORT(IF((--($B20=Flowdown_CIC[[URS]:[URS]]))*(--(H$14=Flowdown_CIC[[Source.Name]:[Source.Name]])),Flowdown_CIC[[SyRS]:[SyRS]],"")))</f>
        <v/>
      </c>
      <c r="I20" s="12" t="str" cm="1">
        <f t="array" ref="I20">_xlfn.TEXTJOIN(CHAR(10),TRUE,_xlfn._xlws.SORT(IF((--($B20=Flowdown_CIC[[URS]:[URS]]))*(--(I$14=Flowdown_CIC[[Source.Name]:[Source.Name]])),Flowdown_CIC[[SyRS]:[SyRS]],"")))</f>
        <v/>
      </c>
      <c r="J20" s="12" t="str" cm="1">
        <f t="array" ref="J20">_xlfn.TEXTJOIN(CHAR(10),TRUE,_xlfn._xlws.SORT(IF((--($B20=Flowdown_CIC[[URS]:[URS]]))*(--(J$14=Flowdown_CIC[[Source.Name]:[Source.Name]])),Flowdown_CIC[[SyRS]:[SyRS]],"")))</f>
        <v/>
      </c>
      <c r="K20" s="12" t="str" cm="1">
        <f t="array" ref="K20">_xlfn.TEXTJOIN(CHAR(10),TRUE,_xlfn._xlws.SORT(IF((--($B20=Flowdown_CIC[[URS]:[URS]]))*(--(K$14=Flowdown_CIC[[Source.Name]:[Source.Name]])),Flowdown_CIC[[SyRS]:[SyRS]],"")))</f>
        <v>MASTER-16675
MASTER-16676
MASTER-16680
MASTER-16681
MASTER-16682
MASTER-16690
MASTER-16691
MASTER-16692
MASTER-16700
MASTER-16701
MASTER-16702
MASTER-50181</v>
      </c>
      <c r="L20" s="16" t="b" cm="1">
        <f t="array" ref="L20">OR(LEN(C20:K20)&gt;0)</f>
        <v>1</v>
      </c>
    </row>
    <row r="21" spans="2:12" ht="81" x14ac:dyDescent="0.2">
      <c r="B21" s="11" t="str">
        <v>MASTER-35642</v>
      </c>
      <c r="C21" s="12" t="str" cm="1">
        <f t="array" ref="C21">_xlfn.TEXTJOIN(CHAR(10),TRUE,_xlfn._xlws.SORT(IF((--($B21=Flowdown_CIC[[URS]:[URS]]))*(--(C$14=Flowdown_CIC[[Source.Name]:[Source.Name]])),Flowdown_CIC[[SyRS]:[SyRS]],"")))</f>
        <v>MASTER-19252
MASTER-19253
MASTER-19278
MASTER-42159
MASTER-42168
MASTER-42169</v>
      </c>
      <c r="D21" s="12" t="str" cm="1">
        <f t="array" ref="D21">_xlfn.TEXTJOIN(CHAR(10),TRUE,_xlfn._xlws.SORT(IF((--($B21=Flowdown_CIC[[URS]:[URS]]))*(--(D$14=Flowdown_CIC[[Source.Name]:[Source.Name]])),Flowdown_CIC[[SyRS]:[SyRS]],"")))</f>
        <v>MASTER-19252
MASTER-19253
MASTER-19278
MASTER-42159
MASTER-42168
MASTER-42169</v>
      </c>
      <c r="E21" s="12" t="str" cm="1">
        <f t="array" ref="E21">_xlfn.TEXTJOIN(CHAR(10),TRUE,_xlfn._xlws.SORT(IF((--($B21=Flowdown_CIC[[URS]:[URS]]))*(--(E$14=Flowdown_CIC[[Source.Name]:[Source.Name]])),Flowdown_CIC[[SyRS]:[SyRS]],"")))</f>
        <v>MASTER-19252
MASTER-19253
MASTER-19278
MASTER-42159
MASTER-42168
MASTER-42169</v>
      </c>
      <c r="F21" s="12" t="str" cm="1">
        <f t="array" ref="F21">_xlfn.TEXTJOIN(CHAR(10),TRUE,_xlfn._xlws.SORT(IF((--($B21=Flowdown_CIC[[URS]:[URS]]))*(--(F$14=Flowdown_CIC[[Source.Name]:[Source.Name]])),Flowdown_CIC[[SyRS]:[SyRS]],"")))</f>
        <v>MASTER-19252
MASTER-19253
MASTER-19278
MASTER-42159
MASTER-42168
MASTER-42169</v>
      </c>
      <c r="G21" s="12" t="str" cm="1">
        <f t="array" ref="G21">_xlfn.TEXTJOIN(CHAR(10),TRUE,_xlfn._xlws.SORT(IF((--($B21=Flowdown_CIC[[URS]:[URS]]))*(--(G$14=Flowdown_CIC[[Source.Name]:[Source.Name]])),Flowdown_CIC[[SyRS]:[SyRS]],"")))</f>
        <v>MASTER-19252
MASTER-19253
MASTER-19278
MASTER-42159
MASTER-42168
MASTER-42169</v>
      </c>
      <c r="H21" s="12" t="str" cm="1">
        <f t="array" ref="H21">_xlfn.TEXTJOIN(CHAR(10),TRUE,_xlfn._xlws.SORT(IF((--($B21=Flowdown_CIC[[URS]:[URS]]))*(--(H$14=Flowdown_CIC[[Source.Name]:[Source.Name]])),Flowdown_CIC[[SyRS]:[SyRS]],"")))</f>
        <v/>
      </c>
      <c r="I21" s="12" t="str" cm="1">
        <f t="array" ref="I21">_xlfn.TEXTJOIN(CHAR(10),TRUE,_xlfn._xlws.SORT(IF((--($B21=Flowdown_CIC[[URS]:[URS]]))*(--(I$14=Flowdown_CIC[[Source.Name]:[Source.Name]])),Flowdown_CIC[[SyRS]:[SyRS]],"")))</f>
        <v>MASTER-48455
UTICA-205</v>
      </c>
      <c r="J21" s="12" t="str" cm="1">
        <f t="array" ref="J21">_xlfn.TEXTJOIN(CHAR(10),TRUE,_xlfn._xlws.SORT(IF((--($B21=Flowdown_CIC[[URS]:[URS]]))*(--(J$14=Flowdown_CIC[[Source.Name]:[Source.Name]])),Flowdown_CIC[[SyRS]:[SyRS]],"")))</f>
        <v>MASTER-48455</v>
      </c>
      <c r="K21" s="12" t="str" cm="1">
        <f t="array" ref="K21">_xlfn.TEXTJOIN(CHAR(10),TRUE,_xlfn._xlws.SORT(IF((--($B21=Flowdown_CIC[[URS]:[URS]]))*(--(K$14=Flowdown_CIC[[Source.Name]:[Source.Name]])),Flowdown_CIC[[SyRS]:[SyRS]],"")))</f>
        <v>MASTER-41950</v>
      </c>
      <c r="L21" s="16" t="b" cm="1">
        <f t="array" ref="L21">OR(LEN(C21:K21)&gt;0)</f>
        <v>1</v>
      </c>
    </row>
    <row r="22" spans="2:12" ht="40.5" x14ac:dyDescent="0.2">
      <c r="B22" s="11" t="str">
        <v>MASTER-35643</v>
      </c>
      <c r="C22" s="12" t="str" cm="1">
        <f t="array" ref="C22">_xlfn.TEXTJOIN(CHAR(10),TRUE,_xlfn._xlws.SORT(IF((--($B22=Flowdown_CIC[[URS]:[URS]]))*(--(C$14=Flowdown_CIC[[Source.Name]:[Source.Name]])),Flowdown_CIC[[SyRS]:[SyRS]],"")))</f>
        <v>MASTER-19252
MASTER-19254
MASTER-50080</v>
      </c>
      <c r="D22" s="12" t="str" cm="1">
        <f t="array" ref="D22">_xlfn.TEXTJOIN(CHAR(10),TRUE,_xlfn._xlws.SORT(IF((--($B22=Flowdown_CIC[[URS]:[URS]]))*(--(D$14=Flowdown_CIC[[Source.Name]:[Source.Name]])),Flowdown_CIC[[SyRS]:[SyRS]],"")))</f>
        <v>MASTER-19252
MASTER-19254
MASTER-50080</v>
      </c>
      <c r="E22" s="12" t="str" cm="1">
        <f t="array" ref="E22">_xlfn.TEXTJOIN(CHAR(10),TRUE,_xlfn._xlws.SORT(IF((--($B22=Flowdown_CIC[[URS]:[URS]]))*(--(E$14=Flowdown_CIC[[Source.Name]:[Source.Name]])),Flowdown_CIC[[SyRS]:[SyRS]],"")))</f>
        <v>MASTER-19252
MASTER-19254
MASTER-50080</v>
      </c>
      <c r="F22" s="12" t="str" cm="1">
        <f t="array" ref="F22">_xlfn.TEXTJOIN(CHAR(10),TRUE,_xlfn._xlws.SORT(IF((--($B22=Flowdown_CIC[[URS]:[URS]]))*(--(F$14=Flowdown_CIC[[Source.Name]:[Source.Name]])),Flowdown_CIC[[SyRS]:[SyRS]],"")))</f>
        <v>MASTER-19252
MASTER-19254
MASTER-50080</v>
      </c>
      <c r="G22" s="12" t="str" cm="1">
        <f t="array" ref="G22">_xlfn.TEXTJOIN(CHAR(10),TRUE,_xlfn._xlws.SORT(IF((--($B22=Flowdown_CIC[[URS]:[URS]]))*(--(G$14=Flowdown_CIC[[Source.Name]:[Source.Name]])),Flowdown_CIC[[SyRS]:[SyRS]],"")))</f>
        <v>MASTER-19252
MASTER-19254
MASTER-50080</v>
      </c>
      <c r="H22" s="12" t="str" cm="1">
        <f t="array" ref="H22">_xlfn.TEXTJOIN(CHAR(10),TRUE,_xlfn._xlws.SORT(IF((--($B22=Flowdown_CIC[[URS]:[URS]]))*(--(H$14=Flowdown_CIC[[Source.Name]:[Source.Name]])),Flowdown_CIC[[SyRS]:[SyRS]],"")))</f>
        <v/>
      </c>
      <c r="I22" s="12" t="str" cm="1">
        <f t="array" ref="I22">_xlfn.TEXTJOIN(CHAR(10),TRUE,_xlfn._xlws.SORT(IF((--($B22=Flowdown_CIC[[URS]:[URS]]))*(--(I$14=Flowdown_CIC[[Source.Name]:[Source.Name]])),Flowdown_CIC[[SyRS]:[SyRS]],"")))</f>
        <v/>
      </c>
      <c r="J22" s="12" t="str" cm="1">
        <f t="array" ref="J22">_xlfn.TEXTJOIN(CHAR(10),TRUE,_xlfn._xlws.SORT(IF((--($B22=Flowdown_CIC[[URS]:[URS]]))*(--(J$14=Flowdown_CIC[[Source.Name]:[Source.Name]])),Flowdown_CIC[[SyRS]:[SyRS]],"")))</f>
        <v/>
      </c>
      <c r="K22" s="12" t="str" cm="1">
        <f t="array" ref="K22">_xlfn.TEXTJOIN(CHAR(10),TRUE,_xlfn._xlws.SORT(IF((--($B22=Flowdown_CIC[[URS]:[URS]]))*(--(K$14=Flowdown_CIC[[Source.Name]:[Source.Name]])),Flowdown_CIC[[SyRS]:[SyRS]],"")))</f>
        <v/>
      </c>
      <c r="L22" s="16" t="b" cm="1">
        <f t="array" ref="L22">OR(LEN(C22:K22)&gt;0)</f>
        <v>1</v>
      </c>
    </row>
    <row r="23" spans="2:12" ht="27" x14ac:dyDescent="0.2">
      <c r="B23" s="11" t="str">
        <v>MASTER-35645</v>
      </c>
      <c r="C23" s="12" t="str" cm="1">
        <f t="array" ref="C23">_xlfn.TEXTJOIN(CHAR(10),TRUE,_xlfn._xlws.SORT(IF((--($B23=Flowdown_CIC[[URS]:[URS]]))*(--(C$14=Flowdown_CIC[[Source.Name]:[Source.Name]])),Flowdown_CIC[[SyRS]:[SyRS]],"")))</f>
        <v>MASTER-19252
MASTER-42168</v>
      </c>
      <c r="D23" s="12" t="str" cm="1">
        <f t="array" ref="D23">_xlfn.TEXTJOIN(CHAR(10),TRUE,_xlfn._xlws.SORT(IF((--($B23=Flowdown_CIC[[URS]:[URS]]))*(--(D$14=Flowdown_CIC[[Source.Name]:[Source.Name]])),Flowdown_CIC[[SyRS]:[SyRS]],"")))</f>
        <v>MASTER-19252
MASTER-42168</v>
      </c>
      <c r="E23" s="12" t="str" cm="1">
        <f t="array" ref="E23">_xlfn.TEXTJOIN(CHAR(10),TRUE,_xlfn._xlws.SORT(IF((--($B23=Flowdown_CIC[[URS]:[URS]]))*(--(E$14=Flowdown_CIC[[Source.Name]:[Source.Name]])),Flowdown_CIC[[SyRS]:[SyRS]],"")))</f>
        <v>MASTER-19252
MASTER-42168</v>
      </c>
      <c r="F23" s="12" t="str" cm="1">
        <f t="array" ref="F23">_xlfn.TEXTJOIN(CHAR(10),TRUE,_xlfn._xlws.SORT(IF((--($B23=Flowdown_CIC[[URS]:[URS]]))*(--(F$14=Flowdown_CIC[[Source.Name]:[Source.Name]])),Flowdown_CIC[[SyRS]:[SyRS]],"")))</f>
        <v>MASTER-19252
MASTER-42168</v>
      </c>
      <c r="G23" s="12" t="str" cm="1">
        <f t="array" ref="G23">_xlfn.TEXTJOIN(CHAR(10),TRUE,_xlfn._xlws.SORT(IF((--($B23=Flowdown_CIC[[URS]:[URS]]))*(--(G$14=Flowdown_CIC[[Source.Name]:[Source.Name]])),Flowdown_CIC[[SyRS]:[SyRS]],"")))</f>
        <v>MASTER-19252
MASTER-42168</v>
      </c>
      <c r="H23" s="12" t="str" cm="1">
        <f t="array" ref="H23">_xlfn.TEXTJOIN(CHAR(10),TRUE,_xlfn._xlws.SORT(IF((--($B23=Flowdown_CIC[[URS]:[URS]]))*(--(H$14=Flowdown_CIC[[Source.Name]:[Source.Name]])),Flowdown_CIC[[SyRS]:[SyRS]],"")))</f>
        <v/>
      </c>
      <c r="I23" s="12" t="str" cm="1">
        <f t="array" ref="I23">_xlfn.TEXTJOIN(CHAR(10),TRUE,_xlfn._xlws.SORT(IF((--($B23=Flowdown_CIC[[URS]:[URS]]))*(--(I$14=Flowdown_CIC[[Source.Name]:[Source.Name]])),Flowdown_CIC[[SyRS]:[SyRS]],"")))</f>
        <v/>
      </c>
      <c r="J23" s="12" t="str" cm="1">
        <f t="array" ref="J23">_xlfn.TEXTJOIN(CHAR(10),TRUE,_xlfn._xlws.SORT(IF((--($B23=Flowdown_CIC[[URS]:[URS]]))*(--(J$14=Flowdown_CIC[[Source.Name]:[Source.Name]])),Flowdown_CIC[[SyRS]:[SyRS]],"")))</f>
        <v/>
      </c>
      <c r="K23" s="12" t="str" cm="1">
        <f t="array" ref="K23">_xlfn.TEXTJOIN(CHAR(10),TRUE,_xlfn._xlws.SORT(IF((--($B23=Flowdown_CIC[[URS]:[URS]]))*(--(K$14=Flowdown_CIC[[Source.Name]:[Source.Name]])),Flowdown_CIC[[SyRS]:[SyRS]],"")))</f>
        <v/>
      </c>
      <c r="L23" s="16" t="b" cm="1">
        <f t="array" ref="L23">OR(LEN(C23:K23)&gt;0)</f>
        <v>1</v>
      </c>
    </row>
    <row r="24" spans="2:12" ht="121.5" x14ac:dyDescent="0.2">
      <c r="B24" s="11" t="str">
        <v>MASTER-35646</v>
      </c>
      <c r="C24" s="12" t="str" cm="1">
        <f t="array" ref="C24">_xlfn.TEXTJOIN(CHAR(10),TRUE,_xlfn._xlws.SORT(IF((--($B24=Flowdown_CIC[[URS]:[URS]]))*(--(C$14=Flowdown_CIC[[Source.Name]:[Source.Name]])),Flowdown_CIC[[SyRS]:[SyRS]],"")))</f>
        <v>MASTER-42159</v>
      </c>
      <c r="D24" s="12" t="str" cm="1">
        <f t="array" ref="D24">_xlfn.TEXTJOIN(CHAR(10),TRUE,_xlfn._xlws.SORT(IF((--($B24=Flowdown_CIC[[URS]:[URS]]))*(--(D$14=Flowdown_CIC[[Source.Name]:[Source.Name]])),Flowdown_CIC[[SyRS]:[SyRS]],"")))</f>
        <v>MASTER-42159</v>
      </c>
      <c r="E24" s="12" t="str" cm="1">
        <f t="array" ref="E24">_xlfn.TEXTJOIN(CHAR(10),TRUE,_xlfn._xlws.SORT(IF((--($B24=Flowdown_CIC[[URS]:[URS]]))*(--(E$14=Flowdown_CIC[[Source.Name]:[Source.Name]])),Flowdown_CIC[[SyRS]:[SyRS]],"")))</f>
        <v>MASTER-42159</v>
      </c>
      <c r="F24" s="12" t="str" cm="1">
        <f t="array" ref="F24">_xlfn.TEXTJOIN(CHAR(10),TRUE,_xlfn._xlws.SORT(IF((--($B24=Flowdown_CIC[[URS]:[URS]]))*(--(F$14=Flowdown_CIC[[Source.Name]:[Source.Name]])),Flowdown_CIC[[SyRS]:[SyRS]],"")))</f>
        <v>MASTER-42159</v>
      </c>
      <c r="G24" s="12" t="str" cm="1">
        <f t="array" ref="G24">_xlfn.TEXTJOIN(CHAR(10),TRUE,_xlfn._xlws.SORT(IF((--($B24=Flowdown_CIC[[URS]:[URS]]))*(--(G$14=Flowdown_CIC[[Source.Name]:[Source.Name]])),Flowdown_CIC[[SyRS]:[SyRS]],"")))</f>
        <v>MASTER-42159</v>
      </c>
      <c r="H24" s="12" t="str" cm="1">
        <f t="array" ref="H24">_xlfn.TEXTJOIN(CHAR(10),TRUE,_xlfn._xlws.SORT(IF((--($B24=Flowdown_CIC[[URS]:[URS]]))*(--(H$14=Flowdown_CIC[[Source.Name]:[Source.Name]])),Flowdown_CIC[[SyRS]:[SyRS]],"")))</f>
        <v/>
      </c>
      <c r="I24" s="12" t="str" cm="1">
        <f t="array" ref="I24">_xlfn.TEXTJOIN(CHAR(10),TRUE,_xlfn._xlws.SORT(IF((--($B24=Flowdown_CIC[[URS]:[URS]]))*(--(I$14=Flowdown_CIC[[Source.Name]:[Source.Name]])),Flowdown_CIC[[SyRS]:[SyRS]],"")))</f>
        <v/>
      </c>
      <c r="J24" s="12" t="str" cm="1">
        <f t="array" ref="J24">_xlfn.TEXTJOIN(CHAR(10),TRUE,_xlfn._xlws.SORT(IF((--($B24=Flowdown_CIC[[URS]:[URS]]))*(--(J$14=Flowdown_CIC[[Source.Name]:[Source.Name]])),Flowdown_CIC[[SyRS]:[SyRS]],"")))</f>
        <v/>
      </c>
      <c r="K24" s="12" t="str" cm="1">
        <f t="array" ref="K24">_xlfn.TEXTJOIN(CHAR(10),TRUE,_xlfn._xlws.SORT(IF((--($B24=Flowdown_CIC[[URS]:[URS]]))*(--(K$14=Flowdown_CIC[[Source.Name]:[Source.Name]])),Flowdown_CIC[[SyRS]:[SyRS]],"")))</f>
        <v>MASTER-16474
MASTER-16723
MASTER-16724
MASTER-16726
MASTER-16728
MASTER-16735
MASTER-16736
MASTER-64606
UTICA-6398</v>
      </c>
      <c r="L24" s="16" t="b" cm="1">
        <f t="array" ref="L24">OR(LEN(C24:K24)&gt;0)</f>
        <v>1</v>
      </c>
    </row>
    <row r="25" spans="2:12" ht="13.5" x14ac:dyDescent="0.2">
      <c r="B25" s="11" t="str">
        <v>MASTER-35648</v>
      </c>
      <c r="C25" s="12" t="str" cm="1">
        <f t="array" ref="C25">_xlfn.TEXTJOIN(CHAR(10),TRUE,_xlfn._xlws.SORT(IF((--($B25=Flowdown_CIC[[URS]:[URS]]))*(--(C$14=Flowdown_CIC[[Source.Name]:[Source.Name]])),Flowdown_CIC[[SyRS]:[SyRS]],"")))</f>
        <v/>
      </c>
      <c r="D25" s="12" t="str" cm="1">
        <f t="array" ref="D25">_xlfn.TEXTJOIN(CHAR(10),TRUE,_xlfn._xlws.SORT(IF((--($B25=Flowdown_CIC[[URS]:[URS]]))*(--(D$14=Flowdown_CIC[[Source.Name]:[Source.Name]])),Flowdown_CIC[[SyRS]:[SyRS]],"")))</f>
        <v/>
      </c>
      <c r="E25" s="12" t="str" cm="1">
        <f t="array" ref="E25">_xlfn.TEXTJOIN(CHAR(10),TRUE,_xlfn._xlws.SORT(IF((--($B25=Flowdown_CIC[[URS]:[URS]]))*(--(E$14=Flowdown_CIC[[Source.Name]:[Source.Name]])),Flowdown_CIC[[SyRS]:[SyRS]],"")))</f>
        <v/>
      </c>
      <c r="F25" s="12" t="str" cm="1">
        <f t="array" ref="F25">_xlfn.TEXTJOIN(CHAR(10),TRUE,_xlfn._xlws.SORT(IF((--($B25=Flowdown_CIC[[URS]:[URS]]))*(--(F$14=Flowdown_CIC[[Source.Name]:[Source.Name]])),Flowdown_CIC[[SyRS]:[SyRS]],"")))</f>
        <v/>
      </c>
      <c r="G25" s="12" t="str" cm="1">
        <f t="array" ref="G25">_xlfn.TEXTJOIN(CHAR(10),TRUE,_xlfn._xlws.SORT(IF((--($B25=Flowdown_CIC[[URS]:[URS]]))*(--(G$14=Flowdown_CIC[[Source.Name]:[Source.Name]])),Flowdown_CIC[[SyRS]:[SyRS]],"")))</f>
        <v/>
      </c>
      <c r="H25" s="12" t="str" cm="1">
        <f t="array" ref="H25">_xlfn.TEXTJOIN(CHAR(10),TRUE,_xlfn._xlws.SORT(IF((--($B25=Flowdown_CIC[[URS]:[URS]]))*(--(H$14=Flowdown_CIC[[Source.Name]:[Source.Name]])),Flowdown_CIC[[SyRS]:[SyRS]],"")))</f>
        <v/>
      </c>
      <c r="I25" s="12" t="str" cm="1">
        <f t="array" ref="I25">_xlfn.TEXTJOIN(CHAR(10),TRUE,_xlfn._xlws.SORT(IF((--($B25=Flowdown_CIC[[URS]:[URS]]))*(--(I$14=Flowdown_CIC[[Source.Name]:[Source.Name]])),Flowdown_CIC[[SyRS]:[SyRS]],"")))</f>
        <v>MASTER-20174</v>
      </c>
      <c r="J25" s="12" t="str" cm="1">
        <f t="array" ref="J25">_xlfn.TEXTJOIN(CHAR(10),TRUE,_xlfn._xlws.SORT(IF((--($B25=Flowdown_CIC[[URS]:[URS]]))*(--(J$14=Flowdown_CIC[[Source.Name]:[Source.Name]])),Flowdown_CIC[[SyRS]:[SyRS]],"")))</f>
        <v>MASTER-20174</v>
      </c>
      <c r="K25" s="12" t="str" cm="1">
        <f t="array" ref="K25">_xlfn.TEXTJOIN(CHAR(10),TRUE,_xlfn._xlws.SORT(IF((--($B25=Flowdown_CIC[[URS]:[URS]]))*(--(K$14=Flowdown_CIC[[Source.Name]:[Source.Name]])),Flowdown_CIC[[SyRS]:[SyRS]],"")))</f>
        <v/>
      </c>
      <c r="L25" s="16" t="b" cm="1">
        <f t="array" ref="L25">OR(LEN(C25:K25)&gt;0)</f>
        <v>1</v>
      </c>
    </row>
    <row r="26" spans="2:12" ht="27" x14ac:dyDescent="0.2">
      <c r="B26" s="11" t="str">
        <v>MASTER-35649</v>
      </c>
      <c r="C26" s="12" t="str" cm="1">
        <f t="array" ref="C26">_xlfn.TEXTJOIN(CHAR(10),TRUE,_xlfn._xlws.SORT(IF((--($B26=Flowdown_CIC[[URS]:[URS]]))*(--(C$14=Flowdown_CIC[[Source.Name]:[Source.Name]])),Flowdown_CIC[[SyRS]:[SyRS]],"")))</f>
        <v/>
      </c>
      <c r="D26" s="12" t="str" cm="1">
        <f t="array" ref="D26">_xlfn.TEXTJOIN(CHAR(10),TRUE,_xlfn._xlws.SORT(IF((--($B26=Flowdown_CIC[[URS]:[URS]]))*(--(D$14=Flowdown_CIC[[Source.Name]:[Source.Name]])),Flowdown_CIC[[SyRS]:[SyRS]],"")))</f>
        <v/>
      </c>
      <c r="E26" s="12" t="str" cm="1">
        <f t="array" ref="E26">_xlfn.TEXTJOIN(CHAR(10),TRUE,_xlfn._xlws.SORT(IF((--($B26=Flowdown_CIC[[URS]:[URS]]))*(--(E$14=Flowdown_CIC[[Source.Name]:[Source.Name]])),Flowdown_CIC[[SyRS]:[SyRS]],"")))</f>
        <v/>
      </c>
      <c r="F26" s="12" t="str" cm="1">
        <f t="array" ref="F26">_xlfn.TEXTJOIN(CHAR(10),TRUE,_xlfn._xlws.SORT(IF((--($B26=Flowdown_CIC[[URS]:[URS]]))*(--(F$14=Flowdown_CIC[[Source.Name]:[Source.Name]])),Flowdown_CIC[[SyRS]:[SyRS]],"")))</f>
        <v/>
      </c>
      <c r="G26" s="12" t="str" cm="1">
        <f t="array" ref="G26">_xlfn.TEXTJOIN(CHAR(10),TRUE,_xlfn._xlws.SORT(IF((--($B26=Flowdown_CIC[[URS]:[URS]]))*(--(G$14=Flowdown_CIC[[Source.Name]:[Source.Name]])),Flowdown_CIC[[SyRS]:[SyRS]],"")))</f>
        <v/>
      </c>
      <c r="H26" s="12" t="str" cm="1">
        <f t="array" ref="H26">_xlfn.TEXTJOIN(CHAR(10),TRUE,_xlfn._xlws.SORT(IF((--($B26=Flowdown_CIC[[URS]:[URS]]))*(--(H$14=Flowdown_CIC[[Source.Name]:[Source.Name]])),Flowdown_CIC[[SyRS]:[SyRS]],"")))</f>
        <v/>
      </c>
      <c r="I26" s="12" t="str" cm="1">
        <f t="array" ref="I26">_xlfn.TEXTJOIN(CHAR(10),TRUE,_xlfn._xlws.SORT(IF((--($B26=Flowdown_CIC[[URS]:[URS]]))*(--(I$14=Flowdown_CIC[[Source.Name]:[Source.Name]])),Flowdown_CIC[[SyRS]:[SyRS]],"")))</f>
        <v/>
      </c>
      <c r="J26" s="12" t="str" cm="1">
        <f t="array" ref="J26">_xlfn.TEXTJOIN(CHAR(10),TRUE,_xlfn._xlws.SORT(IF((--($B26=Flowdown_CIC[[URS]:[URS]]))*(--(J$14=Flowdown_CIC[[Source.Name]:[Source.Name]])),Flowdown_CIC[[SyRS]:[SyRS]],"")))</f>
        <v>MASTER-20034
MASTER-20035</v>
      </c>
      <c r="K26" s="12" t="str" cm="1">
        <f t="array" ref="K26">_xlfn.TEXTJOIN(CHAR(10),TRUE,_xlfn._xlws.SORT(IF((--($B26=Flowdown_CIC[[URS]:[URS]]))*(--(K$14=Flowdown_CIC[[Source.Name]:[Source.Name]])),Flowdown_CIC[[SyRS]:[SyRS]],"")))</f>
        <v/>
      </c>
      <c r="L26" s="16" t="b" cm="1">
        <f t="array" ref="L26">OR(LEN(C26:K26)&gt;0)</f>
        <v>1</v>
      </c>
    </row>
    <row r="27" spans="2:12" ht="121.5" x14ac:dyDescent="0.2">
      <c r="B27" s="11" t="str">
        <v>MASTER-39835</v>
      </c>
      <c r="C27" s="12" t="str" cm="1">
        <f t="array" ref="C27">_xlfn.TEXTJOIN(CHAR(10),TRUE,_xlfn._xlws.SORT(IF((--($B27=Flowdown_CIC[[URS]:[URS]]))*(--(C$14=Flowdown_CIC[[Source.Name]:[Source.Name]])),Flowdown_CIC[[SyRS]:[SyRS]],"")))</f>
        <v>MASTER-18351
MASTER-18352
MASTER-18354
MASTER-18355
MASTER-18359
MASTER-18360
MASTER-50242
MASTER-51893
MASTER-51894</v>
      </c>
      <c r="D27" s="12" t="str" cm="1">
        <f t="array" ref="D27">_xlfn.TEXTJOIN(CHAR(10),TRUE,_xlfn._xlws.SORT(IF((--($B27=Flowdown_CIC[[URS]:[URS]]))*(--(D$14=Flowdown_CIC[[Source.Name]:[Source.Name]])),Flowdown_CIC[[SyRS]:[SyRS]],"")))</f>
        <v>MASTER-18351
MASTER-18352
MASTER-18354
MASTER-18355
MASTER-18359
MASTER-18360
MASTER-50242
MASTER-51893
MASTER-51894</v>
      </c>
      <c r="E27" s="12" t="str" cm="1">
        <f t="array" ref="E27">_xlfn.TEXTJOIN(CHAR(10),TRUE,_xlfn._xlws.SORT(IF((--($B27=Flowdown_CIC[[URS]:[URS]]))*(--(E$14=Flowdown_CIC[[Source.Name]:[Source.Name]])),Flowdown_CIC[[SyRS]:[SyRS]],"")))</f>
        <v>MASTER-18351
MASTER-18352
MASTER-18354
MASTER-18355
MASTER-18359
MASTER-18360
MASTER-50242
MASTER-51893
MASTER-51894</v>
      </c>
      <c r="F27" s="12" t="str" cm="1">
        <f t="array" ref="F27">_xlfn.TEXTJOIN(CHAR(10),TRUE,_xlfn._xlws.SORT(IF((--($B27=Flowdown_CIC[[URS]:[URS]]))*(--(F$14=Flowdown_CIC[[Source.Name]:[Source.Name]])),Flowdown_CIC[[SyRS]:[SyRS]],"")))</f>
        <v>MASTER-18351
MASTER-18352
MASTER-18354
MASTER-18355
MASTER-18359
MASTER-18360
MASTER-50242
MASTER-51893
MASTER-51894</v>
      </c>
      <c r="G27" s="12" t="str" cm="1">
        <f t="array" ref="G27">_xlfn.TEXTJOIN(CHAR(10),TRUE,_xlfn._xlws.SORT(IF((--($B27=Flowdown_CIC[[URS]:[URS]]))*(--(G$14=Flowdown_CIC[[Source.Name]:[Source.Name]])),Flowdown_CIC[[SyRS]:[SyRS]],"")))</f>
        <v>MASTER-18351
MASTER-18352
MASTER-18354
MASTER-18355
MASTER-18359
MASTER-18360
MASTER-50242
MASTER-51893
MASTER-51894</v>
      </c>
      <c r="H27" s="12" t="str" cm="1">
        <f t="array" ref="H27">_xlfn.TEXTJOIN(CHAR(10),TRUE,_xlfn._xlws.SORT(IF((--($B27=Flowdown_CIC[[URS]:[URS]]))*(--(H$14=Flowdown_CIC[[Source.Name]:[Source.Name]])),Flowdown_CIC[[SyRS]:[SyRS]],"")))</f>
        <v>MASTER-50255
MASTER-50256
MASTER-50257
MASTER-50258</v>
      </c>
      <c r="I27" s="12" t="str" cm="1">
        <f t="array" ref="I27">_xlfn.TEXTJOIN(CHAR(10),TRUE,_xlfn._xlws.SORT(IF((--($B27=Flowdown_CIC[[URS]:[URS]]))*(--(I$14=Flowdown_CIC[[Source.Name]:[Source.Name]])),Flowdown_CIC[[SyRS]:[SyRS]],"")))</f>
        <v/>
      </c>
      <c r="J27" s="12" t="str" cm="1">
        <f t="array" ref="J27">_xlfn.TEXTJOIN(CHAR(10),TRUE,_xlfn._xlws.SORT(IF((--($B27=Flowdown_CIC[[URS]:[URS]]))*(--(J$14=Flowdown_CIC[[Source.Name]:[Source.Name]])),Flowdown_CIC[[SyRS]:[SyRS]],"")))</f>
        <v/>
      </c>
      <c r="K27" s="12" t="str" cm="1">
        <f t="array" ref="K27">_xlfn.TEXTJOIN(CHAR(10),TRUE,_xlfn._xlws.SORT(IF((--($B27=Flowdown_CIC[[URS]:[URS]]))*(--(K$14=Flowdown_CIC[[Source.Name]:[Source.Name]])),Flowdown_CIC[[SyRS]:[SyRS]],"")))</f>
        <v/>
      </c>
      <c r="L27" s="16" t="b" cm="1">
        <f t="array" ref="L27">OR(LEN(C27:K27)&gt;0)</f>
        <v>1</v>
      </c>
    </row>
    <row r="28" spans="2:12" ht="4.9000000000000004" customHeight="1" x14ac:dyDescent="0.2">
      <c r="B28" s="11" t="str">
        <v>MASTER-41911</v>
      </c>
      <c r="C28" s="12" t="str" cm="1">
        <f t="array" ref="C28">_xlfn.TEXTJOIN(CHAR(10),TRUE,_xlfn._xlws.SORT(IF((--($B28=Flowdown_CIC[[URS]:[URS]]))*(--(C$14=Flowdown_CIC[[Source.Name]:[Source.Name]])),Flowdown_CIC[[SyRS]:[SyRS]],"")))</f>
        <v/>
      </c>
      <c r="D28" s="12" t="str" cm="1">
        <f t="array" ref="D28">_xlfn.TEXTJOIN(CHAR(10),TRUE,_xlfn._xlws.SORT(IF((--($B28=Flowdown_CIC[[URS]:[URS]]))*(--(D$14=Flowdown_CIC[[Source.Name]:[Source.Name]])),Flowdown_CIC[[SyRS]:[SyRS]],"")))</f>
        <v/>
      </c>
      <c r="E28" s="12" t="str" cm="1">
        <f t="array" ref="E28">_xlfn.TEXTJOIN(CHAR(10),TRUE,_xlfn._xlws.SORT(IF((--($B28=Flowdown_CIC[[URS]:[URS]]))*(--(E$14=Flowdown_CIC[[Source.Name]:[Source.Name]])),Flowdown_CIC[[SyRS]:[SyRS]],"")))</f>
        <v/>
      </c>
      <c r="F28" s="12" t="str" cm="1">
        <f t="array" ref="F28">_xlfn.TEXTJOIN(CHAR(10),TRUE,_xlfn._xlws.SORT(IF((--($B28=Flowdown_CIC[[URS]:[URS]]))*(--(F$14=Flowdown_CIC[[Source.Name]:[Source.Name]])),Flowdown_CIC[[SyRS]:[SyRS]],"")))</f>
        <v/>
      </c>
      <c r="G28" s="12" t="str" cm="1">
        <f t="array" ref="G28">_xlfn.TEXTJOIN(CHAR(10),TRUE,_xlfn._xlws.SORT(IF((--($B28=Flowdown_CIC[[URS]:[URS]]))*(--(G$14=Flowdown_CIC[[Source.Name]:[Source.Name]])),Flowdown_CIC[[SyRS]:[SyRS]],"")))</f>
        <v/>
      </c>
      <c r="H28" s="12" t="str" cm="1">
        <f t="array" ref="H28">_xlfn.TEXTJOIN(CHAR(10),TRUE,_xlfn._xlws.SORT(IF((--($B28=Flowdown_CIC[[URS]:[URS]]))*(--(H$14=Flowdown_CIC[[Source.Name]:[Source.Name]])),Flowdown_CIC[[SyRS]:[SyRS]],"")))</f>
        <v>MASTER-63165</v>
      </c>
      <c r="I28" s="12" t="str" cm="1">
        <f t="array" ref="I28">_xlfn.TEXTJOIN(CHAR(10),TRUE,_xlfn._xlws.SORT(IF((--($B28=Flowdown_CIC[[URS]:[URS]]))*(--(I$14=Flowdown_CIC[[Source.Name]:[Source.Name]])),Flowdown_CIC[[SyRS]:[SyRS]],"")))</f>
        <v/>
      </c>
      <c r="J28" s="12" t="str" cm="1">
        <f t="array" ref="J28">_xlfn.TEXTJOIN(CHAR(10),TRUE,_xlfn._xlws.SORT(IF((--($B28=Flowdown_CIC[[URS]:[URS]]))*(--(J$14=Flowdown_CIC[[Source.Name]:[Source.Name]])),Flowdown_CIC[[SyRS]:[SyRS]],"")))</f>
        <v/>
      </c>
      <c r="K28" s="12" t="str" cm="1">
        <f t="array" ref="K28">_xlfn.TEXTJOIN(CHAR(10),TRUE,_xlfn._xlws.SORT(IF((--($B28=Flowdown_CIC[[URS]:[URS]]))*(--(K$14=Flowdown_CIC[[Source.Name]:[Source.Name]])),Flowdown_CIC[[SyRS]:[SyRS]],"")))</f>
        <v/>
      </c>
      <c r="L28" s="16" t="b" cm="1">
        <f t="array" ref="L28">OR(LEN(C28:K28)&gt;0)</f>
        <v>1</v>
      </c>
    </row>
    <row r="29" spans="2:12" ht="54" x14ac:dyDescent="0.2">
      <c r="B29" s="11" t="str">
        <v>MASTER-41912</v>
      </c>
      <c r="C29" s="12" t="str" cm="1">
        <f t="array" ref="C29">_xlfn.TEXTJOIN(CHAR(10),TRUE,_xlfn._xlws.SORT(IF((--($B29=Flowdown_CIC[[URS]:[URS]]))*(--(C$14=Flowdown_CIC[[Source.Name]:[Source.Name]])),Flowdown_CIC[[SyRS]:[SyRS]],"")))</f>
        <v/>
      </c>
      <c r="D29" s="12" t="str" cm="1">
        <f t="array" ref="D29">_xlfn.TEXTJOIN(CHAR(10),TRUE,_xlfn._xlws.SORT(IF((--($B29=Flowdown_CIC[[URS]:[URS]]))*(--(D$14=Flowdown_CIC[[Source.Name]:[Source.Name]])),Flowdown_CIC[[SyRS]:[SyRS]],"")))</f>
        <v/>
      </c>
      <c r="E29" s="12" t="str" cm="1">
        <f t="array" ref="E29">_xlfn.TEXTJOIN(CHAR(10),TRUE,_xlfn._xlws.SORT(IF((--($B29=Flowdown_CIC[[URS]:[URS]]))*(--(E$14=Flowdown_CIC[[Source.Name]:[Source.Name]])),Flowdown_CIC[[SyRS]:[SyRS]],"")))</f>
        <v/>
      </c>
      <c r="F29" s="12" t="str" cm="1">
        <f t="array" ref="F29">_xlfn.TEXTJOIN(CHAR(10),TRUE,_xlfn._xlws.SORT(IF((--($B29=Flowdown_CIC[[URS]:[URS]]))*(--(F$14=Flowdown_CIC[[Source.Name]:[Source.Name]])),Flowdown_CIC[[SyRS]:[SyRS]],"")))</f>
        <v/>
      </c>
      <c r="G29" s="12" t="str" cm="1">
        <f t="array" ref="G29">_xlfn.TEXTJOIN(CHAR(10),TRUE,_xlfn._xlws.SORT(IF((--($B29=Flowdown_CIC[[URS]:[URS]]))*(--(G$14=Flowdown_CIC[[Source.Name]:[Source.Name]])),Flowdown_CIC[[SyRS]:[SyRS]],"")))</f>
        <v/>
      </c>
      <c r="H29" s="12" t="str" cm="1">
        <f t="array" ref="H29">_xlfn.TEXTJOIN(CHAR(10),TRUE,_xlfn._xlws.SORT(IF((--($B29=Flowdown_CIC[[URS]:[URS]]))*(--(H$14=Flowdown_CIC[[Source.Name]:[Source.Name]])),Flowdown_CIC[[SyRS]:[SyRS]],"")))</f>
        <v>MASTER-21593
MASTER-22238
MASTER-22521
MASTER-22523</v>
      </c>
      <c r="I29" s="12" t="str" cm="1">
        <f t="array" ref="I29">_xlfn.TEXTJOIN(CHAR(10),TRUE,_xlfn._xlws.SORT(IF((--($B29=Flowdown_CIC[[URS]:[URS]]))*(--(I$14=Flowdown_CIC[[Source.Name]:[Source.Name]])),Flowdown_CIC[[SyRS]:[SyRS]],"")))</f>
        <v/>
      </c>
      <c r="J29" s="12" t="str" cm="1">
        <f t="array" ref="J29">_xlfn.TEXTJOIN(CHAR(10),TRUE,_xlfn._xlws.SORT(IF((--($B29=Flowdown_CIC[[URS]:[URS]]))*(--(J$14=Flowdown_CIC[[Source.Name]:[Source.Name]])),Flowdown_CIC[[SyRS]:[SyRS]],"")))</f>
        <v/>
      </c>
      <c r="K29" s="12" t="str" cm="1">
        <f t="array" ref="K29">_xlfn.TEXTJOIN(CHAR(10),TRUE,_xlfn._xlws.SORT(IF((--($B29=Flowdown_CIC[[URS]:[URS]]))*(--(K$14=Flowdown_CIC[[Source.Name]:[Source.Name]])),Flowdown_CIC[[SyRS]:[SyRS]],"")))</f>
        <v/>
      </c>
      <c r="L29" s="16" t="b" cm="1">
        <f t="array" ref="L29">OR(LEN(C29:K29)&gt;0)</f>
        <v>1</v>
      </c>
    </row>
    <row r="30" spans="2:12" ht="283.5" x14ac:dyDescent="0.2">
      <c r="B30" s="11" t="str">
        <v>MASTER-41913</v>
      </c>
      <c r="C30" s="12" t="str" cm="1">
        <f t="array" ref="C30">_xlfn.TEXTJOIN(CHAR(10),TRUE,_xlfn._xlws.SORT(IF((--($B30=Flowdown_CIC[[URS]:[URS]]))*(--(C$14=Flowdown_CIC[[Source.Name]:[Source.Name]])),Flowdown_CIC[[SyRS]:[SyRS]],"")))</f>
        <v/>
      </c>
      <c r="D30" s="12" t="str" cm="1">
        <f t="array" ref="D30">_xlfn.TEXTJOIN(CHAR(10),TRUE,_xlfn._xlws.SORT(IF((--($B30=Flowdown_CIC[[URS]:[URS]]))*(--(D$14=Flowdown_CIC[[Source.Name]:[Source.Name]])),Flowdown_CIC[[SyRS]:[SyRS]],"")))</f>
        <v/>
      </c>
      <c r="E30" s="12" t="str" cm="1">
        <f t="array" ref="E30">_xlfn.TEXTJOIN(CHAR(10),TRUE,_xlfn._xlws.SORT(IF((--($B30=Flowdown_CIC[[URS]:[URS]]))*(--(E$14=Flowdown_CIC[[Source.Name]:[Source.Name]])),Flowdown_CIC[[SyRS]:[SyRS]],"")))</f>
        <v/>
      </c>
      <c r="F30" s="12" t="str" cm="1">
        <f t="array" ref="F30">_xlfn.TEXTJOIN(CHAR(10),TRUE,_xlfn._xlws.SORT(IF((--($B30=Flowdown_CIC[[URS]:[URS]]))*(--(F$14=Flowdown_CIC[[Source.Name]:[Source.Name]])),Flowdown_CIC[[SyRS]:[SyRS]],"")))</f>
        <v/>
      </c>
      <c r="G30" s="12" t="str" cm="1">
        <f t="array" ref="G30">_xlfn.TEXTJOIN(CHAR(10),TRUE,_xlfn._xlws.SORT(IF((--($B30=Flowdown_CIC[[URS]:[URS]]))*(--(G$14=Flowdown_CIC[[Source.Name]:[Source.Name]])),Flowdown_CIC[[SyRS]:[SyRS]],"")))</f>
        <v/>
      </c>
      <c r="H30" s="12" t="str" cm="1">
        <f t="array" ref="H30">_xlfn.TEXTJOIN(CHAR(10),TRUE,_xlfn._xlws.SORT(IF((--($B30=Flowdown_CIC[[URS]:[URS]]))*(--(H$14=Flowdown_CIC[[Source.Name]:[Source.Name]])),Flowdown_CIC[[SyRS]:[SyRS]],"")))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30" s="12" t="str" cm="1">
        <f t="array" ref="I30">_xlfn.TEXTJOIN(CHAR(10),TRUE,_xlfn._xlws.SORT(IF((--($B30=Flowdown_CIC[[URS]:[URS]]))*(--(I$14=Flowdown_CIC[[Source.Name]:[Source.Name]])),Flowdown_CIC[[SyRS]:[SyRS]],"")))</f>
        <v/>
      </c>
      <c r="J30" s="12" t="str" cm="1">
        <f t="array" ref="J30">_xlfn.TEXTJOIN(CHAR(10),TRUE,_xlfn._xlws.SORT(IF((--($B30=Flowdown_CIC[[URS]:[URS]]))*(--(J$14=Flowdown_CIC[[Source.Name]:[Source.Name]])),Flowdown_CIC[[SyRS]:[SyRS]],"")))</f>
        <v/>
      </c>
      <c r="K30" s="12" t="str" cm="1">
        <f t="array" ref="K30">_xlfn.TEXTJOIN(CHAR(10),TRUE,_xlfn._xlws.SORT(IF((--($B30=Flowdown_CIC[[URS]:[URS]]))*(--(K$14=Flowdown_CIC[[Source.Name]:[Source.Name]])),Flowdown_CIC[[SyRS]:[SyRS]],"")))</f>
        <v/>
      </c>
      <c r="L30" s="16" t="b" cm="1">
        <f t="array" ref="L30">OR(LEN(C30:K30)&gt;0)</f>
        <v>1</v>
      </c>
    </row>
    <row r="31" spans="2:12" ht="4.9000000000000004" customHeight="1" x14ac:dyDescent="0.2">
      <c r="B31" s="11" t="str">
        <v>MASTER-41914</v>
      </c>
      <c r="C31" s="12" t="str" cm="1">
        <f t="array" ref="C31">_xlfn.TEXTJOIN(CHAR(10),TRUE,_xlfn._xlws.SORT(IF((--($B31=Flowdown_CIC[[URS]:[URS]]))*(--(C$14=Flowdown_CIC[[Source.Name]:[Source.Name]])),Flowdown_CIC[[SyRS]:[SyRS]],"")))</f>
        <v/>
      </c>
      <c r="D31" s="12" t="str" cm="1">
        <f t="array" ref="D31">_xlfn.TEXTJOIN(CHAR(10),TRUE,_xlfn._xlws.SORT(IF((--($B31=Flowdown_CIC[[URS]:[URS]]))*(--(D$14=Flowdown_CIC[[Source.Name]:[Source.Name]])),Flowdown_CIC[[SyRS]:[SyRS]],"")))</f>
        <v/>
      </c>
      <c r="E31" s="12" t="str" cm="1">
        <f t="array" ref="E31">_xlfn.TEXTJOIN(CHAR(10),TRUE,_xlfn._xlws.SORT(IF((--($B31=Flowdown_CIC[[URS]:[URS]]))*(--(E$14=Flowdown_CIC[[Source.Name]:[Source.Name]])),Flowdown_CIC[[SyRS]:[SyRS]],"")))</f>
        <v/>
      </c>
      <c r="F31" s="12" t="str" cm="1">
        <f t="array" ref="F31">_xlfn.TEXTJOIN(CHAR(10),TRUE,_xlfn._xlws.SORT(IF((--($B31=Flowdown_CIC[[URS]:[URS]]))*(--(F$14=Flowdown_CIC[[Source.Name]:[Source.Name]])),Flowdown_CIC[[SyRS]:[SyRS]],"")))</f>
        <v/>
      </c>
      <c r="G31" s="12" t="str" cm="1">
        <f t="array" ref="G31">_xlfn.TEXTJOIN(CHAR(10),TRUE,_xlfn._xlws.SORT(IF((--($B31=Flowdown_CIC[[URS]:[URS]]))*(--(G$14=Flowdown_CIC[[Source.Name]:[Source.Name]])),Flowdown_CIC[[SyRS]:[SyRS]],"")))</f>
        <v/>
      </c>
      <c r="H31" s="12" t="str" cm="1">
        <f t="array" ref="H31">_xlfn.TEXTJOIN(CHAR(10),TRUE,_xlfn._xlws.SORT(IF((--($B31=Flowdown_CIC[[URS]:[URS]]))*(--(H$14=Flowdown_CIC[[Source.Name]:[Source.Name]])),Flowdown_CIC[[SyRS]:[SyRS]],"")))</f>
        <v>MASTER-21694
MASTER-21695
MASTER-21696
MASTER-22537
MASTER-22544
MASTER-22545
MASTER-22581
MASTER-51771</v>
      </c>
      <c r="I31" s="12" t="str" cm="1">
        <f t="array" ref="I31">_xlfn.TEXTJOIN(CHAR(10),TRUE,_xlfn._xlws.SORT(IF((--($B31=Flowdown_CIC[[URS]:[URS]]))*(--(I$14=Flowdown_CIC[[Source.Name]:[Source.Name]])),Flowdown_CIC[[SyRS]:[SyRS]],"")))</f>
        <v/>
      </c>
      <c r="J31" s="12" t="str" cm="1">
        <f t="array" ref="J31">_xlfn.TEXTJOIN(CHAR(10),TRUE,_xlfn._xlws.SORT(IF((--($B31=Flowdown_CIC[[URS]:[URS]]))*(--(J$14=Flowdown_CIC[[Source.Name]:[Source.Name]])),Flowdown_CIC[[SyRS]:[SyRS]],"")))</f>
        <v/>
      </c>
      <c r="K31" s="12" t="str" cm="1">
        <f t="array" ref="K31">_xlfn.TEXTJOIN(CHAR(10),TRUE,_xlfn._xlws.SORT(IF((--($B31=Flowdown_CIC[[URS]:[URS]]))*(--(K$14=Flowdown_CIC[[Source.Name]:[Source.Name]])),Flowdown_CIC[[SyRS]:[SyRS]],"")))</f>
        <v/>
      </c>
      <c r="L31" s="16" t="b" cm="1">
        <f t="array" ref="L31">OR(LEN(C31:K31)&gt;0)</f>
        <v>1</v>
      </c>
    </row>
    <row r="32" spans="2:12" ht="27" x14ac:dyDescent="0.2">
      <c r="B32" s="11" t="str">
        <v>MASTER-41916</v>
      </c>
      <c r="C32" s="12" t="str" cm="1">
        <f t="array" ref="C32">_xlfn.TEXTJOIN(CHAR(10),TRUE,_xlfn._xlws.SORT(IF((--($B32=Flowdown_CIC[[URS]:[URS]]))*(--(C$14=Flowdown_CIC[[Source.Name]:[Source.Name]])),Flowdown_CIC[[SyRS]:[SyRS]],"")))</f>
        <v>MASTER-41916
MASTER-41916</v>
      </c>
      <c r="D32" s="12" t="str" cm="1">
        <f t="array" ref="D32">_xlfn.TEXTJOIN(CHAR(10),TRUE,_xlfn._xlws.SORT(IF((--($B32=Flowdown_CIC[[URS]:[URS]]))*(--(D$14=Flowdown_CIC[[Source.Name]:[Source.Name]])),Flowdown_CIC[[SyRS]:[SyRS]],"")))</f>
        <v>MASTER-41916
MASTER-41916</v>
      </c>
      <c r="E32" s="12" t="str" cm="1">
        <f t="array" ref="E32">_xlfn.TEXTJOIN(CHAR(10),TRUE,_xlfn._xlws.SORT(IF((--($B32=Flowdown_CIC[[URS]:[URS]]))*(--(E$14=Flowdown_CIC[[Source.Name]:[Source.Name]])),Flowdown_CIC[[SyRS]:[SyRS]],"")))</f>
        <v>MASTER-41916
MASTER-41916</v>
      </c>
      <c r="F32" s="12" t="str" cm="1">
        <f t="array" ref="F32">_xlfn.TEXTJOIN(CHAR(10),TRUE,_xlfn._xlws.SORT(IF((--($B32=Flowdown_CIC[[URS]:[URS]]))*(--(F$14=Flowdown_CIC[[Source.Name]:[Source.Name]])),Flowdown_CIC[[SyRS]:[SyRS]],"")))</f>
        <v>MASTER-41916
MASTER-41916</v>
      </c>
      <c r="G32" s="12" t="str" cm="1">
        <f t="array" ref="G32">_xlfn.TEXTJOIN(CHAR(10),TRUE,_xlfn._xlws.SORT(IF((--($B32=Flowdown_CIC[[URS]:[URS]]))*(--(G$14=Flowdown_CIC[[Source.Name]:[Source.Name]])),Flowdown_CIC[[SyRS]:[SyRS]],"")))</f>
        <v>MASTER-41916
MASTER-41916</v>
      </c>
      <c r="H32" s="12" t="str" cm="1">
        <f t="array" ref="H32">_xlfn.TEXTJOIN(CHAR(10),TRUE,_xlfn._xlws.SORT(IF((--($B32=Flowdown_CIC[[URS]:[URS]]))*(--(H$14=Flowdown_CIC[[Source.Name]:[Source.Name]])),Flowdown_CIC[[SyRS]:[SyRS]],"")))</f>
        <v/>
      </c>
      <c r="I32" s="12" t="str" cm="1">
        <f t="array" ref="I32">_xlfn.TEXTJOIN(CHAR(10),TRUE,_xlfn._xlws.SORT(IF((--($B32=Flowdown_CIC[[URS]:[URS]]))*(--(I$14=Flowdown_CIC[[Source.Name]:[Source.Name]])),Flowdown_CIC[[SyRS]:[SyRS]],"")))</f>
        <v/>
      </c>
      <c r="J32" s="12" t="str" cm="1">
        <f t="array" ref="J32">_xlfn.TEXTJOIN(CHAR(10),TRUE,_xlfn._xlws.SORT(IF((--($B32=Flowdown_CIC[[URS]:[URS]]))*(--(J$14=Flowdown_CIC[[Source.Name]:[Source.Name]])),Flowdown_CIC[[SyRS]:[SyRS]],"")))</f>
        <v/>
      </c>
      <c r="K32" s="12" t="str" cm="1">
        <f t="array" ref="K32">_xlfn.TEXTJOIN(CHAR(10),TRUE,_xlfn._xlws.SORT(IF((--($B32=Flowdown_CIC[[URS]:[URS]]))*(--(K$14=Flowdown_CIC[[Source.Name]:[Source.Name]])),Flowdown_CIC[[SyRS]:[SyRS]],"")))</f>
        <v/>
      </c>
      <c r="L32" s="16" t="b" cm="1">
        <f t="array" ref="L32">OR(LEN(C32:K32)&gt;0)</f>
        <v>1</v>
      </c>
    </row>
    <row r="33" spans="2:12" ht="27" x14ac:dyDescent="0.2">
      <c r="B33" s="11" t="str">
        <v>MASTER-41917</v>
      </c>
      <c r="C33" s="12" t="str" cm="1">
        <f t="array" ref="C33">_xlfn.TEXTJOIN(CHAR(10),TRUE,_xlfn._xlws.SORT(IF((--($B33=Flowdown_CIC[[URS]:[URS]]))*(--(C$14=Flowdown_CIC[[Source.Name]:[Source.Name]])),Flowdown_CIC[[SyRS]:[SyRS]],"")))</f>
        <v/>
      </c>
      <c r="D33" s="12" t="str" cm="1">
        <f t="array" ref="D33">_xlfn.TEXTJOIN(CHAR(10),TRUE,_xlfn._xlws.SORT(IF((--($B33=Flowdown_CIC[[URS]:[URS]]))*(--(D$14=Flowdown_CIC[[Source.Name]:[Source.Name]])),Flowdown_CIC[[SyRS]:[SyRS]],"")))</f>
        <v/>
      </c>
      <c r="E33" s="12" t="str" cm="1">
        <f t="array" ref="E33">_xlfn.TEXTJOIN(CHAR(10),TRUE,_xlfn._xlws.SORT(IF((--($B33=Flowdown_CIC[[URS]:[URS]]))*(--(E$14=Flowdown_CIC[[Source.Name]:[Source.Name]])),Flowdown_CIC[[SyRS]:[SyRS]],"")))</f>
        <v/>
      </c>
      <c r="F33" s="12" t="str" cm="1">
        <f t="array" ref="F33">_xlfn.TEXTJOIN(CHAR(10),TRUE,_xlfn._xlws.SORT(IF((--($B33=Flowdown_CIC[[URS]:[URS]]))*(--(F$14=Flowdown_CIC[[Source.Name]:[Source.Name]])),Flowdown_CIC[[SyRS]:[SyRS]],"")))</f>
        <v/>
      </c>
      <c r="G33" s="12" t="str" cm="1">
        <f t="array" ref="G33">_xlfn.TEXTJOIN(CHAR(10),TRUE,_xlfn._xlws.SORT(IF((--($B33=Flowdown_CIC[[URS]:[URS]]))*(--(G$14=Flowdown_CIC[[Source.Name]:[Source.Name]])),Flowdown_CIC[[SyRS]:[SyRS]],"")))</f>
        <v/>
      </c>
      <c r="H33" s="12" t="str" cm="1">
        <f t="array" ref="H33">_xlfn.TEXTJOIN(CHAR(10),TRUE,_xlfn._xlws.SORT(IF((--($B33=Flowdown_CIC[[URS]:[URS]]))*(--(H$14=Flowdown_CIC[[Source.Name]:[Source.Name]])),Flowdown_CIC[[SyRS]:[SyRS]],"")))</f>
        <v>MASTER-21159
MASTER-21159</v>
      </c>
      <c r="I33" s="12" t="str" cm="1">
        <f t="array" ref="I33">_xlfn.TEXTJOIN(CHAR(10),TRUE,_xlfn._xlws.SORT(IF((--($B33=Flowdown_CIC[[URS]:[URS]]))*(--(I$14=Flowdown_CIC[[Source.Name]:[Source.Name]])),Flowdown_CIC[[SyRS]:[SyRS]],"")))</f>
        <v/>
      </c>
      <c r="J33" s="12" t="str" cm="1">
        <f t="array" ref="J33">_xlfn.TEXTJOIN(CHAR(10),TRUE,_xlfn._xlws.SORT(IF((--($B33=Flowdown_CIC[[URS]:[URS]]))*(--(J$14=Flowdown_CIC[[Source.Name]:[Source.Name]])),Flowdown_CIC[[SyRS]:[SyRS]],"")))</f>
        <v/>
      </c>
      <c r="K33" s="12" t="str" cm="1">
        <f t="array" ref="K33">_xlfn.TEXTJOIN(CHAR(10),TRUE,_xlfn._xlws.SORT(IF((--($B33=Flowdown_CIC[[URS]:[URS]]))*(--(K$14=Flowdown_CIC[[Source.Name]:[Source.Name]])),Flowdown_CIC[[SyRS]:[SyRS]],"")))</f>
        <v/>
      </c>
      <c r="L33" s="16" t="b" cm="1">
        <f t="array" ref="L33">OR(LEN(C33:K33)&gt;0)</f>
        <v>1</v>
      </c>
    </row>
    <row r="34" spans="2:12" ht="27" x14ac:dyDescent="0.2">
      <c r="B34" s="11" t="str">
        <v>MASTER-41918</v>
      </c>
      <c r="C34" s="12" t="str" cm="1">
        <f t="array" ref="C34">_xlfn.TEXTJOIN(CHAR(10),TRUE,_xlfn._xlws.SORT(IF((--($B34=Flowdown_CIC[[URS]:[URS]]))*(--(C$14=Flowdown_CIC[[Source.Name]:[Source.Name]])),Flowdown_CIC[[SyRS]:[SyRS]],"")))</f>
        <v/>
      </c>
      <c r="D34" s="12" t="str" cm="1">
        <f t="array" ref="D34">_xlfn.TEXTJOIN(CHAR(10),TRUE,_xlfn._xlws.SORT(IF((--($B34=Flowdown_CIC[[URS]:[URS]]))*(--(D$14=Flowdown_CIC[[Source.Name]:[Source.Name]])),Flowdown_CIC[[SyRS]:[SyRS]],"")))</f>
        <v/>
      </c>
      <c r="E34" s="12" t="str" cm="1">
        <f t="array" ref="E34">_xlfn.TEXTJOIN(CHAR(10),TRUE,_xlfn._xlws.SORT(IF((--($B34=Flowdown_CIC[[URS]:[URS]]))*(--(E$14=Flowdown_CIC[[Source.Name]:[Source.Name]])),Flowdown_CIC[[SyRS]:[SyRS]],"")))</f>
        <v/>
      </c>
      <c r="F34" s="12" t="str" cm="1">
        <f t="array" ref="F34">_xlfn.TEXTJOIN(CHAR(10),TRUE,_xlfn._xlws.SORT(IF((--($B34=Flowdown_CIC[[URS]:[URS]]))*(--(F$14=Flowdown_CIC[[Source.Name]:[Source.Name]])),Flowdown_CIC[[SyRS]:[SyRS]],"")))</f>
        <v/>
      </c>
      <c r="G34" s="12" t="str" cm="1">
        <f t="array" ref="G34">_xlfn.TEXTJOIN(CHAR(10),TRUE,_xlfn._xlws.SORT(IF((--($B34=Flowdown_CIC[[URS]:[URS]]))*(--(G$14=Flowdown_CIC[[Source.Name]:[Source.Name]])),Flowdown_CIC[[SyRS]:[SyRS]],"")))</f>
        <v/>
      </c>
      <c r="H34" s="12" t="str" cm="1">
        <f t="array" ref="H34">_xlfn.TEXTJOIN(CHAR(10),TRUE,_xlfn._xlws.SORT(IF((--($B34=Flowdown_CIC[[URS]:[URS]]))*(--(H$14=Flowdown_CIC[[Source.Name]:[Source.Name]])),Flowdown_CIC[[SyRS]:[SyRS]],"")))</f>
        <v>MASTER-21159
MASTER-21159</v>
      </c>
      <c r="I34" s="12" t="str" cm="1">
        <f t="array" ref="I34">_xlfn.TEXTJOIN(CHAR(10),TRUE,_xlfn._xlws.SORT(IF((--($B34=Flowdown_CIC[[URS]:[URS]]))*(--(I$14=Flowdown_CIC[[Source.Name]:[Source.Name]])),Flowdown_CIC[[SyRS]:[SyRS]],"")))</f>
        <v/>
      </c>
      <c r="J34" s="12" t="str" cm="1">
        <f t="array" ref="J34">_xlfn.TEXTJOIN(CHAR(10),TRUE,_xlfn._xlws.SORT(IF((--($B34=Flowdown_CIC[[URS]:[URS]]))*(--(J$14=Flowdown_CIC[[Source.Name]:[Source.Name]])),Flowdown_CIC[[SyRS]:[SyRS]],"")))</f>
        <v/>
      </c>
      <c r="K34" s="12" t="str" cm="1">
        <f t="array" ref="K34">_xlfn.TEXTJOIN(CHAR(10),TRUE,_xlfn._xlws.SORT(IF((--($B34=Flowdown_CIC[[URS]:[URS]]))*(--(K$14=Flowdown_CIC[[Source.Name]:[Source.Name]])),Flowdown_CIC[[SyRS]:[SyRS]],"")))</f>
        <v/>
      </c>
      <c r="L34" s="16" t="b" cm="1">
        <f t="array" ref="L34">OR(LEN(C34:K34)&gt;0)</f>
        <v>1</v>
      </c>
    </row>
    <row r="35" spans="2:12" ht="27" x14ac:dyDescent="0.2">
      <c r="B35" s="11" t="str">
        <v>MASTER-41919</v>
      </c>
      <c r="C35" s="12" t="str" cm="1">
        <f t="array" ref="C35">_xlfn.TEXTJOIN(CHAR(10),TRUE,_xlfn._xlws.SORT(IF((--($B35=Flowdown_CIC[[URS]:[URS]]))*(--(C$14=Flowdown_CIC[[Source.Name]:[Source.Name]])),Flowdown_CIC[[SyRS]:[SyRS]],"")))</f>
        <v/>
      </c>
      <c r="D35" s="12" t="str" cm="1">
        <f t="array" ref="D35">_xlfn.TEXTJOIN(CHAR(10),TRUE,_xlfn._xlws.SORT(IF((--($B35=Flowdown_CIC[[URS]:[URS]]))*(--(D$14=Flowdown_CIC[[Source.Name]:[Source.Name]])),Flowdown_CIC[[SyRS]:[SyRS]],"")))</f>
        <v/>
      </c>
      <c r="E35" s="12" t="str" cm="1">
        <f t="array" ref="E35">_xlfn.TEXTJOIN(CHAR(10),TRUE,_xlfn._xlws.SORT(IF((--($B35=Flowdown_CIC[[URS]:[URS]]))*(--(E$14=Flowdown_CIC[[Source.Name]:[Source.Name]])),Flowdown_CIC[[SyRS]:[SyRS]],"")))</f>
        <v/>
      </c>
      <c r="F35" s="12" t="str" cm="1">
        <f t="array" ref="F35">_xlfn.TEXTJOIN(CHAR(10),TRUE,_xlfn._xlws.SORT(IF((--($B35=Flowdown_CIC[[URS]:[URS]]))*(--(F$14=Flowdown_CIC[[Source.Name]:[Source.Name]])),Flowdown_CIC[[SyRS]:[SyRS]],"")))</f>
        <v/>
      </c>
      <c r="G35" s="12" t="str" cm="1">
        <f t="array" ref="G35">_xlfn.TEXTJOIN(CHAR(10),TRUE,_xlfn._xlws.SORT(IF((--($B35=Flowdown_CIC[[URS]:[URS]]))*(--(G$14=Flowdown_CIC[[Source.Name]:[Source.Name]])),Flowdown_CIC[[SyRS]:[SyRS]],"")))</f>
        <v/>
      </c>
      <c r="H35" s="12" t="str" cm="1">
        <f t="array" ref="H35">_xlfn.TEXTJOIN(CHAR(10),TRUE,_xlfn._xlws.SORT(IF((--($B35=Flowdown_CIC[[URS]:[URS]]))*(--(H$14=Flowdown_CIC[[Source.Name]:[Source.Name]])),Flowdown_CIC[[SyRS]:[SyRS]],"")))</f>
        <v>MASTER-21159
MASTER-21159</v>
      </c>
      <c r="I35" s="12" t="str" cm="1">
        <f t="array" ref="I35">_xlfn.TEXTJOIN(CHAR(10),TRUE,_xlfn._xlws.SORT(IF((--($B35=Flowdown_CIC[[URS]:[URS]]))*(--(I$14=Flowdown_CIC[[Source.Name]:[Source.Name]])),Flowdown_CIC[[SyRS]:[SyRS]],"")))</f>
        <v/>
      </c>
      <c r="J35" s="12" t="str" cm="1">
        <f t="array" ref="J35">_xlfn.TEXTJOIN(CHAR(10),TRUE,_xlfn._xlws.SORT(IF((--($B35=Flowdown_CIC[[URS]:[URS]]))*(--(J$14=Flowdown_CIC[[Source.Name]:[Source.Name]])),Flowdown_CIC[[SyRS]:[SyRS]],"")))</f>
        <v/>
      </c>
      <c r="K35" s="12" t="str" cm="1">
        <f t="array" ref="K35">_xlfn.TEXTJOIN(CHAR(10),TRUE,_xlfn._xlws.SORT(IF((--($B35=Flowdown_CIC[[URS]:[URS]]))*(--(K$14=Flowdown_CIC[[Source.Name]:[Source.Name]])),Flowdown_CIC[[SyRS]:[SyRS]],"")))</f>
        <v/>
      </c>
      <c r="L35" s="16" t="b" cm="1">
        <f t="array" ref="L35">OR(LEN(C35:K35)&gt;0)</f>
        <v>1</v>
      </c>
    </row>
    <row r="36" spans="2:12" ht="409.5" x14ac:dyDescent="0.2">
      <c r="B36" s="11" t="str">
        <v>MASTER-41941</v>
      </c>
      <c r="C36" s="12" t="str" cm="1">
        <f t="array" ref="C36">_xlfn.TEXTJOIN(CHAR(10),TRUE,_xlfn._xlws.SORT(IF((--($B36=Flowdown_CIC[[URS]:[URS]]))*(--(C$14=Flowdown_CIC[[Source.Name]:[Source.Name]])),Flowdown_CIC[[SyRS]:[SyRS]],"")))</f>
        <v/>
      </c>
      <c r="D36" s="12" t="str" cm="1">
        <f t="array" ref="D36">_xlfn.TEXTJOIN(CHAR(10),TRUE,_xlfn._xlws.SORT(IF((--($B36=Flowdown_CIC[[URS]:[URS]]))*(--(D$14=Flowdown_CIC[[Source.Name]:[Source.Name]])),Flowdown_CIC[[SyRS]:[SyRS]],"")))</f>
        <v/>
      </c>
      <c r="E36" s="12" t="str" cm="1">
        <f t="array" ref="E36">_xlfn.TEXTJOIN(CHAR(10),TRUE,_xlfn._xlws.SORT(IF((--($B36=Flowdown_CIC[[URS]:[URS]]))*(--(E$14=Flowdown_CIC[[Source.Name]:[Source.Name]])),Flowdown_CIC[[SyRS]:[SyRS]],"")))</f>
        <v/>
      </c>
      <c r="F36" s="12" t="str" cm="1">
        <f t="array" ref="F36">_xlfn.TEXTJOIN(CHAR(10),TRUE,_xlfn._xlws.SORT(IF((--($B36=Flowdown_CIC[[URS]:[URS]]))*(--(F$14=Flowdown_CIC[[Source.Name]:[Source.Name]])),Flowdown_CIC[[SyRS]:[SyRS]],"")))</f>
        <v/>
      </c>
      <c r="G36" s="12" t="str" cm="1">
        <f t="array" ref="G36">_xlfn.TEXTJOIN(CHAR(10),TRUE,_xlfn._xlws.SORT(IF((--($B36=Flowdown_CIC[[URS]:[URS]]))*(--(G$14=Flowdown_CIC[[Source.Name]:[Source.Name]])),Flowdown_CIC[[SyRS]:[SyRS]],"")))</f>
        <v/>
      </c>
      <c r="H36" s="12" t="str" cm="1">
        <f t="array" ref="H36">_xlfn.TEXTJOIN(CHAR(10),TRUE,_xlfn._xlws.SORT(IF((--($B36=Flowdown_CIC[[URS]:[URS]]))*(--(H$14=Flowdown_CIC[[Source.Name]:[Source.Name]])),Flowdown_CIC[[SyRS]:[SyRS]],"")))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6" s="12" t="str" cm="1">
        <f t="array" ref="I36">_xlfn.TEXTJOIN(CHAR(10),TRUE,_xlfn._xlws.SORT(IF((--($B36=Flowdown_CIC[[URS]:[URS]]))*(--(I$14=Flowdown_CIC[[Source.Name]:[Source.Name]])),Flowdown_CIC[[SyRS]:[SyRS]],"")))</f>
        <v/>
      </c>
      <c r="J36" s="12" t="str" cm="1">
        <f t="array" ref="J36">_xlfn.TEXTJOIN(CHAR(10),TRUE,_xlfn._xlws.SORT(IF((--($B36=Flowdown_CIC[[URS]:[URS]]))*(--(J$14=Flowdown_CIC[[Source.Name]:[Source.Name]])),Flowdown_CIC[[SyRS]:[SyRS]],"")))</f>
        <v/>
      </c>
      <c r="K36" s="12" t="str" cm="1">
        <f t="array" ref="K36">_xlfn.TEXTJOIN(CHAR(10),TRUE,_xlfn._xlws.SORT(IF((--($B36=Flowdown_CIC[[URS]:[URS]]))*(--(K$14=Flowdown_CIC[[Source.Name]:[Source.Name]])),Flowdown_CIC[[SyRS]:[SyRS]],"")))</f>
        <v/>
      </c>
      <c r="L36" s="16" t="b" cm="1">
        <f t="array" ref="L36">OR(LEN(C36:K36)&gt;0)</f>
        <v>1</v>
      </c>
    </row>
    <row r="37" spans="2:12" ht="81" x14ac:dyDescent="0.2">
      <c r="B37" s="11" t="str">
        <v>MASTER-41942</v>
      </c>
      <c r="C37" s="12" t="str" cm="1">
        <f t="array" ref="C37">_xlfn.TEXTJOIN(CHAR(10),TRUE,_xlfn._xlws.SORT(IF((--($B37=Flowdown_CIC[[URS]:[URS]]))*(--(C$14=Flowdown_CIC[[Source.Name]:[Source.Name]])),Flowdown_CIC[[SyRS]:[SyRS]],"")))</f>
        <v/>
      </c>
      <c r="D37" s="12" t="str" cm="1">
        <f t="array" ref="D37">_xlfn.TEXTJOIN(CHAR(10),TRUE,_xlfn._xlws.SORT(IF((--($B37=Flowdown_CIC[[URS]:[URS]]))*(--(D$14=Flowdown_CIC[[Source.Name]:[Source.Name]])),Flowdown_CIC[[SyRS]:[SyRS]],"")))</f>
        <v/>
      </c>
      <c r="E37" s="12" t="str" cm="1">
        <f t="array" ref="E37">_xlfn.TEXTJOIN(CHAR(10),TRUE,_xlfn._xlws.SORT(IF((--($B37=Flowdown_CIC[[URS]:[URS]]))*(--(E$14=Flowdown_CIC[[Source.Name]:[Source.Name]])),Flowdown_CIC[[SyRS]:[SyRS]],"")))</f>
        <v/>
      </c>
      <c r="F37" s="12" t="str" cm="1">
        <f t="array" ref="F37">_xlfn.TEXTJOIN(CHAR(10),TRUE,_xlfn._xlws.SORT(IF((--($B37=Flowdown_CIC[[URS]:[URS]]))*(--(F$14=Flowdown_CIC[[Source.Name]:[Source.Name]])),Flowdown_CIC[[SyRS]:[SyRS]],"")))</f>
        <v/>
      </c>
      <c r="G37" s="12" t="str" cm="1">
        <f t="array" ref="G37">_xlfn.TEXTJOIN(CHAR(10),TRUE,_xlfn._xlws.SORT(IF((--($B37=Flowdown_CIC[[URS]:[URS]]))*(--(G$14=Flowdown_CIC[[Source.Name]:[Source.Name]])),Flowdown_CIC[[SyRS]:[SyRS]],"")))</f>
        <v/>
      </c>
      <c r="H37" s="12" t="str" cm="1">
        <f t="array" ref="H37">_xlfn.TEXTJOIN(CHAR(10),TRUE,_xlfn._xlws.SORT(IF((--($B37=Flowdown_CIC[[URS]:[URS]]))*(--(H$14=Flowdown_CIC[[Source.Name]:[Source.Name]])),Flowdown_CIC[[SyRS]:[SyRS]],"")))</f>
        <v>MASTER-22463
MASTER-22487
MASTER-22488
MASTER-22490
MASTER-22492
MASTER-22494</v>
      </c>
      <c r="I37" s="12" t="str" cm="1">
        <f t="array" ref="I37">_xlfn.TEXTJOIN(CHAR(10),TRUE,_xlfn._xlws.SORT(IF((--($B37=Flowdown_CIC[[URS]:[URS]]))*(--(I$14=Flowdown_CIC[[Source.Name]:[Source.Name]])),Flowdown_CIC[[SyRS]:[SyRS]],"")))</f>
        <v/>
      </c>
      <c r="J37" s="12" t="str" cm="1">
        <f t="array" ref="J37">_xlfn.TEXTJOIN(CHAR(10),TRUE,_xlfn._xlws.SORT(IF((--($B37=Flowdown_CIC[[URS]:[URS]]))*(--(J$14=Flowdown_CIC[[Source.Name]:[Source.Name]])),Flowdown_CIC[[SyRS]:[SyRS]],"")))</f>
        <v/>
      </c>
      <c r="K37" s="12" t="str" cm="1">
        <f t="array" ref="K37">_xlfn.TEXTJOIN(CHAR(10),TRUE,_xlfn._xlws.SORT(IF((--($B37=Flowdown_CIC[[URS]:[URS]]))*(--(K$14=Flowdown_CIC[[Source.Name]:[Source.Name]])),Flowdown_CIC[[SyRS]:[SyRS]],"")))</f>
        <v/>
      </c>
      <c r="L37" s="16" t="b" cm="1">
        <f t="array" ref="L37">OR(LEN(C37:K37)&gt;0)</f>
        <v>1</v>
      </c>
    </row>
    <row r="38" spans="2:12" ht="108" x14ac:dyDescent="0.2">
      <c r="B38" s="11" t="str">
        <v>MASTER-41943</v>
      </c>
      <c r="C38" s="12" t="str" cm="1">
        <f t="array" ref="C38">_xlfn.TEXTJOIN(CHAR(10),TRUE,_xlfn._xlws.SORT(IF((--($B38=Flowdown_CIC[[URS]:[URS]]))*(--(C$14=Flowdown_CIC[[Source.Name]:[Source.Name]])),Flowdown_CIC[[SyRS]:[SyRS]],"")))</f>
        <v/>
      </c>
      <c r="D38" s="12" t="str" cm="1">
        <f t="array" ref="D38">_xlfn.TEXTJOIN(CHAR(10),TRUE,_xlfn._xlws.SORT(IF((--($B38=Flowdown_CIC[[URS]:[URS]]))*(--(D$14=Flowdown_CIC[[Source.Name]:[Source.Name]])),Flowdown_CIC[[SyRS]:[SyRS]],"")))</f>
        <v/>
      </c>
      <c r="E38" s="12" t="str" cm="1">
        <f t="array" ref="E38">_xlfn.TEXTJOIN(CHAR(10),TRUE,_xlfn._xlws.SORT(IF((--($B38=Flowdown_CIC[[URS]:[URS]]))*(--(E$14=Flowdown_CIC[[Source.Name]:[Source.Name]])),Flowdown_CIC[[SyRS]:[SyRS]],"")))</f>
        <v/>
      </c>
      <c r="F38" s="12" t="str" cm="1">
        <f t="array" ref="F38">_xlfn.TEXTJOIN(CHAR(10),TRUE,_xlfn._xlws.SORT(IF((--($B38=Flowdown_CIC[[URS]:[URS]]))*(--(F$14=Flowdown_CIC[[Source.Name]:[Source.Name]])),Flowdown_CIC[[SyRS]:[SyRS]],"")))</f>
        <v/>
      </c>
      <c r="G38" s="12" t="str" cm="1">
        <f t="array" ref="G38">_xlfn.TEXTJOIN(CHAR(10),TRUE,_xlfn._xlws.SORT(IF((--($B38=Flowdown_CIC[[URS]:[URS]]))*(--(G$14=Flowdown_CIC[[Source.Name]:[Source.Name]])),Flowdown_CIC[[SyRS]:[SyRS]],"")))</f>
        <v/>
      </c>
      <c r="H38" s="12" t="str" cm="1">
        <f t="array" ref="H38">_xlfn.TEXTJOIN(CHAR(10),TRUE,_xlfn._xlws.SORT(IF((--($B38=Flowdown_CIC[[URS]:[URS]]))*(--(H$14=Flowdown_CIC[[Source.Name]:[Source.Name]])),Flowdown_CIC[[SyRS]:[SyRS]],"")))</f>
        <v>MASTER-21585
MASTER-21593
MASTER-22463
MASTER-22491
MASTER-22494
MASTER-22517
MASTER-22521
MASTER-22522</v>
      </c>
      <c r="I38" s="12" t="str" cm="1">
        <f t="array" ref="I38">_xlfn.TEXTJOIN(CHAR(10),TRUE,_xlfn._xlws.SORT(IF((--($B38=Flowdown_CIC[[URS]:[URS]]))*(--(I$14=Flowdown_CIC[[Source.Name]:[Source.Name]])),Flowdown_CIC[[SyRS]:[SyRS]],"")))</f>
        <v/>
      </c>
      <c r="J38" s="12" t="str" cm="1">
        <f t="array" ref="J38">_xlfn.TEXTJOIN(CHAR(10),TRUE,_xlfn._xlws.SORT(IF((--($B38=Flowdown_CIC[[URS]:[URS]]))*(--(J$14=Flowdown_CIC[[Source.Name]:[Source.Name]])),Flowdown_CIC[[SyRS]:[SyRS]],"")))</f>
        <v/>
      </c>
      <c r="K38" s="12" t="str" cm="1">
        <f t="array" ref="K38">_xlfn.TEXTJOIN(CHAR(10),TRUE,_xlfn._xlws.SORT(IF((--($B38=Flowdown_CIC[[URS]:[URS]]))*(--(K$14=Flowdown_CIC[[Source.Name]:[Source.Name]])),Flowdown_CIC[[SyRS]:[SyRS]],"")))</f>
        <v/>
      </c>
      <c r="L38" s="16" t="b" cm="1">
        <f t="array" ref="L38">OR(LEN(C38:K38)&gt;0)</f>
        <v>1</v>
      </c>
    </row>
    <row r="39" spans="2:12" ht="270" x14ac:dyDescent="0.2">
      <c r="B39" s="11" t="str">
        <v>MASTER-41944</v>
      </c>
      <c r="C39" s="12" t="str" cm="1">
        <f t="array" ref="C39">_xlfn.TEXTJOIN(CHAR(10),TRUE,_xlfn._xlws.SORT(IF((--($B39=Flowdown_CIC[[URS]:[URS]]))*(--(C$14=Flowdown_CIC[[Source.Name]:[Source.Name]])),Flowdown_CIC[[SyRS]:[SyRS]],"")))</f>
        <v/>
      </c>
      <c r="D39" s="12" t="str" cm="1">
        <f t="array" ref="D39">_xlfn.TEXTJOIN(CHAR(10),TRUE,_xlfn._xlws.SORT(IF((--($B39=Flowdown_CIC[[URS]:[URS]]))*(--(D$14=Flowdown_CIC[[Source.Name]:[Source.Name]])),Flowdown_CIC[[SyRS]:[SyRS]],"")))</f>
        <v/>
      </c>
      <c r="E39" s="12" t="str" cm="1">
        <f t="array" ref="E39">_xlfn.TEXTJOIN(CHAR(10),TRUE,_xlfn._xlws.SORT(IF((--($B39=Flowdown_CIC[[URS]:[URS]]))*(--(E$14=Flowdown_CIC[[Source.Name]:[Source.Name]])),Flowdown_CIC[[SyRS]:[SyRS]],"")))</f>
        <v/>
      </c>
      <c r="F39" s="12" t="str" cm="1">
        <f t="array" ref="F39">_xlfn.TEXTJOIN(CHAR(10),TRUE,_xlfn._xlws.SORT(IF((--($B39=Flowdown_CIC[[URS]:[URS]]))*(--(F$14=Flowdown_CIC[[Source.Name]:[Source.Name]])),Flowdown_CIC[[SyRS]:[SyRS]],"")))</f>
        <v/>
      </c>
      <c r="G39" s="12" t="str" cm="1">
        <f t="array" ref="G39">_xlfn.TEXTJOIN(CHAR(10),TRUE,_xlfn._xlws.SORT(IF((--($B39=Flowdown_CIC[[URS]:[URS]]))*(--(G$14=Flowdown_CIC[[Source.Name]:[Source.Name]])),Flowdown_CIC[[SyRS]:[SyRS]],"")))</f>
        <v/>
      </c>
      <c r="H39" s="12" t="str" cm="1">
        <f t="array" ref="H39">_xlfn.TEXTJOIN(CHAR(10),TRUE,_xlfn._xlws.SORT(IF((--($B39=Flowdown_CIC[[URS]:[URS]]))*(--(H$14=Flowdown_CIC[[Source.Name]:[Source.Name]])),Flowdown_CIC[[SyRS]:[SyRS]],"")))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9" s="12" t="str" cm="1">
        <f t="array" ref="I39">_xlfn.TEXTJOIN(CHAR(10),TRUE,_xlfn._xlws.SORT(IF((--($B39=Flowdown_CIC[[URS]:[URS]]))*(--(I$14=Flowdown_CIC[[Source.Name]:[Source.Name]])),Flowdown_CIC[[SyRS]:[SyRS]],"")))</f>
        <v/>
      </c>
      <c r="J39" s="12" t="str" cm="1">
        <f t="array" ref="J39">_xlfn.TEXTJOIN(CHAR(10),TRUE,_xlfn._xlws.SORT(IF((--($B39=Flowdown_CIC[[URS]:[URS]]))*(--(J$14=Flowdown_CIC[[Source.Name]:[Source.Name]])),Flowdown_CIC[[SyRS]:[SyRS]],"")))</f>
        <v/>
      </c>
      <c r="K39" s="12" t="str" cm="1">
        <f t="array" ref="K39">_xlfn.TEXTJOIN(CHAR(10),TRUE,_xlfn._xlws.SORT(IF((--($B39=Flowdown_CIC[[URS]:[URS]]))*(--(K$14=Flowdown_CIC[[Source.Name]:[Source.Name]])),Flowdown_CIC[[SyRS]:[SyRS]],"")))</f>
        <v/>
      </c>
      <c r="L39" s="16" t="b" cm="1">
        <f t="array" ref="L39">OR(LEN(C39:K39)&gt;0)</f>
        <v>1</v>
      </c>
    </row>
    <row r="40" spans="2:12" ht="243" x14ac:dyDescent="0.2">
      <c r="B40" s="11" t="str">
        <v>MASTER-41945</v>
      </c>
      <c r="C40" s="12" t="str" cm="1">
        <f t="array" ref="C40">_xlfn.TEXTJOIN(CHAR(10),TRUE,_xlfn._xlws.SORT(IF((--($B40=Flowdown_CIC[[URS]:[URS]]))*(--(C$14=Flowdown_CIC[[Source.Name]:[Source.Name]])),Flowdown_CIC[[SyRS]:[SyRS]],"")))</f>
        <v/>
      </c>
      <c r="D40" s="12" t="str" cm="1">
        <f t="array" ref="D40">_xlfn.TEXTJOIN(CHAR(10),TRUE,_xlfn._xlws.SORT(IF((--($B40=Flowdown_CIC[[URS]:[URS]]))*(--(D$14=Flowdown_CIC[[Source.Name]:[Source.Name]])),Flowdown_CIC[[SyRS]:[SyRS]],"")))</f>
        <v/>
      </c>
      <c r="E40" s="12" t="str" cm="1">
        <f t="array" ref="E40">_xlfn.TEXTJOIN(CHAR(10),TRUE,_xlfn._xlws.SORT(IF((--($B40=Flowdown_CIC[[URS]:[URS]]))*(--(E$14=Flowdown_CIC[[Source.Name]:[Source.Name]])),Flowdown_CIC[[SyRS]:[SyRS]],"")))</f>
        <v/>
      </c>
      <c r="F40" s="12" t="str" cm="1">
        <f t="array" ref="F40">_xlfn.TEXTJOIN(CHAR(10),TRUE,_xlfn._xlws.SORT(IF((--($B40=Flowdown_CIC[[URS]:[URS]]))*(--(F$14=Flowdown_CIC[[Source.Name]:[Source.Name]])),Flowdown_CIC[[SyRS]:[SyRS]],"")))</f>
        <v/>
      </c>
      <c r="G40" s="12" t="str" cm="1">
        <f t="array" ref="G40">_xlfn.TEXTJOIN(CHAR(10),TRUE,_xlfn._xlws.SORT(IF((--($B40=Flowdown_CIC[[URS]:[URS]]))*(--(G$14=Flowdown_CIC[[Source.Name]:[Source.Name]])),Flowdown_CIC[[SyRS]:[SyRS]],"")))</f>
        <v/>
      </c>
      <c r="H40" s="12" t="str" cm="1">
        <f t="array" ref="H40">_xlfn.TEXTJOIN(CHAR(10),TRUE,_xlfn._xlws.SORT(IF((--($B40=Flowdown_CIC[[URS]:[URS]]))*(--(H$14=Flowdown_CIC[[Source.Name]:[Source.Name]])),Flowdown_CIC[[SyRS]:[SyRS]],"")))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40" s="12" t="str" cm="1">
        <f t="array" ref="I40">_xlfn.TEXTJOIN(CHAR(10),TRUE,_xlfn._xlws.SORT(IF((--($B40=Flowdown_CIC[[URS]:[URS]]))*(--(I$14=Flowdown_CIC[[Source.Name]:[Source.Name]])),Flowdown_CIC[[SyRS]:[SyRS]],"")))</f>
        <v/>
      </c>
      <c r="J40" s="12" t="str" cm="1">
        <f t="array" ref="J40">_xlfn.TEXTJOIN(CHAR(10),TRUE,_xlfn._xlws.SORT(IF((--($B40=Flowdown_CIC[[URS]:[URS]]))*(--(J$14=Flowdown_CIC[[Source.Name]:[Source.Name]])),Flowdown_CIC[[SyRS]:[SyRS]],"")))</f>
        <v/>
      </c>
      <c r="K40" s="12" t="str" cm="1">
        <f t="array" ref="K40">_xlfn.TEXTJOIN(CHAR(10),TRUE,_xlfn._xlws.SORT(IF((--($B40=Flowdown_CIC[[URS]:[URS]]))*(--(K$14=Flowdown_CIC[[Source.Name]:[Source.Name]])),Flowdown_CIC[[SyRS]:[SyRS]],"")))</f>
        <v/>
      </c>
      <c r="L40" s="16" t="b" cm="1">
        <f t="array" ref="L40">OR(LEN(C40:K40)&gt;0)</f>
        <v>1</v>
      </c>
    </row>
    <row r="41" spans="2:12" ht="202.5" x14ac:dyDescent="0.2">
      <c r="B41" s="11" t="str">
        <v>MASTER-41946</v>
      </c>
      <c r="C41" s="12" t="str" cm="1">
        <f t="array" ref="C41">_xlfn.TEXTJOIN(CHAR(10),TRUE,_xlfn._xlws.SORT(IF((--($B41=Flowdown_CIC[[URS]:[URS]]))*(--(C$14=Flowdown_CIC[[Source.Name]:[Source.Name]])),Flowdown_CIC[[SyRS]:[SyRS]],"")))</f>
        <v/>
      </c>
      <c r="D41" s="12" t="str" cm="1">
        <f t="array" ref="D41">_xlfn.TEXTJOIN(CHAR(10),TRUE,_xlfn._xlws.SORT(IF((--($B41=Flowdown_CIC[[URS]:[URS]]))*(--(D$14=Flowdown_CIC[[Source.Name]:[Source.Name]])),Flowdown_CIC[[SyRS]:[SyRS]],"")))</f>
        <v/>
      </c>
      <c r="E41" s="12" t="str" cm="1">
        <f t="array" ref="E41">_xlfn.TEXTJOIN(CHAR(10),TRUE,_xlfn._xlws.SORT(IF((--($B41=Flowdown_CIC[[URS]:[URS]]))*(--(E$14=Flowdown_CIC[[Source.Name]:[Source.Name]])),Flowdown_CIC[[SyRS]:[SyRS]],"")))</f>
        <v/>
      </c>
      <c r="F41" s="12" t="str" cm="1">
        <f t="array" ref="F41">_xlfn.TEXTJOIN(CHAR(10),TRUE,_xlfn._xlws.SORT(IF((--($B41=Flowdown_CIC[[URS]:[URS]]))*(--(F$14=Flowdown_CIC[[Source.Name]:[Source.Name]])),Flowdown_CIC[[SyRS]:[SyRS]],"")))</f>
        <v/>
      </c>
      <c r="G41" s="12" t="str" cm="1">
        <f t="array" ref="G41">_xlfn.TEXTJOIN(CHAR(10),TRUE,_xlfn._xlws.SORT(IF((--($B41=Flowdown_CIC[[URS]:[URS]]))*(--(G$14=Flowdown_CIC[[Source.Name]:[Source.Name]])),Flowdown_CIC[[SyRS]:[SyRS]],"")))</f>
        <v/>
      </c>
      <c r="H41" s="12" t="str" cm="1">
        <f t="array" ref="H41">_xlfn.TEXTJOIN(CHAR(10),TRUE,_xlfn._xlws.SORT(IF((--($B41=Flowdown_CIC[[URS]:[URS]]))*(--(H$14=Flowdown_CIC[[Source.Name]:[Source.Name]])),Flowdown_CIC[[SyRS]:[SyRS]],"")))</f>
        <v>MASTER-21588
MASTER-21593
MASTER-22463
MASTER-22466
MASTER-22467
MASTER-22472
MASTER-22491
MASTER-22493
MASTER-22497
MASTER-22498
MASTER-22509
MASTER-22511
MASTER-22518
MASTER-22521
MASTER-22522</v>
      </c>
      <c r="I41" s="12" t="str" cm="1">
        <f t="array" ref="I41">_xlfn.TEXTJOIN(CHAR(10),TRUE,_xlfn._xlws.SORT(IF((--($B41=Flowdown_CIC[[URS]:[URS]]))*(--(I$14=Flowdown_CIC[[Source.Name]:[Source.Name]])),Flowdown_CIC[[SyRS]:[SyRS]],"")))</f>
        <v/>
      </c>
      <c r="J41" s="12" t="str" cm="1">
        <f t="array" ref="J41">_xlfn.TEXTJOIN(CHAR(10),TRUE,_xlfn._xlws.SORT(IF((--($B41=Flowdown_CIC[[URS]:[URS]]))*(--(J$14=Flowdown_CIC[[Source.Name]:[Source.Name]])),Flowdown_CIC[[SyRS]:[SyRS]],"")))</f>
        <v/>
      </c>
      <c r="K41" s="12" t="str" cm="1">
        <f t="array" ref="K41">_xlfn.TEXTJOIN(CHAR(10),TRUE,_xlfn._xlws.SORT(IF((--($B41=Flowdown_CIC[[URS]:[URS]]))*(--(K$14=Flowdown_CIC[[Source.Name]:[Source.Name]])),Flowdown_CIC[[SyRS]:[SyRS]],"")))</f>
        <v/>
      </c>
      <c r="L41" s="16" t="b" cm="1">
        <f t="array" ref="L41">OR(LEN(C41:K41)&gt;0)</f>
        <v>1</v>
      </c>
    </row>
    <row r="42" spans="2:12" ht="135" x14ac:dyDescent="0.2">
      <c r="B42" s="11" t="str">
        <v>MASTER-41947</v>
      </c>
      <c r="C42" s="12" t="str" cm="1">
        <f t="array" ref="C42">_xlfn.TEXTJOIN(CHAR(10),TRUE,_xlfn._xlws.SORT(IF((--($B42=Flowdown_CIC[[URS]:[URS]]))*(--(C$14=Flowdown_CIC[[Source.Name]:[Source.Name]])),Flowdown_CIC[[SyRS]:[SyRS]],"")))</f>
        <v/>
      </c>
      <c r="D42" s="12" t="str" cm="1">
        <f t="array" ref="D42">_xlfn.TEXTJOIN(CHAR(10),TRUE,_xlfn._xlws.SORT(IF((--($B42=Flowdown_CIC[[URS]:[URS]]))*(--(D$14=Flowdown_CIC[[Source.Name]:[Source.Name]])),Flowdown_CIC[[SyRS]:[SyRS]],"")))</f>
        <v/>
      </c>
      <c r="E42" s="12" t="str" cm="1">
        <f t="array" ref="E42">_xlfn.TEXTJOIN(CHAR(10),TRUE,_xlfn._xlws.SORT(IF((--($B42=Flowdown_CIC[[URS]:[URS]]))*(--(E$14=Flowdown_CIC[[Source.Name]:[Source.Name]])),Flowdown_CIC[[SyRS]:[SyRS]],"")))</f>
        <v/>
      </c>
      <c r="F42" s="12" t="str" cm="1">
        <f t="array" ref="F42">_xlfn.TEXTJOIN(CHAR(10),TRUE,_xlfn._xlws.SORT(IF((--($B42=Flowdown_CIC[[URS]:[URS]]))*(--(F$14=Flowdown_CIC[[Source.Name]:[Source.Name]])),Flowdown_CIC[[SyRS]:[SyRS]],"")))</f>
        <v/>
      </c>
      <c r="G42" s="12" t="str" cm="1">
        <f t="array" ref="G42">_xlfn.TEXTJOIN(CHAR(10),TRUE,_xlfn._xlws.SORT(IF((--($B42=Flowdown_CIC[[URS]:[URS]]))*(--(G$14=Flowdown_CIC[[Source.Name]:[Source.Name]])),Flowdown_CIC[[SyRS]:[SyRS]],"")))</f>
        <v/>
      </c>
      <c r="H42" s="12" t="str" cm="1">
        <f t="array" ref="H42">_xlfn.TEXTJOIN(CHAR(10),TRUE,_xlfn._xlws.SORT(IF((--($B42=Flowdown_CIC[[URS]:[URS]]))*(--(H$14=Flowdown_CIC[[Source.Name]:[Source.Name]])),Flowdown_CIC[[SyRS]:[SyRS]],"")))</f>
        <v>MASTER-22463
MASTER-22465
MASTER-22466
MASTER-22474
MASTER-22488
MASTER-22489
MASTER-22492
MASTER-22513
MASTER-22514
MASTER-22525</v>
      </c>
      <c r="I42" s="12" t="str" cm="1">
        <f t="array" ref="I42">_xlfn.TEXTJOIN(CHAR(10),TRUE,_xlfn._xlws.SORT(IF((--($B42=Flowdown_CIC[[URS]:[URS]]))*(--(I$14=Flowdown_CIC[[Source.Name]:[Source.Name]])),Flowdown_CIC[[SyRS]:[SyRS]],"")))</f>
        <v/>
      </c>
      <c r="J42" s="12" t="str" cm="1">
        <f t="array" ref="J42">_xlfn.TEXTJOIN(CHAR(10),TRUE,_xlfn._xlws.SORT(IF((--($B42=Flowdown_CIC[[URS]:[URS]]))*(--(J$14=Flowdown_CIC[[Source.Name]:[Source.Name]])),Flowdown_CIC[[SyRS]:[SyRS]],"")))</f>
        <v/>
      </c>
      <c r="K42" s="12" t="str" cm="1">
        <f t="array" ref="K42">_xlfn.TEXTJOIN(CHAR(10),TRUE,_xlfn._xlws.SORT(IF((--($B42=Flowdown_CIC[[URS]:[URS]]))*(--(K$14=Flowdown_CIC[[Source.Name]:[Source.Name]])),Flowdown_CIC[[SyRS]:[SyRS]],"")))</f>
        <v/>
      </c>
      <c r="L42" s="16" t="b" cm="1">
        <f t="array" ref="L42">OR(LEN(C42:K42)&gt;0)</f>
        <v>1</v>
      </c>
    </row>
    <row r="43" spans="2:12" ht="135" x14ac:dyDescent="0.2">
      <c r="B43" s="11" t="str">
        <v>MASTER-46116</v>
      </c>
      <c r="C43" s="12" t="str" cm="1">
        <f t="array" ref="C43">_xlfn.TEXTJOIN(CHAR(10),TRUE,_xlfn._xlws.SORT(IF((--($B43=Flowdown_CIC[[URS]:[URS]]))*(--(C$14=Flowdown_CIC[[Source.Name]:[Source.Name]])),Flowdown_CIC[[SyRS]:[SyRS]],"")))</f>
        <v>MASTER-42182
MASTER-42187
MASTER-42188
MASTER-42189
MASTER-42191</v>
      </c>
      <c r="D43" s="12" t="str" cm="1">
        <f t="array" ref="D43">_xlfn.TEXTJOIN(CHAR(10),TRUE,_xlfn._xlws.SORT(IF((--($B43=Flowdown_CIC[[URS]:[URS]]))*(--(D$14=Flowdown_CIC[[Source.Name]:[Source.Name]])),Flowdown_CIC[[SyRS]:[SyRS]],"")))</f>
        <v>MASTER-42182
MASTER-42187
MASTER-42188
MASTER-42189
MASTER-42191</v>
      </c>
      <c r="E43" s="12" t="str" cm="1">
        <f t="array" ref="E43">_xlfn.TEXTJOIN(CHAR(10),TRUE,_xlfn._xlws.SORT(IF((--($B43=Flowdown_CIC[[URS]:[URS]]))*(--(E$14=Flowdown_CIC[[Source.Name]:[Source.Name]])),Flowdown_CIC[[SyRS]:[SyRS]],"")))</f>
        <v>MASTER-42182
MASTER-42187
MASTER-42188
MASTER-42189
MASTER-42191</v>
      </c>
      <c r="F43" s="12" t="str" cm="1">
        <f t="array" ref="F43">_xlfn.TEXTJOIN(CHAR(10),TRUE,_xlfn._xlws.SORT(IF((--($B43=Flowdown_CIC[[URS]:[URS]]))*(--(F$14=Flowdown_CIC[[Source.Name]:[Source.Name]])),Flowdown_CIC[[SyRS]:[SyRS]],"")))</f>
        <v>MASTER-42182
MASTER-42187
MASTER-42188
MASTER-42189
MASTER-42191</v>
      </c>
      <c r="G43" s="12" t="str" cm="1">
        <f t="array" ref="G43">_xlfn.TEXTJOIN(CHAR(10),TRUE,_xlfn._xlws.SORT(IF((--($B43=Flowdown_CIC[[URS]:[URS]]))*(--(G$14=Flowdown_CIC[[Source.Name]:[Source.Name]])),Flowdown_CIC[[SyRS]:[SyRS]],"")))</f>
        <v>MASTER-42182
MASTER-42187
MASTER-42188
MASTER-42189
MASTER-42191</v>
      </c>
      <c r="H43" s="12" t="str" cm="1">
        <f t="array" ref="H43">_xlfn.TEXTJOIN(CHAR(10),TRUE,_xlfn._xlws.SORT(IF((--($B43=Flowdown_CIC[[URS]:[URS]]))*(--(H$14=Flowdown_CIC[[Source.Name]:[Source.Name]])),Flowdown_CIC[[SyRS]:[SyRS]],"")))</f>
        <v/>
      </c>
      <c r="I43" s="12" t="str" cm="1">
        <f t="array" ref="I43">_xlfn.TEXTJOIN(CHAR(10),TRUE,_xlfn._xlws.SORT(IF((--($B43=Flowdown_CIC[[URS]:[URS]]))*(--(I$14=Flowdown_CIC[[Source.Name]:[Source.Name]])),Flowdown_CIC[[SyRS]:[SyRS]],"")))</f>
        <v/>
      </c>
      <c r="J43" s="12" t="str" cm="1">
        <f t="array" ref="J43">_xlfn.TEXTJOIN(CHAR(10),TRUE,_xlfn._xlws.SORT(IF((--($B43=Flowdown_CIC[[URS]:[URS]]))*(--(J$14=Flowdown_CIC[[Source.Name]:[Source.Name]])),Flowdown_CIC[[SyRS]:[SyRS]],"")))</f>
        <v/>
      </c>
      <c r="K43" s="12" t="str" cm="1">
        <f t="array" ref="K43">_xlfn.TEXTJOIN(CHAR(10),TRUE,_xlfn._xlws.SORT(IF((--($B43=Flowdown_CIC[[URS]:[URS]]))*(--(K$14=Flowdown_CIC[[Source.Name]:[Source.Name]])),Flowdown_CIC[[SyRS]:[SyRS]],"")))</f>
        <v>MASTER-41931
MASTER-41933
MASTER-41934
MASTER-41935
MASTER-41951
MASTER-41952
MASTER-51276
MASTER-51277
MASTER-58690
MASTER-58693</v>
      </c>
      <c r="L43" s="16" t="b" cm="1">
        <f t="array" ref="L43">OR(LEN(C43:K43)&gt;0)</f>
        <v>1</v>
      </c>
    </row>
    <row r="44" spans="2:12" ht="189" x14ac:dyDescent="0.2">
      <c r="B44" s="11" t="str">
        <v>MASTER-46117</v>
      </c>
      <c r="C44" s="12" t="str" cm="1">
        <f t="array" ref="C44">_xlfn.TEXTJOIN(CHAR(10),TRUE,_xlfn._xlws.SORT(IF((--($B44=Flowdown_CIC[[URS]:[URS]]))*(--(C$14=Flowdown_CIC[[Source.Name]:[Source.Name]])),Flowdown_CIC[[SyRS]:[SyRS]],"")))</f>
        <v>MASTER-42106
MASTER-42110
MASTER-42111
MASTER-42112
MASTER-42177
MASTER-42178
MASTER-42180
MASTER-42182
MASTER-42188
MASTER-42191
MASTER-42192</v>
      </c>
      <c r="D44" s="12" t="str" cm="1">
        <f t="array" ref="D44">_xlfn.TEXTJOIN(CHAR(10),TRUE,_xlfn._xlws.SORT(IF((--($B44=Flowdown_CIC[[URS]:[URS]]))*(--(D$14=Flowdown_CIC[[Source.Name]:[Source.Name]])),Flowdown_CIC[[SyRS]:[SyRS]],"")))</f>
        <v>MASTER-42106
MASTER-42110
MASTER-42111
MASTER-42112
MASTER-42177
MASTER-42178
MASTER-42180
MASTER-42182
MASTER-42188
MASTER-42191
MASTER-42192</v>
      </c>
      <c r="E44" s="12" t="str" cm="1">
        <f t="array" ref="E44">_xlfn.TEXTJOIN(CHAR(10),TRUE,_xlfn._xlws.SORT(IF((--($B44=Flowdown_CIC[[URS]:[URS]]))*(--(E$14=Flowdown_CIC[[Source.Name]:[Source.Name]])),Flowdown_CIC[[SyRS]:[SyRS]],"")))</f>
        <v>MASTER-42106
MASTER-42110
MASTER-42111
MASTER-42112
MASTER-42177
MASTER-42178
MASTER-42180
MASTER-42182
MASTER-42188
MASTER-42191
MASTER-42192</v>
      </c>
      <c r="F44" s="12" t="str" cm="1">
        <f t="array" ref="F44">_xlfn.TEXTJOIN(CHAR(10),TRUE,_xlfn._xlws.SORT(IF((--($B44=Flowdown_CIC[[URS]:[URS]]))*(--(F$14=Flowdown_CIC[[Source.Name]:[Source.Name]])),Flowdown_CIC[[SyRS]:[SyRS]],"")))</f>
        <v>MASTER-42106
MASTER-42110
MASTER-42111
MASTER-42112
MASTER-42177
MASTER-42178
MASTER-42180
MASTER-42182
MASTER-42188
MASTER-42191
MASTER-42192</v>
      </c>
      <c r="G44" s="12" t="str" cm="1">
        <f t="array" ref="G44">_xlfn.TEXTJOIN(CHAR(10),TRUE,_xlfn._xlws.SORT(IF((--($B44=Flowdown_CIC[[URS]:[URS]]))*(--(G$14=Flowdown_CIC[[Source.Name]:[Source.Name]])),Flowdown_CIC[[SyRS]:[SyRS]],"")))</f>
        <v>MASTER-42106
MASTER-42110
MASTER-42111
MASTER-42112
MASTER-42177
MASTER-42178
MASTER-42180
MASTER-42182
MASTER-42188
MASTER-42191
MASTER-42192</v>
      </c>
      <c r="H44" s="12" t="str" cm="1">
        <f t="array" ref="H44">_xlfn.TEXTJOIN(CHAR(10),TRUE,_xlfn._xlws.SORT(IF((--($B44=Flowdown_CIC[[URS]:[URS]]))*(--(H$14=Flowdown_CIC[[Source.Name]:[Source.Name]])),Flowdown_CIC[[SyRS]:[SyRS]],"")))</f>
        <v/>
      </c>
      <c r="I44" s="12" t="str" cm="1">
        <f t="array" ref="I44">_xlfn.TEXTJOIN(CHAR(10),TRUE,_xlfn._xlws.SORT(IF((--($B44=Flowdown_CIC[[URS]:[URS]]))*(--(I$14=Flowdown_CIC[[Source.Name]:[Source.Name]])),Flowdown_CIC[[SyRS]:[SyRS]],"")))</f>
        <v/>
      </c>
      <c r="J44" s="12" t="str" cm="1">
        <f t="array" ref="J44">_xlfn.TEXTJOIN(CHAR(10),TRUE,_xlfn._xlws.SORT(IF((--($B44=Flowdown_CIC[[URS]:[URS]]))*(--(J$14=Flowdown_CIC[[Source.Name]:[Source.Name]])),Flowdown_CIC[[SyRS]:[SyRS]],"")))</f>
        <v/>
      </c>
      <c r="K44" s="12" t="str" cm="1">
        <f t="array" ref="K44">_xlfn.TEXTJOIN(CHAR(10),TRUE,_xlfn._xlws.SORT(IF((--($B44=Flowdown_CIC[[URS]:[URS]]))*(--(K$14=Flowdown_CIC[[Source.Name]:[Source.Name]])),Flowdown_CIC[[SyRS]:[SyRS]],"")))</f>
        <v>MASTER-41933
MASTER-41934
MASTER-41935
MASTER-41936
MASTER-41937
MASTER-41951
MASTER-41952
MASTER-41953
MASTER-51275
MASTER-51276
MASTER-51277
MASTER-58690
MASTER-58691
MASTER-58693</v>
      </c>
      <c r="L44" s="16" t="b" cm="1">
        <f t="array" ref="L44">OR(LEN(C44:K44)&gt;0)</f>
        <v>1</v>
      </c>
    </row>
    <row r="45" spans="2:12" ht="94.5" x14ac:dyDescent="0.2">
      <c r="B45" s="11" t="str">
        <v>MASTER-46243</v>
      </c>
      <c r="C45" s="12" t="str" cm="1">
        <f t="array" ref="C45">_xlfn.TEXTJOIN(CHAR(10),TRUE,_xlfn._xlws.SORT(IF((--($B45=Flowdown_CIC[[URS]:[URS]]))*(--(C$14=Flowdown_CIC[[Source.Name]:[Source.Name]])),Flowdown_CIC[[SyRS]:[SyRS]],"")))</f>
        <v>MASTER-49260
MASTER-49262
MASTER-49266
MASTER-50794
MASTER-60679
MASTER-60680
MASTER-60683</v>
      </c>
      <c r="D45" s="12" t="str" cm="1">
        <f t="array" ref="D45">_xlfn.TEXTJOIN(CHAR(10),TRUE,_xlfn._xlws.SORT(IF((--($B45=Flowdown_CIC[[URS]:[URS]]))*(--(D$14=Flowdown_CIC[[Source.Name]:[Source.Name]])),Flowdown_CIC[[SyRS]:[SyRS]],"")))</f>
        <v>MASTER-49260
MASTER-49262
MASTER-49266
MASTER-50794
MASTER-60679
MASTER-60680
MASTER-60683</v>
      </c>
      <c r="E45" s="12" t="str" cm="1">
        <f t="array" ref="E45">_xlfn.TEXTJOIN(CHAR(10),TRUE,_xlfn._xlws.SORT(IF((--($B45=Flowdown_CIC[[URS]:[URS]]))*(--(E$14=Flowdown_CIC[[Source.Name]:[Source.Name]])),Flowdown_CIC[[SyRS]:[SyRS]],"")))</f>
        <v>MASTER-49260
MASTER-49262
MASTER-49266
MASTER-50794
MASTER-60679
MASTER-60683</v>
      </c>
      <c r="F45" s="12" t="str" cm="1">
        <f t="array" ref="F45">_xlfn.TEXTJOIN(CHAR(10),TRUE,_xlfn._xlws.SORT(IF((--($B45=Flowdown_CIC[[URS]:[URS]]))*(--(F$14=Flowdown_CIC[[Source.Name]:[Source.Name]])),Flowdown_CIC[[SyRS]:[SyRS]],"")))</f>
        <v>MASTER-49260
MASTER-49262
MASTER-49266
MASTER-50794
MASTER-60679
MASTER-60683</v>
      </c>
      <c r="G45" s="12" t="str" cm="1">
        <f t="array" ref="G45">_xlfn.TEXTJOIN(CHAR(10),TRUE,_xlfn._xlws.SORT(IF((--($B45=Flowdown_CIC[[URS]:[URS]]))*(--(G$14=Flowdown_CIC[[Source.Name]:[Source.Name]])),Flowdown_CIC[[SyRS]:[SyRS]],"")))</f>
        <v>MASTER-49260
MASTER-49262
MASTER-49266
MASTER-50794
MASTER-60679
MASTER-60680
MASTER-60683</v>
      </c>
      <c r="H45" s="12" t="str" cm="1">
        <f t="array" ref="H45">_xlfn.TEXTJOIN(CHAR(10),TRUE,_xlfn._xlws.SORT(IF((--($B45=Flowdown_CIC[[URS]:[URS]]))*(--(H$14=Flowdown_CIC[[Source.Name]:[Source.Name]])),Flowdown_CIC[[SyRS]:[SyRS]],"")))</f>
        <v>MASTER-60789
MASTER-60791
MASTER-60795</v>
      </c>
      <c r="I45" s="12" t="str" cm="1">
        <f t="array" ref="I45">_xlfn.TEXTJOIN(CHAR(10),TRUE,_xlfn._xlws.SORT(IF((--($B45=Flowdown_CIC[[URS]:[URS]]))*(--(I$14=Flowdown_CIC[[Source.Name]:[Source.Name]])),Flowdown_CIC[[SyRS]:[SyRS]],"")))</f>
        <v/>
      </c>
      <c r="J45" s="12" t="str" cm="1">
        <f t="array" ref="J45">_xlfn.TEXTJOIN(CHAR(10),TRUE,_xlfn._xlws.SORT(IF((--($B45=Flowdown_CIC[[URS]:[URS]]))*(--(J$14=Flowdown_CIC[[Source.Name]:[Source.Name]])),Flowdown_CIC[[SyRS]:[SyRS]],"")))</f>
        <v/>
      </c>
      <c r="K45" s="12" t="str" cm="1">
        <f t="array" ref="K45">_xlfn.TEXTJOIN(CHAR(10),TRUE,_xlfn._xlws.SORT(IF((--($B45=Flowdown_CIC[[URS]:[URS]]))*(--(K$14=Flowdown_CIC[[Source.Name]:[Source.Name]])),Flowdown_CIC[[SyRS]:[SyRS]],"")))</f>
        <v>MASTER-49268
MASTER-56840
MASTER-56841
MASTER-56842</v>
      </c>
      <c r="L45" s="16" t="b" cm="1">
        <f t="array" ref="L45">OR(LEN(C45:K45)&gt;0)</f>
        <v>1</v>
      </c>
    </row>
    <row r="46" spans="2:12" ht="54" x14ac:dyDescent="0.2">
      <c r="B46" s="11" t="str">
        <v>MASTER-46244</v>
      </c>
      <c r="C46" s="12" t="str" cm="1">
        <f t="array" ref="C46">_xlfn.TEXTJOIN(CHAR(10),TRUE,_xlfn._xlws.SORT(IF((--($B46=Flowdown_CIC[[URS]:[URS]]))*(--(C$14=Flowdown_CIC[[Source.Name]:[Source.Name]])),Flowdown_CIC[[SyRS]:[SyRS]],"")))</f>
        <v>MASTER-49260
MASTER-49262
MASTER-50794</v>
      </c>
      <c r="D46" s="12" t="str" cm="1">
        <f t="array" ref="D46">_xlfn.TEXTJOIN(CHAR(10),TRUE,_xlfn._xlws.SORT(IF((--($B46=Flowdown_CIC[[URS]:[URS]]))*(--(D$14=Flowdown_CIC[[Source.Name]:[Source.Name]])),Flowdown_CIC[[SyRS]:[SyRS]],"")))</f>
        <v>MASTER-49260
MASTER-49262
MASTER-50794</v>
      </c>
      <c r="E46" s="12" t="str" cm="1">
        <f t="array" ref="E46">_xlfn.TEXTJOIN(CHAR(10),TRUE,_xlfn._xlws.SORT(IF((--($B46=Flowdown_CIC[[URS]:[URS]]))*(--(E$14=Flowdown_CIC[[Source.Name]:[Source.Name]])),Flowdown_CIC[[SyRS]:[SyRS]],"")))</f>
        <v>MASTER-49260
MASTER-49262
MASTER-50794</v>
      </c>
      <c r="F46" s="12" t="str" cm="1">
        <f t="array" ref="F46">_xlfn.TEXTJOIN(CHAR(10),TRUE,_xlfn._xlws.SORT(IF((--($B46=Flowdown_CIC[[URS]:[URS]]))*(--(F$14=Flowdown_CIC[[Source.Name]:[Source.Name]])),Flowdown_CIC[[SyRS]:[SyRS]],"")))</f>
        <v>MASTER-49260
MASTER-49262
MASTER-50794</v>
      </c>
      <c r="G46" s="12" t="str" cm="1">
        <f t="array" ref="G46">_xlfn.TEXTJOIN(CHAR(10),TRUE,_xlfn._xlws.SORT(IF((--($B46=Flowdown_CIC[[URS]:[URS]]))*(--(G$14=Flowdown_CIC[[Source.Name]:[Source.Name]])),Flowdown_CIC[[SyRS]:[SyRS]],"")))</f>
        <v>MASTER-49260
MASTER-49262
MASTER-50794</v>
      </c>
      <c r="H46" s="12" t="str" cm="1">
        <f t="array" ref="H46">_xlfn.TEXTJOIN(CHAR(10),TRUE,_xlfn._xlws.SORT(IF((--($B46=Flowdown_CIC[[URS]:[URS]]))*(--(H$14=Flowdown_CIC[[Source.Name]:[Source.Name]])),Flowdown_CIC[[SyRS]:[SyRS]],"")))</f>
        <v>MASTER-60791</v>
      </c>
      <c r="I46" s="12" t="str" cm="1">
        <f t="array" ref="I46">_xlfn.TEXTJOIN(CHAR(10),TRUE,_xlfn._xlws.SORT(IF((--($B46=Flowdown_CIC[[URS]:[URS]]))*(--(I$14=Flowdown_CIC[[Source.Name]:[Source.Name]])),Flowdown_CIC[[SyRS]:[SyRS]],"")))</f>
        <v/>
      </c>
      <c r="J46" s="12" t="str" cm="1">
        <f t="array" ref="J46">_xlfn.TEXTJOIN(CHAR(10),TRUE,_xlfn._xlws.SORT(IF((--($B46=Flowdown_CIC[[URS]:[URS]]))*(--(J$14=Flowdown_CIC[[Source.Name]:[Source.Name]])),Flowdown_CIC[[SyRS]:[SyRS]],"")))</f>
        <v/>
      </c>
      <c r="K46" s="12" t="str" cm="1">
        <f t="array" ref="K46">_xlfn.TEXTJOIN(CHAR(10),TRUE,_xlfn._xlws.SORT(IF((--($B46=Flowdown_CIC[[URS]:[URS]]))*(--(K$14=Flowdown_CIC[[Source.Name]:[Source.Name]])),Flowdown_CIC[[SyRS]:[SyRS]],"")))</f>
        <v>MASTER-49268
MASTER-56840
MASTER-56841
MASTER-56842</v>
      </c>
      <c r="L46" s="16" t="b" cm="1">
        <f t="array" ref="L46">OR(LEN(C46:K46)&gt;0)</f>
        <v>1</v>
      </c>
    </row>
    <row r="47" spans="2:12" ht="13.5" x14ac:dyDescent="0.2">
      <c r="B47" s="11" t="str">
        <v>MASTER-47567</v>
      </c>
      <c r="C47" s="12" t="str" cm="1">
        <f t="array" ref="C47">_xlfn.TEXTJOIN(CHAR(10),TRUE,_xlfn._xlws.SORT(IF((--($B47=Flowdown_CIC[[URS]:[URS]]))*(--(C$14=Flowdown_CIC[[Source.Name]:[Source.Name]])),Flowdown_CIC[[SyRS]:[SyRS]],"")))</f>
        <v>MASTER-50022</v>
      </c>
      <c r="D47" s="12" t="str" cm="1">
        <f t="array" ref="D47">_xlfn.TEXTJOIN(CHAR(10),TRUE,_xlfn._xlws.SORT(IF((--($B47=Flowdown_CIC[[URS]:[URS]]))*(--(D$14=Flowdown_CIC[[Source.Name]:[Source.Name]])),Flowdown_CIC[[SyRS]:[SyRS]],"")))</f>
        <v>MASTER-50022</v>
      </c>
      <c r="E47" s="12" t="str" cm="1">
        <f t="array" ref="E47">_xlfn.TEXTJOIN(CHAR(10),TRUE,_xlfn._xlws.SORT(IF((--($B47=Flowdown_CIC[[URS]:[URS]]))*(--(E$14=Flowdown_CIC[[Source.Name]:[Source.Name]])),Flowdown_CIC[[SyRS]:[SyRS]],"")))</f>
        <v>MASTER-50022</v>
      </c>
      <c r="F47" s="12" t="str" cm="1">
        <f t="array" ref="F47">_xlfn.TEXTJOIN(CHAR(10),TRUE,_xlfn._xlws.SORT(IF((--($B47=Flowdown_CIC[[URS]:[URS]]))*(--(F$14=Flowdown_CIC[[Source.Name]:[Source.Name]])),Flowdown_CIC[[SyRS]:[SyRS]],"")))</f>
        <v>MASTER-50022</v>
      </c>
      <c r="G47" s="12" t="str" cm="1">
        <f t="array" ref="G47">_xlfn.TEXTJOIN(CHAR(10),TRUE,_xlfn._xlws.SORT(IF((--($B47=Flowdown_CIC[[URS]:[URS]]))*(--(G$14=Flowdown_CIC[[Source.Name]:[Source.Name]])),Flowdown_CIC[[SyRS]:[SyRS]],"")))</f>
        <v>MASTER-50022</v>
      </c>
      <c r="H47" s="12" t="str" cm="1">
        <f t="array" ref="H47">_xlfn.TEXTJOIN(CHAR(10),TRUE,_xlfn._xlws.SORT(IF((--($B47=Flowdown_CIC[[URS]:[URS]]))*(--(H$14=Flowdown_CIC[[Source.Name]:[Source.Name]])),Flowdown_CIC[[SyRS]:[SyRS]],"")))</f>
        <v/>
      </c>
      <c r="I47" s="12" t="str" cm="1">
        <f t="array" ref="I47">_xlfn.TEXTJOIN(CHAR(10),TRUE,_xlfn._xlws.SORT(IF((--($B47=Flowdown_CIC[[URS]:[URS]]))*(--(I$14=Flowdown_CIC[[Source.Name]:[Source.Name]])),Flowdown_CIC[[SyRS]:[SyRS]],"")))</f>
        <v/>
      </c>
      <c r="J47" s="12" t="str" cm="1">
        <f t="array" ref="J47">_xlfn.TEXTJOIN(CHAR(10),TRUE,_xlfn._xlws.SORT(IF((--($B47=Flowdown_CIC[[URS]:[URS]]))*(--(J$14=Flowdown_CIC[[Source.Name]:[Source.Name]])),Flowdown_CIC[[SyRS]:[SyRS]],"")))</f>
        <v/>
      </c>
      <c r="K47" s="12" t="str" cm="1">
        <f t="array" ref="K47">_xlfn.TEXTJOIN(CHAR(10),TRUE,_xlfn._xlws.SORT(IF((--($B47=Flowdown_CIC[[URS]:[URS]]))*(--(K$14=Flowdown_CIC[[Source.Name]:[Source.Name]])),Flowdown_CIC[[SyRS]:[SyRS]],"")))</f>
        <v/>
      </c>
      <c r="L47" s="16" t="b" cm="1">
        <f t="array" ref="L47">OR(LEN(C47:K47)&gt;0)</f>
        <v>1</v>
      </c>
    </row>
    <row r="48" spans="2:12" ht="13.5" x14ac:dyDescent="0.2">
      <c r="B48" s="11" t="str">
        <v>MASTER-47568</v>
      </c>
      <c r="C48" s="12" t="str" cm="1">
        <f t="array" ref="C48">_xlfn.TEXTJOIN(CHAR(10),TRUE,_xlfn._xlws.SORT(IF((--($B48=Flowdown_CIC[[URS]:[URS]]))*(--(C$14=Flowdown_CIC[[Source.Name]:[Source.Name]])),Flowdown_CIC[[SyRS]:[SyRS]],"")))</f>
        <v>MASTER-50022</v>
      </c>
      <c r="D48" s="12" t="str" cm="1">
        <f t="array" ref="D48">_xlfn.TEXTJOIN(CHAR(10),TRUE,_xlfn._xlws.SORT(IF((--($B48=Flowdown_CIC[[URS]:[URS]]))*(--(D$14=Flowdown_CIC[[Source.Name]:[Source.Name]])),Flowdown_CIC[[SyRS]:[SyRS]],"")))</f>
        <v>MASTER-50022</v>
      </c>
      <c r="E48" s="12" t="str" cm="1">
        <f t="array" ref="E48">_xlfn.TEXTJOIN(CHAR(10),TRUE,_xlfn._xlws.SORT(IF((--($B48=Flowdown_CIC[[URS]:[URS]]))*(--(E$14=Flowdown_CIC[[Source.Name]:[Source.Name]])),Flowdown_CIC[[SyRS]:[SyRS]],"")))</f>
        <v>MASTER-50022</v>
      </c>
      <c r="F48" s="12" t="str" cm="1">
        <f t="array" ref="F48">_xlfn.TEXTJOIN(CHAR(10),TRUE,_xlfn._xlws.SORT(IF((--($B48=Flowdown_CIC[[URS]:[URS]]))*(--(F$14=Flowdown_CIC[[Source.Name]:[Source.Name]])),Flowdown_CIC[[SyRS]:[SyRS]],"")))</f>
        <v>MASTER-50022</v>
      </c>
      <c r="G48" s="12" t="str" cm="1">
        <f t="array" ref="G48">_xlfn.TEXTJOIN(CHAR(10),TRUE,_xlfn._xlws.SORT(IF((--($B48=Flowdown_CIC[[URS]:[URS]]))*(--(G$14=Flowdown_CIC[[Source.Name]:[Source.Name]])),Flowdown_CIC[[SyRS]:[SyRS]],"")))</f>
        <v>MASTER-50022</v>
      </c>
      <c r="H48" s="12" t="str" cm="1">
        <f t="array" ref="H48">_xlfn.TEXTJOIN(CHAR(10),TRUE,_xlfn._xlws.SORT(IF((--($B48=Flowdown_CIC[[URS]:[URS]]))*(--(H$14=Flowdown_CIC[[Source.Name]:[Source.Name]])),Flowdown_CIC[[SyRS]:[SyRS]],"")))</f>
        <v/>
      </c>
      <c r="I48" s="12" t="str" cm="1">
        <f t="array" ref="I48">_xlfn.TEXTJOIN(CHAR(10),TRUE,_xlfn._xlws.SORT(IF((--($B48=Flowdown_CIC[[URS]:[URS]]))*(--(I$14=Flowdown_CIC[[Source.Name]:[Source.Name]])),Flowdown_CIC[[SyRS]:[SyRS]],"")))</f>
        <v/>
      </c>
      <c r="J48" s="12" t="str" cm="1">
        <f t="array" ref="J48">_xlfn.TEXTJOIN(CHAR(10),TRUE,_xlfn._xlws.SORT(IF((--($B48=Flowdown_CIC[[URS]:[URS]]))*(--(J$14=Flowdown_CIC[[Source.Name]:[Source.Name]])),Flowdown_CIC[[SyRS]:[SyRS]],"")))</f>
        <v/>
      </c>
      <c r="K48" s="12" t="str" cm="1">
        <f t="array" ref="K48">_xlfn.TEXTJOIN(CHAR(10),TRUE,_xlfn._xlws.SORT(IF((--($B48=Flowdown_CIC[[URS]:[URS]]))*(--(K$14=Flowdown_CIC[[Source.Name]:[Source.Name]])),Flowdown_CIC[[SyRS]:[SyRS]],"")))</f>
        <v/>
      </c>
      <c r="L48" s="16" t="b" cm="1">
        <f t="array" ref="L48">OR(LEN(C48:K48)&gt;0)</f>
        <v>1</v>
      </c>
    </row>
    <row r="49" spans="2:12" ht="108" x14ac:dyDescent="0.2">
      <c r="B49" s="11" t="str">
        <v>MASTER-47569</v>
      </c>
      <c r="C49" s="12" t="str" cm="1">
        <f t="array" ref="C49">_xlfn.TEXTJOIN(CHAR(10),TRUE,_xlfn._xlws.SORT(IF((--($B49=Flowdown_CIC[[URS]:[URS]]))*(--(C$14=Flowdown_CIC[[Source.Name]:[Source.Name]])),Flowdown_CIC[[SyRS]:[SyRS]],"")))</f>
        <v>MASTER-18076
MASTER-50001
MASTER-50004
MASTER-50005
MASTER-50019
MASTER-50020
MASTER-51662
MASTER-51663</v>
      </c>
      <c r="D49" s="12" t="str" cm="1">
        <f t="array" ref="D49">_xlfn.TEXTJOIN(CHAR(10),TRUE,_xlfn._xlws.SORT(IF((--($B49=Flowdown_CIC[[URS]:[URS]]))*(--(D$14=Flowdown_CIC[[Source.Name]:[Source.Name]])),Flowdown_CIC[[SyRS]:[SyRS]],"")))</f>
        <v>MASTER-18076
MASTER-50001
MASTER-50004
MASTER-50005
MASTER-50019
MASTER-50020
MASTER-51662
MASTER-51663</v>
      </c>
      <c r="E49" s="12" t="str" cm="1">
        <f t="array" ref="E49">_xlfn.TEXTJOIN(CHAR(10),TRUE,_xlfn._xlws.SORT(IF((--($B49=Flowdown_CIC[[URS]:[URS]]))*(--(E$14=Flowdown_CIC[[Source.Name]:[Source.Name]])),Flowdown_CIC[[SyRS]:[SyRS]],"")))</f>
        <v>MASTER-18076
MASTER-50001
MASTER-50004
MASTER-50005
MASTER-50019
MASTER-50020
MASTER-51662
MASTER-51663</v>
      </c>
      <c r="F49" s="12" t="str" cm="1">
        <f t="array" ref="F49">_xlfn.TEXTJOIN(CHAR(10),TRUE,_xlfn._xlws.SORT(IF((--($B49=Flowdown_CIC[[URS]:[URS]]))*(--(F$14=Flowdown_CIC[[Source.Name]:[Source.Name]])),Flowdown_CIC[[SyRS]:[SyRS]],"")))</f>
        <v>MASTER-18076
MASTER-50001
MASTER-50004
MASTER-50005
MASTER-50019
MASTER-50020
MASTER-51662
MASTER-51663</v>
      </c>
      <c r="G49" s="12" t="str" cm="1">
        <f t="array" ref="G49">_xlfn.TEXTJOIN(CHAR(10),TRUE,_xlfn._xlws.SORT(IF((--($B49=Flowdown_CIC[[URS]:[URS]]))*(--(G$14=Flowdown_CIC[[Source.Name]:[Source.Name]])),Flowdown_CIC[[SyRS]:[SyRS]],"")))</f>
        <v>MASTER-18076
MASTER-50001
MASTER-50004
MASTER-50005
MASTER-50019
MASTER-50020
MASTER-51662
MASTER-51663</v>
      </c>
      <c r="H49" s="12" t="str" cm="1">
        <f t="array" ref="H49">_xlfn.TEXTJOIN(CHAR(10),TRUE,_xlfn._xlws.SORT(IF((--($B49=Flowdown_CIC[[URS]:[URS]]))*(--(H$14=Flowdown_CIC[[Source.Name]:[Source.Name]])),Flowdown_CIC[[SyRS]:[SyRS]],"")))</f>
        <v/>
      </c>
      <c r="I49" s="12" t="str" cm="1">
        <f t="array" ref="I49">_xlfn.TEXTJOIN(CHAR(10),TRUE,_xlfn._xlws.SORT(IF((--($B49=Flowdown_CIC[[URS]:[URS]]))*(--(I$14=Flowdown_CIC[[Source.Name]:[Source.Name]])),Flowdown_CIC[[SyRS]:[SyRS]],"")))</f>
        <v/>
      </c>
      <c r="J49" s="12" t="str" cm="1">
        <f t="array" ref="J49">_xlfn.TEXTJOIN(CHAR(10),TRUE,_xlfn._xlws.SORT(IF((--($B49=Flowdown_CIC[[URS]:[URS]]))*(--(J$14=Flowdown_CIC[[Source.Name]:[Source.Name]])),Flowdown_CIC[[SyRS]:[SyRS]],"")))</f>
        <v/>
      </c>
      <c r="K49" s="12" t="str" cm="1">
        <f t="array" ref="K49">_xlfn.TEXTJOIN(CHAR(10),TRUE,_xlfn._xlws.SORT(IF((--($B49=Flowdown_CIC[[URS]:[URS]]))*(--(K$14=Flowdown_CIC[[Source.Name]:[Source.Name]])),Flowdown_CIC[[SyRS]:[SyRS]],"")))</f>
        <v>MASTER-50091
MASTER-50092
MASTER-50095
MASTER-50099
MASTER-50100
MASTER-50102
MASTER-50106</v>
      </c>
      <c r="L49" s="16" t="b" cm="1">
        <f t="array" ref="L49">OR(LEN(C49:K49)&gt;0)</f>
        <v>1</v>
      </c>
    </row>
    <row r="50" spans="2:12" ht="13.5" x14ac:dyDescent="0.2">
      <c r="B50" s="11" t="str">
        <v>MASTER-47629</v>
      </c>
      <c r="C50" s="12" t="str" cm="1">
        <f t="array" ref="C50">_xlfn.TEXTJOIN(CHAR(10),TRUE,_xlfn._xlws.SORT(IF((--($B50=Flowdown_CIC[[URS]:[URS]]))*(--(C$14=Flowdown_CIC[[Source.Name]:[Source.Name]])),Flowdown_CIC[[SyRS]:[SyRS]],"")))</f>
        <v>MASTER-42177</v>
      </c>
      <c r="D50" s="12" t="str" cm="1">
        <f t="array" ref="D50">_xlfn.TEXTJOIN(CHAR(10),TRUE,_xlfn._xlws.SORT(IF((--($B50=Flowdown_CIC[[URS]:[URS]]))*(--(D$14=Flowdown_CIC[[Source.Name]:[Source.Name]])),Flowdown_CIC[[SyRS]:[SyRS]],"")))</f>
        <v>MASTER-42177</v>
      </c>
      <c r="E50" s="12" t="str" cm="1">
        <f t="array" ref="E50">_xlfn.TEXTJOIN(CHAR(10),TRUE,_xlfn._xlws.SORT(IF((--($B50=Flowdown_CIC[[URS]:[URS]]))*(--(E$14=Flowdown_CIC[[Source.Name]:[Source.Name]])),Flowdown_CIC[[SyRS]:[SyRS]],"")))</f>
        <v>MASTER-42177</v>
      </c>
      <c r="F50" s="12" t="str" cm="1">
        <f t="array" ref="F50">_xlfn.TEXTJOIN(CHAR(10),TRUE,_xlfn._xlws.SORT(IF((--($B50=Flowdown_CIC[[URS]:[URS]]))*(--(F$14=Flowdown_CIC[[Source.Name]:[Source.Name]])),Flowdown_CIC[[SyRS]:[SyRS]],"")))</f>
        <v>MASTER-42177</v>
      </c>
      <c r="G50" s="12" t="str" cm="1">
        <f t="array" ref="G50">_xlfn.TEXTJOIN(CHAR(10),TRUE,_xlfn._xlws.SORT(IF((--($B50=Flowdown_CIC[[URS]:[URS]]))*(--(G$14=Flowdown_CIC[[Source.Name]:[Source.Name]])),Flowdown_CIC[[SyRS]:[SyRS]],"")))</f>
        <v>MASTER-42177</v>
      </c>
      <c r="H50" s="12" t="str" cm="1">
        <f t="array" ref="H50">_xlfn.TEXTJOIN(CHAR(10),TRUE,_xlfn._xlws.SORT(IF((--($B50=Flowdown_CIC[[URS]:[URS]]))*(--(H$14=Flowdown_CIC[[Source.Name]:[Source.Name]])),Flowdown_CIC[[SyRS]:[SyRS]],"")))</f>
        <v/>
      </c>
      <c r="I50" s="12" t="str" cm="1">
        <f t="array" ref="I50">_xlfn.TEXTJOIN(CHAR(10),TRUE,_xlfn._xlws.SORT(IF((--($B50=Flowdown_CIC[[URS]:[URS]]))*(--(I$14=Flowdown_CIC[[Source.Name]:[Source.Name]])),Flowdown_CIC[[SyRS]:[SyRS]],"")))</f>
        <v/>
      </c>
      <c r="J50" s="12" t="str" cm="1">
        <f t="array" ref="J50">_xlfn.TEXTJOIN(CHAR(10),TRUE,_xlfn._xlws.SORT(IF((--($B50=Flowdown_CIC[[URS]:[URS]]))*(--(J$14=Flowdown_CIC[[Source.Name]:[Source.Name]])),Flowdown_CIC[[SyRS]:[SyRS]],"")))</f>
        <v/>
      </c>
      <c r="K50" s="12" t="str" cm="1">
        <f t="array" ref="K50">_xlfn.TEXTJOIN(CHAR(10),TRUE,_xlfn._xlws.SORT(IF((--($B50=Flowdown_CIC[[URS]:[URS]]))*(--(K$14=Flowdown_CIC[[Source.Name]:[Source.Name]])),Flowdown_CIC[[SyRS]:[SyRS]],"")))</f>
        <v/>
      </c>
      <c r="L50" s="16" t="b" cm="1">
        <f t="array" ref="L50">OR(LEN(C50:K50)&gt;0)</f>
        <v>1</v>
      </c>
    </row>
    <row r="51" spans="2:12" ht="13.5" x14ac:dyDescent="0.2">
      <c r="B51" s="11" t="str">
        <v>MASTER-47630</v>
      </c>
      <c r="C51" s="12" t="str" cm="1">
        <f t="array" ref="C51">_xlfn.TEXTJOIN(CHAR(10),TRUE,_xlfn._xlws.SORT(IF((--($B51=Flowdown_CIC[[URS]:[URS]]))*(--(C$14=Flowdown_CIC[[Source.Name]:[Source.Name]])),Flowdown_CIC[[SyRS]:[SyRS]],"")))</f>
        <v/>
      </c>
      <c r="D51" s="12" t="str" cm="1">
        <f t="array" ref="D51">_xlfn.TEXTJOIN(CHAR(10),TRUE,_xlfn._xlws.SORT(IF((--($B51=Flowdown_CIC[[URS]:[URS]]))*(--(D$14=Flowdown_CIC[[Source.Name]:[Source.Name]])),Flowdown_CIC[[SyRS]:[SyRS]],"")))</f>
        <v/>
      </c>
      <c r="E51" s="12" t="str" cm="1">
        <f t="array" ref="E51">_xlfn.TEXTJOIN(CHAR(10),TRUE,_xlfn._xlws.SORT(IF((--($B51=Flowdown_CIC[[URS]:[URS]]))*(--(E$14=Flowdown_CIC[[Source.Name]:[Source.Name]])),Flowdown_CIC[[SyRS]:[SyRS]],"")))</f>
        <v/>
      </c>
      <c r="F51" s="12" t="str" cm="1">
        <f t="array" ref="F51">_xlfn.TEXTJOIN(CHAR(10),TRUE,_xlfn._xlws.SORT(IF((--($B51=Flowdown_CIC[[URS]:[URS]]))*(--(F$14=Flowdown_CIC[[Source.Name]:[Source.Name]])),Flowdown_CIC[[SyRS]:[SyRS]],"")))</f>
        <v/>
      </c>
      <c r="G51" s="12" t="str" cm="1">
        <f t="array" ref="G51">_xlfn.TEXTJOIN(CHAR(10),TRUE,_xlfn._xlws.SORT(IF((--($B51=Flowdown_CIC[[URS]:[URS]]))*(--(G$14=Flowdown_CIC[[Source.Name]:[Source.Name]])),Flowdown_CIC[[SyRS]:[SyRS]],"")))</f>
        <v/>
      </c>
      <c r="H51" s="12" t="str" cm="1">
        <f t="array" ref="H51">_xlfn.TEXTJOIN(CHAR(10),TRUE,_xlfn._xlws.SORT(IF((--($B51=Flowdown_CIC[[URS]:[URS]]))*(--(H$14=Flowdown_CIC[[Source.Name]:[Source.Name]])),Flowdown_CIC[[SyRS]:[SyRS]],"")))</f>
        <v/>
      </c>
      <c r="I51" s="12" t="str" cm="1">
        <f t="array" ref="I51">_xlfn.TEXTJOIN(CHAR(10),TRUE,_xlfn._xlws.SORT(IF((--($B51=Flowdown_CIC[[URS]:[URS]]))*(--(I$14=Flowdown_CIC[[Source.Name]:[Source.Name]])),Flowdown_CIC[[SyRS]:[SyRS]],"")))</f>
        <v>MASTER-20174</v>
      </c>
      <c r="J51" s="12" t="str" cm="1">
        <f t="array" ref="J51">_xlfn.TEXTJOIN(CHAR(10),TRUE,_xlfn._xlws.SORT(IF((--($B51=Flowdown_CIC[[URS]:[URS]]))*(--(J$14=Flowdown_CIC[[Source.Name]:[Source.Name]])),Flowdown_CIC[[SyRS]:[SyRS]],"")))</f>
        <v>MASTER-20174</v>
      </c>
      <c r="K51" s="12" t="str" cm="1">
        <f t="array" ref="K51">_xlfn.TEXTJOIN(CHAR(10),TRUE,_xlfn._xlws.SORT(IF((--($B51=Flowdown_CIC[[URS]:[URS]]))*(--(K$14=Flowdown_CIC[[Source.Name]:[Source.Name]])),Flowdown_CIC[[SyRS]:[SyRS]],"")))</f>
        <v/>
      </c>
      <c r="L51" s="16" t="b" cm="1">
        <f t="array" ref="L51">OR(LEN(C51:K51)&gt;0)</f>
        <v>1</v>
      </c>
    </row>
    <row r="52" spans="2:12" ht="27" x14ac:dyDescent="0.2">
      <c r="B52" s="11" t="str">
        <v>MASTER-47631</v>
      </c>
      <c r="C52" s="12" t="str" cm="1">
        <f t="array" ref="C52">_xlfn.TEXTJOIN(CHAR(10),TRUE,_xlfn._xlws.SORT(IF((--($B52=Flowdown_CIC[[URS]:[URS]]))*(--(C$14=Flowdown_CIC[[Source.Name]:[Source.Name]])),Flowdown_CIC[[SyRS]:[SyRS]],"")))</f>
        <v/>
      </c>
      <c r="D52" s="12" t="str" cm="1">
        <f t="array" ref="D52">_xlfn.TEXTJOIN(CHAR(10),TRUE,_xlfn._xlws.SORT(IF((--($B52=Flowdown_CIC[[URS]:[URS]]))*(--(D$14=Flowdown_CIC[[Source.Name]:[Source.Name]])),Flowdown_CIC[[SyRS]:[SyRS]],"")))</f>
        <v/>
      </c>
      <c r="E52" s="12" t="str" cm="1">
        <f t="array" ref="E52">_xlfn.TEXTJOIN(CHAR(10),TRUE,_xlfn._xlws.SORT(IF((--($B52=Flowdown_CIC[[URS]:[URS]]))*(--(E$14=Flowdown_CIC[[Source.Name]:[Source.Name]])),Flowdown_CIC[[SyRS]:[SyRS]],"")))</f>
        <v/>
      </c>
      <c r="F52" s="12" t="str" cm="1">
        <f t="array" ref="F52">_xlfn.TEXTJOIN(CHAR(10),TRUE,_xlfn._xlws.SORT(IF((--($B52=Flowdown_CIC[[URS]:[URS]]))*(--(F$14=Flowdown_CIC[[Source.Name]:[Source.Name]])),Flowdown_CIC[[SyRS]:[SyRS]],"")))</f>
        <v/>
      </c>
      <c r="G52" s="12" t="str" cm="1">
        <f t="array" ref="G52">_xlfn.TEXTJOIN(CHAR(10),TRUE,_xlfn._xlws.SORT(IF((--($B52=Flowdown_CIC[[URS]:[URS]]))*(--(G$14=Flowdown_CIC[[Source.Name]:[Source.Name]])),Flowdown_CIC[[SyRS]:[SyRS]],"")))</f>
        <v/>
      </c>
      <c r="H52" s="12" t="str" cm="1">
        <f t="array" ref="H52">_xlfn.TEXTJOIN(CHAR(10),TRUE,_xlfn._xlws.SORT(IF((--($B52=Flowdown_CIC[[URS]:[URS]]))*(--(H$14=Flowdown_CIC[[Source.Name]:[Source.Name]])),Flowdown_CIC[[SyRS]:[SyRS]],"")))</f>
        <v/>
      </c>
      <c r="I52" s="12" t="str" cm="1">
        <f t="array" ref="I52">_xlfn.TEXTJOIN(CHAR(10),TRUE,_xlfn._xlws.SORT(IF((--($B52=Flowdown_CIC[[URS]:[URS]]))*(--(I$14=Flowdown_CIC[[Source.Name]:[Source.Name]])),Flowdown_CIC[[SyRS]:[SyRS]],"")))</f>
        <v/>
      </c>
      <c r="J52" s="12" t="str" cm="1">
        <f t="array" ref="J52">_xlfn.TEXTJOIN(CHAR(10),TRUE,_xlfn._xlws.SORT(IF((--($B52=Flowdown_CIC[[URS]:[URS]]))*(--(J$14=Flowdown_CIC[[Source.Name]:[Source.Name]])),Flowdown_CIC[[SyRS]:[SyRS]],"")))</f>
        <v>MASTER-20034
MASTER-20035</v>
      </c>
      <c r="K52" s="12" t="str" cm="1">
        <f t="array" ref="K52">_xlfn.TEXTJOIN(CHAR(10),TRUE,_xlfn._xlws.SORT(IF((--($B52=Flowdown_CIC[[URS]:[URS]]))*(--(K$14=Flowdown_CIC[[Source.Name]:[Source.Name]])),Flowdown_CIC[[SyRS]:[SyRS]],"")))</f>
        <v/>
      </c>
      <c r="L52" s="16" t="b" cm="1">
        <f t="array" ref="L52">OR(LEN(C52:K52)&gt;0)</f>
        <v>1</v>
      </c>
    </row>
    <row r="53" spans="2:12" ht="54" x14ac:dyDescent="0.2">
      <c r="B53" s="11" t="str">
        <v>MASTER-48036</v>
      </c>
      <c r="C53" s="12" t="str" cm="1">
        <f t="array" ref="C53">_xlfn.TEXTJOIN(CHAR(10),TRUE,_xlfn._xlws.SORT(IF((--($B53=Flowdown_CIC[[URS]:[URS]]))*(--(C$14=Flowdown_CIC[[Source.Name]:[Source.Name]])),Flowdown_CIC[[SyRS]:[SyRS]],"")))</f>
        <v>MASTER-19459
MASTER-51043
MASTER-51056
MASTER-51076</v>
      </c>
      <c r="D53" s="12" t="str" cm="1">
        <f t="array" ref="D53">_xlfn.TEXTJOIN(CHAR(10),TRUE,_xlfn._xlws.SORT(IF((--($B53=Flowdown_CIC[[URS]:[URS]]))*(--(D$14=Flowdown_CIC[[Source.Name]:[Source.Name]])),Flowdown_CIC[[SyRS]:[SyRS]],"")))</f>
        <v>MASTER-19459
MASTER-51043
MASTER-51056
MASTER-51076</v>
      </c>
      <c r="E53" s="12" t="str" cm="1">
        <f t="array" ref="E53">_xlfn.TEXTJOIN(CHAR(10),TRUE,_xlfn._xlws.SORT(IF((--($B53=Flowdown_CIC[[URS]:[URS]]))*(--(E$14=Flowdown_CIC[[Source.Name]:[Source.Name]])),Flowdown_CIC[[SyRS]:[SyRS]],"")))</f>
        <v/>
      </c>
      <c r="F53" s="12" t="str" cm="1">
        <f t="array" ref="F53">_xlfn.TEXTJOIN(CHAR(10),TRUE,_xlfn._xlws.SORT(IF((--($B53=Flowdown_CIC[[URS]:[URS]]))*(--(F$14=Flowdown_CIC[[Source.Name]:[Source.Name]])),Flowdown_CIC[[SyRS]:[SyRS]],"")))</f>
        <v/>
      </c>
      <c r="G53" s="12" t="str" cm="1">
        <f t="array" ref="G53">_xlfn.TEXTJOIN(CHAR(10),TRUE,_xlfn._xlws.SORT(IF((--($B53=Flowdown_CIC[[URS]:[URS]]))*(--(G$14=Flowdown_CIC[[Source.Name]:[Source.Name]])),Flowdown_CIC[[SyRS]:[SyRS]],"")))</f>
        <v/>
      </c>
      <c r="H53" s="12" t="str" cm="1">
        <f t="array" ref="H53">_xlfn.TEXTJOIN(CHAR(10),TRUE,_xlfn._xlws.SORT(IF((--($B53=Flowdown_CIC[[URS]:[URS]]))*(--(H$14=Flowdown_CIC[[Source.Name]:[Source.Name]])),Flowdown_CIC[[SyRS]:[SyRS]],"")))</f>
        <v/>
      </c>
      <c r="I53" s="12" t="str" cm="1">
        <f t="array" ref="I53">_xlfn.TEXTJOIN(CHAR(10),TRUE,_xlfn._xlws.SORT(IF((--($B53=Flowdown_CIC[[URS]:[URS]]))*(--(I$14=Flowdown_CIC[[Source.Name]:[Source.Name]])),Flowdown_CIC[[SyRS]:[SyRS]],"")))</f>
        <v>MASTER-20011
MASTER-20027
UTICA-210</v>
      </c>
      <c r="J53" s="12" t="str" cm="1">
        <f t="array" ref="J53">_xlfn.TEXTJOIN(CHAR(10),TRUE,_xlfn._xlws.SORT(IF((--($B53=Flowdown_CIC[[URS]:[URS]]))*(--(J$14=Flowdown_CIC[[Source.Name]:[Source.Name]])),Flowdown_CIC[[SyRS]:[SyRS]],"")))</f>
        <v>MASTER-20011
MASTER-20027</v>
      </c>
      <c r="K53" s="12" t="str" cm="1">
        <f t="array" ref="K53">_xlfn.TEXTJOIN(CHAR(10),TRUE,_xlfn._xlws.SORT(IF((--($B53=Flowdown_CIC[[URS]:[URS]]))*(--(K$14=Flowdown_CIC[[Source.Name]:[Source.Name]])),Flowdown_CIC[[SyRS]:[SyRS]],"")))</f>
        <v/>
      </c>
      <c r="L53" s="16" t="b" cm="1">
        <f t="array" ref="L53">OR(LEN(C53:K53)&gt;0)</f>
        <v>1</v>
      </c>
    </row>
    <row r="54" spans="2:12" ht="40.5" x14ac:dyDescent="0.2">
      <c r="B54" s="11" t="str">
        <v>MASTER-48037</v>
      </c>
      <c r="C54" s="12" t="str" cm="1">
        <f t="array" ref="C54">_xlfn.TEXTJOIN(CHAR(10),TRUE,_xlfn._xlws.SORT(IF((--($B54=Flowdown_CIC[[URS]:[URS]]))*(--(C$14=Flowdown_CIC[[Source.Name]:[Source.Name]])),Flowdown_CIC[[SyRS]:[SyRS]],"")))</f>
        <v>MASTER-19240
MASTER-51530
MASTER-51531</v>
      </c>
      <c r="D54" s="12" t="str" cm="1">
        <f t="array" ref="D54">_xlfn.TEXTJOIN(CHAR(10),TRUE,_xlfn._xlws.SORT(IF((--($B54=Flowdown_CIC[[URS]:[URS]]))*(--(D$14=Flowdown_CIC[[Source.Name]:[Source.Name]])),Flowdown_CIC[[SyRS]:[SyRS]],"")))</f>
        <v>MASTER-19240
MASTER-51530
MASTER-51531</v>
      </c>
      <c r="E54" s="12" t="str" cm="1">
        <f t="array" ref="E54">_xlfn.TEXTJOIN(CHAR(10),TRUE,_xlfn._xlws.SORT(IF((--($B54=Flowdown_CIC[[URS]:[URS]]))*(--(E$14=Flowdown_CIC[[Source.Name]:[Source.Name]])),Flowdown_CIC[[SyRS]:[SyRS]],"")))</f>
        <v>MASTER-19240
MASTER-51530
MASTER-51531</v>
      </c>
      <c r="F54" s="12" t="str" cm="1">
        <f t="array" ref="F54">_xlfn.TEXTJOIN(CHAR(10),TRUE,_xlfn._xlws.SORT(IF((--($B54=Flowdown_CIC[[URS]:[URS]]))*(--(F$14=Flowdown_CIC[[Source.Name]:[Source.Name]])),Flowdown_CIC[[SyRS]:[SyRS]],"")))</f>
        <v>MASTER-19240
MASTER-51530
MASTER-51531</v>
      </c>
      <c r="G54" s="12" t="str" cm="1">
        <f t="array" ref="G54">_xlfn.TEXTJOIN(CHAR(10),TRUE,_xlfn._xlws.SORT(IF((--($B54=Flowdown_CIC[[URS]:[URS]]))*(--(G$14=Flowdown_CIC[[Source.Name]:[Source.Name]])),Flowdown_CIC[[SyRS]:[SyRS]],"")))</f>
        <v>MASTER-19240
MASTER-51530
MASTER-51531</v>
      </c>
      <c r="H54" s="12" t="str" cm="1">
        <f t="array" ref="H54">_xlfn.TEXTJOIN(CHAR(10),TRUE,_xlfn._xlws.SORT(IF((--($B54=Flowdown_CIC[[URS]:[URS]]))*(--(H$14=Flowdown_CIC[[Source.Name]:[Source.Name]])),Flowdown_CIC[[SyRS]:[SyRS]],"")))</f>
        <v/>
      </c>
      <c r="I54" s="12" t="str" cm="1">
        <f t="array" ref="I54">_xlfn.TEXTJOIN(CHAR(10),TRUE,_xlfn._xlws.SORT(IF((--($B54=Flowdown_CIC[[URS]:[URS]]))*(--(I$14=Flowdown_CIC[[Source.Name]:[Source.Name]])),Flowdown_CIC[[SyRS]:[SyRS]],"")))</f>
        <v/>
      </c>
      <c r="J54" s="12" t="str" cm="1">
        <f t="array" ref="J54">_xlfn.TEXTJOIN(CHAR(10),TRUE,_xlfn._xlws.SORT(IF((--($B54=Flowdown_CIC[[URS]:[URS]]))*(--(J$14=Flowdown_CIC[[Source.Name]:[Source.Name]])),Flowdown_CIC[[SyRS]:[SyRS]],"")))</f>
        <v/>
      </c>
      <c r="K54" s="12" t="str" cm="1">
        <f t="array" ref="K54">_xlfn.TEXTJOIN(CHAR(10),TRUE,_xlfn._xlws.SORT(IF((--($B54=Flowdown_CIC[[URS]:[URS]]))*(--(K$14=Flowdown_CIC[[Source.Name]:[Source.Name]])),Flowdown_CIC[[SyRS]:[SyRS]],"")))</f>
        <v/>
      </c>
      <c r="L54" s="16" t="b" cm="1">
        <f t="array" ref="L54">OR(LEN(C54:K54)&gt;0)</f>
        <v>1</v>
      </c>
    </row>
    <row r="55" spans="2:12" ht="40.5" x14ac:dyDescent="0.2">
      <c r="B55" s="11" t="str">
        <v>MASTER-48038</v>
      </c>
      <c r="C55" s="12" t="str" cm="1">
        <f t="array" ref="C55">_xlfn.TEXTJOIN(CHAR(10),TRUE,_xlfn._xlws.SORT(IF((--($B55=Flowdown_CIC[[URS]:[URS]]))*(--(C$14=Flowdown_CIC[[Source.Name]:[Source.Name]])),Flowdown_CIC[[SyRS]:[SyRS]],"")))</f>
        <v>MASTER-19435
MASTER-19444
MASTER-19535</v>
      </c>
      <c r="D55" s="12" t="str" cm="1">
        <f t="array" ref="D55">_xlfn.TEXTJOIN(CHAR(10),TRUE,_xlfn._xlws.SORT(IF((--($B55=Flowdown_CIC[[URS]:[URS]]))*(--(D$14=Flowdown_CIC[[Source.Name]:[Source.Name]])),Flowdown_CIC[[SyRS]:[SyRS]],"")))</f>
        <v>MASTER-19435
MASTER-19444
MASTER-19535</v>
      </c>
      <c r="E55" s="12" t="str" cm="1">
        <f t="array" ref="E55">_xlfn.TEXTJOIN(CHAR(10),TRUE,_xlfn._xlws.SORT(IF((--($B55=Flowdown_CIC[[URS]:[URS]]))*(--(E$14=Flowdown_CIC[[Source.Name]:[Source.Name]])),Flowdown_CIC[[SyRS]:[SyRS]],"")))</f>
        <v/>
      </c>
      <c r="F55" s="12" t="str" cm="1">
        <f t="array" ref="F55">_xlfn.TEXTJOIN(CHAR(10),TRUE,_xlfn._xlws.SORT(IF((--($B55=Flowdown_CIC[[URS]:[URS]]))*(--(F$14=Flowdown_CIC[[Source.Name]:[Source.Name]])),Flowdown_CIC[[SyRS]:[SyRS]],"")))</f>
        <v/>
      </c>
      <c r="G55" s="12" t="str" cm="1">
        <f t="array" ref="G55">_xlfn.TEXTJOIN(CHAR(10),TRUE,_xlfn._xlws.SORT(IF((--($B55=Flowdown_CIC[[URS]:[URS]]))*(--(G$14=Flowdown_CIC[[Source.Name]:[Source.Name]])),Flowdown_CIC[[SyRS]:[SyRS]],"")))</f>
        <v/>
      </c>
      <c r="H55" s="12" t="str" cm="1">
        <f t="array" ref="H55">_xlfn.TEXTJOIN(CHAR(10),TRUE,_xlfn._xlws.SORT(IF((--($B55=Flowdown_CIC[[URS]:[URS]]))*(--(H$14=Flowdown_CIC[[Source.Name]:[Source.Name]])),Flowdown_CIC[[SyRS]:[SyRS]],"")))</f>
        <v/>
      </c>
      <c r="I55" s="12" t="str" cm="1">
        <f t="array" ref="I55">_xlfn.TEXTJOIN(CHAR(10),TRUE,_xlfn._xlws.SORT(IF((--($B55=Flowdown_CIC[[URS]:[URS]]))*(--(I$14=Flowdown_CIC[[Source.Name]:[Source.Name]])),Flowdown_CIC[[SyRS]:[SyRS]],"")))</f>
        <v/>
      </c>
      <c r="J55" s="12" t="str" cm="1">
        <f t="array" ref="J55">_xlfn.TEXTJOIN(CHAR(10),TRUE,_xlfn._xlws.SORT(IF((--($B55=Flowdown_CIC[[URS]:[URS]]))*(--(J$14=Flowdown_CIC[[Source.Name]:[Source.Name]])),Flowdown_CIC[[SyRS]:[SyRS]],"")))</f>
        <v/>
      </c>
      <c r="K55" s="12" t="str" cm="1">
        <f t="array" ref="K55">_xlfn.TEXTJOIN(CHAR(10),TRUE,_xlfn._xlws.SORT(IF((--($B55=Flowdown_CIC[[URS]:[URS]]))*(--(K$14=Flowdown_CIC[[Source.Name]:[Source.Name]])),Flowdown_CIC[[SyRS]:[SyRS]],"")))</f>
        <v/>
      </c>
      <c r="L55" s="16" t="b" cm="1">
        <f t="array" ref="L55">OR(LEN(C55:K55)&gt;0)</f>
        <v>1</v>
      </c>
    </row>
    <row r="56" spans="2:12" ht="121.5" x14ac:dyDescent="0.2">
      <c r="B56" s="11" t="str">
        <v>MASTER-48039</v>
      </c>
      <c r="C56" s="12" t="str" cm="1">
        <f t="array" ref="C56">_xlfn.TEXTJOIN(CHAR(10),TRUE,_xlfn._xlws.SORT(IF((--($B56=Flowdown_CIC[[URS]:[URS]]))*(--(C$14=Flowdown_CIC[[Source.Name]:[Source.Name]])),Flowdown_CIC[[SyRS]:[SyRS]],"")))</f>
        <v>MASTER-19239
MASTER-19240
MASTER-19241
MASTER-19242
MASTER-25416
MASTER-50664
MASTER-50665
MASTER-51530
MASTER-51531</v>
      </c>
      <c r="D56" s="12" t="str" cm="1">
        <f t="array" ref="D56">_xlfn.TEXTJOIN(CHAR(10),TRUE,_xlfn._xlws.SORT(IF((--($B56=Flowdown_CIC[[URS]:[URS]]))*(--(D$14=Flowdown_CIC[[Source.Name]:[Source.Name]])),Flowdown_CIC[[SyRS]:[SyRS]],"")))</f>
        <v>MASTER-19239
MASTER-19240
MASTER-19241
MASTER-19242
MASTER-25416
MASTER-50664
MASTER-50665
MASTER-51530
MASTER-51531</v>
      </c>
      <c r="E56" s="12" t="str" cm="1">
        <f t="array" ref="E56">_xlfn.TEXTJOIN(CHAR(10),TRUE,_xlfn._xlws.SORT(IF((--($B56=Flowdown_CIC[[URS]:[URS]]))*(--(E$14=Flowdown_CIC[[Source.Name]:[Source.Name]])),Flowdown_CIC[[SyRS]:[SyRS]],"")))</f>
        <v>MASTER-19239
MASTER-19240
MASTER-19241
MASTER-19242
MASTER-25416
MASTER-50664
MASTER-50665
MASTER-51530
MASTER-51531</v>
      </c>
      <c r="F56" s="12" t="str" cm="1">
        <f t="array" ref="F56">_xlfn.TEXTJOIN(CHAR(10),TRUE,_xlfn._xlws.SORT(IF((--($B56=Flowdown_CIC[[URS]:[URS]]))*(--(F$14=Flowdown_CIC[[Source.Name]:[Source.Name]])),Flowdown_CIC[[SyRS]:[SyRS]],"")))</f>
        <v>MASTER-19239
MASTER-19240
MASTER-19241
MASTER-19242
MASTER-25416
MASTER-50664
MASTER-50665
MASTER-51530
MASTER-51531</v>
      </c>
      <c r="G56" s="12" t="str" cm="1">
        <f t="array" ref="G56">_xlfn.TEXTJOIN(CHAR(10),TRUE,_xlfn._xlws.SORT(IF((--($B56=Flowdown_CIC[[URS]:[URS]]))*(--(G$14=Flowdown_CIC[[Source.Name]:[Source.Name]])),Flowdown_CIC[[SyRS]:[SyRS]],"")))</f>
        <v>MASTER-19239
MASTER-19240
MASTER-19241
MASTER-19242
MASTER-25416
MASTER-50664
MASTER-50665
MASTER-51530
MASTER-51531</v>
      </c>
      <c r="H56" s="12" t="str" cm="1">
        <f t="array" ref="H56">_xlfn.TEXTJOIN(CHAR(10),TRUE,_xlfn._xlws.SORT(IF((--($B56=Flowdown_CIC[[URS]:[URS]]))*(--(H$14=Flowdown_CIC[[Source.Name]:[Source.Name]])),Flowdown_CIC[[SyRS]:[SyRS]],"")))</f>
        <v>MASTER-50682</v>
      </c>
      <c r="I56" s="12" t="str" cm="1">
        <f t="array" ref="I56">_xlfn.TEXTJOIN(CHAR(10),TRUE,_xlfn._xlws.SORT(IF((--($B56=Flowdown_CIC[[URS]:[URS]]))*(--(I$14=Flowdown_CIC[[Source.Name]:[Source.Name]])),Flowdown_CIC[[SyRS]:[SyRS]],"")))</f>
        <v/>
      </c>
      <c r="J56" s="12" t="str" cm="1">
        <f t="array" ref="J56">_xlfn.TEXTJOIN(CHAR(10),TRUE,_xlfn._xlws.SORT(IF((--($B56=Flowdown_CIC[[URS]:[URS]]))*(--(J$14=Flowdown_CIC[[Source.Name]:[Source.Name]])),Flowdown_CIC[[SyRS]:[SyRS]],"")))</f>
        <v/>
      </c>
      <c r="K56" s="12" t="str" cm="1">
        <f t="array" ref="K56">_xlfn.TEXTJOIN(CHAR(10),TRUE,_xlfn._xlws.SORT(IF((--($B56=Flowdown_CIC[[URS]:[URS]]))*(--(K$14=Flowdown_CIC[[Source.Name]:[Source.Name]])),Flowdown_CIC[[SyRS]:[SyRS]],"")))</f>
        <v/>
      </c>
      <c r="L56" s="16" t="b" cm="1">
        <f t="array" ref="L56">OR(LEN(C56:K56)&gt;0)</f>
        <v>1</v>
      </c>
    </row>
    <row r="57" spans="2:12" ht="40.5" x14ac:dyDescent="0.2">
      <c r="B57" s="11" t="str">
        <v>MASTER-48040</v>
      </c>
      <c r="C57" s="12" t="str" cm="1">
        <f t="array" ref="C57">_xlfn.TEXTJOIN(CHAR(10),TRUE,_xlfn._xlws.SORT(IF((--($B57=Flowdown_CIC[[URS]:[URS]]))*(--(C$14=Flowdown_CIC[[Source.Name]:[Source.Name]])),Flowdown_CIC[[SyRS]:[SyRS]],"")))</f>
        <v>MASTER-42153
MASTER-51530
MASTER-51531</v>
      </c>
      <c r="D57" s="12" t="str" cm="1">
        <f t="array" ref="D57">_xlfn.TEXTJOIN(CHAR(10),TRUE,_xlfn._xlws.SORT(IF((--($B57=Flowdown_CIC[[URS]:[URS]]))*(--(D$14=Flowdown_CIC[[Source.Name]:[Source.Name]])),Flowdown_CIC[[SyRS]:[SyRS]],"")))</f>
        <v>MASTER-42153
MASTER-51530
MASTER-51531</v>
      </c>
      <c r="E57" s="12" t="str" cm="1">
        <f t="array" ref="E57">_xlfn.TEXTJOIN(CHAR(10),TRUE,_xlfn._xlws.SORT(IF((--($B57=Flowdown_CIC[[URS]:[URS]]))*(--(E$14=Flowdown_CIC[[Source.Name]:[Source.Name]])),Flowdown_CIC[[SyRS]:[SyRS]],"")))</f>
        <v>MASTER-42153
MASTER-51530
MASTER-51531</v>
      </c>
      <c r="F57" s="12" t="str" cm="1">
        <f t="array" ref="F57">_xlfn.TEXTJOIN(CHAR(10),TRUE,_xlfn._xlws.SORT(IF((--($B57=Flowdown_CIC[[URS]:[URS]]))*(--(F$14=Flowdown_CIC[[Source.Name]:[Source.Name]])),Flowdown_CIC[[SyRS]:[SyRS]],"")))</f>
        <v>MASTER-42153
MASTER-51530
MASTER-51531</v>
      </c>
      <c r="G57" s="12" t="str" cm="1">
        <f t="array" ref="G57">_xlfn.TEXTJOIN(CHAR(10),TRUE,_xlfn._xlws.SORT(IF((--($B57=Flowdown_CIC[[URS]:[URS]]))*(--(G$14=Flowdown_CIC[[Source.Name]:[Source.Name]])),Flowdown_CIC[[SyRS]:[SyRS]],"")))</f>
        <v>MASTER-42153
MASTER-51530
MASTER-51531</v>
      </c>
      <c r="H57" s="12" t="str" cm="1">
        <f t="array" ref="H57">_xlfn.TEXTJOIN(CHAR(10),TRUE,_xlfn._xlws.SORT(IF((--($B57=Flowdown_CIC[[URS]:[URS]]))*(--(H$14=Flowdown_CIC[[Source.Name]:[Source.Name]])),Flowdown_CIC[[SyRS]:[SyRS]],"")))</f>
        <v/>
      </c>
      <c r="I57" s="12" t="str" cm="1">
        <f t="array" ref="I57">_xlfn.TEXTJOIN(CHAR(10),TRUE,_xlfn._xlws.SORT(IF((--($B57=Flowdown_CIC[[URS]:[URS]]))*(--(I$14=Flowdown_CIC[[Source.Name]:[Source.Name]])),Flowdown_CIC[[SyRS]:[SyRS]],"")))</f>
        <v/>
      </c>
      <c r="J57" s="12" t="str" cm="1">
        <f t="array" ref="J57">_xlfn.TEXTJOIN(CHAR(10),TRUE,_xlfn._xlws.SORT(IF((--($B57=Flowdown_CIC[[URS]:[URS]]))*(--(J$14=Flowdown_CIC[[Source.Name]:[Source.Name]])),Flowdown_CIC[[SyRS]:[SyRS]],"")))</f>
        <v/>
      </c>
      <c r="K57" s="12" t="str" cm="1">
        <f t="array" ref="K57">_xlfn.TEXTJOIN(CHAR(10),TRUE,_xlfn._xlws.SORT(IF((--($B57=Flowdown_CIC[[URS]:[URS]]))*(--(K$14=Flowdown_CIC[[Source.Name]:[Source.Name]])),Flowdown_CIC[[SyRS]:[SyRS]],"")))</f>
        <v>MASTER-50685
MASTER-50686
MASTER-50687</v>
      </c>
      <c r="L57" s="16" t="b" cm="1">
        <f t="array" ref="L57">OR(LEN(C57:K57)&gt;0)</f>
        <v>1</v>
      </c>
    </row>
    <row r="58" spans="2:12" ht="40.5" x14ac:dyDescent="0.2">
      <c r="B58" s="11" t="str">
        <v>MASTER-48041</v>
      </c>
      <c r="C58" s="12" t="str" cm="1">
        <f t="array" ref="C58">_xlfn.TEXTJOIN(CHAR(10),TRUE,_xlfn._xlws.SORT(IF((--($B58=Flowdown_CIC[[URS]:[URS]]))*(--(C$14=Flowdown_CIC[[Source.Name]:[Source.Name]])),Flowdown_CIC[[SyRS]:[SyRS]],"")))</f>
        <v>MASTER-19252</v>
      </c>
      <c r="D58" s="12" t="str" cm="1">
        <f t="array" ref="D58">_xlfn.TEXTJOIN(CHAR(10),TRUE,_xlfn._xlws.SORT(IF((--($B58=Flowdown_CIC[[URS]:[URS]]))*(--(D$14=Flowdown_CIC[[Source.Name]:[Source.Name]])),Flowdown_CIC[[SyRS]:[SyRS]],"")))</f>
        <v>MASTER-19252</v>
      </c>
      <c r="E58" s="12" t="str" cm="1">
        <f t="array" ref="E58">_xlfn.TEXTJOIN(CHAR(10),TRUE,_xlfn._xlws.SORT(IF((--($B58=Flowdown_CIC[[URS]:[URS]]))*(--(E$14=Flowdown_CIC[[Source.Name]:[Source.Name]])),Flowdown_CIC[[SyRS]:[SyRS]],"")))</f>
        <v>MASTER-19252</v>
      </c>
      <c r="F58" s="12" t="str" cm="1">
        <f t="array" ref="F58">_xlfn.TEXTJOIN(CHAR(10),TRUE,_xlfn._xlws.SORT(IF((--($B58=Flowdown_CIC[[URS]:[URS]]))*(--(F$14=Flowdown_CIC[[Source.Name]:[Source.Name]])),Flowdown_CIC[[SyRS]:[SyRS]],"")))</f>
        <v>MASTER-19252</v>
      </c>
      <c r="G58" s="12" t="str" cm="1">
        <f t="array" ref="G58">_xlfn.TEXTJOIN(CHAR(10),TRUE,_xlfn._xlws.SORT(IF((--($B58=Flowdown_CIC[[URS]:[URS]]))*(--(G$14=Flowdown_CIC[[Source.Name]:[Source.Name]])),Flowdown_CIC[[SyRS]:[SyRS]],"")))</f>
        <v>MASTER-19252</v>
      </c>
      <c r="H58" s="12" t="str" cm="1">
        <f t="array" ref="H58">_xlfn.TEXTJOIN(CHAR(10),TRUE,_xlfn._xlws.SORT(IF((--($B58=Flowdown_CIC[[URS]:[URS]]))*(--(H$14=Flowdown_CIC[[Source.Name]:[Source.Name]])),Flowdown_CIC[[SyRS]:[SyRS]],"")))</f>
        <v/>
      </c>
      <c r="I58" s="12" t="str" cm="1">
        <f t="array" ref="I58">_xlfn.TEXTJOIN(CHAR(10),TRUE,_xlfn._xlws.SORT(IF((--($B58=Flowdown_CIC[[URS]:[URS]]))*(--(I$14=Flowdown_CIC[[Source.Name]:[Source.Name]])),Flowdown_CIC[[SyRS]:[SyRS]],"")))</f>
        <v/>
      </c>
      <c r="J58" s="12" t="str" cm="1">
        <f t="array" ref="J58">_xlfn.TEXTJOIN(CHAR(10),TRUE,_xlfn._xlws.SORT(IF((--($B58=Flowdown_CIC[[URS]:[URS]]))*(--(J$14=Flowdown_CIC[[Source.Name]:[Source.Name]])),Flowdown_CIC[[SyRS]:[SyRS]],"")))</f>
        <v/>
      </c>
      <c r="K58" s="12" t="str" cm="1">
        <f t="array" ref="K58">_xlfn.TEXTJOIN(CHAR(10),TRUE,_xlfn._xlws.SORT(IF((--($B58=Flowdown_CIC[[URS]:[URS]]))*(--(K$14=Flowdown_CIC[[Source.Name]:[Source.Name]])),Flowdown_CIC[[SyRS]:[SyRS]],"")))</f>
        <v>MASTER-41933
MASTER-41934
MASTER-41935</v>
      </c>
      <c r="L58" s="16" t="b" cm="1">
        <f t="array" ref="L58">OR(LEN(C58:K58)&gt;0)</f>
        <v>1</v>
      </c>
    </row>
    <row r="59" spans="2:12" ht="202.5" x14ac:dyDescent="0.2">
      <c r="B59" s="11" t="str">
        <v>MASTER-48042</v>
      </c>
      <c r="C59" s="12" t="str" cm="1">
        <f t="array" ref="C59">_xlfn.TEXTJOIN(CHAR(10),TRUE,_xlfn._xlws.SORT(IF((--($B59=Flowdown_CIC[[URS]:[URS]]))*(--(C$14=Flowdown_CIC[[Source.Name]:[Source.Name]])),Flowdown_CIC[[SyRS]:[SyRS]],"")))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D59" s="12" t="str" cm="1">
        <f t="array" ref="D59">_xlfn.TEXTJOIN(CHAR(10),TRUE,_xlfn._xlws.SORT(IF((--($B59=Flowdown_CIC[[URS]:[URS]]))*(--(D$14=Flowdown_CIC[[Source.Name]:[Source.Name]])),Flowdown_CIC[[SyRS]:[SyRS]],"")))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E59" s="12" t="str" cm="1">
        <f t="array" ref="E59">_xlfn.TEXTJOIN(CHAR(10),TRUE,_xlfn._xlws.SORT(IF((--($B59=Flowdown_CIC[[URS]:[URS]]))*(--(E$14=Flowdown_CIC[[Source.Name]:[Source.Name]])),Flowdown_CIC[[SyRS]:[SyRS]],"")))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F59" s="12" t="str" cm="1">
        <f t="array" ref="F59">_xlfn.TEXTJOIN(CHAR(10),TRUE,_xlfn._xlws.SORT(IF((--($B59=Flowdown_CIC[[URS]:[URS]]))*(--(F$14=Flowdown_CIC[[Source.Name]:[Source.Name]])),Flowdown_CIC[[SyRS]:[SyRS]],"")))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G59" s="12" t="str" cm="1">
        <f t="array" ref="G59">_xlfn.TEXTJOIN(CHAR(10),TRUE,_xlfn._xlws.SORT(IF((--($B59=Flowdown_CIC[[URS]:[URS]]))*(--(G$14=Flowdown_CIC[[Source.Name]:[Source.Name]])),Flowdown_CIC[[SyRS]:[SyRS]],"")))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H59" s="12" t="str" cm="1">
        <f t="array" ref="H59">_xlfn.TEXTJOIN(CHAR(10),TRUE,_xlfn._xlws.SORT(IF((--($B59=Flowdown_CIC[[URS]:[URS]]))*(--(H$14=Flowdown_CIC[[Source.Name]:[Source.Name]])),Flowdown_CIC[[SyRS]:[SyRS]],"")))</f>
        <v>MASTER-50682</v>
      </c>
      <c r="I59" s="12" t="str" cm="1">
        <f t="array" ref="I59">_xlfn.TEXTJOIN(CHAR(10),TRUE,_xlfn._xlws.SORT(IF((--($B59=Flowdown_CIC[[URS]:[URS]]))*(--(I$14=Flowdown_CIC[[Source.Name]:[Source.Name]])),Flowdown_CIC[[SyRS]:[SyRS]],"")))</f>
        <v/>
      </c>
      <c r="J59" s="12" t="str" cm="1">
        <f t="array" ref="J59">_xlfn.TEXTJOIN(CHAR(10),TRUE,_xlfn._xlws.SORT(IF((--($B59=Flowdown_CIC[[URS]:[URS]]))*(--(J$14=Flowdown_CIC[[Source.Name]:[Source.Name]])),Flowdown_CIC[[SyRS]:[SyRS]],"")))</f>
        <v/>
      </c>
      <c r="K59" s="12" t="str" cm="1">
        <f t="array" ref="K59">_xlfn.TEXTJOIN(CHAR(10),TRUE,_xlfn._xlws.SORT(IF((--($B59=Flowdown_CIC[[URS]:[URS]]))*(--(K$14=Flowdown_CIC[[Source.Name]:[Source.Name]])),Flowdown_CIC[[SyRS]:[SyRS]],"")))</f>
        <v/>
      </c>
      <c r="L59" s="16" t="b" cm="1">
        <f t="array" ref="L59">OR(LEN(C59:K59)&gt;0)</f>
        <v>1</v>
      </c>
    </row>
    <row r="60" spans="2:12" ht="40.5" x14ac:dyDescent="0.2">
      <c r="B60" s="11" t="str">
        <v>MASTER-48043</v>
      </c>
      <c r="C60" s="12" t="str" cm="1">
        <f t="array" ref="C60">_xlfn.TEXTJOIN(CHAR(10),TRUE,_xlfn._xlws.SORT(IF((--($B60=Flowdown_CIC[[URS]:[URS]]))*(--(C$14=Flowdown_CIC[[Source.Name]:[Source.Name]])),Flowdown_CIC[[SyRS]:[SyRS]],"")))</f>
        <v>MASTER-42158
MASTER-51530
MASTER-51531</v>
      </c>
      <c r="D60" s="12" t="str" cm="1">
        <f t="array" ref="D60">_xlfn.TEXTJOIN(CHAR(10),TRUE,_xlfn._xlws.SORT(IF((--($B60=Flowdown_CIC[[URS]:[URS]]))*(--(D$14=Flowdown_CIC[[Source.Name]:[Source.Name]])),Flowdown_CIC[[SyRS]:[SyRS]],"")))</f>
        <v>MASTER-42158
MASTER-51530
MASTER-51531</v>
      </c>
      <c r="E60" s="12" t="str" cm="1">
        <f t="array" ref="E60">_xlfn.TEXTJOIN(CHAR(10),TRUE,_xlfn._xlws.SORT(IF((--($B60=Flowdown_CIC[[URS]:[URS]]))*(--(E$14=Flowdown_CIC[[Source.Name]:[Source.Name]])),Flowdown_CIC[[SyRS]:[SyRS]],"")))</f>
        <v>MASTER-42158
MASTER-51530
MASTER-51531</v>
      </c>
      <c r="F60" s="12" t="str" cm="1">
        <f t="array" ref="F60">_xlfn.TEXTJOIN(CHAR(10),TRUE,_xlfn._xlws.SORT(IF((--($B60=Flowdown_CIC[[URS]:[URS]]))*(--(F$14=Flowdown_CIC[[Source.Name]:[Source.Name]])),Flowdown_CIC[[SyRS]:[SyRS]],"")))</f>
        <v>MASTER-42158
MASTER-51530
MASTER-51531</v>
      </c>
      <c r="G60" s="12" t="str" cm="1">
        <f t="array" ref="G60">_xlfn.TEXTJOIN(CHAR(10),TRUE,_xlfn._xlws.SORT(IF((--($B60=Flowdown_CIC[[URS]:[URS]]))*(--(G$14=Flowdown_CIC[[Source.Name]:[Source.Name]])),Flowdown_CIC[[SyRS]:[SyRS]],"")))</f>
        <v>MASTER-42158
MASTER-51530
MASTER-51531</v>
      </c>
      <c r="H60" s="12" t="str" cm="1">
        <f t="array" ref="H60">_xlfn.TEXTJOIN(CHAR(10),TRUE,_xlfn._xlws.SORT(IF((--($B60=Flowdown_CIC[[URS]:[URS]]))*(--(H$14=Flowdown_CIC[[Source.Name]:[Source.Name]])),Flowdown_CIC[[SyRS]:[SyRS]],"")))</f>
        <v/>
      </c>
      <c r="I60" s="12" t="str" cm="1">
        <f t="array" ref="I60">_xlfn.TEXTJOIN(CHAR(10),TRUE,_xlfn._xlws.SORT(IF((--($B60=Flowdown_CIC[[URS]:[URS]]))*(--(I$14=Flowdown_CIC[[Source.Name]:[Source.Name]])),Flowdown_CIC[[SyRS]:[SyRS]],"")))</f>
        <v/>
      </c>
      <c r="J60" s="12" t="str" cm="1">
        <f t="array" ref="J60">_xlfn.TEXTJOIN(CHAR(10),TRUE,_xlfn._xlws.SORT(IF((--($B60=Flowdown_CIC[[URS]:[URS]]))*(--(J$14=Flowdown_CIC[[Source.Name]:[Source.Name]])),Flowdown_CIC[[SyRS]:[SyRS]],"")))</f>
        <v/>
      </c>
      <c r="K60" s="12" t="str" cm="1">
        <f t="array" ref="K60">_xlfn.TEXTJOIN(CHAR(10),TRUE,_xlfn._xlws.SORT(IF((--($B60=Flowdown_CIC[[URS]:[URS]]))*(--(K$14=Flowdown_CIC[[Source.Name]:[Source.Name]])),Flowdown_CIC[[SyRS]:[SyRS]],"")))</f>
        <v>MASTER-50685
MASTER-50686
MASTER-50687</v>
      </c>
      <c r="L60" s="16" t="b" cm="1">
        <f t="array" ref="L60">OR(LEN(C60:K60)&gt;0)</f>
        <v>1</v>
      </c>
    </row>
    <row r="61" spans="2:12" ht="27" x14ac:dyDescent="0.2">
      <c r="B61" s="11" t="str">
        <v>MASTER-48044</v>
      </c>
      <c r="C61" s="12" t="str" cm="1">
        <f t="array" ref="C61">_xlfn.TEXTJOIN(CHAR(10),TRUE,_xlfn._xlws.SORT(IF((--($B61=Flowdown_CIC[[URS]:[URS]]))*(--(C$14=Flowdown_CIC[[Source.Name]:[Source.Name]])),Flowdown_CIC[[SyRS]:[SyRS]],"")))</f>
        <v>MASTER-19252</v>
      </c>
      <c r="D61" s="12" t="str" cm="1">
        <f t="array" ref="D61">_xlfn.TEXTJOIN(CHAR(10),TRUE,_xlfn._xlws.SORT(IF((--($B61=Flowdown_CIC[[URS]:[URS]]))*(--(D$14=Flowdown_CIC[[Source.Name]:[Source.Name]])),Flowdown_CIC[[SyRS]:[SyRS]],"")))</f>
        <v>MASTER-19252</v>
      </c>
      <c r="E61" s="12" t="str" cm="1">
        <f t="array" ref="E61">_xlfn.TEXTJOIN(CHAR(10),TRUE,_xlfn._xlws.SORT(IF((--($B61=Flowdown_CIC[[URS]:[URS]]))*(--(E$14=Flowdown_CIC[[Source.Name]:[Source.Name]])),Flowdown_CIC[[SyRS]:[SyRS]],"")))</f>
        <v>MASTER-19252</v>
      </c>
      <c r="F61" s="12" t="str" cm="1">
        <f t="array" ref="F61">_xlfn.TEXTJOIN(CHAR(10),TRUE,_xlfn._xlws.SORT(IF((--($B61=Flowdown_CIC[[URS]:[URS]]))*(--(F$14=Flowdown_CIC[[Source.Name]:[Source.Name]])),Flowdown_CIC[[SyRS]:[SyRS]],"")))</f>
        <v>MASTER-19252</v>
      </c>
      <c r="G61" s="12" t="str" cm="1">
        <f t="array" ref="G61">_xlfn.TEXTJOIN(CHAR(10),TRUE,_xlfn._xlws.SORT(IF((--($B61=Flowdown_CIC[[URS]:[URS]]))*(--(G$14=Flowdown_CIC[[Source.Name]:[Source.Name]])),Flowdown_CIC[[SyRS]:[SyRS]],"")))</f>
        <v>MASTER-19252</v>
      </c>
      <c r="H61" s="12" t="str" cm="1">
        <f t="array" ref="H61">_xlfn.TEXTJOIN(CHAR(10),TRUE,_xlfn._xlws.SORT(IF((--($B61=Flowdown_CIC[[URS]:[URS]]))*(--(H$14=Flowdown_CIC[[Source.Name]:[Source.Name]])),Flowdown_CIC[[SyRS]:[SyRS]],"")))</f>
        <v/>
      </c>
      <c r="I61" s="12" t="str" cm="1">
        <f t="array" ref="I61">_xlfn.TEXTJOIN(CHAR(10),TRUE,_xlfn._xlws.SORT(IF((--($B61=Flowdown_CIC[[URS]:[URS]]))*(--(I$14=Flowdown_CIC[[Source.Name]:[Source.Name]])),Flowdown_CIC[[SyRS]:[SyRS]],"")))</f>
        <v/>
      </c>
      <c r="J61" s="12" t="str" cm="1">
        <f t="array" ref="J61">_xlfn.TEXTJOIN(CHAR(10),TRUE,_xlfn._xlws.SORT(IF((--($B61=Flowdown_CIC[[URS]:[URS]]))*(--(J$14=Flowdown_CIC[[Source.Name]:[Source.Name]])),Flowdown_CIC[[SyRS]:[SyRS]],"")))</f>
        <v/>
      </c>
      <c r="K61" s="12" t="str" cm="1">
        <f t="array" ref="K61">_xlfn.TEXTJOIN(CHAR(10),TRUE,_xlfn._xlws.SORT(IF((--($B61=Flowdown_CIC[[URS]:[URS]]))*(--(K$14=Flowdown_CIC[[Source.Name]:[Source.Name]])),Flowdown_CIC[[SyRS]:[SyRS]],"")))</f>
        <v>MASTER-41951
MASTER-41952</v>
      </c>
      <c r="L61" s="16" t="b" cm="1">
        <f t="array" ref="L61">OR(LEN(C61:K61)&gt;0)</f>
        <v>1</v>
      </c>
    </row>
    <row r="62" spans="2:12" ht="108" x14ac:dyDescent="0.2">
      <c r="B62" s="11" t="str">
        <v>MASTER-48045</v>
      </c>
      <c r="C62" s="12" t="str" cm="1">
        <f t="array" ref="C62">_xlfn.TEXTJOIN(CHAR(10),TRUE,_xlfn._xlws.SORT(IF((--($B62=Flowdown_CIC[[URS]:[URS]]))*(--(C$14=Flowdown_CIC[[Source.Name]:[Source.Name]])),Flowdown_CIC[[SyRS]:[SyRS]],"")))</f>
        <v>MASTER-42156
MASTER-42157
MASTER-42158
MASTER-42159
MASTER-50668
MASTER-51530
MASTER-51531</v>
      </c>
      <c r="D62" s="12" t="str" cm="1">
        <f t="array" ref="D62">_xlfn.TEXTJOIN(CHAR(10),TRUE,_xlfn._xlws.SORT(IF((--($B62=Flowdown_CIC[[URS]:[URS]]))*(--(D$14=Flowdown_CIC[[Source.Name]:[Source.Name]])),Flowdown_CIC[[SyRS]:[SyRS]],"")))</f>
        <v>MASTER-42156
MASTER-42157
MASTER-42158
MASTER-42159
MASTER-50668
MASTER-51530
MASTER-51531
UTICA-5364</v>
      </c>
      <c r="E62" s="12" t="str" cm="1">
        <f t="array" ref="E62">_xlfn.TEXTJOIN(CHAR(10),TRUE,_xlfn._xlws.SORT(IF((--($B62=Flowdown_CIC[[URS]:[URS]]))*(--(E$14=Flowdown_CIC[[Source.Name]:[Source.Name]])),Flowdown_CIC[[SyRS]:[SyRS]],"")))</f>
        <v>MASTER-42156
MASTER-42157
MASTER-42158
MASTER-42159
MASTER-50668
MASTER-51530
MASTER-51531</v>
      </c>
      <c r="F62" s="12" t="str" cm="1">
        <f t="array" ref="F62">_xlfn.TEXTJOIN(CHAR(10),TRUE,_xlfn._xlws.SORT(IF((--($B62=Flowdown_CIC[[URS]:[URS]]))*(--(F$14=Flowdown_CIC[[Source.Name]:[Source.Name]])),Flowdown_CIC[[SyRS]:[SyRS]],"")))</f>
        <v>MASTER-42156
MASTER-42157
MASTER-42158
MASTER-42159
MASTER-50668
MASTER-51530
MASTER-51531
UTICA-4135</v>
      </c>
      <c r="G62" s="12" t="str" cm="1">
        <f t="array" ref="G62">_xlfn.TEXTJOIN(CHAR(10),TRUE,_xlfn._xlws.SORT(IF((--($B62=Flowdown_CIC[[URS]:[URS]]))*(--(G$14=Flowdown_CIC[[Source.Name]:[Source.Name]])),Flowdown_CIC[[SyRS]:[SyRS]],"")))</f>
        <v>MASTER-42156
MASTER-42157
MASTER-42158
MASTER-42159
MASTER-50668
MASTER-51530
MASTER-51531
UTICA-3212</v>
      </c>
      <c r="H62" s="12" t="str" cm="1">
        <f t="array" ref="H62">_xlfn.TEXTJOIN(CHAR(10),TRUE,_xlfn._xlws.SORT(IF((--($B62=Flowdown_CIC[[URS]:[URS]]))*(--(H$14=Flowdown_CIC[[Source.Name]:[Source.Name]])),Flowdown_CIC[[SyRS]:[SyRS]],"")))</f>
        <v>MASTER-50682</v>
      </c>
      <c r="I62" s="12" t="str" cm="1">
        <f t="array" ref="I62">_xlfn.TEXTJOIN(CHAR(10),TRUE,_xlfn._xlws.SORT(IF((--($B62=Flowdown_CIC[[URS]:[URS]]))*(--(I$14=Flowdown_CIC[[Source.Name]:[Source.Name]])),Flowdown_CIC[[SyRS]:[SyRS]],"")))</f>
        <v/>
      </c>
      <c r="J62" s="12" t="str" cm="1">
        <f t="array" ref="J62">_xlfn.TEXTJOIN(CHAR(10),TRUE,_xlfn._xlws.SORT(IF((--($B62=Flowdown_CIC[[URS]:[URS]]))*(--(J$14=Flowdown_CIC[[Source.Name]:[Source.Name]])),Flowdown_CIC[[SyRS]:[SyRS]],"")))</f>
        <v/>
      </c>
      <c r="K62" s="12" t="str" cm="1">
        <f t="array" ref="K62">_xlfn.TEXTJOIN(CHAR(10),TRUE,_xlfn._xlws.SORT(IF((--($B62=Flowdown_CIC[[URS]:[URS]]))*(--(K$14=Flowdown_CIC[[Source.Name]:[Source.Name]])),Flowdown_CIC[[SyRS]:[SyRS]],"")))</f>
        <v/>
      </c>
      <c r="L62" s="16" t="b" cm="1">
        <f t="array" ref="L62">OR(LEN(C62:K62)&gt;0)</f>
        <v>1</v>
      </c>
    </row>
    <row r="63" spans="2:12" ht="40.5" x14ac:dyDescent="0.2">
      <c r="B63" s="11" t="str">
        <v>MASTER-48046</v>
      </c>
      <c r="C63" s="12" t="str" cm="1">
        <f t="array" ref="C63">_xlfn.TEXTJOIN(CHAR(10),TRUE,_xlfn._xlws.SORT(IF((--($B63=Flowdown_CIC[[URS]:[URS]]))*(--(C$14=Flowdown_CIC[[Source.Name]:[Source.Name]])),Flowdown_CIC[[SyRS]:[SyRS]],"")))</f>
        <v>MASTER-51530
MASTER-51531</v>
      </c>
      <c r="D63" s="12" t="str" cm="1">
        <f t="array" ref="D63">_xlfn.TEXTJOIN(CHAR(10),TRUE,_xlfn._xlws.SORT(IF((--($B63=Flowdown_CIC[[URS]:[URS]]))*(--(D$14=Flowdown_CIC[[Source.Name]:[Source.Name]])),Flowdown_CIC[[SyRS]:[SyRS]],"")))</f>
        <v>MASTER-51530
MASTER-51531</v>
      </c>
      <c r="E63" s="12" t="str" cm="1">
        <f t="array" ref="E63">_xlfn.TEXTJOIN(CHAR(10),TRUE,_xlfn._xlws.SORT(IF((--($B63=Flowdown_CIC[[URS]:[URS]]))*(--(E$14=Flowdown_CIC[[Source.Name]:[Source.Name]])),Flowdown_CIC[[SyRS]:[SyRS]],"")))</f>
        <v>MASTER-51530
MASTER-51531</v>
      </c>
      <c r="F63" s="12" t="str" cm="1">
        <f t="array" ref="F63">_xlfn.TEXTJOIN(CHAR(10),TRUE,_xlfn._xlws.SORT(IF((--($B63=Flowdown_CIC[[URS]:[URS]]))*(--(F$14=Flowdown_CIC[[Source.Name]:[Source.Name]])),Flowdown_CIC[[SyRS]:[SyRS]],"")))</f>
        <v>MASTER-51530
MASTER-51531</v>
      </c>
      <c r="G63" s="12" t="str" cm="1">
        <f t="array" ref="G63">_xlfn.TEXTJOIN(CHAR(10),TRUE,_xlfn._xlws.SORT(IF((--($B63=Flowdown_CIC[[URS]:[URS]]))*(--(G$14=Flowdown_CIC[[Source.Name]:[Source.Name]])),Flowdown_CIC[[SyRS]:[SyRS]],"")))</f>
        <v>MASTER-51530
MASTER-51531</v>
      </c>
      <c r="H63" s="12" t="str" cm="1">
        <f t="array" ref="H63">_xlfn.TEXTJOIN(CHAR(10),TRUE,_xlfn._xlws.SORT(IF((--($B63=Flowdown_CIC[[URS]:[URS]]))*(--(H$14=Flowdown_CIC[[Source.Name]:[Source.Name]])),Flowdown_CIC[[SyRS]:[SyRS]],"")))</f>
        <v/>
      </c>
      <c r="I63" s="12" t="str" cm="1">
        <f t="array" ref="I63">_xlfn.TEXTJOIN(CHAR(10),TRUE,_xlfn._xlws.SORT(IF((--($B63=Flowdown_CIC[[URS]:[URS]]))*(--(I$14=Flowdown_CIC[[Source.Name]:[Source.Name]])),Flowdown_CIC[[SyRS]:[SyRS]],"")))</f>
        <v/>
      </c>
      <c r="J63" s="12" t="str" cm="1">
        <f t="array" ref="J63">_xlfn.TEXTJOIN(CHAR(10),TRUE,_xlfn._xlws.SORT(IF((--($B63=Flowdown_CIC[[URS]:[URS]]))*(--(J$14=Flowdown_CIC[[Source.Name]:[Source.Name]])),Flowdown_CIC[[SyRS]:[SyRS]],"")))</f>
        <v/>
      </c>
      <c r="K63" s="12" t="str" cm="1">
        <f t="array" ref="K63">_xlfn.TEXTJOIN(CHAR(10),TRUE,_xlfn._xlws.SORT(IF((--($B63=Flowdown_CIC[[URS]:[URS]]))*(--(K$14=Flowdown_CIC[[Source.Name]:[Source.Name]])),Flowdown_CIC[[SyRS]:[SyRS]],"")))</f>
        <v>MASTER-50685
MASTER-50686
MASTER-50687</v>
      </c>
      <c r="L63" s="16" t="b" cm="1">
        <f t="array" ref="L63">OR(LEN(C63:K63)&gt;0)</f>
        <v>1</v>
      </c>
    </row>
    <row r="64" spans="2:12" ht="27" x14ac:dyDescent="0.2">
      <c r="B64" s="11" t="str">
        <v>MASTER-48047</v>
      </c>
      <c r="C64" s="12" t="str" cm="1">
        <f t="array" ref="C64">_xlfn.TEXTJOIN(CHAR(10),TRUE,_xlfn._xlws.SORT(IF((--($B64=Flowdown_CIC[[URS]:[URS]]))*(--(C$14=Flowdown_CIC[[Source.Name]:[Source.Name]])),Flowdown_CIC[[SyRS]:[SyRS]],"")))</f>
        <v/>
      </c>
      <c r="D64" s="12" t="str" cm="1">
        <f t="array" ref="D64">_xlfn.TEXTJOIN(CHAR(10),TRUE,_xlfn._xlws.SORT(IF((--($B64=Flowdown_CIC[[URS]:[URS]]))*(--(D$14=Flowdown_CIC[[Source.Name]:[Source.Name]])),Flowdown_CIC[[SyRS]:[SyRS]],"")))</f>
        <v/>
      </c>
      <c r="E64" s="12" t="str" cm="1">
        <f t="array" ref="E64">_xlfn.TEXTJOIN(CHAR(10),TRUE,_xlfn._xlws.SORT(IF((--($B64=Flowdown_CIC[[URS]:[URS]]))*(--(E$14=Flowdown_CIC[[Source.Name]:[Source.Name]])),Flowdown_CIC[[SyRS]:[SyRS]],"")))</f>
        <v/>
      </c>
      <c r="F64" s="12" t="str" cm="1">
        <f t="array" ref="F64">_xlfn.TEXTJOIN(CHAR(10),TRUE,_xlfn._xlws.SORT(IF((--($B64=Flowdown_CIC[[URS]:[URS]]))*(--(F$14=Flowdown_CIC[[Source.Name]:[Source.Name]])),Flowdown_CIC[[SyRS]:[SyRS]],"")))</f>
        <v/>
      </c>
      <c r="G64" s="12" t="str" cm="1">
        <f t="array" ref="G64">_xlfn.TEXTJOIN(CHAR(10),TRUE,_xlfn._xlws.SORT(IF((--($B64=Flowdown_CIC[[URS]:[URS]]))*(--(G$14=Flowdown_CIC[[Source.Name]:[Source.Name]])),Flowdown_CIC[[SyRS]:[SyRS]],"")))</f>
        <v/>
      </c>
      <c r="H64" s="12" t="str" cm="1">
        <f t="array" ref="H64">_xlfn.TEXTJOIN(CHAR(10),TRUE,_xlfn._xlws.SORT(IF((--($B64=Flowdown_CIC[[URS]:[URS]]))*(--(H$14=Flowdown_CIC[[Source.Name]:[Source.Name]])),Flowdown_CIC[[SyRS]:[SyRS]],"")))</f>
        <v/>
      </c>
      <c r="I64" s="12" t="str" cm="1">
        <f t="array" ref="I64">_xlfn.TEXTJOIN(CHAR(10),TRUE,_xlfn._xlws.SORT(IF((--($B64=Flowdown_CIC[[URS]:[URS]]))*(--(I$14=Flowdown_CIC[[Source.Name]:[Source.Name]])),Flowdown_CIC[[SyRS]:[SyRS]],"")))</f>
        <v/>
      </c>
      <c r="J64" s="12" t="str" cm="1">
        <f t="array" ref="J64">_xlfn.TEXTJOIN(CHAR(10),TRUE,_xlfn._xlws.SORT(IF((--($B64=Flowdown_CIC[[URS]:[URS]]))*(--(J$14=Flowdown_CIC[[Source.Name]:[Source.Name]])),Flowdown_CIC[[SyRS]:[SyRS]],"")))</f>
        <v/>
      </c>
      <c r="K64" s="12" t="str" cm="1">
        <f t="array" ref="K64">_xlfn.TEXTJOIN(CHAR(10),TRUE,_xlfn._xlws.SORT(IF((--($B64=Flowdown_CIC[[URS]:[URS]]))*(--(K$14=Flowdown_CIC[[Source.Name]:[Source.Name]])),Flowdown_CIC[[SyRS]:[SyRS]],"")))</f>
        <v>MASTER-51276
MASTER-51277</v>
      </c>
      <c r="L64" s="16" t="b" cm="1">
        <f t="array" ref="L64">OR(LEN(C64:K64)&gt;0)</f>
        <v>1</v>
      </c>
    </row>
    <row r="65" spans="2:12" ht="108" x14ac:dyDescent="0.2">
      <c r="B65" s="11" t="str">
        <v>MASTER-48048</v>
      </c>
      <c r="C65" s="12" t="str" cm="1">
        <f t="array" ref="C65">_xlfn.TEXTJOIN(CHAR(10),TRUE,_xlfn._xlws.SORT(IF((--($B65=Flowdown_CIC[[URS]:[URS]]))*(--(C$14=Flowdown_CIC[[Source.Name]:[Source.Name]])),Flowdown_CIC[[SyRS]:[SyRS]],"")))</f>
        <v>MASTER-51530
MASTER-51531
MASTER-62843
MASTER-62844
MASTER-62845
MASTER-62846
MASTER-62847
MASTER-62848</v>
      </c>
      <c r="D65" s="12" t="str" cm="1">
        <f t="array" ref="D65">_xlfn.TEXTJOIN(CHAR(10),TRUE,_xlfn._xlws.SORT(IF((--($B65=Flowdown_CIC[[URS]:[URS]]))*(--(D$14=Flowdown_CIC[[Source.Name]:[Source.Name]])),Flowdown_CIC[[SyRS]:[SyRS]],"")))</f>
        <v>MASTER-51530
MASTER-51531
MASTER-62843
MASTER-62844
MASTER-62845
MASTER-62846
MASTER-62847
MASTER-62848</v>
      </c>
      <c r="E65" s="12" t="str" cm="1">
        <f t="array" ref="E65">_xlfn.TEXTJOIN(CHAR(10),TRUE,_xlfn._xlws.SORT(IF((--($B65=Flowdown_CIC[[URS]:[URS]]))*(--(E$14=Flowdown_CIC[[Source.Name]:[Source.Name]])),Flowdown_CIC[[SyRS]:[SyRS]],"")))</f>
        <v>MASTER-51530
MASTER-51531
MASTER-62843
MASTER-62844
MASTER-62845
MASTER-62846
MASTER-62847
MASTER-62848</v>
      </c>
      <c r="F65" s="12" t="str" cm="1">
        <f t="array" ref="F65">_xlfn.TEXTJOIN(CHAR(10),TRUE,_xlfn._xlws.SORT(IF((--($B65=Flowdown_CIC[[URS]:[URS]]))*(--(F$14=Flowdown_CIC[[Source.Name]:[Source.Name]])),Flowdown_CIC[[SyRS]:[SyRS]],"")))</f>
        <v>MASTER-51530
MASTER-51531
MASTER-62843
MASTER-62844
MASTER-62845
MASTER-62846
MASTER-62847
MASTER-62848</v>
      </c>
      <c r="G65" s="12" t="str" cm="1">
        <f t="array" ref="G65">_xlfn.TEXTJOIN(CHAR(10),TRUE,_xlfn._xlws.SORT(IF((--($B65=Flowdown_CIC[[URS]:[URS]]))*(--(G$14=Flowdown_CIC[[Source.Name]:[Source.Name]])),Flowdown_CIC[[SyRS]:[SyRS]],"")))</f>
        <v>MASTER-51530
MASTER-51531
MASTER-62843
MASTER-62844
MASTER-62845
MASTER-62846
MASTER-62847
MASTER-62848</v>
      </c>
      <c r="H65" s="12" t="str" cm="1">
        <f t="array" ref="H65">_xlfn.TEXTJOIN(CHAR(10),TRUE,_xlfn._xlws.SORT(IF((--($B65=Flowdown_CIC[[URS]:[URS]]))*(--(H$14=Flowdown_CIC[[Source.Name]:[Source.Name]])),Flowdown_CIC[[SyRS]:[SyRS]],"")))</f>
        <v>MASTER-50682</v>
      </c>
      <c r="I65" s="12" t="str" cm="1">
        <f t="array" ref="I65">_xlfn.TEXTJOIN(CHAR(10),TRUE,_xlfn._xlws.SORT(IF((--($B65=Flowdown_CIC[[URS]:[URS]]))*(--(I$14=Flowdown_CIC[[Source.Name]:[Source.Name]])),Flowdown_CIC[[SyRS]:[SyRS]],"")))</f>
        <v/>
      </c>
      <c r="J65" s="12" t="str" cm="1">
        <f t="array" ref="J65">_xlfn.TEXTJOIN(CHAR(10),TRUE,_xlfn._xlws.SORT(IF((--($B65=Flowdown_CIC[[URS]:[URS]]))*(--(J$14=Flowdown_CIC[[Source.Name]:[Source.Name]])),Flowdown_CIC[[SyRS]:[SyRS]],"")))</f>
        <v/>
      </c>
      <c r="K65" s="12" t="str" cm="1">
        <f t="array" ref="K65">_xlfn.TEXTJOIN(CHAR(10),TRUE,_xlfn._xlws.SORT(IF((--($B65=Flowdown_CIC[[URS]:[URS]]))*(--(K$14=Flowdown_CIC[[Source.Name]:[Source.Name]])),Flowdown_CIC[[SyRS]:[SyRS]],"")))</f>
        <v/>
      </c>
      <c r="L65" s="16" t="b" cm="1">
        <f t="array" ref="L65">OR(LEN(C65:K65)&gt;0)</f>
        <v>1</v>
      </c>
    </row>
    <row r="66" spans="2:12" ht="27" x14ac:dyDescent="0.2">
      <c r="B66" s="11" t="str">
        <v>MASTER-50058</v>
      </c>
      <c r="C66" s="12" t="str" cm="1">
        <f t="array" ref="C66">_xlfn.TEXTJOIN(CHAR(10),TRUE,_xlfn._xlws.SORT(IF((--($B66=Flowdown_CIC[[URS]:[URS]]))*(--(C$14=Flowdown_CIC[[Source.Name]:[Source.Name]])),Flowdown_CIC[[SyRS]:[SyRS]],"")))</f>
        <v>MASTER-50012
MASTER-60743</v>
      </c>
      <c r="D66" s="12" t="str" cm="1">
        <f t="array" ref="D66">_xlfn.TEXTJOIN(CHAR(10),TRUE,_xlfn._xlws.SORT(IF((--($B66=Flowdown_CIC[[URS]:[URS]]))*(--(D$14=Flowdown_CIC[[Source.Name]:[Source.Name]])),Flowdown_CIC[[SyRS]:[SyRS]],"")))</f>
        <v>MASTER-50012
MASTER-60743</v>
      </c>
      <c r="E66" s="12" t="str" cm="1">
        <f t="array" ref="E66">_xlfn.TEXTJOIN(CHAR(10),TRUE,_xlfn._xlws.SORT(IF((--($B66=Flowdown_CIC[[URS]:[URS]]))*(--(E$14=Flowdown_CIC[[Source.Name]:[Source.Name]])),Flowdown_CIC[[SyRS]:[SyRS]],"")))</f>
        <v>MASTER-50012
MASTER-60743</v>
      </c>
      <c r="F66" s="12" t="str" cm="1">
        <f t="array" ref="F66">_xlfn.TEXTJOIN(CHAR(10),TRUE,_xlfn._xlws.SORT(IF((--($B66=Flowdown_CIC[[URS]:[URS]]))*(--(F$14=Flowdown_CIC[[Source.Name]:[Source.Name]])),Flowdown_CIC[[SyRS]:[SyRS]],"")))</f>
        <v>MASTER-50012
MASTER-60743</v>
      </c>
      <c r="G66" s="12" t="str" cm="1">
        <f t="array" ref="G66">_xlfn.TEXTJOIN(CHAR(10),TRUE,_xlfn._xlws.SORT(IF((--($B66=Flowdown_CIC[[URS]:[URS]]))*(--(G$14=Flowdown_CIC[[Source.Name]:[Source.Name]])),Flowdown_CIC[[SyRS]:[SyRS]],"")))</f>
        <v>MASTER-50012
MASTER-60743</v>
      </c>
      <c r="H66" s="12" t="str" cm="1">
        <f t="array" ref="H66">_xlfn.TEXTJOIN(CHAR(10),TRUE,_xlfn._xlws.SORT(IF((--($B66=Flowdown_CIC[[URS]:[URS]]))*(--(H$14=Flowdown_CIC[[Source.Name]:[Source.Name]])),Flowdown_CIC[[SyRS]:[SyRS]],"")))</f>
        <v>MASTER-60800
MASTER-60810</v>
      </c>
      <c r="I66" s="12" t="str" cm="1">
        <f t="array" ref="I66">_xlfn.TEXTJOIN(CHAR(10),TRUE,_xlfn._xlws.SORT(IF((--($B66=Flowdown_CIC[[URS]:[URS]]))*(--(I$14=Flowdown_CIC[[Source.Name]:[Source.Name]])),Flowdown_CIC[[SyRS]:[SyRS]],"")))</f>
        <v/>
      </c>
      <c r="J66" s="12" t="str" cm="1">
        <f t="array" ref="J66">_xlfn.TEXTJOIN(CHAR(10),TRUE,_xlfn._xlws.SORT(IF((--($B66=Flowdown_CIC[[URS]:[URS]]))*(--(J$14=Flowdown_CIC[[Source.Name]:[Source.Name]])),Flowdown_CIC[[SyRS]:[SyRS]],"")))</f>
        <v/>
      </c>
      <c r="K66" s="12" t="str" cm="1">
        <f t="array" ref="K66">_xlfn.TEXTJOIN(CHAR(10),TRUE,_xlfn._xlws.SORT(IF((--($B66=Flowdown_CIC[[URS]:[URS]]))*(--(K$14=Flowdown_CIC[[Source.Name]:[Source.Name]])),Flowdown_CIC[[SyRS]:[SyRS]],"")))</f>
        <v/>
      </c>
      <c r="L66" s="16" t="b" cm="1">
        <f t="array" ref="L66">OR(LEN(C66:K66)&gt;0)</f>
        <v>1</v>
      </c>
    </row>
    <row r="67" spans="2:12" ht="40.5" x14ac:dyDescent="0.2">
      <c r="B67" s="11" t="str">
        <v>MASTER-51667</v>
      </c>
      <c r="C67" s="12" t="str" cm="1">
        <f t="array" ref="C67">_xlfn.TEXTJOIN(CHAR(10),TRUE,_xlfn._xlws.SORT(IF((--($B67=Flowdown_CIC[[URS]:[URS]]))*(--(C$14=Flowdown_CIC[[Source.Name]:[Source.Name]])),Flowdown_CIC[[SyRS]:[SyRS]],"")))</f>
        <v>MASTER-51380
MASTER-51821
MASTER-51822</v>
      </c>
      <c r="D67" s="12" t="str" cm="1">
        <f t="array" ref="D67">_xlfn.TEXTJOIN(CHAR(10),TRUE,_xlfn._xlws.SORT(IF((--($B67=Flowdown_CIC[[URS]:[URS]]))*(--(D$14=Flowdown_CIC[[Source.Name]:[Source.Name]])),Flowdown_CIC[[SyRS]:[SyRS]],"")))</f>
        <v>MASTER-51380
MASTER-51821
MASTER-51822</v>
      </c>
      <c r="E67" s="12" t="str" cm="1">
        <f t="array" ref="E67">_xlfn.TEXTJOIN(CHAR(10),TRUE,_xlfn._xlws.SORT(IF((--($B67=Flowdown_CIC[[URS]:[URS]]))*(--(E$14=Flowdown_CIC[[Source.Name]:[Source.Name]])),Flowdown_CIC[[SyRS]:[SyRS]],"")))</f>
        <v>MASTER-51380
MASTER-51821
MASTER-51822</v>
      </c>
      <c r="F67" s="12" t="str" cm="1">
        <f t="array" ref="F67">_xlfn.TEXTJOIN(CHAR(10),TRUE,_xlfn._xlws.SORT(IF((--($B67=Flowdown_CIC[[URS]:[URS]]))*(--(F$14=Flowdown_CIC[[Source.Name]:[Source.Name]])),Flowdown_CIC[[SyRS]:[SyRS]],"")))</f>
        <v>MASTER-51380
MASTER-51821
MASTER-51822</v>
      </c>
      <c r="G67" s="12" t="str" cm="1">
        <f t="array" ref="G67">_xlfn.TEXTJOIN(CHAR(10),TRUE,_xlfn._xlws.SORT(IF((--($B67=Flowdown_CIC[[URS]:[URS]]))*(--(G$14=Flowdown_CIC[[Source.Name]:[Source.Name]])),Flowdown_CIC[[SyRS]:[SyRS]],"")))</f>
        <v>MASTER-51380
MASTER-51821
MASTER-51822</v>
      </c>
      <c r="H67" s="12" t="str" cm="1">
        <f t="array" ref="H67">_xlfn.TEXTJOIN(CHAR(10),TRUE,_xlfn._xlws.SORT(IF((--($B67=Flowdown_CIC[[URS]:[URS]]))*(--(H$14=Flowdown_CIC[[Source.Name]:[Source.Name]])),Flowdown_CIC[[SyRS]:[SyRS]],"")))</f>
        <v/>
      </c>
      <c r="I67" s="12" t="str" cm="1">
        <f t="array" ref="I67">_xlfn.TEXTJOIN(CHAR(10),TRUE,_xlfn._xlws.SORT(IF((--($B67=Flowdown_CIC[[URS]:[URS]]))*(--(I$14=Flowdown_CIC[[Source.Name]:[Source.Name]])),Flowdown_CIC[[SyRS]:[SyRS]],"")))</f>
        <v/>
      </c>
      <c r="J67" s="12" t="str" cm="1">
        <f t="array" ref="J67">_xlfn.TEXTJOIN(CHAR(10),TRUE,_xlfn._xlws.SORT(IF((--($B67=Flowdown_CIC[[URS]:[URS]]))*(--(J$14=Flowdown_CIC[[Source.Name]:[Source.Name]])),Flowdown_CIC[[SyRS]:[SyRS]],"")))</f>
        <v/>
      </c>
      <c r="K67" s="12" t="str" cm="1">
        <f t="array" ref="K67">_xlfn.TEXTJOIN(CHAR(10),TRUE,_xlfn._xlws.SORT(IF((--($B67=Flowdown_CIC[[URS]:[URS]]))*(--(K$14=Flowdown_CIC[[Source.Name]:[Source.Name]])),Flowdown_CIC[[SyRS]:[SyRS]],"")))</f>
        <v>MASTER-51850</v>
      </c>
      <c r="L67" s="16" t="b" cm="1">
        <f t="array" ref="L67">OR(LEN(C67:K67)&gt;0)</f>
        <v>1</v>
      </c>
    </row>
    <row r="68" spans="2:12" ht="27" x14ac:dyDescent="0.2">
      <c r="B68" s="11" t="str">
        <v>MASTER-51668</v>
      </c>
      <c r="C68" s="12" t="str" cm="1">
        <f t="array" ref="C68">_xlfn.TEXTJOIN(CHAR(10),TRUE,_xlfn._xlws.SORT(IF((--($B68=Flowdown_CIC[[URS]:[URS]]))*(--(C$14=Flowdown_CIC[[Source.Name]:[Source.Name]])),Flowdown_CIC[[SyRS]:[SyRS]],"")))</f>
        <v>MASTER-51825</v>
      </c>
      <c r="D68" s="12" t="str" cm="1">
        <f t="array" ref="D68">_xlfn.TEXTJOIN(CHAR(10),TRUE,_xlfn._xlws.SORT(IF((--($B68=Flowdown_CIC[[URS]:[URS]]))*(--(D$14=Flowdown_CIC[[Source.Name]:[Source.Name]])),Flowdown_CIC[[SyRS]:[SyRS]],"")))</f>
        <v>MASTER-51825</v>
      </c>
      <c r="E68" s="12" t="str" cm="1">
        <f t="array" ref="E68">_xlfn.TEXTJOIN(CHAR(10),TRUE,_xlfn._xlws.SORT(IF((--($B68=Flowdown_CIC[[URS]:[URS]]))*(--(E$14=Flowdown_CIC[[Source.Name]:[Source.Name]])),Flowdown_CIC[[SyRS]:[SyRS]],"")))</f>
        <v>MASTER-51825</v>
      </c>
      <c r="F68" s="12" t="str" cm="1">
        <f t="array" ref="F68">_xlfn.TEXTJOIN(CHAR(10),TRUE,_xlfn._xlws.SORT(IF((--($B68=Flowdown_CIC[[URS]:[URS]]))*(--(F$14=Flowdown_CIC[[Source.Name]:[Source.Name]])),Flowdown_CIC[[SyRS]:[SyRS]],"")))</f>
        <v>MASTER-51825</v>
      </c>
      <c r="G68" s="12" t="str" cm="1">
        <f t="array" ref="G68">_xlfn.TEXTJOIN(CHAR(10),TRUE,_xlfn._xlws.SORT(IF((--($B68=Flowdown_CIC[[URS]:[URS]]))*(--(G$14=Flowdown_CIC[[Source.Name]:[Source.Name]])),Flowdown_CIC[[SyRS]:[SyRS]],"")))</f>
        <v>MASTER-51825</v>
      </c>
      <c r="H68" s="12" t="str" cm="1">
        <f t="array" ref="H68">_xlfn.TEXTJOIN(CHAR(10),TRUE,_xlfn._xlws.SORT(IF((--($B68=Flowdown_CIC[[URS]:[URS]]))*(--(H$14=Flowdown_CIC[[Source.Name]:[Source.Name]])),Flowdown_CIC[[SyRS]:[SyRS]],"")))</f>
        <v/>
      </c>
      <c r="I68" s="12" t="str" cm="1">
        <f t="array" ref="I68">_xlfn.TEXTJOIN(CHAR(10),TRUE,_xlfn._xlws.SORT(IF((--($B68=Flowdown_CIC[[URS]:[URS]]))*(--(I$14=Flowdown_CIC[[Source.Name]:[Source.Name]])),Flowdown_CIC[[SyRS]:[SyRS]],"")))</f>
        <v/>
      </c>
      <c r="J68" s="12" t="str" cm="1">
        <f t="array" ref="J68">_xlfn.TEXTJOIN(CHAR(10),TRUE,_xlfn._xlws.SORT(IF((--($B68=Flowdown_CIC[[URS]:[URS]]))*(--(J$14=Flowdown_CIC[[Source.Name]:[Source.Name]])),Flowdown_CIC[[SyRS]:[SyRS]],"")))</f>
        <v/>
      </c>
      <c r="K68" s="12" t="str" cm="1">
        <f t="array" ref="K68">_xlfn.TEXTJOIN(CHAR(10),TRUE,_xlfn._xlws.SORT(IF((--($B68=Flowdown_CIC[[URS]:[URS]]))*(--(K$14=Flowdown_CIC[[Source.Name]:[Source.Name]])),Flowdown_CIC[[SyRS]:[SyRS]],"")))</f>
        <v>MASTER-51418
MASTER-51855</v>
      </c>
      <c r="L68" s="16" t="b" cm="1">
        <f t="array" ref="L68">OR(LEN(C68:K68)&gt;0)</f>
        <v>1</v>
      </c>
    </row>
    <row r="69" spans="2:12" ht="67.5" x14ac:dyDescent="0.2">
      <c r="B69" s="11" t="str">
        <v>MASTER-51670</v>
      </c>
      <c r="C69" s="12" t="str" cm="1">
        <f t="array" ref="C69">_xlfn.TEXTJOIN(CHAR(10),TRUE,_xlfn._xlws.SORT(IF((--($B69=Flowdown_CIC[[URS]:[URS]]))*(--(C$14=Flowdown_CIC[[Source.Name]:[Source.Name]])),Flowdown_CIC[[SyRS]:[SyRS]],"")))</f>
        <v>MASTER-51377
MASTER-51378
MASTER-51426
MASTER-51820
MASTER-60743</v>
      </c>
      <c r="D69" s="12" t="str" cm="1">
        <f t="array" ref="D69">_xlfn.TEXTJOIN(CHAR(10),TRUE,_xlfn._xlws.SORT(IF((--($B69=Flowdown_CIC[[URS]:[URS]]))*(--(D$14=Flowdown_CIC[[Source.Name]:[Source.Name]])),Flowdown_CIC[[SyRS]:[SyRS]],"")))</f>
        <v>MASTER-51377
MASTER-51378
MASTER-51426
MASTER-51820
MASTER-60743</v>
      </c>
      <c r="E69" s="12" t="str" cm="1">
        <f t="array" ref="E69">_xlfn.TEXTJOIN(CHAR(10),TRUE,_xlfn._xlws.SORT(IF((--($B69=Flowdown_CIC[[URS]:[URS]]))*(--(E$14=Flowdown_CIC[[Source.Name]:[Source.Name]])),Flowdown_CIC[[SyRS]:[SyRS]],"")))</f>
        <v>MASTER-51377
MASTER-51378
MASTER-51426
MASTER-51820
MASTER-60743</v>
      </c>
      <c r="F69" s="12" t="str" cm="1">
        <f t="array" ref="F69">_xlfn.TEXTJOIN(CHAR(10),TRUE,_xlfn._xlws.SORT(IF((--($B69=Flowdown_CIC[[URS]:[URS]]))*(--(F$14=Flowdown_CIC[[Source.Name]:[Source.Name]])),Flowdown_CIC[[SyRS]:[SyRS]],"")))</f>
        <v>MASTER-51377
MASTER-51378
MASTER-51426
MASTER-51820
MASTER-60743</v>
      </c>
      <c r="G69" s="12" t="str" cm="1">
        <f t="array" ref="G69">_xlfn.TEXTJOIN(CHAR(10),TRUE,_xlfn._xlws.SORT(IF((--($B69=Flowdown_CIC[[URS]:[URS]]))*(--(G$14=Flowdown_CIC[[Source.Name]:[Source.Name]])),Flowdown_CIC[[SyRS]:[SyRS]],"")))</f>
        <v>MASTER-51377
MASTER-51378
MASTER-51426
MASTER-51820
MASTER-60743</v>
      </c>
      <c r="H69" s="12" t="str" cm="1">
        <f t="array" ref="H69">_xlfn.TEXTJOIN(CHAR(10),TRUE,_xlfn._xlws.SORT(IF((--($B69=Flowdown_CIC[[URS]:[URS]]))*(--(H$14=Flowdown_CIC[[Source.Name]:[Source.Name]])),Flowdown_CIC[[SyRS]:[SyRS]],"")))</f>
        <v>MASTER-60800
MASTER-60810</v>
      </c>
      <c r="I69" s="12" t="str" cm="1">
        <f t="array" ref="I69">_xlfn.TEXTJOIN(CHAR(10),TRUE,_xlfn._xlws.SORT(IF((--($B69=Flowdown_CIC[[URS]:[URS]]))*(--(I$14=Flowdown_CIC[[Source.Name]:[Source.Name]])),Flowdown_CIC[[SyRS]:[SyRS]],"")))</f>
        <v/>
      </c>
      <c r="J69" s="12" t="str" cm="1">
        <f t="array" ref="J69">_xlfn.TEXTJOIN(CHAR(10),TRUE,_xlfn._xlws.SORT(IF((--($B69=Flowdown_CIC[[URS]:[URS]]))*(--(J$14=Flowdown_CIC[[Source.Name]:[Source.Name]])),Flowdown_CIC[[SyRS]:[SyRS]],"")))</f>
        <v/>
      </c>
      <c r="K69" s="12" t="str" cm="1">
        <f t="array" ref="K69">_xlfn.TEXTJOIN(CHAR(10),TRUE,_xlfn._xlws.SORT(IF((--($B69=Flowdown_CIC[[URS]:[URS]]))*(--(K$14=Flowdown_CIC[[Source.Name]:[Source.Name]])),Flowdown_CIC[[SyRS]:[SyRS]],"")))</f>
        <v>MASTER-51373</v>
      </c>
      <c r="L69" s="16" t="b" cm="1">
        <f t="array" ref="L69">OR(LEN(C69:K69)&gt;0)</f>
        <v>1</v>
      </c>
    </row>
    <row r="70" spans="2:12" ht="40.5" x14ac:dyDescent="0.2">
      <c r="B70" s="11" t="str">
        <v>MASTER-51671</v>
      </c>
      <c r="C70" s="12" t="str" cm="1">
        <f t="array" ref="C70">_xlfn.TEXTJOIN(CHAR(10),TRUE,_xlfn._xlws.SORT(IF((--($B70=Flowdown_CIC[[URS]:[URS]]))*(--(C$14=Flowdown_CIC[[Source.Name]:[Source.Name]])),Flowdown_CIC[[SyRS]:[SyRS]],"")))</f>
        <v>MASTER-51827
MASTER-51828
MASTER-51829</v>
      </c>
      <c r="D70" s="12" t="str" cm="1">
        <f t="array" ref="D70">_xlfn.TEXTJOIN(CHAR(10),TRUE,_xlfn._xlws.SORT(IF((--($B70=Flowdown_CIC[[URS]:[URS]]))*(--(D$14=Flowdown_CIC[[Source.Name]:[Source.Name]])),Flowdown_CIC[[SyRS]:[SyRS]],"")))</f>
        <v>MASTER-51827
MASTER-51828
MASTER-51829</v>
      </c>
      <c r="E70" s="12" t="str" cm="1">
        <f t="array" ref="E70">_xlfn.TEXTJOIN(CHAR(10),TRUE,_xlfn._xlws.SORT(IF((--($B70=Flowdown_CIC[[URS]:[URS]]))*(--(E$14=Flowdown_CIC[[Source.Name]:[Source.Name]])),Flowdown_CIC[[SyRS]:[SyRS]],"")))</f>
        <v>MASTER-51827
MASTER-51828
MASTER-51829</v>
      </c>
      <c r="F70" s="12" t="str" cm="1">
        <f t="array" ref="F70">_xlfn.TEXTJOIN(CHAR(10),TRUE,_xlfn._xlws.SORT(IF((--($B70=Flowdown_CIC[[URS]:[URS]]))*(--(F$14=Flowdown_CIC[[Source.Name]:[Source.Name]])),Flowdown_CIC[[SyRS]:[SyRS]],"")))</f>
        <v>MASTER-51827
MASTER-51828
MASTER-51829</v>
      </c>
      <c r="G70" s="12" t="str" cm="1">
        <f t="array" ref="G70">_xlfn.TEXTJOIN(CHAR(10),TRUE,_xlfn._xlws.SORT(IF((--($B70=Flowdown_CIC[[URS]:[URS]]))*(--(G$14=Flowdown_CIC[[Source.Name]:[Source.Name]])),Flowdown_CIC[[SyRS]:[SyRS]],"")))</f>
        <v>MASTER-51827
MASTER-51828
MASTER-51829</v>
      </c>
      <c r="H70" s="12" t="str" cm="1">
        <f t="array" ref="H70">_xlfn.TEXTJOIN(CHAR(10),TRUE,_xlfn._xlws.SORT(IF((--($B70=Flowdown_CIC[[URS]:[URS]]))*(--(H$14=Flowdown_CIC[[Source.Name]:[Source.Name]])),Flowdown_CIC[[SyRS]:[SyRS]],"")))</f>
        <v/>
      </c>
      <c r="I70" s="12" t="str" cm="1">
        <f t="array" ref="I70">_xlfn.TEXTJOIN(CHAR(10),TRUE,_xlfn._xlws.SORT(IF((--($B70=Flowdown_CIC[[URS]:[URS]]))*(--(I$14=Flowdown_CIC[[Source.Name]:[Source.Name]])),Flowdown_CIC[[SyRS]:[SyRS]],"")))</f>
        <v/>
      </c>
      <c r="J70" s="12" t="str" cm="1">
        <f t="array" ref="J70">_xlfn.TEXTJOIN(CHAR(10),TRUE,_xlfn._xlws.SORT(IF((--($B70=Flowdown_CIC[[URS]:[URS]]))*(--(J$14=Flowdown_CIC[[Source.Name]:[Source.Name]])),Flowdown_CIC[[SyRS]:[SyRS]],"")))</f>
        <v/>
      </c>
      <c r="K70" s="12" t="str" cm="1">
        <f t="array" ref="K70">_xlfn.TEXTJOIN(CHAR(10),TRUE,_xlfn._xlws.SORT(IF((--($B70=Flowdown_CIC[[URS]:[URS]]))*(--(K$14=Flowdown_CIC[[Source.Name]:[Source.Name]])),Flowdown_CIC[[SyRS]:[SyRS]],"")))</f>
        <v>MASTER-51852</v>
      </c>
      <c r="L70" s="16" t="b" cm="1">
        <f t="array" ref="L70">OR(LEN(C70:K70)&gt;0)</f>
        <v>1</v>
      </c>
    </row>
    <row r="71" spans="2:12" ht="67.5" x14ac:dyDescent="0.2">
      <c r="B71" s="11" t="str">
        <v>MASTER-51672</v>
      </c>
      <c r="C71" s="12" t="str" cm="1">
        <f t="array" ref="C71">_xlfn.TEXTJOIN(CHAR(10),TRUE,_xlfn._xlws.SORT(IF((--($B71=Flowdown_CIC[[URS]:[URS]]))*(--(C$14=Flowdown_CIC[[Source.Name]:[Source.Name]])),Flowdown_CIC[[SyRS]:[SyRS]],"")))</f>
        <v>MASTER-51387
MASTER-51388
MASTER-51400
MASTER-51401
MASTER-51823</v>
      </c>
      <c r="D71" s="12" t="str" cm="1">
        <f t="array" ref="D71">_xlfn.TEXTJOIN(CHAR(10),TRUE,_xlfn._xlws.SORT(IF((--($B71=Flowdown_CIC[[URS]:[URS]]))*(--(D$14=Flowdown_CIC[[Source.Name]:[Source.Name]])),Flowdown_CIC[[SyRS]:[SyRS]],"")))</f>
        <v>MASTER-51387
MASTER-51388
MASTER-51400
MASTER-51401
MASTER-51823</v>
      </c>
      <c r="E71" s="12" t="str" cm="1">
        <f t="array" ref="E71">_xlfn.TEXTJOIN(CHAR(10),TRUE,_xlfn._xlws.SORT(IF((--($B71=Flowdown_CIC[[URS]:[URS]]))*(--(E$14=Flowdown_CIC[[Source.Name]:[Source.Name]])),Flowdown_CIC[[SyRS]:[SyRS]],"")))</f>
        <v>MASTER-51387
MASTER-51388
MASTER-51400
MASTER-51401
MASTER-51823</v>
      </c>
      <c r="F71" s="12" t="str" cm="1">
        <f t="array" ref="F71">_xlfn.TEXTJOIN(CHAR(10),TRUE,_xlfn._xlws.SORT(IF((--($B71=Flowdown_CIC[[URS]:[URS]]))*(--(F$14=Flowdown_CIC[[Source.Name]:[Source.Name]])),Flowdown_CIC[[SyRS]:[SyRS]],"")))</f>
        <v>MASTER-51387
MASTER-51388
MASTER-51400
MASTER-51401
MASTER-51823</v>
      </c>
      <c r="G71" s="12" t="str" cm="1">
        <f t="array" ref="G71">_xlfn.TEXTJOIN(CHAR(10),TRUE,_xlfn._xlws.SORT(IF((--($B71=Flowdown_CIC[[URS]:[URS]]))*(--(G$14=Flowdown_CIC[[Source.Name]:[Source.Name]])),Flowdown_CIC[[SyRS]:[SyRS]],"")))</f>
        <v>MASTER-51387
MASTER-51388
MASTER-51400
MASTER-51401
MASTER-51823</v>
      </c>
      <c r="H71" s="12" t="str" cm="1">
        <f t="array" ref="H71">_xlfn.TEXTJOIN(CHAR(10),TRUE,_xlfn._xlws.SORT(IF((--($B71=Flowdown_CIC[[URS]:[URS]]))*(--(H$14=Flowdown_CIC[[Source.Name]:[Source.Name]])),Flowdown_CIC[[SyRS]:[SyRS]],"")))</f>
        <v/>
      </c>
      <c r="I71" s="12" t="str" cm="1">
        <f t="array" ref="I71">_xlfn.TEXTJOIN(CHAR(10),TRUE,_xlfn._xlws.SORT(IF((--($B71=Flowdown_CIC[[URS]:[URS]]))*(--(I$14=Flowdown_CIC[[Source.Name]:[Source.Name]])),Flowdown_CIC[[SyRS]:[SyRS]],"")))</f>
        <v/>
      </c>
      <c r="J71" s="12" t="str" cm="1">
        <f t="array" ref="J71">_xlfn.TEXTJOIN(CHAR(10),TRUE,_xlfn._xlws.SORT(IF((--($B71=Flowdown_CIC[[URS]:[URS]]))*(--(J$14=Flowdown_CIC[[Source.Name]:[Source.Name]])),Flowdown_CIC[[SyRS]:[SyRS]],"")))</f>
        <v/>
      </c>
      <c r="K71" s="12" t="str" cm="1">
        <f t="array" ref="K71">_xlfn.TEXTJOIN(CHAR(10),TRUE,_xlfn._xlws.SORT(IF((--($B71=Flowdown_CIC[[URS]:[URS]]))*(--(K$14=Flowdown_CIC[[Source.Name]:[Source.Name]])),Flowdown_CIC[[SyRS]:[SyRS]],"")))</f>
        <v>MASTER-51396</v>
      </c>
      <c r="L71" s="16" t="b" cm="1">
        <f t="array" ref="L71">OR(LEN(C71:K71)&gt;0)</f>
        <v>1</v>
      </c>
    </row>
    <row r="72" spans="2:12" ht="13.5" x14ac:dyDescent="0.2">
      <c r="B72" s="11" t="str">
        <v>MASTER-51673</v>
      </c>
      <c r="C72" s="12" t="str" cm="1">
        <f t="array" ref="C72">_xlfn.TEXTJOIN(CHAR(10),TRUE,_xlfn._xlws.SORT(IF((--($B72=Flowdown_CIC[[URS]:[URS]]))*(--(C$14=Flowdown_CIC[[Source.Name]:[Source.Name]])),Flowdown_CIC[[SyRS]:[SyRS]],"")))</f>
        <v>MASTER-60757</v>
      </c>
      <c r="D72" s="12" t="str" cm="1">
        <f t="array" ref="D72">_xlfn.TEXTJOIN(CHAR(10),TRUE,_xlfn._xlws.SORT(IF((--($B72=Flowdown_CIC[[URS]:[URS]]))*(--(D$14=Flowdown_CIC[[Source.Name]:[Source.Name]])),Flowdown_CIC[[SyRS]:[SyRS]],"")))</f>
        <v>MASTER-60757</v>
      </c>
      <c r="E72" s="12" t="str" cm="1">
        <f t="array" ref="E72">_xlfn.TEXTJOIN(CHAR(10),TRUE,_xlfn._xlws.SORT(IF((--($B72=Flowdown_CIC[[URS]:[URS]]))*(--(E$14=Flowdown_CIC[[Source.Name]:[Source.Name]])),Flowdown_CIC[[SyRS]:[SyRS]],"")))</f>
        <v>MASTER-60757</v>
      </c>
      <c r="F72" s="12" t="str" cm="1">
        <f t="array" ref="F72">_xlfn.TEXTJOIN(CHAR(10),TRUE,_xlfn._xlws.SORT(IF((--($B72=Flowdown_CIC[[URS]:[URS]]))*(--(F$14=Flowdown_CIC[[Source.Name]:[Source.Name]])),Flowdown_CIC[[SyRS]:[SyRS]],"")))</f>
        <v>MASTER-60757</v>
      </c>
      <c r="G72" s="12" t="str" cm="1">
        <f t="array" ref="G72">_xlfn.TEXTJOIN(CHAR(10),TRUE,_xlfn._xlws.SORT(IF((--($B72=Flowdown_CIC[[URS]:[URS]]))*(--(G$14=Flowdown_CIC[[Source.Name]:[Source.Name]])),Flowdown_CIC[[SyRS]:[SyRS]],"")))</f>
        <v>MASTER-60757</v>
      </c>
      <c r="H72" s="12" t="str" cm="1">
        <f t="array" ref="H72">_xlfn.TEXTJOIN(CHAR(10),TRUE,_xlfn._xlws.SORT(IF((--($B72=Flowdown_CIC[[URS]:[URS]]))*(--(H$14=Flowdown_CIC[[Source.Name]:[Source.Name]])),Flowdown_CIC[[SyRS]:[SyRS]],"")))</f>
        <v/>
      </c>
      <c r="I72" s="12" t="str" cm="1">
        <f t="array" ref="I72">_xlfn.TEXTJOIN(CHAR(10),TRUE,_xlfn._xlws.SORT(IF((--($B72=Flowdown_CIC[[URS]:[URS]]))*(--(I$14=Flowdown_CIC[[Source.Name]:[Source.Name]])),Flowdown_CIC[[SyRS]:[SyRS]],"")))</f>
        <v/>
      </c>
      <c r="J72" s="12" t="str" cm="1">
        <f t="array" ref="J72">_xlfn.TEXTJOIN(CHAR(10),TRUE,_xlfn._xlws.SORT(IF((--($B72=Flowdown_CIC[[URS]:[URS]]))*(--(J$14=Flowdown_CIC[[Source.Name]:[Source.Name]])),Flowdown_CIC[[SyRS]:[SyRS]],"")))</f>
        <v/>
      </c>
      <c r="K72" s="12" t="str" cm="1">
        <f t="array" ref="K72">_xlfn.TEXTJOIN(CHAR(10),TRUE,_xlfn._xlws.SORT(IF((--($B72=Flowdown_CIC[[URS]:[URS]]))*(--(K$14=Flowdown_CIC[[Source.Name]:[Source.Name]])),Flowdown_CIC[[SyRS]:[SyRS]],"")))</f>
        <v/>
      </c>
      <c r="L72" s="16" t="b" cm="1">
        <f t="array" ref="L72">OR(LEN(C72:K72)&gt;0)</f>
        <v>1</v>
      </c>
    </row>
    <row r="73" spans="2:12" ht="54" x14ac:dyDescent="0.2">
      <c r="B73" s="11" t="str">
        <v>MASTER-51674</v>
      </c>
      <c r="C73" s="12" t="str" cm="1">
        <f t="array" ref="C73">_xlfn.TEXTJOIN(CHAR(10),TRUE,_xlfn._xlws.SORT(IF((--($B73=Flowdown_CIC[[URS]:[URS]]))*(--(C$14=Flowdown_CIC[[Source.Name]:[Source.Name]])),Flowdown_CIC[[SyRS]:[SyRS]],"")))</f>
        <v>MASTER-51330
MASTER-51809
MASTER-56914</v>
      </c>
      <c r="D73" s="12" t="str" cm="1">
        <f t="array" ref="D73">_xlfn.TEXTJOIN(CHAR(10),TRUE,_xlfn._xlws.SORT(IF((--($B73=Flowdown_CIC[[URS]:[URS]]))*(--(D$14=Flowdown_CIC[[Source.Name]:[Source.Name]])),Flowdown_CIC[[SyRS]:[SyRS]],"")))</f>
        <v>MASTER-51330
MASTER-51809
MASTER-56914</v>
      </c>
      <c r="E73" s="12" t="str" cm="1">
        <f t="array" ref="E73">_xlfn.TEXTJOIN(CHAR(10),TRUE,_xlfn._xlws.SORT(IF((--($B73=Flowdown_CIC[[URS]:[URS]]))*(--(E$14=Flowdown_CIC[[Source.Name]:[Source.Name]])),Flowdown_CIC[[SyRS]:[SyRS]],"")))</f>
        <v>MASTER-51330
MASTER-51809</v>
      </c>
      <c r="F73" s="12" t="str" cm="1">
        <f t="array" ref="F73">_xlfn.TEXTJOIN(CHAR(10),TRUE,_xlfn._xlws.SORT(IF((--($B73=Flowdown_CIC[[URS]:[URS]]))*(--(F$14=Flowdown_CIC[[Source.Name]:[Source.Name]])),Flowdown_CIC[[SyRS]:[SyRS]],"")))</f>
        <v>MASTER-51330
MASTER-51809</v>
      </c>
      <c r="G73" s="12" t="str" cm="1">
        <f t="array" ref="G73">_xlfn.TEXTJOIN(CHAR(10),TRUE,_xlfn._xlws.SORT(IF((--($B73=Flowdown_CIC[[URS]:[URS]]))*(--(G$14=Flowdown_CIC[[Source.Name]:[Source.Name]])),Flowdown_CIC[[SyRS]:[SyRS]],"")))</f>
        <v>MASTER-51330
MASTER-51809</v>
      </c>
      <c r="H73" s="12" t="str" cm="1">
        <f t="array" ref="H73">_xlfn.TEXTJOIN(CHAR(10),TRUE,_xlfn._xlws.SORT(IF((--($B73=Flowdown_CIC[[URS]:[URS]]))*(--(H$14=Flowdown_CIC[[Source.Name]:[Source.Name]])),Flowdown_CIC[[SyRS]:[SyRS]],"")))</f>
        <v/>
      </c>
      <c r="I73" s="12" t="str" cm="1">
        <f t="array" ref="I73">_xlfn.TEXTJOIN(CHAR(10),TRUE,_xlfn._xlws.SORT(IF((--($B73=Flowdown_CIC[[URS]:[URS]]))*(--(I$14=Flowdown_CIC[[Source.Name]:[Source.Name]])),Flowdown_CIC[[SyRS]:[SyRS]],"")))</f>
        <v/>
      </c>
      <c r="J73" s="12" t="str" cm="1">
        <f t="array" ref="J73">_xlfn.TEXTJOIN(CHAR(10),TRUE,_xlfn._xlws.SORT(IF((--($B73=Flowdown_CIC[[URS]:[URS]]))*(--(J$14=Flowdown_CIC[[Source.Name]:[Source.Name]])),Flowdown_CIC[[SyRS]:[SyRS]],"")))</f>
        <v/>
      </c>
      <c r="K73" s="12" t="str" cm="1">
        <f t="array" ref="K73">_xlfn.TEXTJOIN(CHAR(10),TRUE,_xlfn._xlws.SORT(IF((--($B73=Flowdown_CIC[[URS]:[URS]]))*(--(K$14=Flowdown_CIC[[Source.Name]:[Source.Name]])),Flowdown_CIC[[SyRS]:[SyRS]],"")))</f>
        <v>MASTER-51322
MASTER-51833
MASTER-51841
MASTER-56140</v>
      </c>
      <c r="L73" s="16" t="b" cm="1">
        <f t="array" ref="L73">OR(LEN(C73:K73)&gt;0)</f>
        <v>1</v>
      </c>
    </row>
    <row r="74" spans="2:12" ht="67.5" x14ac:dyDescent="0.2">
      <c r="B74" s="11" t="str">
        <v>MASTER-51675</v>
      </c>
      <c r="C74" s="12" t="str" cm="1">
        <f t="array" ref="C74">_xlfn.TEXTJOIN(CHAR(10),TRUE,_xlfn._xlws.SORT(IF((--($B74=Flowdown_CIC[[URS]:[URS]]))*(--(C$14=Flowdown_CIC[[Source.Name]:[Source.Name]])),Flowdown_CIC[[SyRS]:[SyRS]],"")))</f>
        <v>MASTER-51338
MASTER-51341
MASTER-51808
MASTER-51811
UTICA-6116</v>
      </c>
      <c r="D74" s="12" t="str" cm="1">
        <f t="array" ref="D74">_xlfn.TEXTJOIN(CHAR(10),TRUE,_xlfn._xlws.SORT(IF((--($B74=Flowdown_CIC[[URS]:[URS]]))*(--(D$14=Flowdown_CIC[[Source.Name]:[Source.Name]])),Flowdown_CIC[[SyRS]:[SyRS]],"")))</f>
        <v>MASTER-51338
MASTER-51341
MASTER-51808
MASTER-51811</v>
      </c>
      <c r="E74" s="12" t="str" cm="1">
        <f t="array" ref="E74">_xlfn.TEXTJOIN(CHAR(10),TRUE,_xlfn._xlws.SORT(IF((--($B74=Flowdown_CIC[[URS]:[URS]]))*(--(E$14=Flowdown_CIC[[Source.Name]:[Source.Name]])),Flowdown_CIC[[SyRS]:[SyRS]],"")))</f>
        <v>MASTER-51338
MASTER-51341
MASTER-51808
MASTER-51811</v>
      </c>
      <c r="F74" s="12" t="str" cm="1">
        <f t="array" ref="F74">_xlfn.TEXTJOIN(CHAR(10),TRUE,_xlfn._xlws.SORT(IF((--($B74=Flowdown_CIC[[URS]:[URS]]))*(--(F$14=Flowdown_CIC[[Source.Name]:[Source.Name]])),Flowdown_CIC[[SyRS]:[SyRS]],"")))</f>
        <v>MASTER-51338
MASTER-51341
MASTER-51808
MASTER-51811</v>
      </c>
      <c r="G74" s="12" t="str" cm="1">
        <f t="array" ref="G74">_xlfn.TEXTJOIN(CHAR(10),TRUE,_xlfn._xlws.SORT(IF((--($B74=Flowdown_CIC[[URS]:[URS]]))*(--(G$14=Flowdown_CIC[[Source.Name]:[Source.Name]])),Flowdown_CIC[[SyRS]:[SyRS]],"")))</f>
        <v>MASTER-51338
MASTER-51341
MASTER-51808
MASTER-51811</v>
      </c>
      <c r="H74" s="12" t="str" cm="1">
        <f t="array" ref="H74">_xlfn.TEXTJOIN(CHAR(10),TRUE,_xlfn._xlws.SORT(IF((--($B74=Flowdown_CIC[[URS]:[URS]]))*(--(H$14=Flowdown_CIC[[Source.Name]:[Source.Name]])),Flowdown_CIC[[SyRS]:[SyRS]],"")))</f>
        <v>MASTER-51320</v>
      </c>
      <c r="I74" s="12" t="str" cm="1">
        <f t="array" ref="I74">_xlfn.TEXTJOIN(CHAR(10),TRUE,_xlfn._xlws.SORT(IF((--($B74=Flowdown_CIC[[URS]:[URS]]))*(--(I$14=Flowdown_CIC[[Source.Name]:[Source.Name]])),Flowdown_CIC[[SyRS]:[SyRS]],"")))</f>
        <v/>
      </c>
      <c r="J74" s="12" t="str" cm="1">
        <f t="array" ref="J74">_xlfn.TEXTJOIN(CHAR(10),TRUE,_xlfn._xlws.SORT(IF((--($B74=Flowdown_CIC[[URS]:[URS]]))*(--(J$14=Flowdown_CIC[[Source.Name]:[Source.Name]])),Flowdown_CIC[[SyRS]:[SyRS]],"")))</f>
        <v/>
      </c>
      <c r="K74" s="12" t="str" cm="1">
        <f t="array" ref="K74">_xlfn.TEXTJOIN(CHAR(10),TRUE,_xlfn._xlws.SORT(IF((--($B74=Flowdown_CIC[[URS]:[URS]]))*(--(K$14=Flowdown_CIC[[Source.Name]:[Source.Name]])),Flowdown_CIC[[SyRS]:[SyRS]],"")))</f>
        <v>MASTER-51323
MASTER-51832</v>
      </c>
      <c r="L74" s="16" t="b" cm="1">
        <f t="array" ref="L74">OR(LEN(C74:K74)&gt;0)</f>
        <v>1</v>
      </c>
    </row>
    <row r="75" spans="2:12" ht="175.5" x14ac:dyDescent="0.2">
      <c r="B75" s="11" t="str">
        <v>MASTER-51677</v>
      </c>
      <c r="C75" s="12" t="str" cm="1">
        <f t="array" ref="C75">_xlfn.TEXTJOIN(CHAR(10),TRUE,_xlfn._xlws.SORT(IF((--($B75=Flowdown_CIC[[URS]:[URS]]))*(--(C$14=Flowdown_CIC[[Source.Name]:[Source.Name]])),Flowdown_CIC[[SyRS]:[SyRS]],"")))</f>
        <v>MASTER-51332
MASTER-51368
MASTER-51409
MASTER-51411
MASTER-51423
MASTER-51460
MASTER-51468
MASTER-51811
MASTER-51815
MASTER-51817
UTICA-6116</v>
      </c>
      <c r="D75" s="12" t="str" cm="1">
        <f t="array" ref="D75">_xlfn.TEXTJOIN(CHAR(10),TRUE,_xlfn._xlws.SORT(IF((--($B75=Flowdown_CIC[[URS]:[URS]]))*(--(D$14=Flowdown_CIC[[Source.Name]:[Source.Name]])),Flowdown_CIC[[SyRS]:[SyRS]],"")))</f>
        <v>MASTER-51332
MASTER-51368
MASTER-51409
MASTER-51411
MASTER-51423
MASTER-51460
MASTER-51468
MASTER-51811
MASTER-51815
MASTER-51817</v>
      </c>
      <c r="E75" s="12" t="str" cm="1">
        <f t="array" ref="E75">_xlfn.TEXTJOIN(CHAR(10),TRUE,_xlfn._xlws.SORT(IF((--($B75=Flowdown_CIC[[URS]:[URS]]))*(--(E$14=Flowdown_CIC[[Source.Name]:[Source.Name]])),Flowdown_CIC[[SyRS]:[SyRS]],"")))</f>
        <v>MASTER-51332
MASTER-51368
MASTER-51409
MASTER-51411
MASTER-51423
MASTER-51460
MASTER-51468
MASTER-51811
MASTER-51815
MASTER-51817</v>
      </c>
      <c r="F75" s="12" t="str" cm="1">
        <f t="array" ref="F75">_xlfn.TEXTJOIN(CHAR(10),TRUE,_xlfn._xlws.SORT(IF((--($B75=Flowdown_CIC[[URS]:[URS]]))*(--(F$14=Flowdown_CIC[[Source.Name]:[Source.Name]])),Flowdown_CIC[[SyRS]:[SyRS]],"")))</f>
        <v>MASTER-51332
MASTER-51368
MASTER-51409
MASTER-51411
MASTER-51423
MASTER-51460
MASTER-51468
MASTER-51811
MASTER-51815
MASTER-51817</v>
      </c>
      <c r="G75" s="12" t="str" cm="1">
        <f t="array" ref="G75">_xlfn.TEXTJOIN(CHAR(10),TRUE,_xlfn._xlws.SORT(IF((--($B75=Flowdown_CIC[[URS]:[URS]]))*(--(G$14=Flowdown_CIC[[Source.Name]:[Source.Name]])),Flowdown_CIC[[SyRS]:[SyRS]],"")))</f>
        <v>MASTER-51332
MASTER-51368
MASTER-51409
MASTER-51411
MASTER-51423
MASTER-51460
MASTER-51468
MASTER-51811
MASTER-51815
MASTER-51817</v>
      </c>
      <c r="H75" s="12" t="str" cm="1">
        <f t="array" ref="H75">_xlfn.TEXTJOIN(CHAR(10),TRUE,_xlfn._xlws.SORT(IF((--($B75=Flowdown_CIC[[URS]:[URS]]))*(--(H$14=Flowdown_CIC[[Source.Name]:[Source.Name]])),Flowdown_CIC[[SyRS]:[SyRS]],"")))</f>
        <v>MASTER-51859</v>
      </c>
      <c r="I75" s="12" t="str" cm="1">
        <f t="array" ref="I75">_xlfn.TEXTJOIN(CHAR(10),TRUE,_xlfn._xlws.SORT(IF((--($B75=Flowdown_CIC[[URS]:[URS]]))*(--(I$14=Flowdown_CIC[[Source.Name]:[Source.Name]])),Flowdown_CIC[[SyRS]:[SyRS]],"")))</f>
        <v/>
      </c>
      <c r="J75" s="12" t="str" cm="1">
        <f t="array" ref="J75">_xlfn.TEXTJOIN(CHAR(10),TRUE,_xlfn._xlws.SORT(IF((--($B75=Flowdown_CIC[[URS]:[URS]]))*(--(J$14=Flowdown_CIC[[Source.Name]:[Source.Name]])),Flowdown_CIC[[SyRS]:[SyRS]],"")))</f>
        <v/>
      </c>
      <c r="K75" s="12" t="str" cm="1">
        <f t="array" ref="K75">_xlfn.TEXTJOIN(CHAR(10),TRUE,_xlfn._xlws.SORT(IF((--($B75=Flowdown_CIC[[URS]:[URS]]))*(--(K$14=Flowdown_CIC[[Source.Name]:[Source.Name]])),Flowdown_CIC[[SyRS]:[SyRS]],"")))</f>
        <v>MASTER-51365
MASTER-51373
MASTER-51375
MASTER-51404
MASTER-51406
MASTER-51418
MASTER-51421
MASTER-51446
MASTER-51462
MASTER-51849
MASTER-51850
MASTER-51855
MASTER-51856</v>
      </c>
      <c r="L75" s="16" t="b" cm="1">
        <f t="array" ref="L75">OR(LEN(C75:K75)&gt;0)</f>
        <v>1</v>
      </c>
    </row>
    <row r="76" spans="2:12" ht="54" x14ac:dyDescent="0.2">
      <c r="B76" s="11" t="str">
        <v>MASTER-51678</v>
      </c>
      <c r="C76" s="12" t="str" cm="1">
        <f t="array" ref="C76">_xlfn.TEXTJOIN(CHAR(10),TRUE,_xlfn._xlws.SORT(IF((--($B76=Flowdown_CIC[[URS]:[URS]]))*(--(C$14=Flowdown_CIC[[Source.Name]:[Source.Name]])),Flowdown_CIC[[SyRS]:[SyRS]],"")))</f>
        <v>MASTER-56916</v>
      </c>
      <c r="D76" s="12" t="str" cm="1">
        <f t="array" ref="D76">_xlfn.TEXTJOIN(CHAR(10),TRUE,_xlfn._xlws.SORT(IF((--($B76=Flowdown_CIC[[URS]:[URS]]))*(--(D$14=Flowdown_CIC[[Source.Name]:[Source.Name]])),Flowdown_CIC[[SyRS]:[SyRS]],"")))</f>
        <v>MASTER-56916</v>
      </c>
      <c r="E76" s="12" t="str" cm="1">
        <f t="array" ref="E76">_xlfn.TEXTJOIN(CHAR(10),TRUE,_xlfn._xlws.SORT(IF((--($B76=Flowdown_CIC[[URS]:[URS]]))*(--(E$14=Flowdown_CIC[[Source.Name]:[Source.Name]])),Flowdown_CIC[[SyRS]:[SyRS]],"")))</f>
        <v/>
      </c>
      <c r="F76" s="12" t="str" cm="1">
        <f t="array" ref="F76">_xlfn.TEXTJOIN(CHAR(10),TRUE,_xlfn._xlws.SORT(IF((--($B76=Flowdown_CIC[[URS]:[URS]]))*(--(F$14=Flowdown_CIC[[Source.Name]:[Source.Name]])),Flowdown_CIC[[SyRS]:[SyRS]],"")))</f>
        <v/>
      </c>
      <c r="G76" s="12" t="str" cm="1">
        <f t="array" ref="G76">_xlfn.TEXTJOIN(CHAR(10),TRUE,_xlfn._xlws.SORT(IF((--($B76=Flowdown_CIC[[URS]:[URS]]))*(--(G$14=Flowdown_CIC[[Source.Name]:[Source.Name]])),Flowdown_CIC[[SyRS]:[SyRS]],"")))</f>
        <v/>
      </c>
      <c r="H76" s="12" t="str" cm="1">
        <f t="array" ref="H76">_xlfn.TEXTJOIN(CHAR(10),TRUE,_xlfn._xlws.SORT(IF((--($B76=Flowdown_CIC[[URS]:[URS]]))*(--(H$14=Flowdown_CIC[[Source.Name]:[Source.Name]])),Flowdown_CIC[[SyRS]:[SyRS]],"")))</f>
        <v/>
      </c>
      <c r="I76" s="12" t="str" cm="1">
        <f t="array" ref="I76">_xlfn.TEXTJOIN(CHAR(10),TRUE,_xlfn._xlws.SORT(IF((--($B76=Flowdown_CIC[[URS]:[URS]]))*(--(I$14=Flowdown_CIC[[Source.Name]:[Source.Name]])),Flowdown_CIC[[SyRS]:[SyRS]],"")))</f>
        <v/>
      </c>
      <c r="J76" s="12" t="str" cm="1">
        <f t="array" ref="J76">_xlfn.TEXTJOIN(CHAR(10),TRUE,_xlfn._xlws.SORT(IF((--($B76=Flowdown_CIC[[URS]:[URS]]))*(--(J$14=Flowdown_CIC[[Source.Name]:[Source.Name]])),Flowdown_CIC[[SyRS]:[SyRS]],"")))</f>
        <v/>
      </c>
      <c r="K76" s="12" t="str" cm="1">
        <f t="array" ref="K76">_xlfn.TEXTJOIN(CHAR(10),TRUE,_xlfn._xlws.SORT(IF((--($B76=Flowdown_CIC[[URS]:[URS]]))*(--(K$14=Flowdown_CIC[[Source.Name]:[Source.Name]])),Flowdown_CIC[[SyRS]:[SyRS]],"")))</f>
        <v>MASTER-51322
MASTER-51834
MASTER-51841
MASTER-56140</v>
      </c>
      <c r="L76" s="16" t="b" cm="1">
        <f t="array" ref="L76">OR(LEN(C76:K76)&gt;0)</f>
        <v>1</v>
      </c>
    </row>
    <row r="77" spans="2:12" ht="27" x14ac:dyDescent="0.2">
      <c r="B77" s="11" t="str">
        <v>MASTER-51679</v>
      </c>
      <c r="C77" s="12" t="str" cm="1">
        <f t="array" ref="C77">_xlfn.TEXTJOIN(CHAR(10),TRUE,_xlfn._xlws.SORT(IF((--($B77=Flowdown_CIC[[URS]:[URS]]))*(--(C$14=Flowdown_CIC[[Source.Name]:[Source.Name]])),Flowdown_CIC[[SyRS]:[SyRS]],"")))</f>
        <v>MASTER-60681</v>
      </c>
      <c r="D77" s="12" t="str" cm="1">
        <f t="array" ref="D77">_xlfn.TEXTJOIN(CHAR(10),TRUE,_xlfn._xlws.SORT(IF((--($B77=Flowdown_CIC[[URS]:[URS]]))*(--(D$14=Flowdown_CIC[[Source.Name]:[Source.Name]])),Flowdown_CIC[[SyRS]:[SyRS]],"")))</f>
        <v>MASTER-60675
MASTER-60681</v>
      </c>
      <c r="E77" s="12" t="str" cm="1">
        <f t="array" ref="E77">_xlfn.TEXTJOIN(CHAR(10),TRUE,_xlfn._xlws.SORT(IF((--($B77=Flowdown_CIC[[URS]:[URS]]))*(--(E$14=Flowdown_CIC[[Source.Name]:[Source.Name]])),Flowdown_CIC[[SyRS]:[SyRS]],"")))</f>
        <v>MASTER-60675</v>
      </c>
      <c r="F77" s="12" t="str" cm="1">
        <f t="array" ref="F77">_xlfn.TEXTJOIN(CHAR(10),TRUE,_xlfn._xlws.SORT(IF((--($B77=Flowdown_CIC[[URS]:[URS]]))*(--(F$14=Flowdown_CIC[[Source.Name]:[Source.Name]])),Flowdown_CIC[[SyRS]:[SyRS]],"")))</f>
        <v>MASTER-60675
MASTER-60681</v>
      </c>
      <c r="G77" s="12" t="str" cm="1">
        <f t="array" ref="G77">_xlfn.TEXTJOIN(CHAR(10),TRUE,_xlfn._xlws.SORT(IF((--($B77=Flowdown_CIC[[URS]:[URS]]))*(--(G$14=Flowdown_CIC[[Source.Name]:[Source.Name]])),Flowdown_CIC[[SyRS]:[SyRS]],"")))</f>
        <v>MASTER-60675
MASTER-60681</v>
      </c>
      <c r="H77" s="12" t="str" cm="1">
        <f t="array" ref="H77">_xlfn.TEXTJOIN(CHAR(10),TRUE,_xlfn._xlws.SORT(IF((--($B77=Flowdown_CIC[[URS]:[URS]]))*(--(H$14=Flowdown_CIC[[Source.Name]:[Source.Name]])),Flowdown_CIC[[SyRS]:[SyRS]],"")))</f>
        <v>MASTER-60782
MASTER-60787</v>
      </c>
      <c r="I77" s="12" t="str" cm="1">
        <f t="array" ref="I77">_xlfn.TEXTJOIN(CHAR(10),TRUE,_xlfn._xlws.SORT(IF((--($B77=Flowdown_CIC[[URS]:[URS]]))*(--(I$14=Flowdown_CIC[[Source.Name]:[Source.Name]])),Flowdown_CIC[[SyRS]:[SyRS]],"")))</f>
        <v/>
      </c>
      <c r="J77" s="12" t="str" cm="1">
        <f t="array" ref="J77">_xlfn.TEXTJOIN(CHAR(10),TRUE,_xlfn._xlws.SORT(IF((--($B77=Flowdown_CIC[[URS]:[URS]]))*(--(J$14=Flowdown_CIC[[Source.Name]:[Source.Name]])),Flowdown_CIC[[SyRS]:[SyRS]],"")))</f>
        <v/>
      </c>
      <c r="K77" s="12" t="str" cm="1">
        <f t="array" ref="K77">_xlfn.TEXTJOIN(CHAR(10),TRUE,_xlfn._xlws.SORT(IF((--($B77=Flowdown_CIC[[URS]:[URS]]))*(--(K$14=Flowdown_CIC[[Source.Name]:[Source.Name]])),Flowdown_CIC[[SyRS]:[SyRS]],"")))</f>
        <v/>
      </c>
      <c r="L77" s="16" t="b" cm="1">
        <f t="array" ref="L77">OR(LEN(C77:K77)&gt;0)</f>
        <v>1</v>
      </c>
    </row>
    <row r="78" spans="2:12" ht="67.5" x14ac:dyDescent="0.2">
      <c r="B78" s="11" t="str">
        <v>MASTER-51680</v>
      </c>
      <c r="C78" s="12" t="str" cm="1">
        <f t="array" ref="C78">_xlfn.TEXTJOIN(CHAR(10),TRUE,_xlfn._xlws.SORT(IF((--($B78=Flowdown_CIC[[URS]:[URS]]))*(--(C$14=Flowdown_CIC[[Source.Name]:[Source.Name]])),Flowdown_CIC[[SyRS]:[SyRS]],"")))</f>
        <v>MASTER-51338
MASTER-51341
MASTER-51808
MASTER-51811
UTICA-6116</v>
      </c>
      <c r="D78" s="12" t="str" cm="1">
        <f t="array" ref="D78">_xlfn.TEXTJOIN(CHAR(10),TRUE,_xlfn._xlws.SORT(IF((--($B78=Flowdown_CIC[[URS]:[URS]]))*(--(D$14=Flowdown_CIC[[Source.Name]:[Source.Name]])),Flowdown_CIC[[SyRS]:[SyRS]],"")))</f>
        <v>MASTER-51338
MASTER-51341
MASTER-51808
MASTER-51811</v>
      </c>
      <c r="E78" s="12" t="str" cm="1">
        <f t="array" ref="E78">_xlfn.TEXTJOIN(CHAR(10),TRUE,_xlfn._xlws.SORT(IF((--($B78=Flowdown_CIC[[URS]:[URS]]))*(--(E$14=Flowdown_CIC[[Source.Name]:[Source.Name]])),Flowdown_CIC[[SyRS]:[SyRS]],"")))</f>
        <v>MASTER-51338
MASTER-51341
MASTER-51808
MASTER-51811</v>
      </c>
      <c r="F78" s="12" t="str" cm="1">
        <f t="array" ref="F78">_xlfn.TEXTJOIN(CHAR(10),TRUE,_xlfn._xlws.SORT(IF((--($B78=Flowdown_CIC[[URS]:[URS]]))*(--(F$14=Flowdown_CIC[[Source.Name]:[Source.Name]])),Flowdown_CIC[[SyRS]:[SyRS]],"")))</f>
        <v>MASTER-51338
MASTER-51341
MASTER-51808
MASTER-51811</v>
      </c>
      <c r="G78" s="12" t="str" cm="1">
        <f t="array" ref="G78">_xlfn.TEXTJOIN(CHAR(10),TRUE,_xlfn._xlws.SORT(IF((--($B78=Flowdown_CIC[[URS]:[URS]]))*(--(G$14=Flowdown_CIC[[Source.Name]:[Source.Name]])),Flowdown_CIC[[SyRS]:[SyRS]],"")))</f>
        <v>MASTER-51338
MASTER-51341
MASTER-51808
MASTER-51811</v>
      </c>
      <c r="H78" s="12" t="str" cm="1">
        <f t="array" ref="H78">_xlfn.TEXTJOIN(CHAR(10),TRUE,_xlfn._xlws.SORT(IF((--($B78=Flowdown_CIC[[URS]:[URS]]))*(--(H$14=Flowdown_CIC[[Source.Name]:[Source.Name]])),Flowdown_CIC[[SyRS]:[SyRS]],"")))</f>
        <v>MASTER-51320</v>
      </c>
      <c r="I78" s="12" t="str" cm="1">
        <f t="array" ref="I78">_xlfn.TEXTJOIN(CHAR(10),TRUE,_xlfn._xlws.SORT(IF((--($B78=Flowdown_CIC[[URS]:[URS]]))*(--(I$14=Flowdown_CIC[[Source.Name]:[Source.Name]])),Flowdown_CIC[[SyRS]:[SyRS]],"")))</f>
        <v/>
      </c>
      <c r="J78" s="12" t="str" cm="1">
        <f t="array" ref="J78">_xlfn.TEXTJOIN(CHAR(10),TRUE,_xlfn._xlws.SORT(IF((--($B78=Flowdown_CIC[[URS]:[URS]]))*(--(J$14=Flowdown_CIC[[Source.Name]:[Source.Name]])),Flowdown_CIC[[SyRS]:[SyRS]],"")))</f>
        <v/>
      </c>
      <c r="K78" s="12" t="str" cm="1">
        <f t="array" ref="K78">_xlfn.TEXTJOIN(CHAR(10),TRUE,_xlfn._xlws.SORT(IF((--($B78=Flowdown_CIC[[URS]:[URS]]))*(--(K$14=Flowdown_CIC[[Source.Name]:[Source.Name]])),Flowdown_CIC[[SyRS]:[SyRS]],"")))</f>
        <v/>
      </c>
      <c r="L78" s="16" t="b" cm="1">
        <f t="array" ref="L78">OR(LEN(C78:K78)&gt;0)</f>
        <v>1</v>
      </c>
    </row>
    <row r="79" spans="2:12" ht="175.5" x14ac:dyDescent="0.2">
      <c r="B79" s="11" t="str">
        <v>MASTER-51681</v>
      </c>
      <c r="C79" s="12" t="str" cm="1">
        <f t="array" ref="C79">_xlfn.TEXTJOIN(CHAR(10),TRUE,_xlfn._xlws.SORT(IF((--($B79=Flowdown_CIC[[URS]:[URS]]))*(--(C$14=Flowdown_CIC[[Source.Name]:[Source.Name]])),Flowdown_CIC[[SyRS]:[SyRS]],"")))</f>
        <v/>
      </c>
      <c r="D79" s="12" t="str" cm="1">
        <f t="array" ref="D79">_xlfn.TEXTJOIN(CHAR(10),TRUE,_xlfn._xlws.SORT(IF((--($B79=Flowdown_CIC[[URS]:[URS]]))*(--(D$14=Flowdown_CIC[[Source.Name]:[Source.Name]])),Flowdown_CIC[[SyRS]:[SyRS]],"")))</f>
        <v/>
      </c>
      <c r="E79" s="12" t="str" cm="1">
        <f t="array" ref="E79">_xlfn.TEXTJOIN(CHAR(10),TRUE,_xlfn._xlws.SORT(IF((--($B79=Flowdown_CIC[[URS]:[URS]]))*(--(E$14=Flowdown_CIC[[Source.Name]:[Source.Name]])),Flowdown_CIC[[SyRS]:[SyRS]],"")))</f>
        <v/>
      </c>
      <c r="F79" s="12" t="str" cm="1">
        <f t="array" ref="F79">_xlfn.TEXTJOIN(CHAR(10),TRUE,_xlfn._xlws.SORT(IF((--($B79=Flowdown_CIC[[URS]:[URS]]))*(--(F$14=Flowdown_CIC[[Source.Name]:[Source.Name]])),Flowdown_CIC[[SyRS]:[SyRS]],"")))</f>
        <v/>
      </c>
      <c r="G79" s="12" t="str" cm="1">
        <f t="array" ref="G79">_xlfn.TEXTJOIN(CHAR(10),TRUE,_xlfn._xlws.SORT(IF((--($B79=Flowdown_CIC[[URS]:[URS]]))*(--(G$14=Flowdown_CIC[[Source.Name]:[Source.Name]])),Flowdown_CIC[[SyRS]:[SyRS]],"")))</f>
        <v/>
      </c>
      <c r="H79" s="12" t="str" cm="1">
        <f t="array" ref="H79">_xlfn.TEXTJOIN(CHAR(10),TRUE,_xlfn._xlws.SORT(IF((--($B79=Flowdown_CIC[[URS]:[URS]]))*(--(H$14=Flowdown_CIC[[Source.Name]:[Source.Name]])),Flowdown_CIC[[SyRS]:[SyRS]],"")))</f>
        <v/>
      </c>
      <c r="I79" s="12" t="str" cm="1">
        <f t="array" ref="I79">_xlfn.TEXTJOIN(CHAR(10),TRUE,_xlfn._xlws.SORT(IF((--($B79=Flowdown_CIC[[URS]:[URS]]))*(--(I$14=Flowdown_CIC[[Source.Name]:[Source.Name]])),Flowdown_CIC[[SyRS]:[SyRS]],"")))</f>
        <v/>
      </c>
      <c r="J79" s="12" t="str" cm="1">
        <f t="array" ref="J79">_xlfn.TEXTJOIN(CHAR(10),TRUE,_xlfn._xlws.SORT(IF((--($B79=Flowdown_CIC[[URS]:[URS]]))*(--(J$14=Flowdown_CIC[[Source.Name]:[Source.Name]])),Flowdown_CIC[[SyRS]:[SyRS]],"")))</f>
        <v/>
      </c>
      <c r="K79" s="12" t="str" cm="1">
        <f t="array" ref="K79">_xlfn.TEXTJOIN(CHAR(10),TRUE,_xlfn._xlws.SORT(IF((--($B79=Flowdown_CIC[[URS]:[URS]]))*(--(K$14=Flowdown_CIC[[Source.Name]:[Source.Name]])),Flowdown_CIC[[SyRS]:[SyRS]],"")))</f>
        <v>MASTER-51365
MASTER-51373
MASTER-51375
MASTER-51404
MASTER-51406
MASTER-51418
MASTER-51421
MASTER-51446
MASTER-51848
MASTER-51849
MASTER-51850
MASTER-51855
MASTER-51856</v>
      </c>
      <c r="L79" s="16" t="b" cm="1">
        <f t="array" ref="L79">OR(LEN(C79:K79)&gt;0)</f>
        <v>1</v>
      </c>
    </row>
    <row r="80" spans="2:12" ht="148.5" x14ac:dyDescent="0.2">
      <c r="B80" s="11" t="str">
        <v>MASTER-51682</v>
      </c>
      <c r="C80" s="12" t="str" cm="1">
        <f t="array" ref="C80">_xlfn.TEXTJOIN(CHAR(10),TRUE,_xlfn._xlws.SORT(IF((--($B80=Flowdown_CIC[[URS]:[URS]]))*(--(C$14=Flowdown_CIC[[Source.Name]:[Source.Name]])),Flowdown_CIC[[SyRS]:[SyRS]],"")))</f>
        <v/>
      </c>
      <c r="D80" s="12" t="str" cm="1">
        <f t="array" ref="D80">_xlfn.TEXTJOIN(CHAR(10),TRUE,_xlfn._xlws.SORT(IF((--($B80=Flowdown_CIC[[URS]:[URS]]))*(--(D$14=Flowdown_CIC[[Source.Name]:[Source.Name]])),Flowdown_CIC[[SyRS]:[SyRS]],"")))</f>
        <v/>
      </c>
      <c r="E80" s="12" t="str" cm="1">
        <f t="array" ref="E80">_xlfn.TEXTJOIN(CHAR(10),TRUE,_xlfn._xlws.SORT(IF((--($B80=Flowdown_CIC[[URS]:[URS]]))*(--(E$14=Flowdown_CIC[[Source.Name]:[Source.Name]])),Flowdown_CIC[[SyRS]:[SyRS]],"")))</f>
        <v/>
      </c>
      <c r="F80" s="12" t="str" cm="1">
        <f t="array" ref="F80">_xlfn.TEXTJOIN(CHAR(10),TRUE,_xlfn._xlws.SORT(IF((--($B80=Flowdown_CIC[[URS]:[URS]]))*(--(F$14=Flowdown_CIC[[Source.Name]:[Source.Name]])),Flowdown_CIC[[SyRS]:[SyRS]],"")))</f>
        <v/>
      </c>
      <c r="G80" s="12" t="str" cm="1">
        <f t="array" ref="G80">_xlfn.TEXTJOIN(CHAR(10),TRUE,_xlfn._xlws.SORT(IF((--($B80=Flowdown_CIC[[URS]:[URS]]))*(--(G$14=Flowdown_CIC[[Source.Name]:[Source.Name]])),Flowdown_CIC[[SyRS]:[SyRS]],"")))</f>
        <v/>
      </c>
      <c r="H80" s="12" t="str" cm="1">
        <f t="array" ref="H80">_xlfn.TEXTJOIN(CHAR(10),TRUE,_xlfn._xlws.SORT(IF((--($B80=Flowdown_CIC[[URS]:[URS]]))*(--(H$14=Flowdown_CIC[[Source.Name]:[Source.Name]])),Flowdown_CIC[[SyRS]:[SyRS]],"")))</f>
        <v/>
      </c>
      <c r="I80" s="12" t="str" cm="1">
        <f t="array" ref="I80">_xlfn.TEXTJOIN(CHAR(10),TRUE,_xlfn._xlws.SORT(IF((--($B80=Flowdown_CIC[[URS]:[URS]]))*(--(I$14=Flowdown_CIC[[Source.Name]:[Source.Name]])),Flowdown_CIC[[SyRS]:[SyRS]],"")))</f>
        <v/>
      </c>
      <c r="J80" s="12" t="str" cm="1">
        <f t="array" ref="J80">_xlfn.TEXTJOIN(CHAR(10),TRUE,_xlfn._xlws.SORT(IF((--($B80=Flowdown_CIC[[URS]:[URS]]))*(--(J$14=Flowdown_CIC[[Source.Name]:[Source.Name]])),Flowdown_CIC[[SyRS]:[SyRS]],"")))</f>
        <v/>
      </c>
      <c r="K80" s="12" t="str" cm="1">
        <f t="array" ref="K80">_xlfn.TEXTJOIN(CHAR(10),TRUE,_xlfn._xlws.SORT(IF((--($B80=Flowdown_CIC[[URS]:[URS]]))*(--(K$14=Flowdown_CIC[[Source.Name]:[Source.Name]])),Flowdown_CIC[[SyRS]:[SyRS]],"")))</f>
        <v>MASTER-51429
MASTER-51433
MASTER-51435
MASTER-51436
MASTER-51440
MASTER-51441
MASTER-51442
MASTER-51837
MASTER-51843
MASTER-51845
MASTER-51846</v>
      </c>
      <c r="L80" s="16" t="b" cm="1">
        <f t="array" ref="L80">OR(LEN(C80:K80)&gt;0)</f>
        <v>1</v>
      </c>
    </row>
    <row r="81" spans="2:12" ht="40.5" x14ac:dyDescent="0.2">
      <c r="B81" s="11" t="str">
        <v>MASTER-51683</v>
      </c>
      <c r="C81" s="12" t="str" cm="1">
        <f t="array" ref="C81">_xlfn.TEXTJOIN(CHAR(10),TRUE,_xlfn._xlws.SORT(IF((--($B81=Flowdown_CIC[[URS]:[URS]]))*(--(C$14=Flowdown_CIC[[Source.Name]:[Source.Name]])),Flowdown_CIC[[SyRS]:[SyRS]],"")))</f>
        <v/>
      </c>
      <c r="D81" s="12" t="str" cm="1">
        <f t="array" ref="D81">_xlfn.TEXTJOIN(CHAR(10),TRUE,_xlfn._xlws.SORT(IF((--($B81=Flowdown_CIC[[URS]:[URS]]))*(--(D$14=Flowdown_CIC[[Source.Name]:[Source.Name]])),Flowdown_CIC[[SyRS]:[SyRS]],"")))</f>
        <v/>
      </c>
      <c r="E81" s="12" t="str" cm="1">
        <f t="array" ref="E81">_xlfn.TEXTJOIN(CHAR(10),TRUE,_xlfn._xlws.SORT(IF((--($B81=Flowdown_CIC[[URS]:[URS]]))*(--(E$14=Flowdown_CIC[[Source.Name]:[Source.Name]])),Flowdown_CIC[[SyRS]:[SyRS]],"")))</f>
        <v/>
      </c>
      <c r="F81" s="12" t="str" cm="1">
        <f t="array" ref="F81">_xlfn.TEXTJOIN(CHAR(10),TRUE,_xlfn._xlws.SORT(IF((--($B81=Flowdown_CIC[[URS]:[URS]]))*(--(F$14=Flowdown_CIC[[Source.Name]:[Source.Name]])),Flowdown_CIC[[SyRS]:[SyRS]],"")))</f>
        <v/>
      </c>
      <c r="G81" s="12" t="str" cm="1">
        <f t="array" ref="G81">_xlfn.TEXTJOIN(CHAR(10),TRUE,_xlfn._xlws.SORT(IF((--($B81=Flowdown_CIC[[URS]:[URS]]))*(--(G$14=Flowdown_CIC[[Source.Name]:[Source.Name]])),Flowdown_CIC[[SyRS]:[SyRS]],"")))</f>
        <v/>
      </c>
      <c r="H81" s="12" t="str" cm="1">
        <f t="array" ref="H81">_xlfn.TEXTJOIN(CHAR(10),TRUE,_xlfn._xlws.SORT(IF((--($B81=Flowdown_CIC[[URS]:[URS]]))*(--(H$14=Flowdown_CIC[[Source.Name]:[Source.Name]])),Flowdown_CIC[[SyRS]:[SyRS]],"")))</f>
        <v/>
      </c>
      <c r="I81" s="12" t="str" cm="1">
        <f t="array" ref="I81">_xlfn.TEXTJOIN(CHAR(10),TRUE,_xlfn._xlws.SORT(IF((--($B81=Flowdown_CIC[[URS]:[URS]]))*(--(I$14=Flowdown_CIC[[Source.Name]:[Source.Name]])),Flowdown_CIC[[SyRS]:[SyRS]],"")))</f>
        <v/>
      </c>
      <c r="J81" s="12" t="str" cm="1">
        <f t="array" ref="J81">_xlfn.TEXTJOIN(CHAR(10),TRUE,_xlfn._xlws.SORT(IF((--($B81=Flowdown_CIC[[URS]:[URS]]))*(--(J$14=Flowdown_CIC[[Source.Name]:[Source.Name]])),Flowdown_CIC[[SyRS]:[SyRS]],"")))</f>
        <v/>
      </c>
      <c r="K81" s="12" t="str" cm="1">
        <f t="array" ref="K81">_xlfn.TEXTJOIN(CHAR(10),TRUE,_xlfn._xlws.SORT(IF((--($B81=Flowdown_CIC[[URS]:[URS]]))*(--(K$14=Flowdown_CIC[[Source.Name]:[Source.Name]])),Flowdown_CIC[[SyRS]:[SyRS]],"")))</f>
        <v>MASTER-51454
MASTER-51455
MASTER-51462</v>
      </c>
      <c r="L81" s="16" t="b" cm="1">
        <f t="array" ref="L81">OR(LEN(C81:K81)&gt;0)</f>
        <v>1</v>
      </c>
    </row>
    <row r="82" spans="2:12" ht="67.5" x14ac:dyDescent="0.2">
      <c r="B82" s="11" t="str">
        <v>MASTER-51684</v>
      </c>
      <c r="C82" s="12" t="str" cm="1">
        <f t="array" ref="C82">_xlfn.TEXTJOIN(CHAR(10),TRUE,_xlfn._xlws.SORT(IF((--($B82=Flowdown_CIC[[URS]:[URS]]))*(--(C$14=Flowdown_CIC[[Source.Name]:[Source.Name]])),Flowdown_CIC[[SyRS]:[SyRS]],"")))</f>
        <v>MASTER-51377
MASTER-51378</v>
      </c>
      <c r="D82" s="12" t="str" cm="1">
        <f t="array" ref="D82">_xlfn.TEXTJOIN(CHAR(10),TRUE,_xlfn._xlws.SORT(IF((--($B82=Flowdown_CIC[[URS]:[URS]]))*(--(D$14=Flowdown_CIC[[Source.Name]:[Source.Name]])),Flowdown_CIC[[SyRS]:[SyRS]],"")))</f>
        <v>MASTER-51377
MASTER-51378</v>
      </c>
      <c r="E82" s="12" t="str" cm="1">
        <f t="array" ref="E82">_xlfn.TEXTJOIN(CHAR(10),TRUE,_xlfn._xlws.SORT(IF((--($B82=Flowdown_CIC[[URS]:[URS]]))*(--(E$14=Flowdown_CIC[[Source.Name]:[Source.Name]])),Flowdown_CIC[[SyRS]:[SyRS]],"")))</f>
        <v>MASTER-51377
MASTER-51378</v>
      </c>
      <c r="F82" s="12" t="str" cm="1">
        <f t="array" ref="F82">_xlfn.TEXTJOIN(CHAR(10),TRUE,_xlfn._xlws.SORT(IF((--($B82=Flowdown_CIC[[URS]:[URS]]))*(--(F$14=Flowdown_CIC[[Source.Name]:[Source.Name]])),Flowdown_CIC[[SyRS]:[SyRS]],"")))</f>
        <v>MASTER-51377
MASTER-51378</v>
      </c>
      <c r="G82" s="12" t="str" cm="1">
        <f t="array" ref="G82">_xlfn.TEXTJOIN(CHAR(10),TRUE,_xlfn._xlws.SORT(IF((--($B82=Flowdown_CIC[[URS]:[URS]]))*(--(G$14=Flowdown_CIC[[Source.Name]:[Source.Name]])),Flowdown_CIC[[SyRS]:[SyRS]],"")))</f>
        <v>MASTER-51377
MASTER-51378</v>
      </c>
      <c r="H82" s="12" t="str" cm="1">
        <f t="array" ref="H82">_xlfn.TEXTJOIN(CHAR(10),TRUE,_xlfn._xlws.SORT(IF((--($B82=Flowdown_CIC[[URS]:[URS]]))*(--(H$14=Flowdown_CIC[[Source.Name]:[Source.Name]])),Flowdown_CIC[[SyRS]:[SyRS]],"")))</f>
        <v/>
      </c>
      <c r="I82" s="12" t="str" cm="1">
        <f t="array" ref="I82">_xlfn.TEXTJOIN(CHAR(10),TRUE,_xlfn._xlws.SORT(IF((--($B82=Flowdown_CIC[[URS]:[URS]]))*(--(I$14=Flowdown_CIC[[Source.Name]:[Source.Name]])),Flowdown_CIC[[SyRS]:[SyRS]],"")))</f>
        <v/>
      </c>
      <c r="J82" s="12" t="str" cm="1">
        <f t="array" ref="J82">_xlfn.TEXTJOIN(CHAR(10),TRUE,_xlfn._xlws.SORT(IF((--($B82=Flowdown_CIC[[URS]:[URS]]))*(--(J$14=Flowdown_CIC[[Source.Name]:[Source.Name]])),Flowdown_CIC[[SyRS]:[SyRS]],"")))</f>
        <v/>
      </c>
      <c r="K82" s="12" t="str" cm="1">
        <f t="array" ref="K82">_xlfn.TEXTJOIN(CHAR(10),TRUE,_xlfn._xlws.SORT(IF((--($B82=Flowdown_CIC[[URS]:[URS]]))*(--(K$14=Flowdown_CIC[[Source.Name]:[Source.Name]])),Flowdown_CIC[[SyRS]:[SyRS]],"")))</f>
        <v>MASTER-51373
MASTER-51384
MASTER-51395
MASTER-51396
MASTER-51852</v>
      </c>
      <c r="L82" s="16" t="b" cm="1">
        <f t="array" ref="L82">OR(LEN(C82:K82)&gt;0)</f>
        <v>1</v>
      </c>
    </row>
    <row r="83" spans="2:12" ht="54" x14ac:dyDescent="0.2">
      <c r="B83" s="11" t="str">
        <v>MASTER-51685</v>
      </c>
      <c r="C83" s="12" t="str" cm="1">
        <f t="array" ref="C83">_xlfn.TEXTJOIN(CHAR(10),TRUE,_xlfn._xlws.SORT(IF((--($B83=Flowdown_CIC[[URS]:[URS]]))*(--(C$14=Flowdown_CIC[[Source.Name]:[Source.Name]])),Flowdown_CIC[[SyRS]:[SyRS]],"")))</f>
        <v>MASTER-51330
MASTER-51809
MASTER-56914
MASTER-56916</v>
      </c>
      <c r="D83" s="12" t="str" cm="1">
        <f t="array" ref="D83">_xlfn.TEXTJOIN(CHAR(10),TRUE,_xlfn._xlws.SORT(IF((--($B83=Flowdown_CIC[[URS]:[URS]]))*(--(D$14=Flowdown_CIC[[Source.Name]:[Source.Name]])),Flowdown_CIC[[SyRS]:[SyRS]],"")))</f>
        <v>MASTER-51330
MASTER-51809
MASTER-56914
MASTER-56916</v>
      </c>
      <c r="E83" s="12" t="str" cm="1">
        <f t="array" ref="E83">_xlfn.TEXTJOIN(CHAR(10),TRUE,_xlfn._xlws.SORT(IF((--($B83=Flowdown_CIC[[URS]:[URS]]))*(--(E$14=Flowdown_CIC[[Source.Name]:[Source.Name]])),Flowdown_CIC[[SyRS]:[SyRS]],"")))</f>
        <v>MASTER-51330
MASTER-51809</v>
      </c>
      <c r="F83" s="12" t="str" cm="1">
        <f t="array" ref="F83">_xlfn.TEXTJOIN(CHAR(10),TRUE,_xlfn._xlws.SORT(IF((--($B83=Flowdown_CIC[[URS]:[URS]]))*(--(F$14=Flowdown_CIC[[Source.Name]:[Source.Name]])),Flowdown_CIC[[SyRS]:[SyRS]],"")))</f>
        <v>MASTER-51330
MASTER-51809</v>
      </c>
      <c r="G83" s="12" t="str" cm="1">
        <f t="array" ref="G83">_xlfn.TEXTJOIN(CHAR(10),TRUE,_xlfn._xlws.SORT(IF((--($B83=Flowdown_CIC[[URS]:[URS]]))*(--(G$14=Flowdown_CIC[[Source.Name]:[Source.Name]])),Flowdown_CIC[[SyRS]:[SyRS]],"")))</f>
        <v>MASTER-51330
MASTER-51809</v>
      </c>
      <c r="H83" s="12" t="str" cm="1">
        <f t="array" ref="H83">_xlfn.TEXTJOIN(CHAR(10),TRUE,_xlfn._xlws.SORT(IF((--($B83=Flowdown_CIC[[URS]:[URS]]))*(--(H$14=Flowdown_CIC[[Source.Name]:[Source.Name]])),Flowdown_CIC[[SyRS]:[SyRS]],"")))</f>
        <v>MASTER-51319
MASTER-56919</v>
      </c>
      <c r="I83" s="12" t="str" cm="1">
        <f t="array" ref="I83">_xlfn.TEXTJOIN(CHAR(10),TRUE,_xlfn._xlws.SORT(IF((--($B83=Flowdown_CIC[[URS]:[URS]]))*(--(I$14=Flowdown_CIC[[Source.Name]:[Source.Name]])),Flowdown_CIC[[SyRS]:[SyRS]],"")))</f>
        <v/>
      </c>
      <c r="J83" s="12" t="str" cm="1">
        <f t="array" ref="J83">_xlfn.TEXTJOIN(CHAR(10),TRUE,_xlfn._xlws.SORT(IF((--($B83=Flowdown_CIC[[URS]:[URS]]))*(--(J$14=Flowdown_CIC[[Source.Name]:[Source.Name]])),Flowdown_CIC[[SyRS]:[SyRS]],"")))</f>
        <v/>
      </c>
      <c r="K83" s="12" t="str" cm="1">
        <f t="array" ref="K83">_xlfn.TEXTJOIN(CHAR(10),TRUE,_xlfn._xlws.SORT(IF((--($B83=Flowdown_CIC[[URS]:[URS]]))*(--(K$14=Flowdown_CIC[[Source.Name]:[Source.Name]])),Flowdown_CIC[[SyRS]:[SyRS]],"")))</f>
        <v/>
      </c>
      <c r="L83" s="16" t="b" cm="1">
        <f t="array" ref="L83">OR(LEN(C83:K83)&gt;0)</f>
        <v>1</v>
      </c>
    </row>
    <row r="84" spans="2:12" ht="40.5" x14ac:dyDescent="0.2">
      <c r="B84" s="11" t="str">
        <v>MASTER-51686</v>
      </c>
      <c r="C84" s="12" t="str" cm="1">
        <f t="array" ref="C84">_xlfn.TEXTJOIN(CHAR(10),TRUE,_xlfn._xlws.SORT(IF((--($B84=Flowdown_CIC[[URS]:[URS]]))*(--(C$14=Flowdown_CIC[[Source.Name]:[Source.Name]])),Flowdown_CIC[[SyRS]:[SyRS]],"")))</f>
        <v>MASTER-51353</v>
      </c>
      <c r="D84" s="12" t="str" cm="1">
        <f t="array" ref="D84">_xlfn.TEXTJOIN(CHAR(10),TRUE,_xlfn._xlws.SORT(IF((--($B84=Flowdown_CIC[[URS]:[URS]]))*(--(D$14=Flowdown_CIC[[Source.Name]:[Source.Name]])),Flowdown_CIC[[SyRS]:[SyRS]],"")))</f>
        <v>MASTER-51353</v>
      </c>
      <c r="E84" s="12" t="str" cm="1">
        <f t="array" ref="E84">_xlfn.TEXTJOIN(CHAR(10),TRUE,_xlfn._xlws.SORT(IF((--($B84=Flowdown_CIC[[URS]:[URS]]))*(--(E$14=Flowdown_CIC[[Source.Name]:[Source.Name]])),Flowdown_CIC[[SyRS]:[SyRS]],"")))</f>
        <v>MASTER-51353</v>
      </c>
      <c r="F84" s="12" t="str" cm="1">
        <f t="array" ref="F84">_xlfn.TEXTJOIN(CHAR(10),TRUE,_xlfn._xlws.SORT(IF((--($B84=Flowdown_CIC[[URS]:[URS]]))*(--(F$14=Flowdown_CIC[[Source.Name]:[Source.Name]])),Flowdown_CIC[[SyRS]:[SyRS]],"")))</f>
        <v>MASTER-51353</v>
      </c>
      <c r="G84" s="12" t="str" cm="1">
        <f t="array" ref="G84">_xlfn.TEXTJOIN(CHAR(10),TRUE,_xlfn._xlws.SORT(IF((--($B84=Flowdown_CIC[[URS]:[URS]]))*(--(G$14=Flowdown_CIC[[Source.Name]:[Source.Name]])),Flowdown_CIC[[SyRS]:[SyRS]],"")))</f>
        <v>MASTER-51353</v>
      </c>
      <c r="H84" s="12" t="str" cm="1">
        <f t="array" ref="H84">_xlfn.TEXTJOIN(CHAR(10),TRUE,_xlfn._xlws.SORT(IF((--($B84=Flowdown_CIC[[URS]:[URS]]))*(--(H$14=Flowdown_CIC[[Source.Name]:[Source.Name]])),Flowdown_CIC[[SyRS]:[SyRS]],"")))</f>
        <v>MASTER-51325
MASTER-51326
MASTER-51351</v>
      </c>
      <c r="I84" s="12" t="str" cm="1">
        <f t="array" ref="I84">_xlfn.TEXTJOIN(CHAR(10),TRUE,_xlfn._xlws.SORT(IF((--($B84=Flowdown_CIC[[URS]:[URS]]))*(--(I$14=Flowdown_CIC[[Source.Name]:[Source.Name]])),Flowdown_CIC[[SyRS]:[SyRS]],"")))</f>
        <v/>
      </c>
      <c r="J84" s="12" t="str" cm="1">
        <f t="array" ref="J84">_xlfn.TEXTJOIN(CHAR(10),TRUE,_xlfn._xlws.SORT(IF((--($B84=Flowdown_CIC[[URS]:[URS]]))*(--(J$14=Flowdown_CIC[[Source.Name]:[Source.Name]])),Flowdown_CIC[[SyRS]:[SyRS]],"")))</f>
        <v/>
      </c>
      <c r="K84" s="12" t="str" cm="1">
        <f t="array" ref="K84">_xlfn.TEXTJOIN(CHAR(10),TRUE,_xlfn._xlws.SORT(IF((--($B84=Flowdown_CIC[[URS]:[URS]]))*(--(K$14=Flowdown_CIC[[Source.Name]:[Source.Name]])),Flowdown_CIC[[SyRS]:[SyRS]],"")))</f>
        <v>MASTER-51454</v>
      </c>
      <c r="L84" s="16" t="b" cm="1">
        <f t="array" ref="L84">OR(LEN(C84:K84)&gt;0)</f>
        <v>1</v>
      </c>
    </row>
    <row r="85" spans="2:12" ht="409.5" x14ac:dyDescent="0.2">
      <c r="B85" s="11" t="str">
        <v>MASTER-51806</v>
      </c>
      <c r="C85" s="12" t="str" cm="1">
        <f t="array" ref="C85">_xlfn.TEXTJOIN(CHAR(10),TRUE,_xlfn._xlws.SORT(IF((--($B85=Flowdown_CIC[[URS]:[URS]]))*(--(C$14=Flowdown_CIC[[Source.Name]:[Source.Name]])),Flowdown_CIC[[SyRS]:[SyRS]],"")))</f>
        <v/>
      </c>
      <c r="D85" s="12" t="str" cm="1">
        <f t="array" ref="D85">_xlfn.TEXTJOIN(CHAR(10),TRUE,_xlfn._xlws.SORT(IF((--($B85=Flowdown_CIC[[URS]:[URS]]))*(--(D$14=Flowdown_CIC[[Source.Name]:[Source.Name]])),Flowdown_CIC[[SyRS]:[SyRS]],"")))</f>
        <v/>
      </c>
      <c r="E85" s="12" t="str" cm="1">
        <f t="array" ref="E85">_xlfn.TEXTJOIN(CHAR(10),TRUE,_xlfn._xlws.SORT(IF((--($B85=Flowdown_CIC[[URS]:[URS]]))*(--(E$14=Flowdown_CIC[[Source.Name]:[Source.Name]])),Flowdown_CIC[[SyRS]:[SyRS]],"")))</f>
        <v/>
      </c>
      <c r="F85" s="12" t="str" cm="1">
        <f t="array" ref="F85">_xlfn.TEXTJOIN(CHAR(10),TRUE,_xlfn._xlws.SORT(IF((--($B85=Flowdown_CIC[[URS]:[URS]]))*(--(F$14=Flowdown_CIC[[Source.Name]:[Source.Name]])),Flowdown_CIC[[SyRS]:[SyRS]],"")))</f>
        <v/>
      </c>
      <c r="G85" s="12" t="str" cm="1">
        <f t="array" ref="G85">_xlfn.TEXTJOIN(CHAR(10),TRUE,_xlfn._xlws.SORT(IF((--($B85=Flowdown_CIC[[URS]:[URS]]))*(--(G$14=Flowdown_CIC[[Source.Name]:[Source.Name]])),Flowdown_CIC[[SyRS]:[SyRS]],"")))</f>
        <v/>
      </c>
      <c r="H85" s="12" t="str" cm="1">
        <f t="array" ref="H85">_xlfn.TEXTJOIN(CHAR(10),TRUE,_xlfn._xlws.SORT(IF((--($B85=Flowdown_CIC[[URS]:[URS]]))*(--(H$14=Flowdown_CIC[[Source.Name]:[Source.Name]])),Flowdown_CIC[[SyRS]:[SyRS]],"")))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5" s="12" t="str" cm="1">
        <f t="array" ref="I85">_xlfn.TEXTJOIN(CHAR(10),TRUE,_xlfn._xlws.SORT(IF((--($B85=Flowdown_CIC[[URS]:[URS]]))*(--(I$14=Flowdown_CIC[[Source.Name]:[Source.Name]])),Flowdown_CIC[[SyRS]:[SyRS]],"")))</f>
        <v/>
      </c>
      <c r="J85" s="12" t="str" cm="1">
        <f t="array" ref="J85">_xlfn.TEXTJOIN(CHAR(10),TRUE,_xlfn._xlws.SORT(IF((--($B85=Flowdown_CIC[[URS]:[URS]]))*(--(J$14=Flowdown_CIC[[Source.Name]:[Source.Name]])),Flowdown_CIC[[SyRS]:[SyRS]],"")))</f>
        <v/>
      </c>
      <c r="K85" s="12" t="str" cm="1">
        <f t="array" ref="K85">_xlfn.TEXTJOIN(CHAR(10),TRUE,_xlfn._xlws.SORT(IF((--($B85=Flowdown_CIC[[URS]:[URS]]))*(--(K$14=Flowdown_CIC[[Source.Name]:[Source.Name]])),Flowdown_CIC[[SyRS]:[SyRS]],"")))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
UTICA-6774
UTICA-6775
UTICA-6776</v>
      </c>
      <c r="L85" s="16" t="b" cm="1">
        <f t="array" ref="L85">OR(LEN(C85:K85)&gt;0)</f>
        <v>1</v>
      </c>
    </row>
    <row r="86" spans="2:12" ht="94.5" x14ac:dyDescent="0.2">
      <c r="B86" s="11" t="str">
        <v>MASTER-53050</v>
      </c>
      <c r="C86" s="12" t="str" cm="1">
        <f t="array" ref="C86">_xlfn.TEXTJOIN(CHAR(10),TRUE,_xlfn._xlws.SORT(IF((--($B86=Flowdown_CIC[[URS]:[URS]]))*(--(C$14=Flowdown_CIC[[Source.Name]:[Source.Name]])),Flowdown_CIC[[SyRS]:[SyRS]],"")))</f>
        <v>MASTER-51891
MASTER-51893
MASTER-51894
MASTER-51895
MASTER-51897
MASTER-51898
MASTER-51899</v>
      </c>
      <c r="D86" s="12" t="str" cm="1">
        <f t="array" ref="D86">_xlfn.TEXTJOIN(CHAR(10),TRUE,_xlfn._xlws.SORT(IF((--($B86=Flowdown_CIC[[URS]:[URS]]))*(--(D$14=Flowdown_CIC[[Source.Name]:[Source.Name]])),Flowdown_CIC[[SyRS]:[SyRS]],"")))</f>
        <v>MASTER-51891
MASTER-51893
MASTER-51894
MASTER-51895
MASTER-51897
MASTER-51898
MASTER-51899</v>
      </c>
      <c r="E86" s="12" t="str" cm="1">
        <f t="array" ref="E86">_xlfn.TEXTJOIN(CHAR(10),TRUE,_xlfn._xlws.SORT(IF((--($B86=Flowdown_CIC[[URS]:[URS]]))*(--(E$14=Flowdown_CIC[[Source.Name]:[Source.Name]])),Flowdown_CIC[[SyRS]:[SyRS]],"")))</f>
        <v>MASTER-51891
MASTER-51893
MASTER-51894
MASTER-51895
MASTER-51897
MASTER-51898
MASTER-51899</v>
      </c>
      <c r="F86" s="12" t="str" cm="1">
        <f t="array" ref="F86">_xlfn.TEXTJOIN(CHAR(10),TRUE,_xlfn._xlws.SORT(IF((--($B86=Flowdown_CIC[[URS]:[URS]]))*(--(F$14=Flowdown_CIC[[Source.Name]:[Source.Name]])),Flowdown_CIC[[SyRS]:[SyRS]],"")))</f>
        <v>MASTER-51891
MASTER-51893
MASTER-51894
MASTER-51895
MASTER-51897
MASTER-51898
MASTER-51899</v>
      </c>
      <c r="G86" s="12" t="str" cm="1">
        <f t="array" ref="G86">_xlfn.TEXTJOIN(CHAR(10),TRUE,_xlfn._xlws.SORT(IF((--($B86=Flowdown_CIC[[URS]:[URS]]))*(--(G$14=Flowdown_CIC[[Source.Name]:[Source.Name]])),Flowdown_CIC[[SyRS]:[SyRS]],"")))</f>
        <v>MASTER-51891
MASTER-51893
MASTER-51894
MASTER-51895
MASTER-51897
MASTER-51898
MASTER-51899</v>
      </c>
      <c r="H86" s="12" t="str" cm="1">
        <f t="array" ref="H86">_xlfn.TEXTJOIN(CHAR(10),TRUE,_xlfn._xlws.SORT(IF((--($B86=Flowdown_CIC[[URS]:[URS]]))*(--(H$14=Flowdown_CIC[[Source.Name]:[Source.Name]])),Flowdown_CIC[[SyRS]:[SyRS]],"")))</f>
        <v>MASTER-51883
MASTER-51886
MASTER-51887
MASTER-51888
MASTER-51889
MASTER-51890
UTICA-4774</v>
      </c>
      <c r="I86" s="12" t="str" cm="1">
        <f t="array" ref="I86">_xlfn.TEXTJOIN(CHAR(10),TRUE,_xlfn._xlws.SORT(IF((--($B86=Flowdown_CIC[[URS]:[URS]]))*(--(I$14=Flowdown_CIC[[Source.Name]:[Source.Name]])),Flowdown_CIC[[SyRS]:[SyRS]],"")))</f>
        <v/>
      </c>
      <c r="J86" s="12" t="str" cm="1">
        <f t="array" ref="J86">_xlfn.TEXTJOIN(CHAR(10),TRUE,_xlfn._xlws.SORT(IF((--($B86=Flowdown_CIC[[URS]:[URS]]))*(--(J$14=Flowdown_CIC[[Source.Name]:[Source.Name]])),Flowdown_CIC[[SyRS]:[SyRS]],"")))</f>
        <v/>
      </c>
      <c r="K86" s="12" t="str" cm="1">
        <f t="array" ref="K86">_xlfn.TEXTJOIN(CHAR(10),TRUE,_xlfn._xlws.SORT(IF((--($B86=Flowdown_CIC[[URS]:[URS]]))*(--(K$14=Flowdown_CIC[[Source.Name]:[Source.Name]])),Flowdown_CIC[[SyRS]:[SyRS]],"")))</f>
        <v/>
      </c>
      <c r="L86" s="16" t="b" cm="1">
        <f t="array" ref="L86">OR(LEN(C86:K86)&gt;0)</f>
        <v>1</v>
      </c>
    </row>
    <row r="87" spans="2:12" ht="202.5" x14ac:dyDescent="0.2">
      <c r="B87" s="11" t="str">
        <v>MASTER-56060</v>
      </c>
      <c r="C87" s="12" t="str" cm="1">
        <f t="array" ref="C87">_xlfn.TEXTJOIN(CHAR(10),TRUE,_xlfn._xlws.SORT(IF((--($B87=Flowdown_CIC[[URS]:[URS]]))*(--(C$14=Flowdown_CIC[[Source.Name]:[Source.Name]])),Flowdown_CIC[[SyRS]:[SyRS]],"")))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7" s="12" t="str" cm="1">
        <f t="array" ref="D87">_xlfn.TEXTJOIN(CHAR(10),TRUE,_xlfn._xlws.SORT(IF((--($B87=Flowdown_CIC[[URS]:[URS]]))*(--(D$14=Flowdown_CIC[[Source.Name]:[Source.Name]])),Flowdown_CIC[[SyRS]:[SyRS]],"")))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7" s="12" t="str" cm="1">
        <f t="array" ref="E87">_xlfn.TEXTJOIN(CHAR(10),TRUE,_xlfn._xlws.SORT(IF((--($B87=Flowdown_CIC[[URS]:[URS]]))*(--(E$14=Flowdown_CIC[[Source.Name]:[Source.Name]])),Flowdown_CIC[[SyRS]:[SyRS]],"")))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7" s="12" t="str" cm="1">
        <f t="array" ref="F87">_xlfn.TEXTJOIN(CHAR(10),TRUE,_xlfn._xlws.SORT(IF((--($B87=Flowdown_CIC[[URS]:[URS]]))*(--(F$14=Flowdown_CIC[[Source.Name]:[Source.Name]])),Flowdown_CIC[[SyRS]:[SyRS]],"")))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7" s="12" t="str" cm="1">
        <f t="array" ref="G87">_xlfn.TEXTJOIN(CHAR(10),TRUE,_xlfn._xlws.SORT(IF((--($B87=Flowdown_CIC[[URS]:[URS]]))*(--(G$14=Flowdown_CIC[[Source.Name]:[Source.Name]])),Flowdown_CIC[[SyRS]:[SyRS]],"")))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7" s="12" t="str" cm="1">
        <f t="array" ref="H87">_xlfn.TEXTJOIN(CHAR(10),TRUE,_xlfn._xlws.SORT(IF((--($B87=Flowdown_CIC[[URS]:[URS]]))*(--(H$14=Flowdown_CIC[[Source.Name]:[Source.Name]])),Flowdown_CIC[[SyRS]:[SyRS]],"")))</f>
        <v/>
      </c>
      <c r="I87" s="12" t="str" cm="1">
        <f t="array" ref="I87">_xlfn.TEXTJOIN(CHAR(10),TRUE,_xlfn._xlws.SORT(IF((--($B87=Flowdown_CIC[[URS]:[URS]]))*(--(I$14=Flowdown_CIC[[Source.Name]:[Source.Name]])),Flowdown_CIC[[SyRS]:[SyRS]],"")))</f>
        <v/>
      </c>
      <c r="J87" s="12" t="str" cm="1">
        <f t="array" ref="J87">_xlfn.TEXTJOIN(CHAR(10),TRUE,_xlfn._xlws.SORT(IF((--($B87=Flowdown_CIC[[URS]:[URS]]))*(--(J$14=Flowdown_CIC[[Source.Name]:[Source.Name]])),Flowdown_CIC[[SyRS]:[SyRS]],"")))</f>
        <v/>
      </c>
      <c r="K87" s="12" t="str" cm="1">
        <f t="array" ref="K87">_xlfn.TEXTJOIN(CHAR(10),TRUE,_xlfn._xlws.SORT(IF((--($B87=Flowdown_CIC[[URS]:[URS]]))*(--(K$14=Flowdown_CIC[[Source.Name]:[Source.Name]])),Flowdown_CIC[[SyRS]:[SyRS]],"")))</f>
        <v>MASTER-56594
MASTER-56596
MASTER-56598
MASTER-57009
UTICA-24859</v>
      </c>
      <c r="L87" s="16" t="b" cm="1">
        <f t="array" ref="L87">OR(LEN(C87:K87)&gt;0)</f>
        <v>1</v>
      </c>
    </row>
    <row r="88" spans="2:12" ht="202.5" x14ac:dyDescent="0.2">
      <c r="B88" s="11" t="str">
        <v>MASTER-56062</v>
      </c>
      <c r="C88" s="12" t="str" cm="1">
        <f t="array" ref="C88">_xlfn.TEXTJOIN(CHAR(10),TRUE,_xlfn._xlws.SORT(IF((--($B88=Flowdown_CIC[[URS]:[URS]]))*(--(C$14=Flowdown_CIC[[Source.Name]:[Source.Name]])),Flowdown_CIC[[SyRS]:[SyRS]],"")))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8" s="12" t="str" cm="1">
        <f t="array" ref="D88">_xlfn.TEXTJOIN(CHAR(10),TRUE,_xlfn._xlws.SORT(IF((--($B88=Flowdown_CIC[[URS]:[URS]]))*(--(D$14=Flowdown_CIC[[Source.Name]:[Source.Name]])),Flowdown_CIC[[SyRS]:[SyRS]],"")))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8" s="12" t="str" cm="1">
        <f t="array" ref="E88">_xlfn.TEXTJOIN(CHAR(10),TRUE,_xlfn._xlws.SORT(IF((--($B88=Flowdown_CIC[[URS]:[URS]]))*(--(E$14=Flowdown_CIC[[Source.Name]:[Source.Name]])),Flowdown_CIC[[SyRS]:[SyRS]],"")))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8" s="12" t="str" cm="1">
        <f t="array" ref="F88">_xlfn.TEXTJOIN(CHAR(10),TRUE,_xlfn._xlws.SORT(IF((--($B88=Flowdown_CIC[[URS]:[URS]]))*(--(F$14=Flowdown_CIC[[Source.Name]:[Source.Name]])),Flowdown_CIC[[SyRS]:[SyRS]],"")))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8" s="12" t="str" cm="1">
        <f t="array" ref="G88">_xlfn.TEXTJOIN(CHAR(10),TRUE,_xlfn._xlws.SORT(IF((--($B88=Flowdown_CIC[[URS]:[URS]]))*(--(G$14=Flowdown_CIC[[Source.Name]:[Source.Name]])),Flowdown_CIC[[SyRS]:[SyRS]],"")))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8" s="12" t="str" cm="1">
        <f t="array" ref="H88">_xlfn.TEXTJOIN(CHAR(10),TRUE,_xlfn._xlws.SORT(IF((--($B88=Flowdown_CIC[[URS]:[URS]]))*(--(H$14=Flowdown_CIC[[Source.Name]:[Source.Name]])),Flowdown_CIC[[SyRS]:[SyRS]],"")))</f>
        <v>MASTER-56575
MASTER-56578
MASTER-56579
MASTER-56583
MASTER-56585
MASTER-56586
MASTER-56589</v>
      </c>
      <c r="I88" s="12" t="str" cm="1">
        <f t="array" ref="I88">_xlfn.TEXTJOIN(CHAR(10),TRUE,_xlfn._xlws.SORT(IF((--($B88=Flowdown_CIC[[URS]:[URS]]))*(--(I$14=Flowdown_CIC[[Source.Name]:[Source.Name]])),Flowdown_CIC[[SyRS]:[SyRS]],"")))</f>
        <v/>
      </c>
      <c r="J88" s="12" t="str" cm="1">
        <f t="array" ref="J88">_xlfn.TEXTJOIN(CHAR(10),TRUE,_xlfn._xlws.SORT(IF((--($B88=Flowdown_CIC[[URS]:[URS]]))*(--(J$14=Flowdown_CIC[[Source.Name]:[Source.Name]])),Flowdown_CIC[[SyRS]:[SyRS]],"")))</f>
        <v/>
      </c>
      <c r="K88" s="12" t="str" cm="1">
        <f t="array" ref="K88">_xlfn.TEXTJOIN(CHAR(10),TRUE,_xlfn._xlws.SORT(IF((--($B88=Flowdown_CIC[[URS]:[URS]]))*(--(K$14=Flowdown_CIC[[Source.Name]:[Source.Name]])),Flowdown_CIC[[SyRS]:[SyRS]],"")))</f>
        <v/>
      </c>
      <c r="L88" s="16" t="b" cm="1">
        <f t="array" ref="L88">OR(LEN(C88:K88)&gt;0)</f>
        <v>1</v>
      </c>
    </row>
    <row r="89" spans="2:12" ht="409.5" x14ac:dyDescent="0.2">
      <c r="B89" s="11" t="str">
        <v>MASTER-56063</v>
      </c>
      <c r="C89" s="12" t="str" cm="1">
        <f t="array" ref="C89">_xlfn.TEXTJOIN(CHAR(10),TRUE,_xlfn._xlws.SORT(IF((--($B89=Flowdown_CIC[[URS]:[URS]]))*(--(C$14=Flowdown_CIC[[Source.Name]:[Source.Name]])),Flowdown_CIC[[SyRS]:[SyRS]],"")))</f>
        <v>MASTER-56883
MASTER-56885
MASTER-56886
MASTER-56887
MASTER-56888
MASTER-56889
MASTER-60855
MASTER-60856
MASTER-60857
MASTER-61843
MASTER-61844</v>
      </c>
      <c r="D89" s="12" t="str" cm="1">
        <f t="array" ref="D89">_xlfn.TEXTJOIN(CHAR(10),TRUE,_xlfn._xlws.SORT(IF((--($B89=Flowdown_CIC[[URS]:[URS]]))*(--(D$14=Flowdown_CIC[[Source.Name]:[Source.Name]])),Flowdown_CIC[[SyRS]:[SyRS]],"")))</f>
        <v>MASTER-56883
MASTER-56885
MASTER-56886
MASTER-56887
MASTER-56888
MASTER-56889
MASTER-60855
MASTER-60856
MASTER-60857
MASTER-61843
MASTER-61844</v>
      </c>
      <c r="E89" s="12" t="str" cm="1">
        <f t="array" ref="E89">_xlfn.TEXTJOIN(CHAR(10),TRUE,_xlfn._xlws.SORT(IF((--($B89=Flowdown_CIC[[URS]:[URS]]))*(--(E$14=Flowdown_CIC[[Source.Name]:[Source.Name]])),Flowdown_CIC[[SyRS]:[SyRS]],"")))</f>
        <v>MASTER-56883
MASTER-56885
MASTER-56886
MASTER-56887
MASTER-56888
MASTER-56889
MASTER-60855
MASTER-60856
MASTER-60857
MASTER-61843
MASTER-61844</v>
      </c>
      <c r="F89" s="12" t="str" cm="1">
        <f t="array" ref="F89">_xlfn.TEXTJOIN(CHAR(10),TRUE,_xlfn._xlws.SORT(IF((--($B89=Flowdown_CIC[[URS]:[URS]]))*(--(F$14=Flowdown_CIC[[Source.Name]:[Source.Name]])),Flowdown_CIC[[SyRS]:[SyRS]],"")))</f>
        <v>MASTER-56883
MASTER-56885
MASTER-56886
MASTER-56887
MASTER-56888
MASTER-56889
MASTER-60855
MASTER-60856
MASTER-60857
MASTER-61843
MASTER-61844</v>
      </c>
      <c r="G89" s="12" t="str" cm="1">
        <f t="array" ref="G89">_xlfn.TEXTJOIN(CHAR(10),TRUE,_xlfn._xlws.SORT(IF((--($B89=Flowdown_CIC[[URS]:[URS]]))*(--(G$14=Flowdown_CIC[[Source.Name]:[Source.Name]])),Flowdown_CIC[[SyRS]:[SyRS]],"")))</f>
        <v>MASTER-56883
MASTER-56885
MASTER-56886
MASTER-56887
MASTER-56888
MASTER-56889
MASTER-60855
MASTER-60856
MASTER-60857
MASTER-61843
MASTER-61844</v>
      </c>
      <c r="H89" s="12" t="str" cm="1">
        <f t="array" ref="H89">_xlfn.TEXTJOIN(CHAR(10),TRUE,_xlfn._xlws.SORT(IF((--($B89=Flowdown_CIC[[URS]:[URS]]))*(--(H$14=Flowdown_CIC[[Source.Name]:[Source.Name]])),Flowdown_CIC[[SyRS]:[SyRS]],"")))</f>
        <v/>
      </c>
      <c r="I89" s="12" t="str" cm="1">
        <f t="array" ref="I89">_xlfn.TEXTJOIN(CHAR(10),TRUE,_xlfn._xlws.SORT(IF((--($B89=Flowdown_CIC[[URS]:[URS]]))*(--(I$14=Flowdown_CIC[[Source.Name]:[Source.Name]])),Flowdown_CIC[[SyRS]:[SyRS]],"")))</f>
        <v/>
      </c>
      <c r="J89" s="12" t="str" cm="1">
        <f t="array" ref="J89">_xlfn.TEXTJOIN(CHAR(10),TRUE,_xlfn._xlws.SORT(IF((--($B89=Flowdown_CIC[[URS]:[URS]]))*(--(J$14=Flowdown_CIC[[Source.Name]:[Source.Name]])),Flowdown_CIC[[SyRS]:[SyRS]],"")))</f>
        <v/>
      </c>
      <c r="K89" s="12" t="str" cm="1">
        <f t="array" ref="K89">_xlfn.TEXTJOIN(CHAR(10),TRUE,_xlfn._xlws.SORT(IF((--($B89=Flowdown_CIC[[URS]:[URS]]))*(--(K$14=Flowdown_CIC[[Source.Name]:[Source.Name]])),Flowdown_CIC[[SyRS]:[SyRS]],"")))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89" s="16" t="b" cm="1">
        <f t="array" ref="L89">OR(LEN(C89:K89)&gt;0)</f>
        <v>1</v>
      </c>
    </row>
    <row r="90" spans="2:12" ht="13.5" x14ac:dyDescent="0.2">
      <c r="B90" s="11" t="str">
        <v>MASTER-56066</v>
      </c>
      <c r="C90" s="12" t="str" cm="1">
        <f t="array" ref="C90">_xlfn.TEXTJOIN(CHAR(10),TRUE,_xlfn._xlws.SORT(IF((--($B90=Flowdown_CIC[[URS]:[URS]]))*(--(C$14=Flowdown_CIC[[Source.Name]:[Source.Name]])),Flowdown_CIC[[SyRS]:[SyRS]],"")))</f>
        <v/>
      </c>
      <c r="D90" s="12" t="str" cm="1">
        <f t="array" ref="D90">_xlfn.TEXTJOIN(CHAR(10),TRUE,_xlfn._xlws.SORT(IF((--($B90=Flowdown_CIC[[URS]:[URS]]))*(--(D$14=Flowdown_CIC[[Source.Name]:[Source.Name]])),Flowdown_CIC[[SyRS]:[SyRS]],"")))</f>
        <v/>
      </c>
      <c r="E90" s="12" t="str" cm="1">
        <f t="array" ref="E90">_xlfn.TEXTJOIN(CHAR(10),TRUE,_xlfn._xlws.SORT(IF((--($B90=Flowdown_CIC[[URS]:[URS]]))*(--(E$14=Flowdown_CIC[[Source.Name]:[Source.Name]])),Flowdown_CIC[[SyRS]:[SyRS]],"")))</f>
        <v/>
      </c>
      <c r="F90" s="12" t="str" cm="1">
        <f t="array" ref="F90">_xlfn.TEXTJOIN(CHAR(10),TRUE,_xlfn._xlws.SORT(IF((--($B90=Flowdown_CIC[[URS]:[URS]]))*(--(F$14=Flowdown_CIC[[Source.Name]:[Source.Name]])),Flowdown_CIC[[SyRS]:[SyRS]],"")))</f>
        <v/>
      </c>
      <c r="G90" s="12" t="str" cm="1">
        <f t="array" ref="G90">_xlfn.TEXTJOIN(CHAR(10),TRUE,_xlfn._xlws.SORT(IF((--($B90=Flowdown_CIC[[URS]:[URS]]))*(--(G$14=Flowdown_CIC[[Source.Name]:[Source.Name]])),Flowdown_CIC[[SyRS]:[SyRS]],"")))</f>
        <v/>
      </c>
      <c r="H90" s="12" t="str" cm="1">
        <f t="array" ref="H90">_xlfn.TEXTJOIN(CHAR(10),TRUE,_xlfn._xlws.SORT(IF((--($B90=Flowdown_CIC[[URS]:[URS]]))*(--(H$14=Flowdown_CIC[[Source.Name]:[Source.Name]])),Flowdown_CIC[[SyRS]:[SyRS]],"")))</f>
        <v/>
      </c>
      <c r="I90" s="12" t="str" cm="1">
        <f t="array" ref="I90">_xlfn.TEXTJOIN(CHAR(10),TRUE,_xlfn._xlws.SORT(IF((--($B90=Flowdown_CIC[[URS]:[URS]]))*(--(I$14=Flowdown_CIC[[Source.Name]:[Source.Name]])),Flowdown_CIC[[SyRS]:[SyRS]],"")))</f>
        <v>UTICA-2495</v>
      </c>
      <c r="J90" s="12" t="str" cm="1">
        <f t="array" ref="J90">_xlfn.TEXTJOIN(CHAR(10),TRUE,_xlfn._xlws.SORT(IF((--($B90=Flowdown_CIC[[URS]:[URS]]))*(--(J$14=Flowdown_CIC[[Source.Name]:[Source.Name]])),Flowdown_CIC[[SyRS]:[SyRS]],"")))</f>
        <v>UTICA-2495</v>
      </c>
      <c r="K90" s="12" t="str" cm="1">
        <f t="array" ref="K90">_xlfn.TEXTJOIN(CHAR(10),TRUE,_xlfn._xlws.SORT(IF((--($B90=Flowdown_CIC[[URS]:[URS]]))*(--(K$14=Flowdown_CIC[[Source.Name]:[Source.Name]])),Flowdown_CIC[[SyRS]:[SyRS]],"")))</f>
        <v/>
      </c>
      <c r="L90" s="16" t="b" cm="1">
        <f t="array" ref="L90">OR(LEN(C90:K90)&gt;0)</f>
        <v>1</v>
      </c>
    </row>
    <row r="91" spans="2:12" ht="121.5" x14ac:dyDescent="0.2">
      <c r="B91" s="11" t="str">
        <v>MASTER-57025</v>
      </c>
      <c r="C91" s="12" t="str" cm="1">
        <f t="array" ref="C91">_xlfn.TEXTJOIN(CHAR(10),TRUE,_xlfn._xlws.SORT(IF((--($B91=Flowdown_CIC[[URS]:[URS]]))*(--(C$14=Flowdown_CIC[[Source.Name]:[Source.Name]])),Flowdown_CIC[[SyRS]:[SyRS]],"")))</f>
        <v/>
      </c>
      <c r="D91" s="12" t="str" cm="1">
        <f t="array" ref="D91">_xlfn.TEXTJOIN(CHAR(10),TRUE,_xlfn._xlws.SORT(IF((--($B91=Flowdown_CIC[[URS]:[URS]]))*(--(D$14=Flowdown_CIC[[Source.Name]:[Source.Name]])),Flowdown_CIC[[SyRS]:[SyRS]],"")))</f>
        <v/>
      </c>
      <c r="E91" s="12" t="str" cm="1">
        <f t="array" ref="E91">_xlfn.TEXTJOIN(CHAR(10),TRUE,_xlfn._xlws.SORT(IF((--($B91=Flowdown_CIC[[URS]:[URS]]))*(--(E$14=Flowdown_CIC[[Source.Name]:[Source.Name]])),Flowdown_CIC[[SyRS]:[SyRS]],"")))</f>
        <v/>
      </c>
      <c r="F91" s="12" t="str" cm="1">
        <f t="array" ref="F91">_xlfn.TEXTJOIN(CHAR(10),TRUE,_xlfn._xlws.SORT(IF((--($B91=Flowdown_CIC[[URS]:[URS]]))*(--(F$14=Flowdown_CIC[[Source.Name]:[Source.Name]])),Flowdown_CIC[[SyRS]:[SyRS]],"")))</f>
        <v/>
      </c>
      <c r="G91" s="12" t="str" cm="1">
        <f t="array" ref="G91">_xlfn.TEXTJOIN(CHAR(10),TRUE,_xlfn._xlws.SORT(IF((--($B91=Flowdown_CIC[[URS]:[URS]]))*(--(G$14=Flowdown_CIC[[Source.Name]:[Source.Name]])),Flowdown_CIC[[SyRS]:[SyRS]],"")))</f>
        <v/>
      </c>
      <c r="H91" s="12" t="str" cm="1">
        <f t="array" ref="H91">_xlfn.TEXTJOIN(CHAR(10),TRUE,_xlfn._xlws.SORT(IF((--($B91=Flowdown_CIC[[URS]:[URS]]))*(--(H$14=Flowdown_CIC[[Source.Name]:[Source.Name]])),Flowdown_CIC[[SyRS]:[SyRS]],"")))</f>
        <v/>
      </c>
      <c r="I91" s="12" t="str" cm="1">
        <f t="array" ref="I91">_xlfn.TEXTJOIN(CHAR(10),TRUE,_xlfn._xlws.SORT(IF((--($B91=Flowdown_CIC[[URS]:[URS]]))*(--(I$14=Flowdown_CIC[[Source.Name]:[Source.Name]])),Flowdown_CIC[[SyRS]:[SyRS]],"")))</f>
        <v/>
      </c>
      <c r="J91" s="12" t="str" cm="1">
        <f t="array" ref="J91">_xlfn.TEXTJOIN(CHAR(10),TRUE,_xlfn._xlws.SORT(IF((--($B91=Flowdown_CIC[[URS]:[URS]]))*(--(J$14=Flowdown_CIC[[Source.Name]:[Source.Name]])),Flowdown_CIC[[SyRS]:[SyRS]],"")))</f>
        <v/>
      </c>
      <c r="K91" s="12" t="str" cm="1">
        <f t="array" ref="K91">_xlfn.TEXTJOIN(CHAR(10),TRUE,_xlfn._xlws.SORT(IF((--($B91=Flowdown_CIC[[URS]:[URS]]))*(--(K$14=Flowdown_CIC[[Source.Name]:[Source.Name]])),Flowdown_CIC[[SyRS]:[SyRS]],"")))</f>
        <v>MASTER-56902
MASTER-56904
MASTER-56905
MASTER-56906
MASTER-56907
MASTER-56909
MASTER-56910
MASTER-56911
MASTER-56912</v>
      </c>
      <c r="L91" s="16" t="b" cm="1">
        <f t="array" ref="L91">OR(LEN(C91:K91)&gt;0)</f>
        <v>1</v>
      </c>
    </row>
    <row r="92" spans="2:12" ht="135" x14ac:dyDescent="0.2">
      <c r="B92" s="11" t="str">
        <v>MASTER-57026</v>
      </c>
      <c r="C92" s="12" t="str" cm="1">
        <f t="array" ref="C92">_xlfn.TEXTJOIN(CHAR(10),TRUE,_xlfn._xlws.SORT(IF((--($B92=Flowdown_CIC[[URS]:[URS]]))*(--(C$14=Flowdown_CIC[[Source.Name]:[Source.Name]])),Flowdown_CIC[[SyRS]:[SyRS]],"")))</f>
        <v/>
      </c>
      <c r="D92" s="12" t="str" cm="1">
        <f t="array" ref="D92">_xlfn.TEXTJOIN(CHAR(10),TRUE,_xlfn._xlws.SORT(IF((--($B92=Flowdown_CIC[[URS]:[URS]]))*(--(D$14=Flowdown_CIC[[Source.Name]:[Source.Name]])),Flowdown_CIC[[SyRS]:[SyRS]],"")))</f>
        <v/>
      </c>
      <c r="E92" s="12" t="str" cm="1">
        <f t="array" ref="E92">_xlfn.TEXTJOIN(CHAR(10),TRUE,_xlfn._xlws.SORT(IF((--($B92=Flowdown_CIC[[URS]:[URS]]))*(--(E$14=Flowdown_CIC[[Source.Name]:[Source.Name]])),Flowdown_CIC[[SyRS]:[SyRS]],"")))</f>
        <v/>
      </c>
      <c r="F92" s="12" t="str" cm="1">
        <f t="array" ref="F92">_xlfn.TEXTJOIN(CHAR(10),TRUE,_xlfn._xlws.SORT(IF((--($B92=Flowdown_CIC[[URS]:[URS]]))*(--(F$14=Flowdown_CIC[[Source.Name]:[Source.Name]])),Flowdown_CIC[[SyRS]:[SyRS]],"")))</f>
        <v/>
      </c>
      <c r="G92" s="12" t="str" cm="1">
        <f t="array" ref="G92">_xlfn.TEXTJOIN(CHAR(10),TRUE,_xlfn._xlws.SORT(IF((--($B92=Flowdown_CIC[[URS]:[URS]]))*(--(G$14=Flowdown_CIC[[Source.Name]:[Source.Name]])),Flowdown_CIC[[SyRS]:[SyRS]],"")))</f>
        <v/>
      </c>
      <c r="H92" s="12" t="str" cm="1">
        <f t="array" ref="H92">_xlfn.TEXTJOIN(CHAR(10),TRUE,_xlfn._xlws.SORT(IF((--($B92=Flowdown_CIC[[URS]:[URS]]))*(--(H$14=Flowdown_CIC[[Source.Name]:[Source.Name]])),Flowdown_CIC[[SyRS]:[SyRS]],"")))</f>
        <v/>
      </c>
      <c r="I92" s="12" t="str" cm="1">
        <f t="array" ref="I92">_xlfn.TEXTJOIN(CHAR(10),TRUE,_xlfn._xlws.SORT(IF((--($B92=Flowdown_CIC[[URS]:[URS]]))*(--(I$14=Flowdown_CIC[[Source.Name]:[Source.Name]])),Flowdown_CIC[[SyRS]:[SyRS]],"")))</f>
        <v/>
      </c>
      <c r="J92" s="12" t="str" cm="1">
        <f t="array" ref="J92">_xlfn.TEXTJOIN(CHAR(10),TRUE,_xlfn._xlws.SORT(IF((--($B92=Flowdown_CIC[[URS]:[URS]]))*(--(J$14=Flowdown_CIC[[Source.Name]:[Source.Name]])),Flowdown_CIC[[SyRS]:[SyRS]],"")))</f>
        <v/>
      </c>
      <c r="K92" s="12" t="str" cm="1">
        <f t="array" ref="K92">_xlfn.TEXTJOIN(CHAR(10),TRUE,_xlfn._xlws.SORT(IF((--($B92=Flowdown_CIC[[URS]:[URS]]))*(--(K$14=Flowdown_CIC[[Source.Name]:[Source.Name]])),Flowdown_CIC[[SyRS]:[SyRS]],"")))</f>
        <v>MASTER-56823
MASTER-56824
MASTER-56825
MASTER-56826
MASTER-56828
MASTER-56829
MASTER-56831
MASTER-56832
MASTER-56833
MASTER-56835</v>
      </c>
      <c r="L92" s="16" t="b" cm="1">
        <f t="array" ref="L92">OR(LEN(C92:K92)&gt;0)</f>
        <v>1</v>
      </c>
    </row>
    <row r="93" spans="2:12" ht="337.5" x14ac:dyDescent="0.2">
      <c r="B93" s="11" t="str">
        <v>MASTER-57027</v>
      </c>
      <c r="C93" s="12" t="str" cm="1">
        <f t="array" ref="C93">_xlfn.TEXTJOIN(CHAR(10),TRUE,_xlfn._xlws.SORT(IF((--($B93=Flowdown_CIC[[URS]:[URS]]))*(--(C$14=Flowdown_CIC[[Source.Name]:[Source.Name]])),Flowdown_CIC[[SyRS]:[SyRS]],"")))</f>
        <v/>
      </c>
      <c r="D93" s="12" t="str" cm="1">
        <f t="array" ref="D93">_xlfn.TEXTJOIN(CHAR(10),TRUE,_xlfn._xlws.SORT(IF((--($B93=Flowdown_CIC[[URS]:[URS]]))*(--(D$14=Flowdown_CIC[[Source.Name]:[Source.Name]])),Flowdown_CIC[[SyRS]:[SyRS]],"")))</f>
        <v/>
      </c>
      <c r="E93" s="12" t="str" cm="1">
        <f t="array" ref="E93">_xlfn.TEXTJOIN(CHAR(10),TRUE,_xlfn._xlws.SORT(IF((--($B93=Flowdown_CIC[[URS]:[URS]]))*(--(E$14=Flowdown_CIC[[Source.Name]:[Source.Name]])),Flowdown_CIC[[SyRS]:[SyRS]],"")))</f>
        <v/>
      </c>
      <c r="F93" s="12" t="str" cm="1">
        <f t="array" ref="F93">_xlfn.TEXTJOIN(CHAR(10),TRUE,_xlfn._xlws.SORT(IF((--($B93=Flowdown_CIC[[URS]:[URS]]))*(--(F$14=Flowdown_CIC[[Source.Name]:[Source.Name]])),Flowdown_CIC[[SyRS]:[SyRS]],"")))</f>
        <v/>
      </c>
      <c r="G93" s="12" t="str" cm="1">
        <f t="array" ref="G93">_xlfn.TEXTJOIN(CHAR(10),TRUE,_xlfn._xlws.SORT(IF((--($B93=Flowdown_CIC[[URS]:[URS]]))*(--(G$14=Flowdown_CIC[[Source.Name]:[Source.Name]])),Flowdown_CIC[[SyRS]:[SyRS]],"")))</f>
        <v/>
      </c>
      <c r="H93" s="12" t="str" cm="1">
        <f t="array" ref="H93">_xlfn.TEXTJOIN(CHAR(10),TRUE,_xlfn._xlws.SORT(IF((--($B93=Flowdown_CIC[[URS]:[URS]]))*(--(H$14=Flowdown_CIC[[Source.Name]:[Source.Name]])),Flowdown_CIC[[SyRS]:[SyRS]],"")))</f>
        <v/>
      </c>
      <c r="I93" s="12" t="str" cm="1">
        <f t="array" ref="I93">_xlfn.TEXTJOIN(CHAR(10),TRUE,_xlfn._xlws.SORT(IF((--($B93=Flowdown_CIC[[URS]:[URS]]))*(--(I$14=Flowdown_CIC[[Source.Name]:[Source.Name]])),Flowdown_CIC[[SyRS]:[SyRS]],"")))</f>
        <v/>
      </c>
      <c r="J93" s="12" t="str" cm="1">
        <f t="array" ref="J93">_xlfn.TEXTJOIN(CHAR(10),TRUE,_xlfn._xlws.SORT(IF((--($B93=Flowdown_CIC[[URS]:[URS]]))*(--(J$14=Flowdown_CIC[[Source.Name]:[Source.Name]])),Flowdown_CIC[[SyRS]:[SyRS]],"")))</f>
        <v/>
      </c>
      <c r="K93" s="12" t="str" cm="1">
        <f t="array" ref="K93">_xlfn.TEXTJOIN(CHAR(10),TRUE,_xlfn._xlws.SORT(IF((--($B93=Flowdown_CIC[[URS]:[URS]]))*(--(K$14=Flowdown_CIC[[Source.Name]:[Source.Name]])),Flowdown_CIC[[SyRS]:[SyRS]],"")))</f>
        <v>MASTER-50196
MASTER-50201
MASTER-50204
MASTER-50207
MASTER-50210
MASTER-50212
MASTER-50213
MASTER-50214
MASTER-50215
MASTER-51651
MASTER-51665
MASTER-51790
UTICA-6399
UTICA-6400
UTICA-6402
UTICA-6404
UTICA-6405
UTICA-6406
UTICA-6407
UTICA-6408
UTICA-6409
UTICA-6412
UTICA-6414
UTICA-6416
UTICA-6417</v>
      </c>
      <c r="L93" s="16" t="b" cm="1">
        <f t="array" ref="L93">OR(LEN(C93:K93)&gt;0)</f>
        <v>1</v>
      </c>
    </row>
    <row r="94" spans="2:12" ht="229.5" x14ac:dyDescent="0.2">
      <c r="B94" s="11" t="str">
        <v>MASTER-57682</v>
      </c>
      <c r="C94" s="12" t="str" cm="1">
        <f t="array" ref="C94">_xlfn.TEXTJOIN(CHAR(10),TRUE,_xlfn._xlws.SORT(IF((--($B94=Flowdown_CIC[[URS]:[URS]]))*(--(C$14=Flowdown_CIC[[Source.Name]:[Source.Name]])),Flowdown_CIC[[SyRS]:[SyRS]],"")))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4" s="12" t="str" cm="1">
        <f t="array" ref="D94">_xlfn.TEXTJOIN(CHAR(10),TRUE,_xlfn._xlws.SORT(IF((--($B94=Flowdown_CIC[[URS]:[URS]]))*(--(D$14=Flowdown_CIC[[Source.Name]:[Source.Name]])),Flowdown_CIC[[SyRS]:[SyRS]],"")))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4" s="12" t="str" cm="1">
        <f t="array" ref="E94">_xlfn.TEXTJOIN(CHAR(10),TRUE,_xlfn._xlws.SORT(IF((--($B94=Flowdown_CIC[[URS]:[URS]]))*(--(E$14=Flowdown_CIC[[Source.Name]:[Source.Name]])),Flowdown_CIC[[SyRS]:[SyRS]],"")))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UTICA-25380</v>
      </c>
      <c r="F94" s="12" t="str" cm="1">
        <f t="array" ref="F94">_xlfn.TEXTJOIN(CHAR(10),TRUE,_xlfn._xlws.SORT(IF((--($B94=Flowdown_CIC[[URS]:[URS]]))*(--(F$14=Flowdown_CIC[[Source.Name]:[Source.Name]])),Flowdown_CIC[[SyRS]:[SyRS]],"")))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UTICA-25381</v>
      </c>
      <c r="G94" s="12" t="str" cm="1">
        <f t="array" ref="G94">_xlfn.TEXTJOIN(CHAR(10),TRUE,_xlfn._xlws.SORT(IF((--($B94=Flowdown_CIC[[URS]:[URS]]))*(--(G$14=Flowdown_CIC[[Source.Name]:[Source.Name]])),Flowdown_CIC[[SyRS]:[SyRS]],"")))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UTICA-24505
UTICA-6861</v>
      </c>
      <c r="H94" s="12" t="str" cm="1">
        <f t="array" ref="H94">_xlfn.TEXTJOIN(CHAR(10),TRUE,_xlfn._xlws.SORT(IF((--($B94=Flowdown_CIC[[URS]:[URS]]))*(--(H$14=Flowdown_CIC[[Source.Name]:[Source.Name]])),Flowdown_CIC[[SyRS]:[SyRS]],"")))</f>
        <v>MASTER-60901
UTICA-8389</v>
      </c>
      <c r="I94" s="12" t="str" cm="1">
        <f t="array" ref="I94">_xlfn.TEXTJOIN(CHAR(10),TRUE,_xlfn._xlws.SORT(IF((--($B94=Flowdown_CIC[[URS]:[URS]]))*(--(I$14=Flowdown_CIC[[Source.Name]:[Source.Name]])),Flowdown_CIC[[SyRS]:[SyRS]],"")))</f>
        <v/>
      </c>
      <c r="J94" s="12" t="str" cm="1">
        <f t="array" ref="J94">_xlfn.TEXTJOIN(CHAR(10),TRUE,_xlfn._xlws.SORT(IF((--($B94=Flowdown_CIC[[URS]:[URS]]))*(--(J$14=Flowdown_CIC[[Source.Name]:[Source.Name]])),Flowdown_CIC[[SyRS]:[SyRS]],"")))</f>
        <v/>
      </c>
      <c r="K94" s="12" t="str" cm="1">
        <f t="array" ref="K94">_xlfn.TEXTJOIN(CHAR(10),TRUE,_xlfn._xlws.SORT(IF((--($B94=Flowdown_CIC[[URS]:[URS]]))*(--(K$14=Flowdown_CIC[[Source.Name]:[Source.Name]])),Flowdown_CIC[[SyRS]:[SyRS]],"")))</f>
        <v>MASTER-60922
MASTER-60923
MASTER-60924</v>
      </c>
      <c r="L94" s="16" t="b" cm="1">
        <f t="array" ref="L94">OR(LEN(C94:K94)&gt;0)</f>
        <v>1</v>
      </c>
    </row>
    <row r="95" spans="2:12" ht="13.5" x14ac:dyDescent="0.2">
      <c r="B95" s="11" t="str">
        <v>MASTER-57684</v>
      </c>
      <c r="C95" s="12" t="str" cm="1">
        <f t="array" ref="C95">_xlfn.TEXTJOIN(CHAR(10),TRUE,_xlfn._xlws.SORT(IF((--($B95=Flowdown_CIC[[URS]:[URS]]))*(--(C$14=Flowdown_CIC[[Source.Name]:[Source.Name]])),Flowdown_CIC[[SyRS]:[SyRS]],"")))</f>
        <v/>
      </c>
      <c r="D95" s="12" t="str" cm="1">
        <f t="array" ref="D95">_xlfn.TEXTJOIN(CHAR(10),TRUE,_xlfn._xlws.SORT(IF((--($B95=Flowdown_CIC[[URS]:[URS]]))*(--(D$14=Flowdown_CIC[[Source.Name]:[Source.Name]])),Flowdown_CIC[[SyRS]:[SyRS]],"")))</f>
        <v/>
      </c>
      <c r="E95" s="12" t="str" cm="1">
        <f t="array" ref="E95">_xlfn.TEXTJOIN(CHAR(10),TRUE,_xlfn._xlws.SORT(IF((--($B95=Flowdown_CIC[[URS]:[URS]]))*(--(E$14=Flowdown_CIC[[Source.Name]:[Source.Name]])),Flowdown_CIC[[SyRS]:[SyRS]],"")))</f>
        <v/>
      </c>
      <c r="F95" s="12" t="str" cm="1">
        <f t="array" ref="F95">_xlfn.TEXTJOIN(CHAR(10),TRUE,_xlfn._xlws.SORT(IF((--($B95=Flowdown_CIC[[URS]:[URS]]))*(--(F$14=Flowdown_CIC[[Source.Name]:[Source.Name]])),Flowdown_CIC[[SyRS]:[SyRS]],"")))</f>
        <v/>
      </c>
      <c r="G95" s="12" t="str" cm="1">
        <f t="array" ref="G95">_xlfn.TEXTJOIN(CHAR(10),TRUE,_xlfn._xlws.SORT(IF((--($B95=Flowdown_CIC[[URS]:[URS]]))*(--(G$14=Flowdown_CIC[[Source.Name]:[Source.Name]])),Flowdown_CIC[[SyRS]:[SyRS]],"")))</f>
        <v/>
      </c>
      <c r="H95" s="12" t="str" cm="1">
        <f t="array" ref="H95">_xlfn.TEXTJOIN(CHAR(10),TRUE,_xlfn._xlws.SORT(IF((--($B95=Flowdown_CIC[[URS]:[URS]]))*(--(H$14=Flowdown_CIC[[Source.Name]:[Source.Name]])),Flowdown_CIC[[SyRS]:[SyRS]],"")))</f>
        <v/>
      </c>
      <c r="I95" s="12" t="str" cm="1">
        <f t="array" ref="I95">_xlfn.TEXTJOIN(CHAR(10),TRUE,_xlfn._xlws.SORT(IF((--($B95=Flowdown_CIC[[URS]:[URS]]))*(--(I$14=Flowdown_CIC[[Source.Name]:[Source.Name]])),Flowdown_CIC[[SyRS]:[SyRS]],"")))</f>
        <v/>
      </c>
      <c r="J95" s="12" t="str" cm="1">
        <f t="array" ref="J95">_xlfn.TEXTJOIN(CHAR(10),TRUE,_xlfn._xlws.SORT(IF((--($B95=Flowdown_CIC[[URS]:[URS]]))*(--(J$14=Flowdown_CIC[[Source.Name]:[Source.Name]])),Flowdown_CIC[[SyRS]:[SyRS]],"")))</f>
        <v/>
      </c>
      <c r="K95" s="12" t="str" cm="1">
        <f t="array" ref="K95">_xlfn.TEXTJOIN(CHAR(10),TRUE,_xlfn._xlws.SORT(IF((--($B95=Flowdown_CIC[[URS]:[URS]]))*(--(K$14=Flowdown_CIC[[Source.Name]:[Source.Name]])),Flowdown_CIC[[SyRS]:[SyRS]],"")))</f>
        <v>MASTER-57693</v>
      </c>
      <c r="L95" s="16" t="b" cm="1">
        <f t="array" ref="L95">OR(LEN(C95:K95)&gt;0)</f>
        <v>1</v>
      </c>
    </row>
    <row r="96" spans="2:12" ht="40.5" x14ac:dyDescent="0.2">
      <c r="B96" s="11" t="str">
        <v>MASTER-57685</v>
      </c>
      <c r="C96" s="12" t="str" cm="1">
        <f t="array" ref="C96">_xlfn.TEXTJOIN(CHAR(10),TRUE,_xlfn._xlws.SORT(IF((--($B96=Flowdown_CIC[[URS]:[URS]]))*(--(C$14=Flowdown_CIC[[Source.Name]:[Source.Name]])),Flowdown_CIC[[SyRS]:[SyRS]],"")))</f>
        <v>MASTER-57695
MASTER-57696
MASTER-57698</v>
      </c>
      <c r="D96" s="12" t="str" cm="1">
        <f t="array" ref="D96">_xlfn.TEXTJOIN(CHAR(10),TRUE,_xlfn._xlws.SORT(IF((--($B96=Flowdown_CIC[[URS]:[URS]]))*(--(D$14=Flowdown_CIC[[Source.Name]:[Source.Name]])),Flowdown_CIC[[SyRS]:[SyRS]],"")))</f>
        <v>MASTER-57695
MASTER-57696
MASTER-57698</v>
      </c>
      <c r="E96" s="12" t="str" cm="1">
        <f t="array" ref="E96">_xlfn.TEXTJOIN(CHAR(10),TRUE,_xlfn._xlws.SORT(IF((--($B96=Flowdown_CIC[[URS]:[URS]]))*(--(E$14=Flowdown_CIC[[Source.Name]:[Source.Name]])),Flowdown_CIC[[SyRS]:[SyRS]],"")))</f>
        <v>MASTER-57695
MASTER-57696
MASTER-57698</v>
      </c>
      <c r="F96" s="12" t="str" cm="1">
        <f t="array" ref="F96">_xlfn.TEXTJOIN(CHAR(10),TRUE,_xlfn._xlws.SORT(IF((--($B96=Flowdown_CIC[[URS]:[URS]]))*(--(F$14=Flowdown_CIC[[Source.Name]:[Source.Name]])),Flowdown_CIC[[SyRS]:[SyRS]],"")))</f>
        <v>MASTER-57695
MASTER-57696
MASTER-57698</v>
      </c>
      <c r="G96" s="12" t="str" cm="1">
        <f t="array" ref="G96">_xlfn.TEXTJOIN(CHAR(10),TRUE,_xlfn._xlws.SORT(IF((--($B96=Flowdown_CIC[[URS]:[URS]]))*(--(G$14=Flowdown_CIC[[Source.Name]:[Source.Name]])),Flowdown_CIC[[SyRS]:[SyRS]],"")))</f>
        <v>MASTER-57695
MASTER-57696
MASTER-57698</v>
      </c>
      <c r="H96" s="12" t="str" cm="1">
        <f t="array" ref="H96">_xlfn.TEXTJOIN(CHAR(10),TRUE,_xlfn._xlws.SORT(IF((--($B96=Flowdown_CIC[[URS]:[URS]]))*(--(H$14=Flowdown_CIC[[Source.Name]:[Source.Name]])),Flowdown_CIC[[SyRS]:[SyRS]],"")))</f>
        <v/>
      </c>
      <c r="I96" s="12" t="str" cm="1">
        <f t="array" ref="I96">_xlfn.TEXTJOIN(CHAR(10),TRUE,_xlfn._xlws.SORT(IF((--($B96=Flowdown_CIC[[URS]:[URS]]))*(--(I$14=Flowdown_CIC[[Source.Name]:[Source.Name]])),Flowdown_CIC[[SyRS]:[SyRS]],"")))</f>
        <v/>
      </c>
      <c r="J96" s="12" t="str" cm="1">
        <f t="array" ref="J96">_xlfn.TEXTJOIN(CHAR(10),TRUE,_xlfn._xlws.SORT(IF((--($B96=Flowdown_CIC[[URS]:[URS]]))*(--(J$14=Flowdown_CIC[[Source.Name]:[Source.Name]])),Flowdown_CIC[[SyRS]:[SyRS]],"")))</f>
        <v/>
      </c>
      <c r="K96" s="12" t="str" cm="1">
        <f t="array" ref="K96">_xlfn.TEXTJOIN(CHAR(10),TRUE,_xlfn._xlws.SORT(IF((--($B96=Flowdown_CIC[[URS]:[URS]]))*(--(K$14=Flowdown_CIC[[Source.Name]:[Source.Name]])),Flowdown_CIC[[SyRS]:[SyRS]],"")))</f>
        <v/>
      </c>
      <c r="L96" s="16" t="b" cm="1">
        <f t="array" ref="L96">OR(LEN(C96:K96)&gt;0)</f>
        <v>1</v>
      </c>
    </row>
    <row r="97" spans="2:12" ht="13.5" x14ac:dyDescent="0.2">
      <c r="B97" s="11" t="str">
        <v>MASTER-57686</v>
      </c>
      <c r="C97" s="12" t="str" cm="1">
        <f t="array" ref="C97">_xlfn.TEXTJOIN(CHAR(10),TRUE,_xlfn._xlws.SORT(IF((--($B97=Flowdown_CIC[[URS]:[URS]]))*(--(C$14=Flowdown_CIC[[Source.Name]:[Source.Name]])),Flowdown_CIC[[SyRS]:[SyRS]],"")))</f>
        <v>MASTER-57698</v>
      </c>
      <c r="D97" s="12" t="str" cm="1">
        <f t="array" ref="D97">_xlfn.TEXTJOIN(CHAR(10),TRUE,_xlfn._xlws.SORT(IF((--($B97=Flowdown_CIC[[URS]:[URS]]))*(--(D$14=Flowdown_CIC[[Source.Name]:[Source.Name]])),Flowdown_CIC[[SyRS]:[SyRS]],"")))</f>
        <v>MASTER-57698</v>
      </c>
      <c r="E97" s="12" t="str" cm="1">
        <f t="array" ref="E97">_xlfn.TEXTJOIN(CHAR(10),TRUE,_xlfn._xlws.SORT(IF((--($B97=Flowdown_CIC[[URS]:[URS]]))*(--(E$14=Flowdown_CIC[[Source.Name]:[Source.Name]])),Flowdown_CIC[[SyRS]:[SyRS]],"")))</f>
        <v>MASTER-57698</v>
      </c>
      <c r="F97" s="12" t="str" cm="1">
        <f t="array" ref="F97">_xlfn.TEXTJOIN(CHAR(10),TRUE,_xlfn._xlws.SORT(IF((--($B97=Flowdown_CIC[[URS]:[URS]]))*(--(F$14=Flowdown_CIC[[Source.Name]:[Source.Name]])),Flowdown_CIC[[SyRS]:[SyRS]],"")))</f>
        <v>MASTER-57698</v>
      </c>
      <c r="G97" s="12" t="str" cm="1">
        <f t="array" ref="G97">_xlfn.TEXTJOIN(CHAR(10),TRUE,_xlfn._xlws.SORT(IF((--($B97=Flowdown_CIC[[URS]:[URS]]))*(--(G$14=Flowdown_CIC[[Source.Name]:[Source.Name]])),Flowdown_CIC[[SyRS]:[SyRS]],"")))</f>
        <v>MASTER-57698</v>
      </c>
      <c r="H97" s="12" t="str" cm="1">
        <f t="array" ref="H97">_xlfn.TEXTJOIN(CHAR(10),TRUE,_xlfn._xlws.SORT(IF((--($B97=Flowdown_CIC[[URS]:[URS]]))*(--(H$14=Flowdown_CIC[[Source.Name]:[Source.Name]])),Flowdown_CIC[[SyRS]:[SyRS]],"")))</f>
        <v/>
      </c>
      <c r="I97" s="12" t="str" cm="1">
        <f t="array" ref="I97">_xlfn.TEXTJOIN(CHAR(10),TRUE,_xlfn._xlws.SORT(IF((--($B97=Flowdown_CIC[[URS]:[URS]]))*(--(I$14=Flowdown_CIC[[Source.Name]:[Source.Name]])),Flowdown_CIC[[SyRS]:[SyRS]],"")))</f>
        <v/>
      </c>
      <c r="J97" s="12" t="str" cm="1">
        <f t="array" ref="J97">_xlfn.TEXTJOIN(CHAR(10),TRUE,_xlfn._xlws.SORT(IF((--($B97=Flowdown_CIC[[URS]:[URS]]))*(--(J$14=Flowdown_CIC[[Source.Name]:[Source.Name]])),Flowdown_CIC[[SyRS]:[SyRS]],"")))</f>
        <v/>
      </c>
      <c r="K97" s="12" t="str" cm="1">
        <f t="array" ref="K97">_xlfn.TEXTJOIN(CHAR(10),TRUE,_xlfn._xlws.SORT(IF((--($B97=Flowdown_CIC[[URS]:[URS]]))*(--(K$14=Flowdown_CIC[[Source.Name]:[Source.Name]])),Flowdown_CIC[[SyRS]:[SyRS]],"")))</f>
        <v/>
      </c>
      <c r="L97" s="16" t="b" cm="1">
        <f t="array" ref="L97">OR(LEN(C97:K97)&gt;0)</f>
        <v>1</v>
      </c>
    </row>
    <row r="98" spans="2:12" ht="13.5" x14ac:dyDescent="0.2">
      <c r="B98" s="11" t="str">
        <v>MASTER-58654</v>
      </c>
      <c r="C98" s="12" t="str" cm="1">
        <f t="array" ref="C98">_xlfn.TEXTJOIN(CHAR(10),TRUE,_xlfn._xlws.SORT(IF((--($B98=Flowdown_CIC[[URS]:[URS]]))*(--(C$14=Flowdown_CIC[[Source.Name]:[Source.Name]])),Flowdown_CIC[[SyRS]:[SyRS]],"")))</f>
        <v>MASTER-51530</v>
      </c>
      <c r="D98" s="12" t="str" cm="1">
        <f t="array" ref="D98">_xlfn.TEXTJOIN(CHAR(10),TRUE,_xlfn._xlws.SORT(IF((--($B98=Flowdown_CIC[[URS]:[URS]]))*(--(D$14=Flowdown_CIC[[Source.Name]:[Source.Name]])),Flowdown_CIC[[SyRS]:[SyRS]],"")))</f>
        <v>MASTER-51530</v>
      </c>
      <c r="E98" s="12" t="str" cm="1">
        <f t="array" ref="E98">_xlfn.TEXTJOIN(CHAR(10),TRUE,_xlfn._xlws.SORT(IF((--($B98=Flowdown_CIC[[URS]:[URS]]))*(--(E$14=Flowdown_CIC[[Source.Name]:[Source.Name]])),Flowdown_CIC[[SyRS]:[SyRS]],"")))</f>
        <v>MASTER-51530</v>
      </c>
      <c r="F98" s="12" t="str" cm="1">
        <f t="array" ref="F98">_xlfn.TEXTJOIN(CHAR(10),TRUE,_xlfn._xlws.SORT(IF((--($B98=Flowdown_CIC[[URS]:[URS]]))*(--(F$14=Flowdown_CIC[[Source.Name]:[Source.Name]])),Flowdown_CIC[[SyRS]:[SyRS]],"")))</f>
        <v>MASTER-51530</v>
      </c>
      <c r="G98" s="12" t="str" cm="1">
        <f t="array" ref="G98">_xlfn.TEXTJOIN(CHAR(10),TRUE,_xlfn._xlws.SORT(IF((--($B98=Flowdown_CIC[[URS]:[URS]]))*(--(G$14=Flowdown_CIC[[Source.Name]:[Source.Name]])),Flowdown_CIC[[SyRS]:[SyRS]],"")))</f>
        <v>MASTER-51530</v>
      </c>
      <c r="H98" s="12" t="str" cm="1">
        <f t="array" ref="H98">_xlfn.TEXTJOIN(CHAR(10),TRUE,_xlfn._xlws.SORT(IF((--($B98=Flowdown_CIC[[URS]:[URS]]))*(--(H$14=Flowdown_CIC[[Source.Name]:[Source.Name]])),Flowdown_CIC[[SyRS]:[SyRS]],"")))</f>
        <v/>
      </c>
      <c r="I98" s="12" t="str" cm="1">
        <f t="array" ref="I98">_xlfn.TEXTJOIN(CHAR(10),TRUE,_xlfn._xlws.SORT(IF((--($B98=Flowdown_CIC[[URS]:[URS]]))*(--(I$14=Flowdown_CIC[[Source.Name]:[Source.Name]])),Flowdown_CIC[[SyRS]:[SyRS]],"")))</f>
        <v/>
      </c>
      <c r="J98" s="12" t="str" cm="1">
        <f t="array" ref="J98">_xlfn.TEXTJOIN(CHAR(10),TRUE,_xlfn._xlws.SORT(IF((--($B98=Flowdown_CIC[[URS]:[URS]]))*(--(J$14=Flowdown_CIC[[Source.Name]:[Source.Name]])),Flowdown_CIC[[SyRS]:[SyRS]],"")))</f>
        <v/>
      </c>
      <c r="K98" s="12" t="str" cm="1">
        <f t="array" ref="K98">_xlfn.TEXTJOIN(CHAR(10),TRUE,_xlfn._xlws.SORT(IF((--($B98=Flowdown_CIC[[URS]:[URS]]))*(--(K$14=Flowdown_CIC[[Source.Name]:[Source.Name]])),Flowdown_CIC[[SyRS]:[SyRS]],"")))</f>
        <v/>
      </c>
      <c r="L98" s="16" t="b" cm="1">
        <f t="array" ref="L98">OR(LEN(C98:K98)&gt;0)</f>
        <v>1</v>
      </c>
    </row>
    <row r="99" spans="2:12" ht="13.5" x14ac:dyDescent="0.2">
      <c r="B99" s="11" t="str">
        <v>MASTER-58656</v>
      </c>
      <c r="C99" s="12" t="str" cm="1">
        <f t="array" ref="C99">_xlfn.TEXTJOIN(CHAR(10),TRUE,_xlfn._xlws.SORT(IF((--($B99=Flowdown_CIC[[URS]:[URS]]))*(--(C$14=Flowdown_CIC[[Source.Name]:[Source.Name]])),Flowdown_CIC[[SyRS]:[SyRS]],"")))</f>
        <v>MASTER-51530</v>
      </c>
      <c r="D99" s="12" t="str" cm="1">
        <f t="array" ref="D99">_xlfn.TEXTJOIN(CHAR(10),TRUE,_xlfn._xlws.SORT(IF((--($B99=Flowdown_CIC[[URS]:[URS]]))*(--(D$14=Flowdown_CIC[[Source.Name]:[Source.Name]])),Flowdown_CIC[[SyRS]:[SyRS]],"")))</f>
        <v>MASTER-51530</v>
      </c>
      <c r="E99" s="12" t="str" cm="1">
        <f t="array" ref="E99">_xlfn.TEXTJOIN(CHAR(10),TRUE,_xlfn._xlws.SORT(IF((--($B99=Flowdown_CIC[[URS]:[URS]]))*(--(E$14=Flowdown_CIC[[Source.Name]:[Source.Name]])),Flowdown_CIC[[SyRS]:[SyRS]],"")))</f>
        <v>MASTER-51530</v>
      </c>
      <c r="F99" s="12" t="str" cm="1">
        <f t="array" ref="F99">_xlfn.TEXTJOIN(CHAR(10),TRUE,_xlfn._xlws.SORT(IF((--($B99=Flowdown_CIC[[URS]:[URS]]))*(--(F$14=Flowdown_CIC[[Source.Name]:[Source.Name]])),Flowdown_CIC[[SyRS]:[SyRS]],"")))</f>
        <v>MASTER-51530</v>
      </c>
      <c r="G99" s="12" t="str" cm="1">
        <f t="array" ref="G99">_xlfn.TEXTJOIN(CHAR(10),TRUE,_xlfn._xlws.SORT(IF((--($B99=Flowdown_CIC[[URS]:[URS]]))*(--(G$14=Flowdown_CIC[[Source.Name]:[Source.Name]])),Flowdown_CIC[[SyRS]:[SyRS]],"")))</f>
        <v>MASTER-51530</v>
      </c>
      <c r="H99" s="12" t="str" cm="1">
        <f t="array" ref="H99">_xlfn.TEXTJOIN(CHAR(10),TRUE,_xlfn._xlws.SORT(IF((--($B99=Flowdown_CIC[[URS]:[URS]]))*(--(H$14=Flowdown_CIC[[Source.Name]:[Source.Name]])),Flowdown_CIC[[SyRS]:[SyRS]],"")))</f>
        <v/>
      </c>
      <c r="I99" s="12" t="str" cm="1">
        <f t="array" ref="I99">_xlfn.TEXTJOIN(CHAR(10),TRUE,_xlfn._xlws.SORT(IF((--($B99=Flowdown_CIC[[URS]:[URS]]))*(--(I$14=Flowdown_CIC[[Source.Name]:[Source.Name]])),Flowdown_CIC[[SyRS]:[SyRS]],"")))</f>
        <v/>
      </c>
      <c r="J99" s="12" t="str" cm="1">
        <f t="array" ref="J99">_xlfn.TEXTJOIN(CHAR(10),TRUE,_xlfn._xlws.SORT(IF((--($B99=Flowdown_CIC[[URS]:[URS]]))*(--(J$14=Flowdown_CIC[[Source.Name]:[Source.Name]])),Flowdown_CIC[[SyRS]:[SyRS]],"")))</f>
        <v/>
      </c>
      <c r="K99" s="12" t="str" cm="1">
        <f t="array" ref="K99">_xlfn.TEXTJOIN(CHAR(10),TRUE,_xlfn._xlws.SORT(IF((--($B99=Flowdown_CIC[[URS]:[URS]]))*(--(K$14=Flowdown_CIC[[Source.Name]:[Source.Name]])),Flowdown_CIC[[SyRS]:[SyRS]],"")))</f>
        <v/>
      </c>
      <c r="L99" s="16" t="b" cm="1">
        <f t="array" ref="L99">OR(LEN(C99:K99)&gt;0)</f>
        <v>1</v>
      </c>
    </row>
    <row r="100" spans="2:12" ht="229.5" x14ac:dyDescent="0.2">
      <c r="B100" s="11" t="str">
        <v>MASTER-59117</v>
      </c>
      <c r="C100" s="12" t="str" cm="1">
        <f t="array" ref="C100">_xlfn.TEXTJOIN(CHAR(10),TRUE,_xlfn._xlws.SORT(IF((--($B100=Flowdown_CIC[[URS]:[URS]]))*(--(C$14=Flowdown_CIC[[Source.Name]:[Source.Name]])),Flowdown_CIC[[SyRS]:[SyRS]],"")))</f>
        <v/>
      </c>
      <c r="D100" s="12" t="str" cm="1">
        <f t="array" ref="D100">_xlfn.TEXTJOIN(CHAR(10),TRUE,_xlfn._xlws.SORT(IF((--($B100=Flowdown_CIC[[URS]:[URS]]))*(--(D$14=Flowdown_CIC[[Source.Name]:[Source.Name]])),Flowdown_CIC[[SyRS]:[SyRS]],"")))</f>
        <v/>
      </c>
      <c r="E100" s="12" t="str" cm="1">
        <f t="array" ref="E100">_xlfn.TEXTJOIN(CHAR(10),TRUE,_xlfn._xlws.SORT(IF((--($B100=Flowdown_CIC[[URS]:[URS]]))*(--(E$14=Flowdown_CIC[[Source.Name]:[Source.Name]])),Flowdown_CIC[[SyRS]:[SyRS]],"")))</f>
        <v/>
      </c>
      <c r="F100" s="12" t="str" cm="1">
        <f t="array" ref="F100">_xlfn.TEXTJOIN(CHAR(10),TRUE,_xlfn._xlws.SORT(IF((--($B100=Flowdown_CIC[[URS]:[URS]]))*(--(F$14=Flowdown_CIC[[Source.Name]:[Source.Name]])),Flowdown_CIC[[SyRS]:[SyRS]],"")))</f>
        <v/>
      </c>
      <c r="G100" s="12" t="str" cm="1">
        <f t="array" ref="G100">_xlfn.TEXTJOIN(CHAR(10),TRUE,_xlfn._xlws.SORT(IF((--($B100=Flowdown_CIC[[URS]:[URS]]))*(--(G$14=Flowdown_CIC[[Source.Name]:[Source.Name]])),Flowdown_CIC[[SyRS]:[SyRS]],"")))</f>
        <v/>
      </c>
      <c r="H100" s="12" t="str" cm="1">
        <f t="array" ref="H100">_xlfn.TEXTJOIN(CHAR(10),TRUE,_xlfn._xlws.SORT(IF((--($B100=Flowdown_CIC[[URS]:[URS]]))*(--(H$14=Flowdown_CIC[[Source.Name]:[Source.Name]])),Flowdown_CIC[[SyRS]:[SyRS]],"")))</f>
        <v/>
      </c>
      <c r="I100" s="12" t="str" cm="1">
        <f t="array" ref="I100">_xlfn.TEXTJOIN(CHAR(10),TRUE,_xlfn._xlws.SORT(IF((--($B100=Flowdown_CIC[[URS]:[URS]]))*(--(I$14=Flowdown_CIC[[Source.Name]:[Source.Name]])),Flowdown_CIC[[SyRS]:[SyRS]],"")))</f>
        <v/>
      </c>
      <c r="J100" s="12" t="str" cm="1">
        <f t="array" ref="J100">_xlfn.TEXTJOIN(CHAR(10),TRUE,_xlfn._xlws.SORT(IF((--($B100=Flowdown_CIC[[URS]:[URS]]))*(--(J$14=Flowdown_CIC[[Source.Name]:[Source.Name]])),Flowdown_CIC[[SyRS]:[SyRS]],"")))</f>
        <v/>
      </c>
      <c r="K100" s="12" t="str" cm="1">
        <f t="array" ref="K100">_xlfn.TEXTJOIN(CHAR(10),TRUE,_xlfn._xlws.SORT(IF((--($B100=Flowdown_CIC[[URS]:[URS]]))*(--(K$14=Flowdown_CIC[[Source.Name]:[Source.Name]])),Flowdown_CIC[[SyRS]:[SyRS]],"")))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100" s="16" t="b" cm="1">
        <f t="array" ref="L100">OR(LEN(C100:K100)&gt;0)</f>
        <v>1</v>
      </c>
    </row>
    <row r="101" spans="2:12" ht="202.5" x14ac:dyDescent="0.2">
      <c r="B101" s="11" t="str">
        <v>MASTER-59958</v>
      </c>
      <c r="C101" s="12" t="str" cm="1">
        <f t="array" ref="C101">_xlfn.TEXTJOIN(CHAR(10),TRUE,_xlfn._xlws.SORT(IF((--($B101=Flowdown_CIC[[URS]:[URS]]))*(--(C$14=Flowdown_CIC[[Source.Name]:[Source.Name]])),Flowdown_CIC[[SyRS]:[SyRS]],"")))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101" s="12" t="str" cm="1">
        <f t="array" ref="D101">_xlfn.TEXTJOIN(CHAR(10),TRUE,_xlfn._xlws.SORT(IF((--($B101=Flowdown_CIC[[URS]:[URS]]))*(--(D$14=Flowdown_CIC[[Source.Name]:[Source.Name]])),Flowdown_CIC[[SyRS]:[SyRS]],"")))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101" s="12" t="str" cm="1">
        <f t="array" ref="E101">_xlfn.TEXTJOIN(CHAR(10),TRUE,_xlfn._xlws.SORT(IF((--($B101=Flowdown_CIC[[URS]:[URS]]))*(--(E$14=Flowdown_CIC[[Source.Name]:[Source.Name]])),Flowdown_CIC[[SyRS]:[SyRS]],"")))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101" s="12" t="str" cm="1">
        <f t="array" ref="F101">_xlfn.TEXTJOIN(CHAR(10),TRUE,_xlfn._xlws.SORT(IF((--($B101=Flowdown_CIC[[URS]:[URS]]))*(--(F$14=Flowdown_CIC[[Source.Name]:[Source.Name]])),Flowdown_CIC[[SyRS]:[SyRS]],"")))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101" s="12" t="str" cm="1">
        <f t="array" ref="G101">_xlfn.TEXTJOIN(CHAR(10),TRUE,_xlfn._xlws.SORT(IF((--($B101=Flowdown_CIC[[URS]:[URS]]))*(--(G$14=Flowdown_CIC[[Source.Name]:[Source.Name]])),Flowdown_CIC[[SyRS]:[SyRS]],"")))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101" s="12" t="str" cm="1">
        <f t="array" ref="H101">_xlfn.TEXTJOIN(CHAR(10),TRUE,_xlfn._xlws.SORT(IF((--($B101=Flowdown_CIC[[URS]:[URS]]))*(--(H$14=Flowdown_CIC[[Source.Name]:[Source.Name]])),Flowdown_CIC[[SyRS]:[SyRS]],"")))</f>
        <v/>
      </c>
      <c r="I101" s="12" t="str" cm="1">
        <f t="array" ref="I101">_xlfn.TEXTJOIN(CHAR(10),TRUE,_xlfn._xlws.SORT(IF((--($B101=Flowdown_CIC[[URS]:[URS]]))*(--(I$14=Flowdown_CIC[[Source.Name]:[Source.Name]])),Flowdown_CIC[[SyRS]:[SyRS]],"")))</f>
        <v/>
      </c>
      <c r="J101" s="12" t="str" cm="1">
        <f t="array" ref="J101">_xlfn.TEXTJOIN(CHAR(10),TRUE,_xlfn._xlws.SORT(IF((--($B101=Flowdown_CIC[[URS]:[URS]]))*(--(J$14=Flowdown_CIC[[Source.Name]:[Source.Name]])),Flowdown_CIC[[SyRS]:[SyRS]],"")))</f>
        <v/>
      </c>
      <c r="K101" s="12" t="str" cm="1">
        <f t="array" ref="K101">_xlfn.TEXTJOIN(CHAR(10),TRUE,_xlfn._xlws.SORT(IF((--($B101=Flowdown_CIC[[URS]:[URS]]))*(--(K$14=Flowdown_CIC[[Source.Name]:[Source.Name]])),Flowdown_CIC[[SyRS]:[SyRS]],"")))</f>
        <v/>
      </c>
      <c r="L101" s="16" t="b" cm="1">
        <f t="array" ref="L101">OR(LEN(C101:K101)&gt;0)</f>
        <v>1</v>
      </c>
    </row>
    <row r="102" spans="2:12" ht="27" x14ac:dyDescent="0.2">
      <c r="B102" s="11" t="str">
        <v>MASTER-59959</v>
      </c>
      <c r="C102" s="12" t="str" cm="1">
        <f t="array" ref="C102">_xlfn.TEXTJOIN(CHAR(10),TRUE,_xlfn._xlws.SORT(IF((--($B102=Flowdown_CIC[[URS]:[URS]]))*(--(C$14=Flowdown_CIC[[Source.Name]:[Source.Name]])),Flowdown_CIC[[SyRS]:[SyRS]],"")))</f>
        <v>MASTER-56559
MASTER-56561</v>
      </c>
      <c r="D102" s="12" t="str" cm="1">
        <f t="array" ref="D102">_xlfn.TEXTJOIN(CHAR(10),TRUE,_xlfn._xlws.SORT(IF((--($B102=Flowdown_CIC[[URS]:[URS]]))*(--(D$14=Flowdown_CIC[[Source.Name]:[Source.Name]])),Flowdown_CIC[[SyRS]:[SyRS]],"")))</f>
        <v>MASTER-56559
MASTER-56561</v>
      </c>
      <c r="E102" s="12" t="str" cm="1">
        <f t="array" ref="E102">_xlfn.TEXTJOIN(CHAR(10),TRUE,_xlfn._xlws.SORT(IF((--($B102=Flowdown_CIC[[URS]:[URS]]))*(--(E$14=Flowdown_CIC[[Source.Name]:[Source.Name]])),Flowdown_CIC[[SyRS]:[SyRS]],"")))</f>
        <v>MASTER-56559
MASTER-56561</v>
      </c>
      <c r="F102" s="12" t="str" cm="1">
        <f t="array" ref="F102">_xlfn.TEXTJOIN(CHAR(10),TRUE,_xlfn._xlws.SORT(IF((--($B102=Flowdown_CIC[[URS]:[URS]]))*(--(F$14=Flowdown_CIC[[Source.Name]:[Source.Name]])),Flowdown_CIC[[SyRS]:[SyRS]],"")))</f>
        <v>MASTER-56559
MASTER-56561</v>
      </c>
      <c r="G102" s="12" t="str" cm="1">
        <f t="array" ref="G102">_xlfn.TEXTJOIN(CHAR(10),TRUE,_xlfn._xlws.SORT(IF((--($B102=Flowdown_CIC[[URS]:[URS]]))*(--(G$14=Flowdown_CIC[[Source.Name]:[Source.Name]])),Flowdown_CIC[[SyRS]:[SyRS]],"")))</f>
        <v>MASTER-56559
MASTER-56561</v>
      </c>
      <c r="H102" s="12" t="str" cm="1">
        <f t="array" ref="H102">_xlfn.TEXTJOIN(CHAR(10),TRUE,_xlfn._xlws.SORT(IF((--($B102=Flowdown_CIC[[URS]:[URS]]))*(--(H$14=Flowdown_CIC[[Source.Name]:[Source.Name]])),Flowdown_CIC[[SyRS]:[SyRS]],"")))</f>
        <v/>
      </c>
      <c r="I102" s="12" t="str" cm="1">
        <f t="array" ref="I102">_xlfn.TEXTJOIN(CHAR(10),TRUE,_xlfn._xlws.SORT(IF((--($B102=Flowdown_CIC[[URS]:[URS]]))*(--(I$14=Flowdown_CIC[[Source.Name]:[Source.Name]])),Flowdown_CIC[[SyRS]:[SyRS]],"")))</f>
        <v/>
      </c>
      <c r="J102" s="12" t="str" cm="1">
        <f t="array" ref="J102">_xlfn.TEXTJOIN(CHAR(10),TRUE,_xlfn._xlws.SORT(IF((--($B102=Flowdown_CIC[[URS]:[URS]]))*(--(J$14=Flowdown_CIC[[Source.Name]:[Source.Name]])),Flowdown_CIC[[SyRS]:[SyRS]],"")))</f>
        <v/>
      </c>
      <c r="K102" s="12" t="str" cm="1">
        <f t="array" ref="K102">_xlfn.TEXTJOIN(CHAR(10),TRUE,_xlfn._xlws.SORT(IF((--($B102=Flowdown_CIC[[URS]:[URS]]))*(--(K$14=Flowdown_CIC[[Source.Name]:[Source.Name]])),Flowdown_CIC[[SyRS]:[SyRS]],"")))</f>
        <v/>
      </c>
      <c r="L102" s="16" t="b" cm="1">
        <f t="array" ref="L102">OR(LEN(C102:K102)&gt;0)</f>
        <v>1</v>
      </c>
    </row>
    <row r="103" spans="2:12" ht="162" x14ac:dyDescent="0.2">
      <c r="B103" s="11" t="str">
        <v>MASTER-59960</v>
      </c>
      <c r="C103" s="12" t="str" cm="1">
        <f t="array" ref="C103">_xlfn.TEXTJOIN(CHAR(10),TRUE,_xlfn._xlws.SORT(IF((--($B103=Flowdown_CIC[[URS]:[URS]]))*(--(C$14=Flowdown_CIC[[Source.Name]:[Source.Name]])),Flowdown_CIC[[SyRS]:[SyRS]],"")))</f>
        <v/>
      </c>
      <c r="D103" s="12" t="str" cm="1">
        <f t="array" ref="D103">_xlfn.TEXTJOIN(CHAR(10),TRUE,_xlfn._xlws.SORT(IF((--($B103=Flowdown_CIC[[URS]:[URS]]))*(--(D$14=Flowdown_CIC[[Source.Name]:[Source.Name]])),Flowdown_CIC[[SyRS]:[SyRS]],"")))</f>
        <v/>
      </c>
      <c r="E103" s="12" t="str" cm="1">
        <f t="array" ref="E103">_xlfn.TEXTJOIN(CHAR(10),TRUE,_xlfn._xlws.SORT(IF((--($B103=Flowdown_CIC[[URS]:[URS]]))*(--(E$14=Flowdown_CIC[[Source.Name]:[Source.Name]])),Flowdown_CIC[[SyRS]:[SyRS]],"")))</f>
        <v/>
      </c>
      <c r="F103" s="12" t="str" cm="1">
        <f t="array" ref="F103">_xlfn.TEXTJOIN(CHAR(10),TRUE,_xlfn._xlws.SORT(IF((--($B103=Flowdown_CIC[[URS]:[URS]]))*(--(F$14=Flowdown_CIC[[Source.Name]:[Source.Name]])),Flowdown_CIC[[SyRS]:[SyRS]],"")))</f>
        <v/>
      </c>
      <c r="G103" s="12" t="str" cm="1">
        <f t="array" ref="G103">_xlfn.TEXTJOIN(CHAR(10),TRUE,_xlfn._xlws.SORT(IF((--($B103=Flowdown_CIC[[URS]:[URS]]))*(--(G$14=Flowdown_CIC[[Source.Name]:[Source.Name]])),Flowdown_CIC[[SyRS]:[SyRS]],"")))</f>
        <v/>
      </c>
      <c r="H103" s="12" t="str" cm="1">
        <f t="array" ref="H103">_xlfn.TEXTJOIN(CHAR(10),TRUE,_xlfn._xlws.SORT(IF((--($B103=Flowdown_CIC[[URS]:[URS]]))*(--(H$14=Flowdown_CIC[[Source.Name]:[Source.Name]])),Flowdown_CIC[[SyRS]:[SyRS]],"")))</f>
        <v/>
      </c>
      <c r="I103" s="12" t="str" cm="1">
        <f t="array" ref="I103">_xlfn.TEXTJOIN(CHAR(10),TRUE,_xlfn._xlws.SORT(IF((--($B103=Flowdown_CIC[[URS]:[URS]]))*(--(I$14=Flowdown_CIC[[Source.Name]:[Source.Name]])),Flowdown_CIC[[SyRS]:[SyRS]],"")))</f>
        <v/>
      </c>
      <c r="J103" s="12" t="str" cm="1">
        <f t="array" ref="J103">_xlfn.TEXTJOIN(CHAR(10),TRUE,_xlfn._xlws.SORT(IF((--($B103=Flowdown_CIC[[URS]:[URS]]))*(--(J$14=Flowdown_CIC[[Source.Name]:[Source.Name]])),Flowdown_CIC[[SyRS]:[SyRS]],"")))</f>
        <v/>
      </c>
      <c r="K103" s="12" t="str" cm="1">
        <f t="array" ref="K103">_xlfn.TEXTJOIN(CHAR(10),TRUE,_xlfn._xlws.SORT(IF((--($B103=Flowdown_CIC[[URS]:[URS]]))*(--(K$14=Flowdown_CIC[[Source.Name]:[Source.Name]])),Flowdown_CIC[[SyRS]:[SyRS]],"")))</f>
        <v>MASTER-61698
MASTER-61699
MASTER-61700
MASTER-61701
MASTER-61702
MASTER-61703
MASTER-61704
MASTER-61705
MASTER-61707
MASTER-61708
MASTER-61709
MASTER-61710</v>
      </c>
      <c r="L103" s="16" t="b" cm="1">
        <f t="array" ref="L103">OR(LEN(C103:K103)&gt;0)</f>
        <v>1</v>
      </c>
    </row>
    <row r="104" spans="2:12" ht="94.5" x14ac:dyDescent="0.2">
      <c r="B104" s="11" t="str">
        <v>MASTER-59964</v>
      </c>
      <c r="C104" s="12" t="str" cm="1">
        <f t="array" ref="C104">_xlfn.TEXTJOIN(CHAR(10),TRUE,_xlfn._xlws.SORT(IF((--($B104=Flowdown_CIC[[URS]:[URS]]))*(--(C$14=Flowdown_CIC[[Source.Name]:[Source.Name]])),Flowdown_CIC[[SyRS]:[SyRS]],"")))</f>
        <v>MASTER-50870
MASTER-50871
MASTER-51028
MASTER-51032
MASTER-51147
MASTER-51530
MASTER-60918</v>
      </c>
      <c r="D104" s="12" t="str" cm="1">
        <f t="array" ref="D104">_xlfn.TEXTJOIN(CHAR(10),TRUE,_xlfn._xlws.SORT(IF((--($B104=Flowdown_CIC[[URS]:[URS]]))*(--(D$14=Flowdown_CIC[[Source.Name]:[Source.Name]])),Flowdown_CIC[[SyRS]:[SyRS]],"")))</f>
        <v>MASTER-50870
MASTER-50871
MASTER-51028
MASTER-51032
MASTER-51147
MASTER-51530
MASTER-60918</v>
      </c>
      <c r="E104" s="12" t="str" cm="1">
        <f t="array" ref="E104">_xlfn.TEXTJOIN(CHAR(10),TRUE,_xlfn._xlws.SORT(IF((--($B104=Flowdown_CIC[[URS]:[URS]]))*(--(E$14=Flowdown_CIC[[Source.Name]:[Source.Name]])),Flowdown_CIC[[SyRS]:[SyRS]],"")))</f>
        <v>MASTER-51530
MASTER-60918</v>
      </c>
      <c r="F104" s="12" t="str" cm="1">
        <f t="array" ref="F104">_xlfn.TEXTJOIN(CHAR(10),TRUE,_xlfn._xlws.SORT(IF((--($B104=Flowdown_CIC[[URS]:[URS]]))*(--(F$14=Flowdown_CIC[[Source.Name]:[Source.Name]])),Flowdown_CIC[[SyRS]:[SyRS]],"")))</f>
        <v>MASTER-51530
MASTER-60918</v>
      </c>
      <c r="G104" s="12" t="str" cm="1">
        <f t="array" ref="G104">_xlfn.TEXTJOIN(CHAR(10),TRUE,_xlfn._xlws.SORT(IF((--($B104=Flowdown_CIC[[URS]:[URS]]))*(--(G$14=Flowdown_CIC[[Source.Name]:[Source.Name]])),Flowdown_CIC[[SyRS]:[SyRS]],"")))</f>
        <v>MASTER-51147
MASTER-51530
MASTER-60918</v>
      </c>
      <c r="H104" s="12" t="str" cm="1">
        <f t="array" ref="H104">_xlfn.TEXTJOIN(CHAR(10),TRUE,_xlfn._xlws.SORT(IF((--($B104=Flowdown_CIC[[URS]:[URS]]))*(--(H$14=Flowdown_CIC[[Source.Name]:[Source.Name]])),Flowdown_CIC[[SyRS]:[SyRS]],"")))</f>
        <v/>
      </c>
      <c r="I104" s="12" t="str" cm="1">
        <f t="array" ref="I104">_xlfn.TEXTJOIN(CHAR(10),TRUE,_xlfn._xlws.SORT(IF((--($B104=Flowdown_CIC[[URS]:[URS]]))*(--(I$14=Flowdown_CIC[[Source.Name]:[Source.Name]])),Flowdown_CIC[[SyRS]:[SyRS]],"")))</f>
        <v/>
      </c>
      <c r="J104" s="12" t="str" cm="1">
        <f t="array" ref="J104">_xlfn.TEXTJOIN(CHAR(10),TRUE,_xlfn._xlws.SORT(IF((--($B104=Flowdown_CIC[[URS]:[URS]]))*(--(J$14=Flowdown_CIC[[Source.Name]:[Source.Name]])),Flowdown_CIC[[SyRS]:[SyRS]],"")))</f>
        <v/>
      </c>
      <c r="K104" s="12" t="str" cm="1">
        <f t="array" ref="K104">_xlfn.TEXTJOIN(CHAR(10),TRUE,_xlfn._xlws.SORT(IF((--($B104=Flowdown_CIC[[URS]:[URS]]))*(--(K$14=Flowdown_CIC[[Source.Name]:[Source.Name]])),Flowdown_CIC[[SyRS]:[SyRS]],"")))</f>
        <v/>
      </c>
      <c r="L104" s="16" t="b" cm="1">
        <f t="array" ref="L104">OR(LEN(C104:K104)&gt;0)</f>
        <v>1</v>
      </c>
    </row>
    <row r="105" spans="2:12" ht="13.5" x14ac:dyDescent="0.2">
      <c r="B105" s="11" t="str">
        <v>MASTER-61208</v>
      </c>
      <c r="C105" s="12" t="str" cm="1">
        <f t="array" ref="C105">_xlfn.TEXTJOIN(CHAR(10),TRUE,_xlfn._xlws.SORT(IF((--($B105=Flowdown_CIC[[URS]:[URS]]))*(--(C$14=Flowdown_CIC[[Source.Name]:[Source.Name]])),Flowdown_CIC[[SyRS]:[SyRS]],"")))</f>
        <v/>
      </c>
      <c r="D105" s="12" t="str" cm="1">
        <f t="array" ref="D105">_xlfn.TEXTJOIN(CHAR(10),TRUE,_xlfn._xlws.SORT(IF((--($B105=Flowdown_CIC[[URS]:[URS]]))*(--(D$14=Flowdown_CIC[[Source.Name]:[Source.Name]])),Flowdown_CIC[[SyRS]:[SyRS]],"")))</f>
        <v/>
      </c>
      <c r="E105" s="12" t="str" cm="1">
        <f t="array" ref="E105">_xlfn.TEXTJOIN(CHAR(10),TRUE,_xlfn._xlws.SORT(IF((--($B105=Flowdown_CIC[[URS]:[URS]]))*(--(E$14=Flowdown_CIC[[Source.Name]:[Source.Name]])),Flowdown_CIC[[SyRS]:[SyRS]],"")))</f>
        <v/>
      </c>
      <c r="F105" s="12" t="str" cm="1">
        <f t="array" ref="F105">_xlfn.TEXTJOIN(CHAR(10),TRUE,_xlfn._xlws.SORT(IF((--($B105=Flowdown_CIC[[URS]:[URS]]))*(--(F$14=Flowdown_CIC[[Source.Name]:[Source.Name]])),Flowdown_CIC[[SyRS]:[SyRS]],"")))</f>
        <v/>
      </c>
      <c r="G105" s="12" t="str" cm="1">
        <f t="array" ref="G105">_xlfn.TEXTJOIN(CHAR(10),TRUE,_xlfn._xlws.SORT(IF((--($B105=Flowdown_CIC[[URS]:[URS]]))*(--(G$14=Flowdown_CIC[[Source.Name]:[Source.Name]])),Flowdown_CIC[[SyRS]:[SyRS]],"")))</f>
        <v/>
      </c>
      <c r="H105" s="12" t="str" cm="1">
        <f t="array" ref="H105">_xlfn.TEXTJOIN(CHAR(10),TRUE,_xlfn._xlws.SORT(IF((--($B105=Flowdown_CIC[[URS]:[URS]]))*(--(H$14=Flowdown_CIC[[Source.Name]:[Source.Name]])),Flowdown_CIC[[SyRS]:[SyRS]],"")))</f>
        <v/>
      </c>
      <c r="I105" s="12" t="str" cm="1">
        <f t="array" ref="I105">_xlfn.TEXTJOIN(CHAR(10),TRUE,_xlfn._xlws.SORT(IF((--($B105=Flowdown_CIC[[URS]:[URS]]))*(--(I$14=Flowdown_CIC[[Source.Name]:[Source.Name]])),Flowdown_CIC[[SyRS]:[SyRS]],"")))</f>
        <v>MASTER-20174</v>
      </c>
      <c r="J105" s="12" t="str" cm="1">
        <f t="array" ref="J105">_xlfn.TEXTJOIN(CHAR(10),TRUE,_xlfn._xlws.SORT(IF((--($B105=Flowdown_CIC[[URS]:[URS]]))*(--(J$14=Flowdown_CIC[[Source.Name]:[Source.Name]])),Flowdown_CIC[[SyRS]:[SyRS]],"")))</f>
        <v>MASTER-20174</v>
      </c>
      <c r="K105" s="12" t="str" cm="1">
        <f t="array" ref="K105">_xlfn.TEXTJOIN(CHAR(10),TRUE,_xlfn._xlws.SORT(IF((--($B105=Flowdown_CIC[[URS]:[URS]]))*(--(K$14=Flowdown_CIC[[Source.Name]:[Source.Name]])),Flowdown_CIC[[SyRS]:[SyRS]],"")))</f>
        <v/>
      </c>
      <c r="L105" s="16" t="b" cm="1">
        <f t="array" ref="L105">OR(LEN(C105:K105)&gt;0)</f>
        <v>1</v>
      </c>
    </row>
    <row r="106" spans="2:12" ht="40.5" x14ac:dyDescent="0.2">
      <c r="B106" s="11" t="str">
        <v>MASTER-61209</v>
      </c>
      <c r="C106" s="12" t="str" cm="1">
        <f t="array" ref="C106">_xlfn.TEXTJOIN(CHAR(10),TRUE,_xlfn._xlws.SORT(IF((--($B106=Flowdown_CIC[[URS]:[URS]]))*(--(C$14=Flowdown_CIC[[Source.Name]:[Source.Name]])),Flowdown_CIC[[SyRS]:[SyRS]],"")))</f>
        <v/>
      </c>
      <c r="D106" s="12" t="str" cm="1">
        <f t="array" ref="D106">_xlfn.TEXTJOIN(CHAR(10),TRUE,_xlfn._xlws.SORT(IF((--($B106=Flowdown_CIC[[URS]:[URS]]))*(--(D$14=Flowdown_CIC[[Source.Name]:[Source.Name]])),Flowdown_CIC[[SyRS]:[SyRS]],"")))</f>
        <v/>
      </c>
      <c r="E106" s="12" t="str" cm="1">
        <f t="array" ref="E106">_xlfn.TEXTJOIN(CHAR(10),TRUE,_xlfn._xlws.SORT(IF((--($B106=Flowdown_CIC[[URS]:[URS]]))*(--(E$14=Flowdown_CIC[[Source.Name]:[Source.Name]])),Flowdown_CIC[[SyRS]:[SyRS]],"")))</f>
        <v/>
      </c>
      <c r="F106" s="12" t="str" cm="1">
        <f t="array" ref="F106">_xlfn.TEXTJOIN(CHAR(10),TRUE,_xlfn._xlws.SORT(IF((--($B106=Flowdown_CIC[[URS]:[URS]]))*(--(F$14=Flowdown_CIC[[Source.Name]:[Source.Name]])),Flowdown_CIC[[SyRS]:[SyRS]],"")))</f>
        <v/>
      </c>
      <c r="G106" s="12" t="str" cm="1">
        <f t="array" ref="G106">_xlfn.TEXTJOIN(CHAR(10),TRUE,_xlfn._xlws.SORT(IF((--($B106=Flowdown_CIC[[URS]:[URS]]))*(--(G$14=Flowdown_CIC[[Source.Name]:[Source.Name]])),Flowdown_CIC[[SyRS]:[SyRS]],"")))</f>
        <v/>
      </c>
      <c r="H106" s="12" t="str" cm="1">
        <f t="array" ref="H106">_xlfn.TEXTJOIN(CHAR(10),TRUE,_xlfn._xlws.SORT(IF((--($B106=Flowdown_CIC[[URS]:[URS]]))*(--(H$14=Flowdown_CIC[[Source.Name]:[Source.Name]])),Flowdown_CIC[[SyRS]:[SyRS]],"")))</f>
        <v/>
      </c>
      <c r="I106" s="12" t="str" cm="1">
        <f t="array" ref="I106">_xlfn.TEXTJOIN(CHAR(10),TRUE,_xlfn._xlws.SORT(IF((--($B106=Flowdown_CIC[[URS]:[URS]]))*(--(I$14=Flowdown_CIC[[Source.Name]:[Source.Name]])),Flowdown_CIC[[SyRS]:[SyRS]],"")))</f>
        <v/>
      </c>
      <c r="J106" s="12" t="str" cm="1">
        <f t="array" ref="J106">_xlfn.TEXTJOIN(CHAR(10),TRUE,_xlfn._xlws.SORT(IF((--($B106=Flowdown_CIC[[URS]:[URS]]))*(--(J$14=Flowdown_CIC[[Source.Name]:[Source.Name]])),Flowdown_CIC[[SyRS]:[SyRS]],"")))</f>
        <v/>
      </c>
      <c r="K106" s="12" t="str" cm="1">
        <f t="array" ref="K106">_xlfn.TEXTJOIN(CHAR(10),TRUE,_xlfn._xlws.SORT(IF((--($B106=Flowdown_CIC[[URS]:[URS]]))*(--(K$14=Flowdown_CIC[[Source.Name]:[Source.Name]])),Flowdown_CIC[[SyRS]:[SyRS]],"")))</f>
        <v>MASTER-61784
MASTER-61878
UTICA-24856</v>
      </c>
      <c r="L106" s="16" t="b" cm="1">
        <f t="array" ref="L106">OR(LEN(C106:K106)&gt;0)</f>
        <v>1</v>
      </c>
    </row>
    <row r="107" spans="2:12" ht="27" x14ac:dyDescent="0.2">
      <c r="B107" s="11" t="str">
        <v>MASTER-61595</v>
      </c>
      <c r="C107" s="12" t="str" cm="1">
        <f t="array" ref="C107">_xlfn.TEXTJOIN(CHAR(10),TRUE,_xlfn._xlws.SORT(IF((--($B107=Flowdown_CIC[[URS]:[URS]]))*(--(C$14=Flowdown_CIC[[Source.Name]:[Source.Name]])),Flowdown_CIC[[SyRS]:[SyRS]],"")))</f>
        <v/>
      </c>
      <c r="D107" s="12" t="str" cm="1">
        <f t="array" ref="D107">_xlfn.TEXTJOIN(CHAR(10),TRUE,_xlfn._xlws.SORT(IF((--($B107=Flowdown_CIC[[URS]:[URS]]))*(--(D$14=Flowdown_CIC[[Source.Name]:[Source.Name]])),Flowdown_CIC[[SyRS]:[SyRS]],"")))</f>
        <v/>
      </c>
      <c r="E107" s="12" t="str" cm="1">
        <f t="array" ref="E107">_xlfn.TEXTJOIN(CHAR(10),TRUE,_xlfn._xlws.SORT(IF((--($B107=Flowdown_CIC[[URS]:[URS]]))*(--(E$14=Flowdown_CIC[[Source.Name]:[Source.Name]])),Flowdown_CIC[[SyRS]:[SyRS]],"")))</f>
        <v/>
      </c>
      <c r="F107" s="12" t="str" cm="1">
        <f t="array" ref="F107">_xlfn.TEXTJOIN(CHAR(10),TRUE,_xlfn._xlws.SORT(IF((--($B107=Flowdown_CIC[[URS]:[URS]]))*(--(F$14=Flowdown_CIC[[Source.Name]:[Source.Name]])),Flowdown_CIC[[SyRS]:[SyRS]],"")))</f>
        <v/>
      </c>
      <c r="G107" s="12" t="str" cm="1">
        <f t="array" ref="G107">_xlfn.TEXTJOIN(CHAR(10),TRUE,_xlfn._xlws.SORT(IF((--($B107=Flowdown_CIC[[URS]:[URS]]))*(--(G$14=Flowdown_CIC[[Source.Name]:[Source.Name]])),Flowdown_CIC[[SyRS]:[SyRS]],"")))</f>
        <v/>
      </c>
      <c r="H107" s="12" t="str" cm="1">
        <f t="array" ref="H107">_xlfn.TEXTJOIN(CHAR(10),TRUE,_xlfn._xlws.SORT(IF((--($B107=Flowdown_CIC[[URS]:[URS]]))*(--(H$14=Flowdown_CIC[[Source.Name]:[Source.Name]])),Flowdown_CIC[[SyRS]:[SyRS]],"")))</f>
        <v/>
      </c>
      <c r="I107" s="12" t="str" cm="1">
        <f t="array" ref="I107">_xlfn.TEXTJOIN(CHAR(10),TRUE,_xlfn._xlws.SORT(IF((--($B107=Flowdown_CIC[[URS]:[URS]]))*(--(I$14=Flowdown_CIC[[Source.Name]:[Source.Name]])),Flowdown_CIC[[SyRS]:[SyRS]],"")))</f>
        <v/>
      </c>
      <c r="J107" s="12" t="str" cm="1">
        <f t="array" ref="J107">_xlfn.TEXTJOIN(CHAR(10),TRUE,_xlfn._xlws.SORT(IF((--($B107=Flowdown_CIC[[URS]:[URS]]))*(--(J$14=Flowdown_CIC[[Source.Name]:[Source.Name]])),Flowdown_CIC[[SyRS]:[SyRS]],"")))</f>
        <v>MASTER-20000
MASTER-20000</v>
      </c>
      <c r="K107" s="12" t="str" cm="1">
        <f t="array" ref="K107">_xlfn.TEXTJOIN(CHAR(10),TRUE,_xlfn._xlws.SORT(IF((--($B107=Flowdown_CIC[[URS]:[URS]]))*(--(K$14=Flowdown_CIC[[Source.Name]:[Source.Name]])),Flowdown_CIC[[SyRS]:[SyRS]],"")))</f>
        <v/>
      </c>
      <c r="L107" s="16" t="b" cm="1">
        <f t="array" ref="L107">OR(LEN(C107:K107)&gt;0)</f>
        <v>1</v>
      </c>
    </row>
    <row r="108" spans="2:12" ht="13.5" x14ac:dyDescent="0.2">
      <c r="B108" s="11" t="str">
        <v>MASTER-61607</v>
      </c>
      <c r="C108" s="12" t="str" cm="1">
        <f t="array" ref="C108">_xlfn.TEXTJOIN(CHAR(10),TRUE,_xlfn._xlws.SORT(IF((--($B108=Flowdown_CIC[[URS]:[URS]]))*(--(C$14=Flowdown_CIC[[Source.Name]:[Source.Name]])),Flowdown_CIC[[SyRS]:[SyRS]],"")))</f>
        <v>MASTER-64684</v>
      </c>
      <c r="D108" s="12" t="str" cm="1">
        <f t="array" ref="D108">_xlfn.TEXTJOIN(CHAR(10),TRUE,_xlfn._xlws.SORT(IF((--($B108=Flowdown_CIC[[URS]:[URS]]))*(--(D$14=Flowdown_CIC[[Source.Name]:[Source.Name]])),Flowdown_CIC[[SyRS]:[SyRS]],"")))</f>
        <v>MASTER-64684</v>
      </c>
      <c r="E108" s="12" t="str" cm="1">
        <f t="array" ref="E108">_xlfn.TEXTJOIN(CHAR(10),TRUE,_xlfn._xlws.SORT(IF((--($B108=Flowdown_CIC[[URS]:[URS]]))*(--(E$14=Flowdown_CIC[[Source.Name]:[Source.Name]])),Flowdown_CIC[[SyRS]:[SyRS]],"")))</f>
        <v>MASTER-64684</v>
      </c>
      <c r="F108" s="12" t="str" cm="1">
        <f t="array" ref="F108">_xlfn.TEXTJOIN(CHAR(10),TRUE,_xlfn._xlws.SORT(IF((--($B108=Flowdown_CIC[[URS]:[URS]]))*(--(F$14=Flowdown_CIC[[Source.Name]:[Source.Name]])),Flowdown_CIC[[SyRS]:[SyRS]],"")))</f>
        <v>MASTER-64684</v>
      </c>
      <c r="G108" s="12" t="str" cm="1">
        <f t="array" ref="G108">_xlfn.TEXTJOIN(CHAR(10),TRUE,_xlfn._xlws.SORT(IF((--($B108=Flowdown_CIC[[URS]:[URS]]))*(--(G$14=Flowdown_CIC[[Source.Name]:[Source.Name]])),Flowdown_CIC[[SyRS]:[SyRS]],"")))</f>
        <v>MASTER-64684</v>
      </c>
      <c r="H108" s="12" t="str" cm="1">
        <f t="array" ref="H108">_xlfn.TEXTJOIN(CHAR(10),TRUE,_xlfn._xlws.SORT(IF((--($B108=Flowdown_CIC[[URS]:[URS]]))*(--(H$14=Flowdown_CIC[[Source.Name]:[Source.Name]])),Flowdown_CIC[[SyRS]:[SyRS]],"")))</f>
        <v/>
      </c>
      <c r="I108" s="12" t="str" cm="1">
        <f t="array" ref="I108">_xlfn.TEXTJOIN(CHAR(10),TRUE,_xlfn._xlws.SORT(IF((--($B108=Flowdown_CIC[[URS]:[URS]]))*(--(I$14=Flowdown_CIC[[Source.Name]:[Source.Name]])),Flowdown_CIC[[SyRS]:[SyRS]],"")))</f>
        <v/>
      </c>
      <c r="J108" s="12" t="str" cm="1">
        <f t="array" ref="J108">_xlfn.TEXTJOIN(CHAR(10),TRUE,_xlfn._xlws.SORT(IF((--($B108=Flowdown_CIC[[URS]:[URS]]))*(--(J$14=Flowdown_CIC[[Source.Name]:[Source.Name]])),Flowdown_CIC[[SyRS]:[SyRS]],"")))</f>
        <v/>
      </c>
      <c r="K108" s="12" t="str" cm="1">
        <f t="array" ref="K108">_xlfn.TEXTJOIN(CHAR(10),TRUE,_xlfn._xlws.SORT(IF((--($B108=Flowdown_CIC[[URS]:[URS]]))*(--(K$14=Flowdown_CIC[[Source.Name]:[Source.Name]])),Flowdown_CIC[[SyRS]:[SyRS]],"")))</f>
        <v/>
      </c>
      <c r="L108" s="16" t="b" cm="1">
        <f t="array" ref="L108">OR(LEN(C108:K108)&gt;0)</f>
        <v>1</v>
      </c>
    </row>
    <row r="109" spans="2:12" ht="27" x14ac:dyDescent="0.2">
      <c r="B109" s="11" t="str">
        <v>MASTER-6167</v>
      </c>
      <c r="C109" s="12" t="str" cm="1">
        <f t="array" ref="C109">_xlfn.TEXTJOIN(CHAR(10),TRUE,_xlfn._xlws.SORT(IF((--($B109=Flowdown_CIC[[URS]:[URS]]))*(--(C$14=Flowdown_CIC[[Source.Name]:[Source.Name]])),Flowdown_CIC[[SyRS]:[SyRS]],"")))</f>
        <v/>
      </c>
      <c r="D109" s="12" t="str" cm="1">
        <f t="array" ref="D109">_xlfn.TEXTJOIN(CHAR(10),TRUE,_xlfn._xlws.SORT(IF((--($B109=Flowdown_CIC[[URS]:[URS]]))*(--(D$14=Flowdown_CIC[[Source.Name]:[Source.Name]])),Flowdown_CIC[[SyRS]:[SyRS]],"")))</f>
        <v/>
      </c>
      <c r="E109" s="12" t="str" cm="1">
        <f t="array" ref="E109">_xlfn.TEXTJOIN(CHAR(10),TRUE,_xlfn._xlws.SORT(IF((--($B109=Flowdown_CIC[[URS]:[URS]]))*(--(E$14=Flowdown_CIC[[Source.Name]:[Source.Name]])),Flowdown_CIC[[SyRS]:[SyRS]],"")))</f>
        <v/>
      </c>
      <c r="F109" s="12" t="str" cm="1">
        <f t="array" ref="F109">_xlfn.TEXTJOIN(CHAR(10),TRUE,_xlfn._xlws.SORT(IF((--($B109=Flowdown_CIC[[URS]:[URS]]))*(--(F$14=Flowdown_CIC[[Source.Name]:[Source.Name]])),Flowdown_CIC[[SyRS]:[SyRS]],"")))</f>
        <v/>
      </c>
      <c r="G109" s="12" t="str" cm="1">
        <f t="array" ref="G109">_xlfn.TEXTJOIN(CHAR(10),TRUE,_xlfn._xlws.SORT(IF((--($B109=Flowdown_CIC[[URS]:[URS]]))*(--(G$14=Flowdown_CIC[[Source.Name]:[Source.Name]])),Flowdown_CIC[[SyRS]:[SyRS]],"")))</f>
        <v/>
      </c>
      <c r="H109" s="12" t="str" cm="1">
        <f t="array" ref="H109">_xlfn.TEXTJOIN(CHAR(10),TRUE,_xlfn._xlws.SORT(IF((--($B109=Flowdown_CIC[[URS]:[URS]]))*(--(H$14=Flowdown_CIC[[Source.Name]:[Source.Name]])),Flowdown_CIC[[SyRS]:[SyRS]],"")))</f>
        <v/>
      </c>
      <c r="I109" s="12" t="str" cm="1">
        <f t="array" ref="I109">_xlfn.TEXTJOIN(CHAR(10),TRUE,_xlfn._xlws.SORT(IF((--($B109=Flowdown_CIC[[URS]:[URS]]))*(--(I$14=Flowdown_CIC[[Source.Name]:[Source.Name]])),Flowdown_CIC[[SyRS]:[SyRS]],"")))</f>
        <v>MASTER-20049
UTICA-211</v>
      </c>
      <c r="J109" s="12" t="str" cm="1">
        <f t="array" ref="J109">_xlfn.TEXTJOIN(CHAR(10),TRUE,_xlfn._xlws.SORT(IF((--($B109=Flowdown_CIC[[URS]:[URS]]))*(--(J$14=Flowdown_CIC[[Source.Name]:[Source.Name]])),Flowdown_CIC[[SyRS]:[SyRS]],"")))</f>
        <v>MASTER-20049</v>
      </c>
      <c r="K109" s="12" t="str" cm="1">
        <f t="array" ref="K109">_xlfn.TEXTJOIN(CHAR(10),TRUE,_xlfn._xlws.SORT(IF((--($B109=Flowdown_CIC[[URS]:[URS]]))*(--(K$14=Flowdown_CIC[[Source.Name]:[Source.Name]])),Flowdown_CIC[[SyRS]:[SyRS]],"")))</f>
        <v>MASTER-16473
UTICA-6410</v>
      </c>
      <c r="L109" s="16" t="b" cm="1">
        <f t="array" ref="L109">OR(LEN(C109:K109)&gt;0)</f>
        <v>1</v>
      </c>
    </row>
    <row r="110" spans="2:12" ht="27" x14ac:dyDescent="0.2">
      <c r="B110" s="11" t="str">
        <v>MASTER-6168</v>
      </c>
      <c r="C110" s="12" t="str" cm="1">
        <f t="array" ref="C110">_xlfn.TEXTJOIN(CHAR(10),TRUE,_xlfn._xlws.SORT(IF((--($B110=Flowdown_CIC[[URS]:[URS]]))*(--(C$14=Flowdown_CIC[[Source.Name]:[Source.Name]])),Flowdown_CIC[[SyRS]:[SyRS]],"")))</f>
        <v/>
      </c>
      <c r="D110" s="12" t="str" cm="1">
        <f t="array" ref="D110">_xlfn.TEXTJOIN(CHAR(10),TRUE,_xlfn._xlws.SORT(IF((--($B110=Flowdown_CIC[[URS]:[URS]]))*(--(D$14=Flowdown_CIC[[Source.Name]:[Source.Name]])),Flowdown_CIC[[SyRS]:[SyRS]],"")))</f>
        <v/>
      </c>
      <c r="E110" s="12" t="str" cm="1">
        <f t="array" ref="E110">_xlfn.TEXTJOIN(CHAR(10),TRUE,_xlfn._xlws.SORT(IF((--($B110=Flowdown_CIC[[URS]:[URS]]))*(--(E$14=Flowdown_CIC[[Source.Name]:[Source.Name]])),Flowdown_CIC[[SyRS]:[SyRS]],"")))</f>
        <v/>
      </c>
      <c r="F110" s="12" t="str" cm="1">
        <f t="array" ref="F110">_xlfn.TEXTJOIN(CHAR(10),TRUE,_xlfn._xlws.SORT(IF((--($B110=Flowdown_CIC[[URS]:[URS]]))*(--(F$14=Flowdown_CIC[[Source.Name]:[Source.Name]])),Flowdown_CIC[[SyRS]:[SyRS]],"")))</f>
        <v/>
      </c>
      <c r="G110" s="12" t="str" cm="1">
        <f t="array" ref="G110">_xlfn.TEXTJOIN(CHAR(10),TRUE,_xlfn._xlws.SORT(IF((--($B110=Flowdown_CIC[[URS]:[URS]]))*(--(G$14=Flowdown_CIC[[Source.Name]:[Source.Name]])),Flowdown_CIC[[SyRS]:[SyRS]],"")))</f>
        <v/>
      </c>
      <c r="H110" s="12" t="str" cm="1">
        <f t="array" ref="H110">_xlfn.TEXTJOIN(CHAR(10),TRUE,_xlfn._xlws.SORT(IF((--($B110=Flowdown_CIC[[URS]:[URS]]))*(--(H$14=Flowdown_CIC[[Source.Name]:[Source.Name]])),Flowdown_CIC[[SyRS]:[SyRS]],"")))</f>
        <v/>
      </c>
      <c r="I110" s="12" t="str" cm="1">
        <f t="array" ref="I110">_xlfn.TEXTJOIN(CHAR(10),TRUE,_xlfn._xlws.SORT(IF((--($B110=Flowdown_CIC[[URS]:[URS]]))*(--(I$14=Flowdown_CIC[[Source.Name]:[Source.Name]])),Flowdown_CIC[[SyRS]:[SyRS]],"")))</f>
        <v>MASTER-20049
UTICA-211</v>
      </c>
      <c r="J110" s="12" t="str" cm="1">
        <f t="array" ref="J110">_xlfn.TEXTJOIN(CHAR(10),TRUE,_xlfn._xlws.SORT(IF((--($B110=Flowdown_CIC[[URS]:[URS]]))*(--(J$14=Flowdown_CIC[[Source.Name]:[Source.Name]])),Flowdown_CIC[[SyRS]:[SyRS]],"")))</f>
        <v>MASTER-20049</v>
      </c>
      <c r="K110" s="12" t="str" cm="1">
        <f t="array" ref="K110">_xlfn.TEXTJOIN(CHAR(10),TRUE,_xlfn._xlws.SORT(IF((--($B110=Flowdown_CIC[[URS]:[URS]]))*(--(K$14=Flowdown_CIC[[Source.Name]:[Source.Name]])),Flowdown_CIC[[SyRS]:[SyRS]],"")))</f>
        <v/>
      </c>
      <c r="L110" s="16" t="b" cm="1">
        <f t="array" ref="L110">OR(LEN(C110:K110)&gt;0)</f>
        <v>1</v>
      </c>
    </row>
    <row r="111" spans="2:12" ht="27" x14ac:dyDescent="0.2">
      <c r="B111" s="11" t="str">
        <v>MASTER-6182</v>
      </c>
      <c r="C111" s="12" t="str" cm="1">
        <f t="array" ref="C111">_xlfn.TEXTJOIN(CHAR(10),TRUE,_xlfn._xlws.SORT(IF((--($B111=Flowdown_CIC[[URS]:[URS]]))*(--(C$14=Flowdown_CIC[[Source.Name]:[Source.Name]])),Flowdown_CIC[[SyRS]:[SyRS]],"")))</f>
        <v/>
      </c>
      <c r="D111" s="12" t="str" cm="1">
        <f t="array" ref="D111">_xlfn.TEXTJOIN(CHAR(10),TRUE,_xlfn._xlws.SORT(IF((--($B111=Flowdown_CIC[[URS]:[URS]]))*(--(D$14=Flowdown_CIC[[Source.Name]:[Source.Name]])),Flowdown_CIC[[SyRS]:[SyRS]],"")))</f>
        <v/>
      </c>
      <c r="E111" s="12" t="str" cm="1">
        <f t="array" ref="E111">_xlfn.TEXTJOIN(CHAR(10),TRUE,_xlfn._xlws.SORT(IF((--($B111=Flowdown_CIC[[URS]:[URS]]))*(--(E$14=Flowdown_CIC[[Source.Name]:[Source.Name]])),Flowdown_CIC[[SyRS]:[SyRS]],"")))</f>
        <v/>
      </c>
      <c r="F111" s="12" t="str" cm="1">
        <f t="array" ref="F111">_xlfn.TEXTJOIN(CHAR(10),TRUE,_xlfn._xlws.SORT(IF((--($B111=Flowdown_CIC[[URS]:[URS]]))*(--(F$14=Flowdown_CIC[[Source.Name]:[Source.Name]])),Flowdown_CIC[[SyRS]:[SyRS]],"")))</f>
        <v/>
      </c>
      <c r="G111" s="12" t="str" cm="1">
        <f t="array" ref="G111">_xlfn.TEXTJOIN(CHAR(10),TRUE,_xlfn._xlws.SORT(IF((--($B111=Flowdown_CIC[[URS]:[URS]]))*(--(G$14=Flowdown_CIC[[Source.Name]:[Source.Name]])),Flowdown_CIC[[SyRS]:[SyRS]],"")))</f>
        <v/>
      </c>
      <c r="H111" s="12" t="str" cm="1">
        <f t="array" ref="H111">_xlfn.TEXTJOIN(CHAR(10),TRUE,_xlfn._xlws.SORT(IF((--($B111=Flowdown_CIC[[URS]:[URS]]))*(--(H$14=Flowdown_CIC[[Source.Name]:[Source.Name]])),Flowdown_CIC[[SyRS]:[SyRS]],"")))</f>
        <v/>
      </c>
      <c r="I111" s="12" t="str" cm="1">
        <f t="array" ref="I111">_xlfn.TEXTJOIN(CHAR(10),TRUE,_xlfn._xlws.SORT(IF((--($B111=Flowdown_CIC[[URS]:[URS]]))*(--(I$14=Flowdown_CIC[[Source.Name]:[Source.Name]])),Flowdown_CIC[[SyRS]:[SyRS]],"")))</f>
        <v>MASTER-17131
UTICA-164</v>
      </c>
      <c r="J111" s="12" t="str" cm="1">
        <f t="array" ref="J111">_xlfn.TEXTJOIN(CHAR(10),TRUE,_xlfn._xlws.SORT(IF((--($B111=Flowdown_CIC[[URS]:[URS]]))*(--(J$14=Flowdown_CIC[[Source.Name]:[Source.Name]])),Flowdown_CIC[[SyRS]:[SyRS]],"")))</f>
        <v>MASTER-17131</v>
      </c>
      <c r="K111" s="12" t="str" cm="1">
        <f t="array" ref="K111">_xlfn.TEXTJOIN(CHAR(10),TRUE,_xlfn._xlws.SORT(IF((--($B111=Flowdown_CIC[[URS]:[URS]]))*(--(K$14=Flowdown_CIC[[Source.Name]:[Source.Name]])),Flowdown_CIC[[SyRS]:[SyRS]],"")))</f>
        <v/>
      </c>
      <c r="L111" s="16" t="b" cm="1">
        <f t="array" ref="L111">OR(LEN(C111:K111)&gt;0)</f>
        <v>1</v>
      </c>
    </row>
    <row r="112" spans="2:12" ht="13.5" x14ac:dyDescent="0.2">
      <c r="B112" s="11" t="str">
        <v>MASTER-6188</v>
      </c>
      <c r="C112" s="12" t="str" cm="1">
        <f t="array" ref="C112">_xlfn.TEXTJOIN(CHAR(10),TRUE,_xlfn._xlws.SORT(IF((--($B112=Flowdown_CIC[[URS]:[URS]]))*(--(C$14=Flowdown_CIC[[Source.Name]:[Source.Name]])),Flowdown_CIC[[SyRS]:[SyRS]],"")))</f>
        <v/>
      </c>
      <c r="D112" s="12" t="str" cm="1">
        <f t="array" ref="D112">_xlfn.TEXTJOIN(CHAR(10),TRUE,_xlfn._xlws.SORT(IF((--($B112=Flowdown_CIC[[URS]:[URS]]))*(--(D$14=Flowdown_CIC[[Source.Name]:[Source.Name]])),Flowdown_CIC[[SyRS]:[SyRS]],"")))</f>
        <v/>
      </c>
      <c r="E112" s="12" t="str" cm="1">
        <f t="array" ref="E112">_xlfn.TEXTJOIN(CHAR(10),TRUE,_xlfn._xlws.SORT(IF((--($B112=Flowdown_CIC[[URS]:[URS]]))*(--(E$14=Flowdown_CIC[[Source.Name]:[Source.Name]])),Flowdown_CIC[[SyRS]:[SyRS]],"")))</f>
        <v/>
      </c>
      <c r="F112" s="12" t="str" cm="1">
        <f t="array" ref="F112">_xlfn.TEXTJOIN(CHAR(10),TRUE,_xlfn._xlws.SORT(IF((--($B112=Flowdown_CIC[[URS]:[URS]]))*(--(F$14=Flowdown_CIC[[Source.Name]:[Source.Name]])),Flowdown_CIC[[SyRS]:[SyRS]],"")))</f>
        <v/>
      </c>
      <c r="G112" s="12" t="str" cm="1">
        <f t="array" ref="G112">_xlfn.TEXTJOIN(CHAR(10),TRUE,_xlfn._xlws.SORT(IF((--($B112=Flowdown_CIC[[URS]:[URS]]))*(--(G$14=Flowdown_CIC[[Source.Name]:[Source.Name]])),Flowdown_CIC[[SyRS]:[SyRS]],"")))</f>
        <v/>
      </c>
      <c r="H112" s="12" t="str" cm="1">
        <f t="array" ref="H112">_xlfn.TEXTJOIN(CHAR(10),TRUE,_xlfn._xlws.SORT(IF((--($B112=Flowdown_CIC[[URS]:[URS]]))*(--(H$14=Flowdown_CIC[[Source.Name]:[Source.Name]])),Flowdown_CIC[[SyRS]:[SyRS]],"")))</f>
        <v/>
      </c>
      <c r="I112" s="12" t="str" cm="1">
        <f t="array" ref="I112">_xlfn.TEXTJOIN(CHAR(10),TRUE,_xlfn._xlws.SORT(IF((--($B112=Flowdown_CIC[[URS]:[URS]]))*(--(I$14=Flowdown_CIC[[Source.Name]:[Source.Name]])),Flowdown_CIC[[SyRS]:[SyRS]],"")))</f>
        <v>MASTER-42251</v>
      </c>
      <c r="J112" s="12" t="str" cm="1">
        <f t="array" ref="J112">_xlfn.TEXTJOIN(CHAR(10),TRUE,_xlfn._xlws.SORT(IF((--($B112=Flowdown_CIC[[URS]:[URS]]))*(--(J$14=Flowdown_CIC[[Source.Name]:[Source.Name]])),Flowdown_CIC[[SyRS]:[SyRS]],"")))</f>
        <v>MASTER-42251</v>
      </c>
      <c r="K112" s="12" t="str" cm="1">
        <f t="array" ref="K112">_xlfn.TEXTJOIN(CHAR(10),TRUE,_xlfn._xlws.SORT(IF((--($B112=Flowdown_CIC[[URS]:[URS]]))*(--(K$14=Flowdown_CIC[[Source.Name]:[Source.Name]])),Flowdown_CIC[[SyRS]:[SyRS]],"")))</f>
        <v/>
      </c>
      <c r="L112" s="16" t="b" cm="1">
        <f t="array" ref="L112">OR(LEN(C112:K112)&gt;0)</f>
        <v>1</v>
      </c>
    </row>
    <row r="113" spans="2:12" ht="40.5" x14ac:dyDescent="0.2">
      <c r="B113" s="11" t="str">
        <v>MASTER-6193</v>
      </c>
      <c r="C113" s="12" t="str" cm="1">
        <f t="array" ref="C113">_xlfn.TEXTJOIN(CHAR(10),TRUE,_xlfn._xlws.SORT(IF((--($B113=Flowdown_CIC[[URS]:[URS]]))*(--(C$14=Flowdown_CIC[[Source.Name]:[Source.Name]])),Flowdown_CIC[[SyRS]:[SyRS]],"")))</f>
        <v/>
      </c>
      <c r="D113" s="12" t="str" cm="1">
        <f t="array" ref="D113">_xlfn.TEXTJOIN(CHAR(10),TRUE,_xlfn._xlws.SORT(IF((--($B113=Flowdown_CIC[[URS]:[URS]]))*(--(D$14=Flowdown_CIC[[Source.Name]:[Source.Name]])),Flowdown_CIC[[SyRS]:[SyRS]],"")))</f>
        <v/>
      </c>
      <c r="E113" s="12" t="str" cm="1">
        <f t="array" ref="E113">_xlfn.TEXTJOIN(CHAR(10),TRUE,_xlfn._xlws.SORT(IF((--($B113=Flowdown_CIC[[URS]:[URS]]))*(--(E$14=Flowdown_CIC[[Source.Name]:[Source.Name]])),Flowdown_CIC[[SyRS]:[SyRS]],"")))</f>
        <v/>
      </c>
      <c r="F113" s="12" t="str" cm="1">
        <f t="array" ref="F113">_xlfn.TEXTJOIN(CHAR(10),TRUE,_xlfn._xlws.SORT(IF((--($B113=Flowdown_CIC[[URS]:[URS]]))*(--(F$14=Flowdown_CIC[[Source.Name]:[Source.Name]])),Flowdown_CIC[[SyRS]:[SyRS]],"")))</f>
        <v/>
      </c>
      <c r="G113" s="12" t="str" cm="1">
        <f t="array" ref="G113">_xlfn.TEXTJOIN(CHAR(10),TRUE,_xlfn._xlws.SORT(IF((--($B113=Flowdown_CIC[[URS]:[URS]]))*(--(G$14=Flowdown_CIC[[Source.Name]:[Source.Name]])),Flowdown_CIC[[SyRS]:[SyRS]],"")))</f>
        <v/>
      </c>
      <c r="H113" s="12" t="str" cm="1">
        <f t="array" ref="H113">_xlfn.TEXTJOIN(CHAR(10),TRUE,_xlfn._xlws.SORT(IF((--($B113=Flowdown_CIC[[URS]:[URS]]))*(--(H$14=Flowdown_CIC[[Source.Name]:[Source.Name]])),Flowdown_CIC[[SyRS]:[SyRS]],"")))</f>
        <v/>
      </c>
      <c r="I113" s="12" t="str" cm="1">
        <f t="array" ref="I113">_xlfn.TEXTJOIN(CHAR(10),TRUE,_xlfn._xlws.SORT(IF((--($B113=Flowdown_CIC[[URS]:[URS]]))*(--(I$14=Flowdown_CIC[[Source.Name]:[Source.Name]])),Flowdown_CIC[[SyRS]:[SyRS]],"")))</f>
        <v>MASTER-20049
MASTER-42251
UTICA-211</v>
      </c>
      <c r="J113" s="12" t="str" cm="1">
        <f t="array" ref="J113">_xlfn.TEXTJOIN(CHAR(10),TRUE,_xlfn._xlws.SORT(IF((--($B113=Flowdown_CIC[[URS]:[URS]]))*(--(J$14=Flowdown_CIC[[Source.Name]:[Source.Name]])),Flowdown_CIC[[SyRS]:[SyRS]],"")))</f>
        <v>MASTER-20049
MASTER-42251</v>
      </c>
      <c r="K113" s="12" t="str" cm="1">
        <f t="array" ref="K113">_xlfn.TEXTJOIN(CHAR(10),TRUE,_xlfn._xlws.SORT(IF((--($B113=Flowdown_CIC[[URS]:[URS]]))*(--(K$14=Flowdown_CIC[[Source.Name]:[Source.Name]])),Flowdown_CIC[[SyRS]:[SyRS]],"")))</f>
        <v/>
      </c>
      <c r="L113" s="16" t="b" cm="1">
        <f t="array" ref="L113">OR(LEN(C113:K113)&gt;0)</f>
        <v>1</v>
      </c>
    </row>
    <row r="114" spans="2:12" ht="13.5" x14ac:dyDescent="0.2">
      <c r="B114" s="11" t="str">
        <v>MASTER-6201</v>
      </c>
      <c r="C114" s="12" t="str" cm="1">
        <f t="array" ref="C114">_xlfn.TEXTJOIN(CHAR(10),TRUE,_xlfn._xlws.SORT(IF((--($B114=Flowdown_CIC[[URS]:[URS]]))*(--(C$14=Flowdown_CIC[[Source.Name]:[Source.Name]])),Flowdown_CIC[[SyRS]:[SyRS]],"")))</f>
        <v/>
      </c>
      <c r="D114" s="12" t="str" cm="1">
        <f t="array" ref="D114">_xlfn.TEXTJOIN(CHAR(10),TRUE,_xlfn._xlws.SORT(IF((--($B114=Flowdown_CIC[[URS]:[URS]]))*(--(D$14=Flowdown_CIC[[Source.Name]:[Source.Name]])),Flowdown_CIC[[SyRS]:[SyRS]],"")))</f>
        <v/>
      </c>
      <c r="E114" s="12" t="str" cm="1">
        <f t="array" ref="E114">_xlfn.TEXTJOIN(CHAR(10),TRUE,_xlfn._xlws.SORT(IF((--($B114=Flowdown_CIC[[URS]:[URS]]))*(--(E$14=Flowdown_CIC[[Source.Name]:[Source.Name]])),Flowdown_CIC[[SyRS]:[SyRS]],"")))</f>
        <v/>
      </c>
      <c r="F114" s="12" t="str" cm="1">
        <f t="array" ref="F114">_xlfn.TEXTJOIN(CHAR(10),TRUE,_xlfn._xlws.SORT(IF((--($B114=Flowdown_CIC[[URS]:[URS]]))*(--(F$14=Flowdown_CIC[[Source.Name]:[Source.Name]])),Flowdown_CIC[[SyRS]:[SyRS]],"")))</f>
        <v/>
      </c>
      <c r="G114" s="12" t="str" cm="1">
        <f t="array" ref="G114">_xlfn.TEXTJOIN(CHAR(10),TRUE,_xlfn._xlws.SORT(IF((--($B114=Flowdown_CIC[[URS]:[URS]]))*(--(G$14=Flowdown_CIC[[Source.Name]:[Source.Name]])),Flowdown_CIC[[SyRS]:[SyRS]],"")))</f>
        <v/>
      </c>
      <c r="H114" s="12" t="str" cm="1">
        <f t="array" ref="H114">_xlfn.TEXTJOIN(CHAR(10),TRUE,_xlfn._xlws.SORT(IF((--($B114=Flowdown_CIC[[URS]:[URS]]))*(--(H$14=Flowdown_CIC[[Source.Name]:[Source.Name]])),Flowdown_CIC[[SyRS]:[SyRS]],"")))</f>
        <v/>
      </c>
      <c r="I114" s="12" t="str" cm="1">
        <f t="array" ref="I114">_xlfn.TEXTJOIN(CHAR(10),TRUE,_xlfn._xlws.SORT(IF((--($B114=Flowdown_CIC[[URS]:[URS]]))*(--(I$14=Flowdown_CIC[[Source.Name]:[Source.Name]])),Flowdown_CIC[[SyRS]:[SyRS]],"")))</f>
        <v/>
      </c>
      <c r="J114" s="12" t="str" cm="1">
        <f t="array" ref="J114">_xlfn.TEXTJOIN(CHAR(10),TRUE,_xlfn._xlws.SORT(IF((--($B114=Flowdown_CIC[[URS]:[URS]]))*(--(J$14=Flowdown_CIC[[Source.Name]:[Source.Name]])),Flowdown_CIC[[SyRS]:[SyRS]],"")))</f>
        <v>MASTER-17131</v>
      </c>
      <c r="K114" s="12" t="str" cm="1">
        <f t="array" ref="K114">_xlfn.TEXTJOIN(CHAR(10),TRUE,_xlfn._xlws.SORT(IF((--($B114=Flowdown_CIC[[URS]:[URS]]))*(--(K$14=Flowdown_CIC[[Source.Name]:[Source.Name]])),Flowdown_CIC[[SyRS]:[SyRS]],"")))</f>
        <v/>
      </c>
      <c r="L114" s="16" t="b" cm="1">
        <f t="array" ref="L114">OR(LEN(C114:K114)&gt;0)</f>
        <v>1</v>
      </c>
    </row>
    <row r="115" spans="2:12" ht="13.5" x14ac:dyDescent="0.2">
      <c r="B115" s="11" t="str">
        <v>MASTER-6206</v>
      </c>
      <c r="C115" s="12" t="str" cm="1">
        <f t="array" ref="C115">_xlfn.TEXTJOIN(CHAR(10),TRUE,_xlfn._xlws.SORT(IF((--($B115=Flowdown_CIC[[URS]:[URS]]))*(--(C$14=Flowdown_CIC[[Source.Name]:[Source.Name]])),Flowdown_CIC[[SyRS]:[SyRS]],"")))</f>
        <v/>
      </c>
      <c r="D115" s="12" t="str" cm="1">
        <f t="array" ref="D115">_xlfn.TEXTJOIN(CHAR(10),TRUE,_xlfn._xlws.SORT(IF((--($B115=Flowdown_CIC[[URS]:[URS]]))*(--(D$14=Flowdown_CIC[[Source.Name]:[Source.Name]])),Flowdown_CIC[[SyRS]:[SyRS]],"")))</f>
        <v/>
      </c>
      <c r="E115" s="12" t="str" cm="1">
        <f t="array" ref="E115">_xlfn.TEXTJOIN(CHAR(10),TRUE,_xlfn._xlws.SORT(IF((--($B115=Flowdown_CIC[[URS]:[URS]]))*(--(E$14=Flowdown_CIC[[Source.Name]:[Source.Name]])),Flowdown_CIC[[SyRS]:[SyRS]],"")))</f>
        <v/>
      </c>
      <c r="F115" s="12" t="str" cm="1">
        <f t="array" ref="F115">_xlfn.TEXTJOIN(CHAR(10),TRUE,_xlfn._xlws.SORT(IF((--($B115=Flowdown_CIC[[URS]:[URS]]))*(--(F$14=Flowdown_CIC[[Source.Name]:[Source.Name]])),Flowdown_CIC[[SyRS]:[SyRS]],"")))</f>
        <v/>
      </c>
      <c r="G115" s="12" t="str" cm="1">
        <f t="array" ref="G115">_xlfn.TEXTJOIN(CHAR(10),TRUE,_xlfn._xlws.SORT(IF((--($B115=Flowdown_CIC[[URS]:[URS]]))*(--(G$14=Flowdown_CIC[[Source.Name]:[Source.Name]])),Flowdown_CIC[[SyRS]:[SyRS]],"")))</f>
        <v/>
      </c>
      <c r="H115" s="12" t="str" cm="1">
        <f t="array" ref="H115">_xlfn.TEXTJOIN(CHAR(10),TRUE,_xlfn._xlws.SORT(IF((--($B115=Flowdown_CIC[[URS]:[URS]]))*(--(H$14=Flowdown_CIC[[Source.Name]:[Source.Name]])),Flowdown_CIC[[SyRS]:[SyRS]],"")))</f>
        <v/>
      </c>
      <c r="I115" s="12" t="str" cm="1">
        <f t="array" ref="I115">_xlfn.TEXTJOIN(CHAR(10),TRUE,_xlfn._xlws.SORT(IF((--($B115=Flowdown_CIC[[URS]:[URS]]))*(--(I$14=Flowdown_CIC[[Source.Name]:[Source.Name]])),Flowdown_CIC[[SyRS]:[SyRS]],"")))</f>
        <v>MASTER-17131</v>
      </c>
      <c r="J115" s="12" t="str" cm="1">
        <f t="array" ref="J115">_xlfn.TEXTJOIN(CHAR(10),TRUE,_xlfn._xlws.SORT(IF((--($B115=Flowdown_CIC[[URS]:[URS]]))*(--(J$14=Flowdown_CIC[[Source.Name]:[Source.Name]])),Flowdown_CIC[[SyRS]:[SyRS]],"")))</f>
        <v>MASTER-17131</v>
      </c>
      <c r="K115" s="12" t="str" cm="1">
        <f t="array" ref="K115">_xlfn.TEXTJOIN(CHAR(10),TRUE,_xlfn._xlws.SORT(IF((--($B115=Flowdown_CIC[[URS]:[URS]]))*(--(K$14=Flowdown_CIC[[Source.Name]:[Source.Name]])),Flowdown_CIC[[SyRS]:[SyRS]],"")))</f>
        <v/>
      </c>
      <c r="L115" s="16" t="b" cm="1">
        <f t="array" ref="L115">OR(LEN(C115:K115)&gt;0)</f>
        <v>1</v>
      </c>
    </row>
    <row r="116" spans="2:12" ht="13.5" x14ac:dyDescent="0.2">
      <c r="B116" s="11" t="str">
        <v>MASTER-6238</v>
      </c>
      <c r="C116" s="12" t="str" cm="1">
        <f t="array" ref="C116">_xlfn.TEXTJOIN(CHAR(10),TRUE,_xlfn._xlws.SORT(IF((--($B116=Flowdown_CIC[[URS]:[URS]]))*(--(C$14=Flowdown_CIC[[Source.Name]:[Source.Name]])),Flowdown_CIC[[SyRS]:[SyRS]],"")))</f>
        <v/>
      </c>
      <c r="D116" s="12" t="str" cm="1">
        <f t="array" ref="D116">_xlfn.TEXTJOIN(CHAR(10),TRUE,_xlfn._xlws.SORT(IF((--($B116=Flowdown_CIC[[URS]:[URS]]))*(--(D$14=Flowdown_CIC[[Source.Name]:[Source.Name]])),Flowdown_CIC[[SyRS]:[SyRS]],"")))</f>
        <v/>
      </c>
      <c r="E116" s="12" t="str" cm="1">
        <f t="array" ref="E116">_xlfn.TEXTJOIN(CHAR(10),TRUE,_xlfn._xlws.SORT(IF((--($B116=Flowdown_CIC[[URS]:[URS]]))*(--(E$14=Flowdown_CIC[[Source.Name]:[Source.Name]])),Flowdown_CIC[[SyRS]:[SyRS]],"")))</f>
        <v/>
      </c>
      <c r="F116" s="12" t="str" cm="1">
        <f t="array" ref="F116">_xlfn.TEXTJOIN(CHAR(10),TRUE,_xlfn._xlws.SORT(IF((--($B116=Flowdown_CIC[[URS]:[URS]]))*(--(F$14=Flowdown_CIC[[Source.Name]:[Source.Name]])),Flowdown_CIC[[SyRS]:[SyRS]],"")))</f>
        <v/>
      </c>
      <c r="G116" s="12" t="str" cm="1">
        <f t="array" ref="G116">_xlfn.TEXTJOIN(CHAR(10),TRUE,_xlfn._xlws.SORT(IF((--($B116=Flowdown_CIC[[URS]:[URS]]))*(--(G$14=Flowdown_CIC[[Source.Name]:[Source.Name]])),Flowdown_CIC[[SyRS]:[SyRS]],"")))</f>
        <v/>
      </c>
      <c r="H116" s="12" t="str" cm="1">
        <f t="array" ref="H116">_xlfn.TEXTJOIN(CHAR(10),TRUE,_xlfn._xlws.SORT(IF((--($B116=Flowdown_CIC[[URS]:[URS]]))*(--(H$14=Flowdown_CIC[[Source.Name]:[Source.Name]])),Flowdown_CIC[[SyRS]:[SyRS]],"")))</f>
        <v/>
      </c>
      <c r="I116" s="12" t="str" cm="1">
        <f t="array" ref="I116">_xlfn.TEXTJOIN(CHAR(10),TRUE,_xlfn._xlws.SORT(IF((--($B116=Flowdown_CIC[[URS]:[URS]]))*(--(I$14=Flowdown_CIC[[Source.Name]:[Source.Name]])),Flowdown_CIC[[SyRS]:[SyRS]],"")))</f>
        <v>MASTER-17275</v>
      </c>
      <c r="J116" s="12" t="str" cm="1">
        <f t="array" ref="J116">_xlfn.TEXTJOIN(CHAR(10),TRUE,_xlfn._xlws.SORT(IF((--($B116=Flowdown_CIC[[URS]:[URS]]))*(--(J$14=Flowdown_CIC[[Source.Name]:[Source.Name]])),Flowdown_CIC[[SyRS]:[SyRS]],"")))</f>
        <v>MASTER-17275</v>
      </c>
      <c r="K116" s="12" t="str" cm="1">
        <f t="array" ref="K116">_xlfn.TEXTJOIN(CHAR(10),TRUE,_xlfn._xlws.SORT(IF((--($B116=Flowdown_CIC[[URS]:[URS]]))*(--(K$14=Flowdown_CIC[[Source.Name]:[Source.Name]])),Flowdown_CIC[[SyRS]:[SyRS]],"")))</f>
        <v/>
      </c>
      <c r="L116" s="16" t="b" cm="1">
        <f t="array" ref="L116">OR(LEN(C116:K116)&gt;0)</f>
        <v>1</v>
      </c>
    </row>
    <row r="117" spans="2:12" ht="54" x14ac:dyDescent="0.2">
      <c r="B117" s="11" t="str">
        <v>MASTER-6239</v>
      </c>
      <c r="C117" s="12" t="str" cm="1">
        <f t="array" ref="C117">_xlfn.TEXTJOIN(CHAR(10),TRUE,_xlfn._xlws.SORT(IF((--($B117=Flowdown_CIC[[URS]:[URS]]))*(--(C$14=Flowdown_CIC[[Source.Name]:[Source.Name]])),Flowdown_CIC[[SyRS]:[SyRS]],"")))</f>
        <v/>
      </c>
      <c r="D117" s="12" t="str" cm="1">
        <f t="array" ref="D117">_xlfn.TEXTJOIN(CHAR(10),TRUE,_xlfn._xlws.SORT(IF((--($B117=Flowdown_CIC[[URS]:[URS]]))*(--(D$14=Flowdown_CIC[[Source.Name]:[Source.Name]])),Flowdown_CIC[[SyRS]:[SyRS]],"")))</f>
        <v/>
      </c>
      <c r="E117" s="12" t="str" cm="1">
        <f t="array" ref="E117">_xlfn.TEXTJOIN(CHAR(10),TRUE,_xlfn._xlws.SORT(IF((--($B117=Flowdown_CIC[[URS]:[URS]]))*(--(E$14=Flowdown_CIC[[Source.Name]:[Source.Name]])),Flowdown_CIC[[SyRS]:[SyRS]],"")))</f>
        <v/>
      </c>
      <c r="F117" s="12" t="str" cm="1">
        <f t="array" ref="F117">_xlfn.TEXTJOIN(CHAR(10),TRUE,_xlfn._xlws.SORT(IF((--($B117=Flowdown_CIC[[URS]:[URS]]))*(--(F$14=Flowdown_CIC[[Source.Name]:[Source.Name]])),Flowdown_CIC[[SyRS]:[SyRS]],"")))</f>
        <v/>
      </c>
      <c r="G117" s="12" t="str" cm="1">
        <f t="array" ref="G117">_xlfn.TEXTJOIN(CHAR(10),TRUE,_xlfn._xlws.SORT(IF((--($B117=Flowdown_CIC[[URS]:[URS]]))*(--(G$14=Flowdown_CIC[[Source.Name]:[Source.Name]])),Flowdown_CIC[[SyRS]:[SyRS]],"")))</f>
        <v/>
      </c>
      <c r="H117" s="12" t="str" cm="1">
        <f t="array" ref="H117">_xlfn.TEXTJOIN(CHAR(10),TRUE,_xlfn._xlws.SORT(IF((--($B117=Flowdown_CIC[[URS]:[URS]]))*(--(H$14=Flowdown_CIC[[Source.Name]:[Source.Name]])),Flowdown_CIC[[SyRS]:[SyRS]],"")))</f>
        <v/>
      </c>
      <c r="I117" s="12" t="str" cm="1">
        <f t="array" ref="I117">_xlfn.TEXTJOIN(CHAR(10),TRUE,_xlfn._xlws.SORT(IF((--($B117=Flowdown_CIC[[URS]:[URS]]))*(--(I$14=Flowdown_CIC[[Source.Name]:[Source.Name]])),Flowdown_CIC[[SyRS]:[SyRS]],"")))</f>
        <v>MASTER-17285
MASTER-17287
MASTER-17288
UTICA-165</v>
      </c>
      <c r="J117" s="12" t="str" cm="1">
        <f t="array" ref="J117">_xlfn.TEXTJOIN(CHAR(10),TRUE,_xlfn._xlws.SORT(IF((--($B117=Flowdown_CIC[[URS]:[URS]]))*(--(J$14=Flowdown_CIC[[Source.Name]:[Source.Name]])),Flowdown_CIC[[SyRS]:[SyRS]],"")))</f>
        <v>MASTER-17285
MASTER-17288</v>
      </c>
      <c r="K117" s="12" t="str" cm="1">
        <f t="array" ref="K117">_xlfn.TEXTJOIN(CHAR(10),TRUE,_xlfn._xlws.SORT(IF((--($B117=Flowdown_CIC[[URS]:[URS]]))*(--(K$14=Flowdown_CIC[[Source.Name]:[Source.Name]])),Flowdown_CIC[[SyRS]:[SyRS]],"")))</f>
        <v/>
      </c>
      <c r="L117" s="16" t="b" cm="1">
        <f t="array" ref="L117">OR(LEN(C117:K117)&gt;0)</f>
        <v>1</v>
      </c>
    </row>
    <row r="118" spans="2:12" ht="13.5" x14ac:dyDescent="0.2">
      <c r="B118" s="11" t="str">
        <v>MASTER-6241</v>
      </c>
      <c r="C118" s="12" t="str" cm="1">
        <f t="array" ref="C118">_xlfn.TEXTJOIN(CHAR(10),TRUE,_xlfn._xlws.SORT(IF((--($B118=Flowdown_CIC[[URS]:[URS]]))*(--(C$14=Flowdown_CIC[[Source.Name]:[Source.Name]])),Flowdown_CIC[[SyRS]:[SyRS]],"")))</f>
        <v/>
      </c>
      <c r="D118" s="12" t="str" cm="1">
        <f t="array" ref="D118">_xlfn.TEXTJOIN(CHAR(10),TRUE,_xlfn._xlws.SORT(IF((--($B118=Flowdown_CIC[[URS]:[URS]]))*(--(D$14=Flowdown_CIC[[Source.Name]:[Source.Name]])),Flowdown_CIC[[SyRS]:[SyRS]],"")))</f>
        <v/>
      </c>
      <c r="E118" s="12" t="str" cm="1">
        <f t="array" ref="E118">_xlfn.TEXTJOIN(CHAR(10),TRUE,_xlfn._xlws.SORT(IF((--($B118=Flowdown_CIC[[URS]:[URS]]))*(--(E$14=Flowdown_CIC[[Source.Name]:[Source.Name]])),Flowdown_CIC[[SyRS]:[SyRS]],"")))</f>
        <v/>
      </c>
      <c r="F118" s="12" t="str" cm="1">
        <f t="array" ref="F118">_xlfn.TEXTJOIN(CHAR(10),TRUE,_xlfn._xlws.SORT(IF((--($B118=Flowdown_CIC[[URS]:[URS]]))*(--(F$14=Flowdown_CIC[[Source.Name]:[Source.Name]])),Flowdown_CIC[[SyRS]:[SyRS]],"")))</f>
        <v/>
      </c>
      <c r="G118" s="12" t="str" cm="1">
        <f t="array" ref="G118">_xlfn.TEXTJOIN(CHAR(10),TRUE,_xlfn._xlws.SORT(IF((--($B118=Flowdown_CIC[[URS]:[URS]]))*(--(G$14=Flowdown_CIC[[Source.Name]:[Source.Name]])),Flowdown_CIC[[SyRS]:[SyRS]],"")))</f>
        <v/>
      </c>
      <c r="H118" s="12" t="str" cm="1">
        <f t="array" ref="H118">_xlfn.TEXTJOIN(CHAR(10),TRUE,_xlfn._xlws.SORT(IF((--($B118=Flowdown_CIC[[URS]:[URS]]))*(--(H$14=Flowdown_CIC[[Source.Name]:[Source.Name]])),Flowdown_CIC[[SyRS]:[SyRS]],"")))</f>
        <v/>
      </c>
      <c r="I118" s="12" t="str" cm="1">
        <f t="array" ref="I118">_xlfn.TEXTJOIN(CHAR(10),TRUE,_xlfn._xlws.SORT(IF((--($B118=Flowdown_CIC[[URS]:[URS]]))*(--(I$14=Flowdown_CIC[[Source.Name]:[Source.Name]])),Flowdown_CIC[[SyRS]:[SyRS]],"")))</f>
        <v/>
      </c>
      <c r="J118" s="12" t="str" cm="1">
        <f t="array" ref="J118">_xlfn.TEXTJOIN(CHAR(10),TRUE,_xlfn._xlws.SORT(IF((--($B118=Flowdown_CIC[[URS]:[URS]]))*(--(J$14=Flowdown_CIC[[Source.Name]:[Source.Name]])),Flowdown_CIC[[SyRS]:[SyRS]],"")))</f>
        <v>MASTER-17284</v>
      </c>
      <c r="K118" s="12" t="str" cm="1">
        <f t="array" ref="K118">_xlfn.TEXTJOIN(CHAR(10),TRUE,_xlfn._xlws.SORT(IF((--($B118=Flowdown_CIC[[URS]:[URS]]))*(--(K$14=Flowdown_CIC[[Source.Name]:[Source.Name]])),Flowdown_CIC[[SyRS]:[SyRS]],"")))</f>
        <v/>
      </c>
      <c r="L118" s="16" t="b" cm="1">
        <f t="array" ref="L118">OR(LEN(C118:K118)&gt;0)</f>
        <v>1</v>
      </c>
    </row>
    <row r="119" spans="2:12" ht="40.5" x14ac:dyDescent="0.2">
      <c r="B119" s="11" t="str">
        <v>MASTER-6246</v>
      </c>
      <c r="C119" s="12" t="str" cm="1">
        <f t="array" ref="C119">_xlfn.TEXTJOIN(CHAR(10),TRUE,_xlfn._xlws.SORT(IF((--($B119=Flowdown_CIC[[URS]:[URS]]))*(--(C$14=Flowdown_CIC[[Source.Name]:[Source.Name]])),Flowdown_CIC[[SyRS]:[SyRS]],"")))</f>
        <v/>
      </c>
      <c r="D119" s="12" t="str" cm="1">
        <f t="array" ref="D119">_xlfn.TEXTJOIN(CHAR(10),TRUE,_xlfn._xlws.SORT(IF((--($B119=Flowdown_CIC[[URS]:[URS]]))*(--(D$14=Flowdown_CIC[[Source.Name]:[Source.Name]])),Flowdown_CIC[[SyRS]:[SyRS]],"")))</f>
        <v/>
      </c>
      <c r="E119" s="12" t="str" cm="1">
        <f t="array" ref="E119">_xlfn.TEXTJOIN(CHAR(10),TRUE,_xlfn._xlws.SORT(IF((--($B119=Flowdown_CIC[[URS]:[URS]]))*(--(E$14=Flowdown_CIC[[Source.Name]:[Source.Name]])),Flowdown_CIC[[SyRS]:[SyRS]],"")))</f>
        <v/>
      </c>
      <c r="F119" s="12" t="str" cm="1">
        <f t="array" ref="F119">_xlfn.TEXTJOIN(CHAR(10),TRUE,_xlfn._xlws.SORT(IF((--($B119=Flowdown_CIC[[URS]:[URS]]))*(--(F$14=Flowdown_CIC[[Source.Name]:[Source.Name]])),Flowdown_CIC[[SyRS]:[SyRS]],"")))</f>
        <v/>
      </c>
      <c r="G119" s="12" t="str" cm="1">
        <f t="array" ref="G119">_xlfn.TEXTJOIN(CHAR(10),TRUE,_xlfn._xlws.SORT(IF((--($B119=Flowdown_CIC[[URS]:[URS]]))*(--(G$14=Flowdown_CIC[[Source.Name]:[Source.Name]])),Flowdown_CIC[[SyRS]:[SyRS]],"")))</f>
        <v/>
      </c>
      <c r="H119" s="12" t="str" cm="1">
        <f t="array" ref="H119">_xlfn.TEXTJOIN(CHAR(10),TRUE,_xlfn._xlws.SORT(IF((--($B119=Flowdown_CIC[[URS]:[URS]]))*(--(H$14=Flowdown_CIC[[Source.Name]:[Source.Name]])),Flowdown_CIC[[SyRS]:[SyRS]],"")))</f>
        <v/>
      </c>
      <c r="I119" s="12" t="str" cm="1">
        <f t="array" ref="I119">_xlfn.TEXTJOIN(CHAR(10),TRUE,_xlfn._xlws.SORT(IF((--($B119=Flowdown_CIC[[URS]:[URS]]))*(--(I$14=Flowdown_CIC[[Source.Name]:[Source.Name]])),Flowdown_CIC[[SyRS]:[SyRS]],"")))</f>
        <v>MASTER-17308
UTICA-167</v>
      </c>
      <c r="J119" s="12" t="str" cm="1">
        <f t="array" ref="J119">_xlfn.TEXTJOIN(CHAR(10),TRUE,_xlfn._xlws.SORT(IF((--($B119=Flowdown_CIC[[URS]:[URS]]))*(--(J$14=Flowdown_CIC[[Source.Name]:[Source.Name]])),Flowdown_CIC[[SyRS]:[SyRS]],"")))</f>
        <v>MASTER-17301
MASTER-17308
UTICA-2459</v>
      </c>
      <c r="K119" s="12" t="str" cm="1">
        <f t="array" ref="K119">_xlfn.TEXTJOIN(CHAR(10),TRUE,_xlfn._xlws.SORT(IF((--($B119=Flowdown_CIC[[URS]:[URS]]))*(--(K$14=Flowdown_CIC[[Source.Name]:[Source.Name]])),Flowdown_CIC[[SyRS]:[SyRS]],"")))</f>
        <v/>
      </c>
      <c r="L119" s="16" t="b" cm="1">
        <f t="array" ref="L119">OR(LEN(C119:K119)&gt;0)</f>
        <v>1</v>
      </c>
    </row>
    <row r="120" spans="2:12" ht="27" x14ac:dyDescent="0.2">
      <c r="B120" s="11" t="str">
        <v>MASTER-6247</v>
      </c>
      <c r="C120" s="12" t="str" cm="1">
        <f t="array" ref="C120">_xlfn.TEXTJOIN(CHAR(10),TRUE,_xlfn._xlws.SORT(IF((--($B120=Flowdown_CIC[[URS]:[URS]]))*(--(C$14=Flowdown_CIC[[Source.Name]:[Source.Name]])),Flowdown_CIC[[SyRS]:[SyRS]],"")))</f>
        <v/>
      </c>
      <c r="D120" s="12" t="str" cm="1">
        <f t="array" ref="D120">_xlfn.TEXTJOIN(CHAR(10),TRUE,_xlfn._xlws.SORT(IF((--($B120=Flowdown_CIC[[URS]:[URS]]))*(--(D$14=Flowdown_CIC[[Source.Name]:[Source.Name]])),Flowdown_CIC[[SyRS]:[SyRS]],"")))</f>
        <v/>
      </c>
      <c r="E120" s="12" t="str" cm="1">
        <f t="array" ref="E120">_xlfn.TEXTJOIN(CHAR(10),TRUE,_xlfn._xlws.SORT(IF((--($B120=Flowdown_CIC[[URS]:[URS]]))*(--(E$14=Flowdown_CIC[[Source.Name]:[Source.Name]])),Flowdown_CIC[[SyRS]:[SyRS]],"")))</f>
        <v/>
      </c>
      <c r="F120" s="12" t="str" cm="1">
        <f t="array" ref="F120">_xlfn.TEXTJOIN(CHAR(10),TRUE,_xlfn._xlws.SORT(IF((--($B120=Flowdown_CIC[[URS]:[URS]]))*(--(F$14=Flowdown_CIC[[Source.Name]:[Source.Name]])),Flowdown_CIC[[SyRS]:[SyRS]],"")))</f>
        <v/>
      </c>
      <c r="G120" s="12" t="str" cm="1">
        <f t="array" ref="G120">_xlfn.TEXTJOIN(CHAR(10),TRUE,_xlfn._xlws.SORT(IF((--($B120=Flowdown_CIC[[URS]:[URS]]))*(--(G$14=Flowdown_CIC[[Source.Name]:[Source.Name]])),Flowdown_CIC[[SyRS]:[SyRS]],"")))</f>
        <v/>
      </c>
      <c r="H120" s="12" t="str" cm="1">
        <f t="array" ref="H120">_xlfn.TEXTJOIN(CHAR(10),TRUE,_xlfn._xlws.SORT(IF((--($B120=Flowdown_CIC[[URS]:[URS]]))*(--(H$14=Flowdown_CIC[[Source.Name]:[Source.Name]])),Flowdown_CIC[[SyRS]:[SyRS]],"")))</f>
        <v/>
      </c>
      <c r="I120" s="12" t="str" cm="1">
        <f t="array" ref="I120">_xlfn.TEXTJOIN(CHAR(10),TRUE,_xlfn._xlws.SORT(IF((--($B120=Flowdown_CIC[[URS]:[URS]]))*(--(I$14=Flowdown_CIC[[Source.Name]:[Source.Name]])),Flowdown_CIC[[SyRS]:[SyRS]],"")))</f>
        <v>UTICA-171
UTICA-172</v>
      </c>
      <c r="J120" s="12" t="str" cm="1">
        <f t="array" ref="J120">_xlfn.TEXTJOIN(CHAR(10),TRUE,_xlfn._xlws.SORT(IF((--($B120=Flowdown_CIC[[URS]:[URS]]))*(--(J$14=Flowdown_CIC[[Source.Name]:[Source.Name]])),Flowdown_CIC[[SyRS]:[SyRS]],"")))</f>
        <v>MASTER-48450
MASTER-53165</v>
      </c>
      <c r="K120" s="12" t="str" cm="1">
        <f t="array" ref="K120">_xlfn.TEXTJOIN(CHAR(10),TRUE,_xlfn._xlws.SORT(IF((--($B120=Flowdown_CIC[[URS]:[URS]]))*(--(K$14=Flowdown_CIC[[Source.Name]:[Source.Name]])),Flowdown_CIC[[SyRS]:[SyRS]],"")))</f>
        <v/>
      </c>
      <c r="L120" s="16" t="b" cm="1">
        <f t="array" ref="L120">OR(LEN(C120:K120)&gt;0)</f>
        <v>1</v>
      </c>
    </row>
    <row r="121" spans="2:12" ht="81" x14ac:dyDescent="0.2">
      <c r="B121" s="11" t="str">
        <v>MASTER-6255</v>
      </c>
      <c r="C121" s="12" t="str" cm="1">
        <f t="array" ref="C121">_xlfn.TEXTJOIN(CHAR(10),TRUE,_xlfn._xlws.SORT(IF((--($B121=Flowdown_CIC[[URS]:[URS]]))*(--(C$14=Flowdown_CIC[[Source.Name]:[Source.Name]])),Flowdown_CIC[[SyRS]:[SyRS]],"")))</f>
        <v>MASTER-19149</v>
      </c>
      <c r="D121" s="12" t="str" cm="1">
        <f t="array" ref="D121">_xlfn.TEXTJOIN(CHAR(10),TRUE,_xlfn._xlws.SORT(IF((--($B121=Flowdown_CIC[[URS]:[URS]]))*(--(D$14=Flowdown_CIC[[Source.Name]:[Source.Name]])),Flowdown_CIC[[SyRS]:[SyRS]],"")))</f>
        <v>MASTER-19149</v>
      </c>
      <c r="E121" s="12" t="str" cm="1">
        <f t="array" ref="E121">_xlfn.TEXTJOIN(CHAR(10),TRUE,_xlfn._xlws.SORT(IF((--($B121=Flowdown_CIC[[URS]:[URS]]))*(--(E$14=Flowdown_CIC[[Source.Name]:[Source.Name]])),Flowdown_CIC[[SyRS]:[SyRS]],"")))</f>
        <v>MASTER-19149</v>
      </c>
      <c r="F121" s="12" t="str" cm="1">
        <f t="array" ref="F121">_xlfn.TEXTJOIN(CHAR(10),TRUE,_xlfn._xlws.SORT(IF((--($B121=Flowdown_CIC[[URS]:[URS]]))*(--(F$14=Flowdown_CIC[[Source.Name]:[Source.Name]])),Flowdown_CIC[[SyRS]:[SyRS]],"")))</f>
        <v>MASTER-19149</v>
      </c>
      <c r="G121" s="12" t="str" cm="1">
        <f t="array" ref="G121">_xlfn.TEXTJOIN(CHAR(10),TRUE,_xlfn._xlws.SORT(IF((--($B121=Flowdown_CIC[[URS]:[URS]]))*(--(G$14=Flowdown_CIC[[Source.Name]:[Source.Name]])),Flowdown_CIC[[SyRS]:[SyRS]],"")))</f>
        <v>MASTER-19149</v>
      </c>
      <c r="H121" s="12" t="str" cm="1">
        <f t="array" ref="H121">_xlfn.TEXTJOIN(CHAR(10),TRUE,_xlfn._xlws.SORT(IF((--($B121=Flowdown_CIC[[URS]:[URS]]))*(--(H$14=Flowdown_CIC[[Source.Name]:[Source.Name]])),Flowdown_CIC[[SyRS]:[SyRS]],"")))</f>
        <v/>
      </c>
      <c r="I121" s="12" t="str" cm="1">
        <f t="array" ref="I121">_xlfn.TEXTJOIN(CHAR(10),TRUE,_xlfn._xlws.SORT(IF((--($B121=Flowdown_CIC[[URS]:[URS]]))*(--(I$14=Flowdown_CIC[[Source.Name]:[Source.Name]])),Flowdown_CIC[[SyRS]:[SyRS]],"")))</f>
        <v>MASTER-17313
MASTER-17316
MASTER-17452
UTICA-169
UTICA-170
UTICA-198</v>
      </c>
      <c r="J121" s="12" t="str" cm="1">
        <f t="array" ref="J121">_xlfn.TEXTJOIN(CHAR(10),TRUE,_xlfn._xlws.SORT(IF((--($B121=Flowdown_CIC[[URS]:[URS]]))*(--(J$14=Flowdown_CIC[[Source.Name]:[Source.Name]])),Flowdown_CIC[[SyRS]:[SyRS]],"")))</f>
        <v>MASTER-17313
MASTER-17316
UTICA-2458
UTICA-2460</v>
      </c>
      <c r="K121" s="12" t="str" cm="1">
        <f t="array" ref="K121">_xlfn.TEXTJOIN(CHAR(10),TRUE,_xlfn._xlws.SORT(IF((--($B121=Flowdown_CIC[[URS]:[URS]]))*(--(K$14=Flowdown_CIC[[Source.Name]:[Source.Name]])),Flowdown_CIC[[SyRS]:[SyRS]],"")))</f>
        <v/>
      </c>
      <c r="L121" s="16" t="b" cm="1">
        <f t="array" ref="L121">OR(LEN(C121:K121)&gt;0)</f>
        <v>1</v>
      </c>
    </row>
    <row r="122" spans="2:12" ht="27" x14ac:dyDescent="0.2">
      <c r="B122" s="11" t="str">
        <v>MASTER-6260</v>
      </c>
      <c r="C122" s="12" t="str" cm="1">
        <f t="array" ref="C122">_xlfn.TEXTJOIN(CHAR(10),TRUE,_xlfn._xlws.SORT(IF((--($B122=Flowdown_CIC[[URS]:[URS]]))*(--(C$14=Flowdown_CIC[[Source.Name]:[Source.Name]])),Flowdown_CIC[[SyRS]:[SyRS]],"")))</f>
        <v/>
      </c>
      <c r="D122" s="12" t="str" cm="1">
        <f t="array" ref="D122">_xlfn.TEXTJOIN(CHAR(10),TRUE,_xlfn._xlws.SORT(IF((--($B122=Flowdown_CIC[[URS]:[URS]]))*(--(D$14=Flowdown_CIC[[Source.Name]:[Source.Name]])),Flowdown_CIC[[SyRS]:[SyRS]],"")))</f>
        <v/>
      </c>
      <c r="E122" s="12" t="str" cm="1">
        <f t="array" ref="E122">_xlfn.TEXTJOIN(CHAR(10),TRUE,_xlfn._xlws.SORT(IF((--($B122=Flowdown_CIC[[URS]:[URS]]))*(--(E$14=Flowdown_CIC[[Source.Name]:[Source.Name]])),Flowdown_CIC[[SyRS]:[SyRS]],"")))</f>
        <v/>
      </c>
      <c r="F122" s="12" t="str" cm="1">
        <f t="array" ref="F122">_xlfn.TEXTJOIN(CHAR(10),TRUE,_xlfn._xlws.SORT(IF((--($B122=Flowdown_CIC[[URS]:[URS]]))*(--(F$14=Flowdown_CIC[[Source.Name]:[Source.Name]])),Flowdown_CIC[[SyRS]:[SyRS]],"")))</f>
        <v/>
      </c>
      <c r="G122" s="12" t="str" cm="1">
        <f t="array" ref="G122">_xlfn.TEXTJOIN(CHAR(10),TRUE,_xlfn._xlws.SORT(IF((--($B122=Flowdown_CIC[[URS]:[URS]]))*(--(G$14=Flowdown_CIC[[Source.Name]:[Source.Name]])),Flowdown_CIC[[SyRS]:[SyRS]],"")))</f>
        <v/>
      </c>
      <c r="H122" s="12" t="str" cm="1">
        <f t="array" ref="H122">_xlfn.TEXTJOIN(CHAR(10),TRUE,_xlfn._xlws.SORT(IF((--($B122=Flowdown_CIC[[URS]:[URS]]))*(--(H$14=Flowdown_CIC[[Source.Name]:[Source.Name]])),Flowdown_CIC[[SyRS]:[SyRS]],"")))</f>
        <v/>
      </c>
      <c r="I122" s="12" t="str" cm="1">
        <f t="array" ref="I122">_xlfn.TEXTJOIN(CHAR(10),TRUE,_xlfn._xlws.SORT(IF((--($B122=Flowdown_CIC[[URS]:[URS]]))*(--(I$14=Flowdown_CIC[[Source.Name]:[Source.Name]])),Flowdown_CIC[[SyRS]:[SyRS]],"")))</f>
        <v>MASTER-17452
UTICA-198</v>
      </c>
      <c r="J122" s="12" t="str" cm="1">
        <f t="array" ref="J122">_xlfn.TEXTJOIN(CHAR(10),TRUE,_xlfn._xlws.SORT(IF((--($B122=Flowdown_CIC[[URS]:[URS]]))*(--(J$14=Flowdown_CIC[[Source.Name]:[Source.Name]])),Flowdown_CIC[[SyRS]:[SyRS]],"")))</f>
        <v/>
      </c>
      <c r="K122" s="12" t="str" cm="1">
        <f t="array" ref="K122">_xlfn.TEXTJOIN(CHAR(10),TRUE,_xlfn._xlws.SORT(IF((--($B122=Flowdown_CIC[[URS]:[URS]]))*(--(K$14=Flowdown_CIC[[Source.Name]:[Source.Name]])),Flowdown_CIC[[SyRS]:[SyRS]],"")))</f>
        <v/>
      </c>
      <c r="L122" s="16" t="b" cm="1">
        <f t="array" ref="L122">OR(LEN(C122:K122)&gt;0)</f>
        <v>1</v>
      </c>
    </row>
    <row r="123" spans="2:12" ht="40.5" x14ac:dyDescent="0.2">
      <c r="B123" s="11" t="str">
        <v>MASTER-6261</v>
      </c>
      <c r="C123" s="12" t="str" cm="1">
        <f t="array" ref="C123">_xlfn.TEXTJOIN(CHAR(10),TRUE,_xlfn._xlws.SORT(IF((--($B123=Flowdown_CIC[[URS]:[URS]]))*(--(C$14=Flowdown_CIC[[Source.Name]:[Source.Name]])),Flowdown_CIC[[SyRS]:[SyRS]],"")))</f>
        <v/>
      </c>
      <c r="D123" s="12" t="str" cm="1">
        <f t="array" ref="D123">_xlfn.TEXTJOIN(CHAR(10),TRUE,_xlfn._xlws.SORT(IF((--($B123=Flowdown_CIC[[URS]:[URS]]))*(--(D$14=Flowdown_CIC[[Source.Name]:[Source.Name]])),Flowdown_CIC[[SyRS]:[SyRS]],"")))</f>
        <v/>
      </c>
      <c r="E123" s="12" t="str" cm="1">
        <f t="array" ref="E123">_xlfn.TEXTJOIN(CHAR(10),TRUE,_xlfn._xlws.SORT(IF((--($B123=Flowdown_CIC[[URS]:[URS]]))*(--(E$14=Flowdown_CIC[[Source.Name]:[Source.Name]])),Flowdown_CIC[[SyRS]:[SyRS]],"")))</f>
        <v/>
      </c>
      <c r="F123" s="12" t="str" cm="1">
        <f t="array" ref="F123">_xlfn.TEXTJOIN(CHAR(10),TRUE,_xlfn._xlws.SORT(IF((--($B123=Flowdown_CIC[[URS]:[URS]]))*(--(F$14=Flowdown_CIC[[Source.Name]:[Source.Name]])),Flowdown_CIC[[SyRS]:[SyRS]],"")))</f>
        <v/>
      </c>
      <c r="G123" s="12" t="str" cm="1">
        <f t="array" ref="G123">_xlfn.TEXTJOIN(CHAR(10),TRUE,_xlfn._xlws.SORT(IF((--($B123=Flowdown_CIC[[URS]:[URS]]))*(--(G$14=Flowdown_CIC[[Source.Name]:[Source.Name]])),Flowdown_CIC[[SyRS]:[SyRS]],"")))</f>
        <v/>
      </c>
      <c r="H123" s="12" t="str" cm="1">
        <f t="array" ref="H123">_xlfn.TEXTJOIN(CHAR(10),TRUE,_xlfn._xlws.SORT(IF((--($B123=Flowdown_CIC[[URS]:[URS]]))*(--(H$14=Flowdown_CIC[[Source.Name]:[Source.Name]])),Flowdown_CIC[[SyRS]:[SyRS]],"")))</f>
        <v/>
      </c>
      <c r="I123" s="12" t="str" cm="1">
        <f t="array" ref="I123">_xlfn.TEXTJOIN(CHAR(10),TRUE,_xlfn._xlws.SORT(IF((--($B123=Flowdown_CIC[[URS]:[URS]]))*(--(I$14=Flowdown_CIC[[Source.Name]:[Source.Name]])),Flowdown_CIC[[SyRS]:[SyRS]],"")))</f>
        <v>MASTER-17452
UTICA-168
UTICA-198</v>
      </c>
      <c r="J123" s="12" t="str" cm="1">
        <f t="array" ref="J123">_xlfn.TEXTJOIN(CHAR(10),TRUE,_xlfn._xlws.SORT(IF((--($B123=Flowdown_CIC[[URS]:[URS]]))*(--(J$14=Flowdown_CIC[[Source.Name]:[Source.Name]])),Flowdown_CIC[[SyRS]:[SyRS]],"")))</f>
        <v/>
      </c>
      <c r="K123" s="12" t="str" cm="1">
        <f t="array" ref="K123">_xlfn.TEXTJOIN(CHAR(10),TRUE,_xlfn._xlws.SORT(IF((--($B123=Flowdown_CIC[[URS]:[URS]]))*(--(K$14=Flowdown_CIC[[Source.Name]:[Source.Name]])),Flowdown_CIC[[SyRS]:[SyRS]],"")))</f>
        <v/>
      </c>
      <c r="L123" s="16" t="b" cm="1">
        <f t="array" ref="L123">OR(LEN(C123:K123)&gt;0)</f>
        <v>1</v>
      </c>
    </row>
    <row r="124" spans="2:12" ht="54" x14ac:dyDescent="0.2">
      <c r="B124" s="11" t="str">
        <v>MASTER-6270</v>
      </c>
      <c r="C124" s="12" t="str" cm="1">
        <f t="array" ref="C124">_xlfn.TEXTJOIN(CHAR(10),TRUE,_xlfn._xlws.SORT(IF((--($B124=Flowdown_CIC[[URS]:[URS]]))*(--(C$14=Flowdown_CIC[[Source.Name]:[Source.Name]])),Flowdown_CIC[[SyRS]:[SyRS]],"")))</f>
        <v/>
      </c>
      <c r="D124" s="12" t="str" cm="1">
        <f t="array" ref="D124">_xlfn.TEXTJOIN(CHAR(10),TRUE,_xlfn._xlws.SORT(IF((--($B124=Flowdown_CIC[[URS]:[URS]]))*(--(D$14=Flowdown_CIC[[Source.Name]:[Source.Name]])),Flowdown_CIC[[SyRS]:[SyRS]],"")))</f>
        <v/>
      </c>
      <c r="E124" s="12" t="str" cm="1">
        <f t="array" ref="E124">_xlfn.TEXTJOIN(CHAR(10),TRUE,_xlfn._xlws.SORT(IF((--($B124=Flowdown_CIC[[URS]:[URS]]))*(--(E$14=Flowdown_CIC[[Source.Name]:[Source.Name]])),Flowdown_CIC[[SyRS]:[SyRS]],"")))</f>
        <v/>
      </c>
      <c r="F124" s="12" t="str" cm="1">
        <f t="array" ref="F124">_xlfn.TEXTJOIN(CHAR(10),TRUE,_xlfn._xlws.SORT(IF((--($B124=Flowdown_CIC[[URS]:[URS]]))*(--(F$14=Flowdown_CIC[[Source.Name]:[Source.Name]])),Flowdown_CIC[[SyRS]:[SyRS]],"")))</f>
        <v/>
      </c>
      <c r="G124" s="12" t="str" cm="1">
        <f t="array" ref="G124">_xlfn.TEXTJOIN(CHAR(10),TRUE,_xlfn._xlws.SORT(IF((--($B124=Flowdown_CIC[[URS]:[URS]]))*(--(G$14=Flowdown_CIC[[Source.Name]:[Source.Name]])),Flowdown_CIC[[SyRS]:[SyRS]],"")))</f>
        <v/>
      </c>
      <c r="H124" s="12" t="str" cm="1">
        <f t="array" ref="H124">_xlfn.TEXTJOIN(CHAR(10),TRUE,_xlfn._xlws.SORT(IF((--($B124=Flowdown_CIC[[URS]:[URS]]))*(--(H$14=Flowdown_CIC[[Source.Name]:[Source.Name]])),Flowdown_CIC[[SyRS]:[SyRS]],"")))</f>
        <v/>
      </c>
      <c r="I124" s="12" t="str" cm="1">
        <f t="array" ref="I124">_xlfn.TEXTJOIN(CHAR(10),TRUE,_xlfn._xlws.SORT(IF((--($B124=Flowdown_CIC[[URS]:[URS]]))*(--(I$14=Flowdown_CIC[[Source.Name]:[Source.Name]])),Flowdown_CIC[[SyRS]:[SyRS]],"")))</f>
        <v>MASTER-17390
MASTER-17391
UTICA-177
UTICA-178</v>
      </c>
      <c r="J124" s="12" t="str" cm="1">
        <f t="array" ref="J124">_xlfn.TEXTJOIN(CHAR(10),TRUE,_xlfn._xlws.SORT(IF((--($B124=Flowdown_CIC[[URS]:[URS]]))*(--(J$14=Flowdown_CIC[[Source.Name]:[Source.Name]])),Flowdown_CIC[[SyRS]:[SyRS]],"")))</f>
        <v/>
      </c>
      <c r="K124" s="12" t="str" cm="1">
        <f t="array" ref="K124">_xlfn.TEXTJOIN(CHAR(10),TRUE,_xlfn._xlws.SORT(IF((--($B124=Flowdown_CIC[[URS]:[URS]]))*(--(K$14=Flowdown_CIC[[Source.Name]:[Source.Name]])),Flowdown_CIC[[SyRS]:[SyRS]],"")))</f>
        <v/>
      </c>
      <c r="L124" s="16" t="b" cm="1">
        <f t="array" ref="L124">OR(LEN(C124:K124)&gt;0)</f>
        <v>1</v>
      </c>
    </row>
    <row r="125" spans="2:12" ht="13.5" x14ac:dyDescent="0.2">
      <c r="B125" s="11" t="str">
        <v>MASTER-6271</v>
      </c>
      <c r="C125" s="12" t="str" cm="1">
        <f t="array" ref="C125">_xlfn.TEXTJOIN(CHAR(10),TRUE,_xlfn._xlws.SORT(IF((--($B125=Flowdown_CIC[[URS]:[URS]]))*(--(C$14=Flowdown_CIC[[Source.Name]:[Source.Name]])),Flowdown_CIC[[SyRS]:[SyRS]],"")))</f>
        <v/>
      </c>
      <c r="D125" s="12" t="str" cm="1">
        <f t="array" ref="D125">_xlfn.TEXTJOIN(CHAR(10),TRUE,_xlfn._xlws.SORT(IF((--($B125=Flowdown_CIC[[URS]:[URS]]))*(--(D$14=Flowdown_CIC[[Source.Name]:[Source.Name]])),Flowdown_CIC[[SyRS]:[SyRS]],"")))</f>
        <v/>
      </c>
      <c r="E125" s="12" t="str" cm="1">
        <f t="array" ref="E125">_xlfn.TEXTJOIN(CHAR(10),TRUE,_xlfn._xlws.SORT(IF((--($B125=Flowdown_CIC[[URS]:[URS]]))*(--(E$14=Flowdown_CIC[[Source.Name]:[Source.Name]])),Flowdown_CIC[[SyRS]:[SyRS]],"")))</f>
        <v/>
      </c>
      <c r="F125" s="12" t="str" cm="1">
        <f t="array" ref="F125">_xlfn.TEXTJOIN(CHAR(10),TRUE,_xlfn._xlws.SORT(IF((--($B125=Flowdown_CIC[[URS]:[URS]]))*(--(F$14=Flowdown_CIC[[Source.Name]:[Source.Name]])),Flowdown_CIC[[SyRS]:[SyRS]],"")))</f>
        <v/>
      </c>
      <c r="G125" s="12" t="str" cm="1">
        <f t="array" ref="G125">_xlfn.TEXTJOIN(CHAR(10),TRUE,_xlfn._xlws.SORT(IF((--($B125=Flowdown_CIC[[URS]:[URS]]))*(--(G$14=Flowdown_CIC[[Source.Name]:[Source.Name]])),Flowdown_CIC[[SyRS]:[SyRS]],"")))</f>
        <v/>
      </c>
      <c r="H125" s="12" t="str" cm="1">
        <f t="array" ref="H125">_xlfn.TEXTJOIN(CHAR(10),TRUE,_xlfn._xlws.SORT(IF((--($B125=Flowdown_CIC[[URS]:[URS]]))*(--(H$14=Flowdown_CIC[[Source.Name]:[Source.Name]])),Flowdown_CIC[[SyRS]:[SyRS]],"")))</f>
        <v/>
      </c>
      <c r="I125" s="12" t="str" cm="1">
        <f t="array" ref="I125">_xlfn.TEXTJOIN(CHAR(10),TRUE,_xlfn._xlws.SORT(IF((--($B125=Flowdown_CIC[[URS]:[URS]]))*(--(I$14=Flowdown_CIC[[Source.Name]:[Source.Name]])),Flowdown_CIC[[SyRS]:[SyRS]],"")))</f>
        <v/>
      </c>
      <c r="J125" s="12" t="str" cm="1">
        <f t="array" ref="J125">_xlfn.TEXTJOIN(CHAR(10),TRUE,_xlfn._xlws.SORT(IF((--($B125=Flowdown_CIC[[URS]:[URS]]))*(--(J$14=Flowdown_CIC[[Source.Name]:[Source.Name]])),Flowdown_CIC[[SyRS]:[SyRS]],"")))</f>
        <v>MASTER-17388</v>
      </c>
      <c r="K125" s="12" t="str" cm="1">
        <f t="array" ref="K125">_xlfn.TEXTJOIN(CHAR(10),TRUE,_xlfn._xlws.SORT(IF((--($B125=Flowdown_CIC[[URS]:[URS]]))*(--(K$14=Flowdown_CIC[[Source.Name]:[Source.Name]])),Flowdown_CIC[[SyRS]:[SyRS]],"")))</f>
        <v/>
      </c>
      <c r="L125" s="16" t="b" cm="1">
        <f t="array" ref="L125">OR(LEN(C125:K125)&gt;0)</f>
        <v>1</v>
      </c>
    </row>
    <row r="126" spans="2:12" ht="27" x14ac:dyDescent="0.2">
      <c r="B126" s="11" t="str">
        <v>MASTER-6272</v>
      </c>
      <c r="C126" s="12" t="str" cm="1">
        <f t="array" ref="C126">_xlfn.TEXTJOIN(CHAR(10),TRUE,_xlfn._xlws.SORT(IF((--($B126=Flowdown_CIC[[URS]:[URS]]))*(--(C$14=Flowdown_CIC[[Source.Name]:[Source.Name]])),Flowdown_CIC[[SyRS]:[SyRS]],"")))</f>
        <v/>
      </c>
      <c r="D126" s="12" t="str" cm="1">
        <f t="array" ref="D126">_xlfn.TEXTJOIN(CHAR(10),TRUE,_xlfn._xlws.SORT(IF((--($B126=Flowdown_CIC[[URS]:[URS]]))*(--(D$14=Flowdown_CIC[[Source.Name]:[Source.Name]])),Flowdown_CIC[[SyRS]:[SyRS]],"")))</f>
        <v/>
      </c>
      <c r="E126" s="12" t="str" cm="1">
        <f t="array" ref="E126">_xlfn.TEXTJOIN(CHAR(10),TRUE,_xlfn._xlws.SORT(IF((--($B126=Flowdown_CIC[[URS]:[URS]]))*(--(E$14=Flowdown_CIC[[Source.Name]:[Source.Name]])),Flowdown_CIC[[SyRS]:[SyRS]],"")))</f>
        <v/>
      </c>
      <c r="F126" s="12" t="str" cm="1">
        <f t="array" ref="F126">_xlfn.TEXTJOIN(CHAR(10),TRUE,_xlfn._xlws.SORT(IF((--($B126=Flowdown_CIC[[URS]:[URS]]))*(--(F$14=Flowdown_CIC[[Source.Name]:[Source.Name]])),Flowdown_CIC[[SyRS]:[SyRS]],"")))</f>
        <v/>
      </c>
      <c r="G126" s="12" t="str" cm="1">
        <f t="array" ref="G126">_xlfn.TEXTJOIN(CHAR(10),TRUE,_xlfn._xlws.SORT(IF((--($B126=Flowdown_CIC[[URS]:[URS]]))*(--(G$14=Flowdown_CIC[[Source.Name]:[Source.Name]])),Flowdown_CIC[[SyRS]:[SyRS]],"")))</f>
        <v/>
      </c>
      <c r="H126" s="12" t="str" cm="1">
        <f t="array" ref="H126">_xlfn.TEXTJOIN(CHAR(10),TRUE,_xlfn._xlws.SORT(IF((--($B126=Flowdown_CIC[[URS]:[URS]]))*(--(H$14=Flowdown_CIC[[Source.Name]:[Source.Name]])),Flowdown_CIC[[SyRS]:[SyRS]],"")))</f>
        <v/>
      </c>
      <c r="I126" s="12" t="str" cm="1">
        <f t="array" ref="I126">_xlfn.TEXTJOIN(CHAR(10),TRUE,_xlfn._xlws.SORT(IF((--($B126=Flowdown_CIC[[URS]:[URS]]))*(--(I$14=Flowdown_CIC[[Source.Name]:[Source.Name]])),Flowdown_CIC[[SyRS]:[SyRS]],"")))</f>
        <v>MASTER-17397
UTICA-181</v>
      </c>
      <c r="J126" s="12" t="str" cm="1">
        <f t="array" ref="J126">_xlfn.TEXTJOIN(CHAR(10),TRUE,_xlfn._xlws.SORT(IF((--($B126=Flowdown_CIC[[URS]:[URS]]))*(--(J$14=Flowdown_CIC[[Source.Name]:[Source.Name]])),Flowdown_CIC[[SyRS]:[SyRS]],"")))</f>
        <v/>
      </c>
      <c r="K126" s="12" t="str" cm="1">
        <f t="array" ref="K126">_xlfn.TEXTJOIN(CHAR(10),TRUE,_xlfn._xlws.SORT(IF((--($B126=Flowdown_CIC[[URS]:[URS]]))*(--(K$14=Flowdown_CIC[[Source.Name]:[Source.Name]])),Flowdown_CIC[[SyRS]:[SyRS]],"")))</f>
        <v/>
      </c>
      <c r="L126" s="16" t="b" cm="1">
        <f t="array" ref="L126">OR(LEN(C126:K126)&gt;0)</f>
        <v>1</v>
      </c>
    </row>
    <row r="127" spans="2:12" ht="54" x14ac:dyDescent="0.2">
      <c r="B127" s="11" t="str">
        <v>MASTER-6273</v>
      </c>
      <c r="C127" s="12" t="str" cm="1">
        <f t="array" ref="C127">_xlfn.TEXTJOIN(CHAR(10),TRUE,_xlfn._xlws.SORT(IF((--($B127=Flowdown_CIC[[URS]:[URS]]))*(--(C$14=Flowdown_CIC[[Source.Name]:[Source.Name]])),Flowdown_CIC[[SyRS]:[SyRS]],"")))</f>
        <v/>
      </c>
      <c r="D127" s="12" t="str" cm="1">
        <f t="array" ref="D127">_xlfn.TEXTJOIN(CHAR(10),TRUE,_xlfn._xlws.SORT(IF((--($B127=Flowdown_CIC[[URS]:[URS]]))*(--(D$14=Flowdown_CIC[[Source.Name]:[Source.Name]])),Flowdown_CIC[[SyRS]:[SyRS]],"")))</f>
        <v/>
      </c>
      <c r="E127" s="12" t="str" cm="1">
        <f t="array" ref="E127">_xlfn.TEXTJOIN(CHAR(10),TRUE,_xlfn._xlws.SORT(IF((--($B127=Flowdown_CIC[[URS]:[URS]]))*(--(E$14=Flowdown_CIC[[Source.Name]:[Source.Name]])),Flowdown_CIC[[SyRS]:[SyRS]],"")))</f>
        <v/>
      </c>
      <c r="F127" s="12" t="str" cm="1">
        <f t="array" ref="F127">_xlfn.TEXTJOIN(CHAR(10),TRUE,_xlfn._xlws.SORT(IF((--($B127=Flowdown_CIC[[URS]:[URS]]))*(--(F$14=Flowdown_CIC[[Source.Name]:[Source.Name]])),Flowdown_CIC[[SyRS]:[SyRS]],"")))</f>
        <v/>
      </c>
      <c r="G127" s="12" t="str" cm="1">
        <f t="array" ref="G127">_xlfn.TEXTJOIN(CHAR(10),TRUE,_xlfn._xlws.SORT(IF((--($B127=Flowdown_CIC[[URS]:[URS]]))*(--(G$14=Flowdown_CIC[[Source.Name]:[Source.Name]])),Flowdown_CIC[[SyRS]:[SyRS]],"")))</f>
        <v/>
      </c>
      <c r="H127" s="12" t="str" cm="1">
        <f t="array" ref="H127">_xlfn.TEXTJOIN(CHAR(10),TRUE,_xlfn._xlws.SORT(IF((--($B127=Flowdown_CIC[[URS]:[URS]]))*(--(H$14=Flowdown_CIC[[Source.Name]:[Source.Name]])),Flowdown_CIC[[SyRS]:[SyRS]],"")))</f>
        <v/>
      </c>
      <c r="I127" s="12" t="str" cm="1">
        <f t="array" ref="I127">_xlfn.TEXTJOIN(CHAR(10),TRUE,_xlfn._xlws.SORT(IF((--($B127=Flowdown_CIC[[URS]:[URS]]))*(--(I$14=Flowdown_CIC[[Source.Name]:[Source.Name]])),Flowdown_CIC[[SyRS]:[SyRS]],"")))</f>
        <v>MASTER-17393
MASTER-17394
UTICA-179
UTICA-180</v>
      </c>
      <c r="J127" s="12" t="str" cm="1">
        <f t="array" ref="J127">_xlfn.TEXTJOIN(CHAR(10),TRUE,_xlfn._xlws.SORT(IF((--($B127=Flowdown_CIC[[URS]:[URS]]))*(--(J$14=Flowdown_CIC[[Source.Name]:[Source.Name]])),Flowdown_CIC[[SyRS]:[SyRS]],"")))</f>
        <v>MASTER-17393
MASTER-17394</v>
      </c>
      <c r="K127" s="12" t="str" cm="1">
        <f t="array" ref="K127">_xlfn.TEXTJOIN(CHAR(10),TRUE,_xlfn._xlws.SORT(IF((--($B127=Flowdown_CIC[[URS]:[URS]]))*(--(K$14=Flowdown_CIC[[Source.Name]:[Source.Name]])),Flowdown_CIC[[SyRS]:[SyRS]],"")))</f>
        <v/>
      </c>
      <c r="L127" s="16" t="b" cm="1">
        <f t="array" ref="L127">OR(LEN(C127:K127)&gt;0)</f>
        <v>1</v>
      </c>
    </row>
    <row r="128" spans="2:12" ht="54" x14ac:dyDescent="0.2">
      <c r="B128" s="11" t="str">
        <v>MASTER-6274</v>
      </c>
      <c r="C128" s="12" t="str" cm="1">
        <f t="array" ref="C128">_xlfn.TEXTJOIN(CHAR(10),TRUE,_xlfn._xlws.SORT(IF((--($B128=Flowdown_CIC[[URS]:[URS]]))*(--(C$14=Flowdown_CIC[[Source.Name]:[Source.Name]])),Flowdown_CIC[[SyRS]:[SyRS]],"")))</f>
        <v/>
      </c>
      <c r="D128" s="12" t="str" cm="1">
        <f t="array" ref="D128">_xlfn.TEXTJOIN(CHAR(10),TRUE,_xlfn._xlws.SORT(IF((--($B128=Flowdown_CIC[[URS]:[URS]]))*(--(D$14=Flowdown_CIC[[Source.Name]:[Source.Name]])),Flowdown_CIC[[SyRS]:[SyRS]],"")))</f>
        <v/>
      </c>
      <c r="E128" s="12" t="str" cm="1">
        <f t="array" ref="E128">_xlfn.TEXTJOIN(CHAR(10),TRUE,_xlfn._xlws.SORT(IF((--($B128=Flowdown_CIC[[URS]:[URS]]))*(--(E$14=Flowdown_CIC[[Source.Name]:[Source.Name]])),Flowdown_CIC[[SyRS]:[SyRS]],"")))</f>
        <v/>
      </c>
      <c r="F128" s="12" t="str" cm="1">
        <f t="array" ref="F128">_xlfn.TEXTJOIN(CHAR(10),TRUE,_xlfn._xlws.SORT(IF((--($B128=Flowdown_CIC[[URS]:[URS]]))*(--(F$14=Flowdown_CIC[[Source.Name]:[Source.Name]])),Flowdown_CIC[[SyRS]:[SyRS]],"")))</f>
        <v/>
      </c>
      <c r="G128" s="12" t="str" cm="1">
        <f t="array" ref="G128">_xlfn.TEXTJOIN(CHAR(10),TRUE,_xlfn._xlws.SORT(IF((--($B128=Flowdown_CIC[[URS]:[URS]]))*(--(G$14=Flowdown_CIC[[Source.Name]:[Source.Name]])),Flowdown_CIC[[SyRS]:[SyRS]],"")))</f>
        <v/>
      </c>
      <c r="H128" s="12" t="str" cm="1">
        <f t="array" ref="H128">_xlfn.TEXTJOIN(CHAR(10),TRUE,_xlfn._xlws.SORT(IF((--($B128=Flowdown_CIC[[URS]:[URS]]))*(--(H$14=Flowdown_CIC[[Source.Name]:[Source.Name]])),Flowdown_CIC[[SyRS]:[SyRS]],"")))</f>
        <v/>
      </c>
      <c r="I128" s="12" t="str" cm="1">
        <f t="array" ref="I128">_xlfn.TEXTJOIN(CHAR(10),TRUE,_xlfn._xlws.SORT(IF((--($B128=Flowdown_CIC[[URS]:[URS]]))*(--(I$14=Flowdown_CIC[[Source.Name]:[Source.Name]])),Flowdown_CIC[[SyRS]:[SyRS]],"")))</f>
        <v>MASTER-17410
MASTER-17411
UTICA-188
UTICA-189</v>
      </c>
      <c r="J128" s="12" t="str" cm="1">
        <f t="array" ref="J128">_xlfn.TEXTJOIN(CHAR(10),TRUE,_xlfn._xlws.SORT(IF((--($B128=Flowdown_CIC[[URS]:[URS]]))*(--(J$14=Flowdown_CIC[[Source.Name]:[Source.Name]])),Flowdown_CIC[[SyRS]:[SyRS]],"")))</f>
        <v>MASTER-17410
MASTER-17411
UTICA-2499</v>
      </c>
      <c r="K128" s="12" t="str" cm="1">
        <f t="array" ref="K128">_xlfn.TEXTJOIN(CHAR(10),TRUE,_xlfn._xlws.SORT(IF((--($B128=Flowdown_CIC[[URS]:[URS]]))*(--(K$14=Flowdown_CIC[[Source.Name]:[Source.Name]])),Flowdown_CIC[[SyRS]:[SyRS]],"")))</f>
        <v/>
      </c>
      <c r="L128" s="16" t="b" cm="1">
        <f t="array" ref="L128">OR(LEN(C128:K128)&gt;0)</f>
        <v>1</v>
      </c>
    </row>
    <row r="129" spans="2:12" ht="108" x14ac:dyDescent="0.2">
      <c r="B129" s="11" t="str">
        <v>MASTER-6275</v>
      </c>
      <c r="C129" s="12" t="str" cm="1">
        <f t="array" ref="C129">_xlfn.TEXTJOIN(CHAR(10),TRUE,_xlfn._xlws.SORT(IF((--($B129=Flowdown_CIC[[URS]:[URS]]))*(--(C$14=Flowdown_CIC[[Source.Name]:[Source.Name]])),Flowdown_CIC[[SyRS]:[SyRS]],"")))</f>
        <v/>
      </c>
      <c r="D129" s="12" t="str" cm="1">
        <f t="array" ref="D129">_xlfn.TEXTJOIN(CHAR(10),TRUE,_xlfn._xlws.SORT(IF((--($B129=Flowdown_CIC[[URS]:[URS]]))*(--(D$14=Flowdown_CIC[[Source.Name]:[Source.Name]])),Flowdown_CIC[[SyRS]:[SyRS]],"")))</f>
        <v/>
      </c>
      <c r="E129" s="12" t="str" cm="1">
        <f t="array" ref="E129">_xlfn.TEXTJOIN(CHAR(10),TRUE,_xlfn._xlws.SORT(IF((--($B129=Flowdown_CIC[[URS]:[URS]]))*(--(E$14=Flowdown_CIC[[Source.Name]:[Source.Name]])),Flowdown_CIC[[SyRS]:[SyRS]],"")))</f>
        <v/>
      </c>
      <c r="F129" s="12" t="str" cm="1">
        <f t="array" ref="F129">_xlfn.TEXTJOIN(CHAR(10),TRUE,_xlfn._xlws.SORT(IF((--($B129=Flowdown_CIC[[URS]:[URS]]))*(--(F$14=Flowdown_CIC[[Source.Name]:[Source.Name]])),Flowdown_CIC[[SyRS]:[SyRS]],"")))</f>
        <v/>
      </c>
      <c r="G129" s="12" t="str" cm="1">
        <f t="array" ref="G129">_xlfn.TEXTJOIN(CHAR(10),TRUE,_xlfn._xlws.SORT(IF((--($B129=Flowdown_CIC[[URS]:[URS]]))*(--(G$14=Flowdown_CIC[[Source.Name]:[Source.Name]])),Flowdown_CIC[[SyRS]:[SyRS]],"")))</f>
        <v/>
      </c>
      <c r="H129" s="12" t="str" cm="1">
        <f t="array" ref="H129">_xlfn.TEXTJOIN(CHAR(10),TRUE,_xlfn._xlws.SORT(IF((--($B129=Flowdown_CIC[[URS]:[URS]]))*(--(H$14=Flowdown_CIC[[Source.Name]:[Source.Name]])),Flowdown_CIC[[SyRS]:[SyRS]],"")))</f>
        <v/>
      </c>
      <c r="I129" s="12" t="str" cm="1">
        <f t="array" ref="I129">_xlfn.TEXTJOIN(CHAR(10),TRUE,_xlfn._xlws.SORT(IF((--($B129=Flowdown_CIC[[URS]:[URS]]))*(--(I$14=Flowdown_CIC[[Source.Name]:[Source.Name]])),Flowdown_CIC[[SyRS]:[SyRS]],"")))</f>
        <v>MASTER-17386
MASTER-17387
MASTER-17388
MASTER-17412
UTICA-173
UTICA-174
UTICA-175
UTICA-190</v>
      </c>
      <c r="J129" s="12" t="str" cm="1">
        <f t="array" ref="J129">_xlfn.TEXTJOIN(CHAR(10),TRUE,_xlfn._xlws.SORT(IF((--($B129=Flowdown_CIC[[URS]:[URS]]))*(--(J$14=Flowdown_CIC[[Source.Name]:[Source.Name]])),Flowdown_CIC[[SyRS]:[SyRS]],"")))</f>
        <v>MASTER-17388
MASTER-17412
MASTER-17413
UTICA-2500
UTICA-2501</v>
      </c>
      <c r="K129" s="12" t="str" cm="1">
        <f t="array" ref="K129">_xlfn.TEXTJOIN(CHAR(10),TRUE,_xlfn._xlws.SORT(IF((--($B129=Flowdown_CIC[[URS]:[URS]]))*(--(K$14=Flowdown_CIC[[Source.Name]:[Source.Name]])),Flowdown_CIC[[SyRS]:[SyRS]],"")))</f>
        <v/>
      </c>
      <c r="L129" s="16" t="b" cm="1">
        <f t="array" ref="L129">OR(LEN(C129:K129)&gt;0)</f>
        <v>1</v>
      </c>
    </row>
    <row r="130" spans="2:12" ht="216" x14ac:dyDescent="0.2">
      <c r="B130" s="11" t="str">
        <v>MASTER-6276</v>
      </c>
      <c r="C130" s="12" t="str" cm="1">
        <f t="array" ref="C130">_xlfn.TEXTJOIN(CHAR(10),TRUE,_xlfn._xlws.SORT(IF((--($B130=Flowdown_CIC[[URS]:[URS]]))*(--(C$14=Flowdown_CIC[[Source.Name]:[Source.Name]])),Flowdown_CIC[[SyRS]:[SyRS]],"")))</f>
        <v/>
      </c>
      <c r="D130" s="12" t="str" cm="1">
        <f t="array" ref="D130">_xlfn.TEXTJOIN(CHAR(10),TRUE,_xlfn._xlws.SORT(IF((--($B130=Flowdown_CIC[[URS]:[URS]]))*(--(D$14=Flowdown_CIC[[Source.Name]:[Source.Name]])),Flowdown_CIC[[SyRS]:[SyRS]],"")))</f>
        <v/>
      </c>
      <c r="E130" s="12" t="str" cm="1">
        <f t="array" ref="E130">_xlfn.TEXTJOIN(CHAR(10),TRUE,_xlfn._xlws.SORT(IF((--($B130=Flowdown_CIC[[URS]:[URS]]))*(--(E$14=Flowdown_CIC[[Source.Name]:[Source.Name]])),Flowdown_CIC[[SyRS]:[SyRS]],"")))</f>
        <v/>
      </c>
      <c r="F130" s="12" t="str" cm="1">
        <f t="array" ref="F130">_xlfn.TEXTJOIN(CHAR(10),TRUE,_xlfn._xlws.SORT(IF((--($B130=Flowdown_CIC[[URS]:[URS]]))*(--(F$14=Flowdown_CIC[[Source.Name]:[Source.Name]])),Flowdown_CIC[[SyRS]:[SyRS]],"")))</f>
        <v/>
      </c>
      <c r="G130" s="12" t="str" cm="1">
        <f t="array" ref="G130">_xlfn.TEXTJOIN(CHAR(10),TRUE,_xlfn._xlws.SORT(IF((--($B130=Flowdown_CIC[[URS]:[URS]]))*(--(G$14=Flowdown_CIC[[Source.Name]:[Source.Name]])),Flowdown_CIC[[SyRS]:[SyRS]],"")))</f>
        <v/>
      </c>
      <c r="H130" s="12" t="str" cm="1">
        <f t="array" ref="H130">_xlfn.TEXTJOIN(CHAR(10),TRUE,_xlfn._xlws.SORT(IF((--($B130=Flowdown_CIC[[URS]:[URS]]))*(--(H$14=Flowdown_CIC[[Source.Name]:[Source.Name]])),Flowdown_CIC[[SyRS]:[SyRS]],"")))</f>
        <v/>
      </c>
      <c r="I130" s="12" t="str" cm="1">
        <f t="array" ref="I130">_xlfn.TEXTJOIN(CHAR(10),TRUE,_xlfn._xlws.SORT(IF((--($B130=Flowdown_CIC[[URS]:[URS]]))*(--(I$14=Flowdown_CIC[[Source.Name]:[Source.Name]])),Flowdown_CIC[[SyRS]:[SyRS]],"")))</f>
        <v>MASTER-17398
MASTER-17399
MASTER-17400
MASTER-17401
MASTER-17403
MASTER-17405
MASTER-17414
MASTER-17415
UTICA-182
UTICA-183
UTICA-184
UTICA-185
UTICA-186
UTICA-187
UTICA-191
UTICA-192</v>
      </c>
      <c r="J130" s="12" t="str" cm="1">
        <f t="array" ref="J130">_xlfn.TEXTJOIN(CHAR(10),TRUE,_xlfn._xlws.SORT(IF((--($B130=Flowdown_CIC[[URS]:[URS]]))*(--(J$14=Flowdown_CIC[[Source.Name]:[Source.Name]])),Flowdown_CIC[[SyRS]:[SyRS]],"")))</f>
        <v>MASTER-17414
MASTER-17415</v>
      </c>
      <c r="K130" s="12" t="str" cm="1">
        <f t="array" ref="K130">_xlfn.TEXTJOIN(CHAR(10),TRUE,_xlfn._xlws.SORT(IF((--($B130=Flowdown_CIC[[URS]:[URS]]))*(--(K$14=Flowdown_CIC[[Source.Name]:[Source.Name]])),Flowdown_CIC[[SyRS]:[SyRS]],"")))</f>
        <v/>
      </c>
      <c r="L130" s="16" t="b" cm="1">
        <f t="array" ref="L130">OR(LEN(C130:K130)&gt;0)</f>
        <v>1</v>
      </c>
    </row>
    <row r="131" spans="2:12" ht="54" x14ac:dyDescent="0.2">
      <c r="B131" s="11" t="str">
        <v>MASTER-6277</v>
      </c>
      <c r="C131" s="12" t="str" cm="1">
        <f t="array" ref="C131">_xlfn.TEXTJOIN(CHAR(10),TRUE,_xlfn._xlws.SORT(IF((--($B131=Flowdown_CIC[[URS]:[URS]]))*(--(C$14=Flowdown_CIC[[Source.Name]:[Source.Name]])),Flowdown_CIC[[SyRS]:[SyRS]],"")))</f>
        <v/>
      </c>
      <c r="D131" s="12" t="str" cm="1">
        <f t="array" ref="D131">_xlfn.TEXTJOIN(CHAR(10),TRUE,_xlfn._xlws.SORT(IF((--($B131=Flowdown_CIC[[URS]:[URS]]))*(--(D$14=Flowdown_CIC[[Source.Name]:[Source.Name]])),Flowdown_CIC[[SyRS]:[SyRS]],"")))</f>
        <v/>
      </c>
      <c r="E131" s="12" t="str" cm="1">
        <f t="array" ref="E131">_xlfn.TEXTJOIN(CHAR(10),TRUE,_xlfn._xlws.SORT(IF((--($B131=Flowdown_CIC[[URS]:[URS]]))*(--(E$14=Flowdown_CIC[[Source.Name]:[Source.Name]])),Flowdown_CIC[[SyRS]:[SyRS]],"")))</f>
        <v/>
      </c>
      <c r="F131" s="12" t="str" cm="1">
        <f t="array" ref="F131">_xlfn.TEXTJOIN(CHAR(10),TRUE,_xlfn._xlws.SORT(IF((--($B131=Flowdown_CIC[[URS]:[URS]]))*(--(F$14=Flowdown_CIC[[Source.Name]:[Source.Name]])),Flowdown_CIC[[SyRS]:[SyRS]],"")))</f>
        <v/>
      </c>
      <c r="G131" s="12" t="str" cm="1">
        <f t="array" ref="G131">_xlfn.TEXTJOIN(CHAR(10),TRUE,_xlfn._xlws.SORT(IF((--($B131=Flowdown_CIC[[URS]:[URS]]))*(--(G$14=Flowdown_CIC[[Source.Name]:[Source.Name]])),Flowdown_CIC[[SyRS]:[SyRS]],"")))</f>
        <v/>
      </c>
      <c r="H131" s="12" t="str" cm="1">
        <f t="array" ref="H131">_xlfn.TEXTJOIN(CHAR(10),TRUE,_xlfn._xlws.SORT(IF((--($B131=Flowdown_CIC[[URS]:[URS]]))*(--(H$14=Flowdown_CIC[[Source.Name]:[Source.Name]])),Flowdown_CIC[[SyRS]:[SyRS]],"")))</f>
        <v/>
      </c>
      <c r="I131" s="12" t="str" cm="1">
        <f t="array" ref="I131">_xlfn.TEXTJOIN(CHAR(10),TRUE,_xlfn._xlws.SORT(IF((--($B131=Flowdown_CIC[[URS]:[URS]]))*(--(I$14=Flowdown_CIC[[Source.Name]:[Source.Name]])),Flowdown_CIC[[SyRS]:[SyRS]],"")))</f>
        <v>MASTER-17419
MASTER-17420
UTICA-193
UTICA-194</v>
      </c>
      <c r="J131" s="12" t="str" cm="1">
        <f t="array" ref="J131">_xlfn.TEXTJOIN(CHAR(10),TRUE,_xlfn._xlws.SORT(IF((--($B131=Flowdown_CIC[[URS]:[URS]]))*(--(J$14=Flowdown_CIC[[Source.Name]:[Source.Name]])),Flowdown_CIC[[SyRS]:[SyRS]],"")))</f>
        <v>MASTER-17420
MASTER-17430
UTICA-2463</v>
      </c>
      <c r="K131" s="12" t="str" cm="1">
        <f t="array" ref="K131">_xlfn.TEXTJOIN(CHAR(10),TRUE,_xlfn._xlws.SORT(IF((--($B131=Flowdown_CIC[[URS]:[URS]]))*(--(K$14=Flowdown_CIC[[Source.Name]:[Source.Name]])),Flowdown_CIC[[SyRS]:[SyRS]],"")))</f>
        <v/>
      </c>
      <c r="L131" s="16" t="b" cm="1">
        <f t="array" ref="L131">OR(LEN(C131:K131)&gt;0)</f>
        <v>1</v>
      </c>
    </row>
    <row r="132" spans="2:12" ht="40.5" x14ac:dyDescent="0.2">
      <c r="B132" s="11" t="str">
        <v>MASTER-6278</v>
      </c>
      <c r="C132" s="12" t="str" cm="1">
        <f t="array" ref="C132">_xlfn.TEXTJOIN(CHAR(10),TRUE,_xlfn._xlws.SORT(IF((--($B132=Flowdown_CIC[[URS]:[URS]]))*(--(C$14=Flowdown_CIC[[Source.Name]:[Source.Name]])),Flowdown_CIC[[SyRS]:[SyRS]],"")))</f>
        <v/>
      </c>
      <c r="D132" s="12" t="str" cm="1">
        <f t="array" ref="D132">_xlfn.TEXTJOIN(CHAR(10),TRUE,_xlfn._xlws.SORT(IF((--($B132=Flowdown_CIC[[URS]:[URS]]))*(--(D$14=Flowdown_CIC[[Source.Name]:[Source.Name]])),Flowdown_CIC[[SyRS]:[SyRS]],"")))</f>
        <v/>
      </c>
      <c r="E132" s="12" t="str" cm="1">
        <f t="array" ref="E132">_xlfn.TEXTJOIN(CHAR(10),TRUE,_xlfn._xlws.SORT(IF((--($B132=Flowdown_CIC[[URS]:[URS]]))*(--(E$14=Flowdown_CIC[[Source.Name]:[Source.Name]])),Flowdown_CIC[[SyRS]:[SyRS]],"")))</f>
        <v/>
      </c>
      <c r="F132" s="12" t="str" cm="1">
        <f t="array" ref="F132">_xlfn.TEXTJOIN(CHAR(10),TRUE,_xlfn._xlws.SORT(IF((--($B132=Flowdown_CIC[[URS]:[URS]]))*(--(F$14=Flowdown_CIC[[Source.Name]:[Source.Name]])),Flowdown_CIC[[SyRS]:[SyRS]],"")))</f>
        <v/>
      </c>
      <c r="G132" s="12" t="str" cm="1">
        <f t="array" ref="G132">_xlfn.TEXTJOIN(CHAR(10),TRUE,_xlfn._xlws.SORT(IF((--($B132=Flowdown_CIC[[URS]:[URS]]))*(--(G$14=Flowdown_CIC[[Source.Name]:[Source.Name]])),Flowdown_CIC[[SyRS]:[SyRS]],"")))</f>
        <v/>
      </c>
      <c r="H132" s="12" t="str" cm="1">
        <f t="array" ref="H132">_xlfn.TEXTJOIN(CHAR(10),TRUE,_xlfn._xlws.SORT(IF((--($B132=Flowdown_CIC[[URS]:[URS]]))*(--(H$14=Flowdown_CIC[[Source.Name]:[Source.Name]])),Flowdown_CIC[[SyRS]:[SyRS]],"")))</f>
        <v/>
      </c>
      <c r="I132" s="12" t="str" cm="1">
        <f t="array" ref="I132">_xlfn.TEXTJOIN(CHAR(10),TRUE,_xlfn._xlws.SORT(IF((--($B132=Flowdown_CIC[[URS]:[URS]]))*(--(I$14=Flowdown_CIC[[Source.Name]:[Source.Name]])),Flowdown_CIC[[SyRS]:[SyRS]],"")))</f>
        <v>MASTER-17389
UTICA-176</v>
      </c>
      <c r="J132" s="12" t="str" cm="1">
        <f t="array" ref="J132">_xlfn.TEXTJOIN(CHAR(10),TRUE,_xlfn._xlws.SORT(IF((--($B132=Flowdown_CIC[[URS]:[URS]]))*(--(J$14=Flowdown_CIC[[Source.Name]:[Source.Name]])),Flowdown_CIC[[SyRS]:[SyRS]],"")))</f>
        <v>MASTER-17389
UTICA-2461
UTICA-2462</v>
      </c>
      <c r="K132" s="12" t="str" cm="1">
        <f t="array" ref="K132">_xlfn.TEXTJOIN(CHAR(10),TRUE,_xlfn._xlws.SORT(IF((--($B132=Flowdown_CIC[[URS]:[URS]]))*(--(K$14=Flowdown_CIC[[Source.Name]:[Source.Name]])),Flowdown_CIC[[SyRS]:[SyRS]],"")))</f>
        <v/>
      </c>
      <c r="L132" s="16" t="b" cm="1">
        <f t="array" ref="L132">OR(LEN(C132:K132)&gt;0)</f>
        <v>1</v>
      </c>
    </row>
    <row r="133" spans="2:12" ht="54" x14ac:dyDescent="0.2">
      <c r="B133" s="11" t="str">
        <v>MASTER-6279</v>
      </c>
      <c r="C133" s="12" t="str" cm="1">
        <f t="array" ref="C133">_xlfn.TEXTJOIN(CHAR(10),TRUE,_xlfn._xlws.SORT(IF((--($B133=Flowdown_CIC[[URS]:[URS]]))*(--(C$14=Flowdown_CIC[[Source.Name]:[Source.Name]])),Flowdown_CIC[[SyRS]:[SyRS]],"")))</f>
        <v/>
      </c>
      <c r="D133" s="12" t="str" cm="1">
        <f t="array" ref="D133">_xlfn.TEXTJOIN(CHAR(10),TRUE,_xlfn._xlws.SORT(IF((--($B133=Flowdown_CIC[[URS]:[URS]]))*(--(D$14=Flowdown_CIC[[Source.Name]:[Source.Name]])),Flowdown_CIC[[SyRS]:[SyRS]],"")))</f>
        <v/>
      </c>
      <c r="E133" s="12" t="str" cm="1">
        <f t="array" ref="E133">_xlfn.TEXTJOIN(CHAR(10),TRUE,_xlfn._xlws.SORT(IF((--($B133=Flowdown_CIC[[URS]:[URS]]))*(--(E$14=Flowdown_CIC[[Source.Name]:[Source.Name]])),Flowdown_CIC[[SyRS]:[SyRS]],"")))</f>
        <v/>
      </c>
      <c r="F133" s="12" t="str" cm="1">
        <f t="array" ref="F133">_xlfn.TEXTJOIN(CHAR(10),TRUE,_xlfn._xlws.SORT(IF((--($B133=Flowdown_CIC[[URS]:[URS]]))*(--(F$14=Flowdown_CIC[[Source.Name]:[Source.Name]])),Flowdown_CIC[[SyRS]:[SyRS]],"")))</f>
        <v/>
      </c>
      <c r="G133" s="12" t="str" cm="1">
        <f t="array" ref="G133">_xlfn.TEXTJOIN(CHAR(10),TRUE,_xlfn._xlws.SORT(IF((--($B133=Flowdown_CIC[[URS]:[URS]]))*(--(G$14=Flowdown_CIC[[Source.Name]:[Source.Name]])),Flowdown_CIC[[SyRS]:[SyRS]],"")))</f>
        <v/>
      </c>
      <c r="H133" s="12" t="str" cm="1">
        <f t="array" ref="H133">_xlfn.TEXTJOIN(CHAR(10),TRUE,_xlfn._xlws.SORT(IF((--($B133=Flowdown_CIC[[URS]:[URS]]))*(--(H$14=Flowdown_CIC[[Source.Name]:[Source.Name]])),Flowdown_CIC[[SyRS]:[SyRS]],"")))</f>
        <v/>
      </c>
      <c r="I133" s="12" t="str" cm="1">
        <f t="array" ref="I133">_xlfn.TEXTJOIN(CHAR(10),TRUE,_xlfn._xlws.SORT(IF((--($B133=Flowdown_CIC[[URS]:[URS]]))*(--(I$14=Flowdown_CIC[[Source.Name]:[Source.Name]])),Flowdown_CIC[[SyRS]:[SyRS]],"")))</f>
        <v>MASTER-17419
MASTER-17420
UTICA-193
UTICA-194</v>
      </c>
      <c r="J133" s="12" t="str" cm="1">
        <f t="array" ref="J133">_xlfn.TEXTJOIN(CHAR(10),TRUE,_xlfn._xlws.SORT(IF((--($B133=Flowdown_CIC[[URS]:[URS]]))*(--(J$14=Flowdown_CIC[[Source.Name]:[Source.Name]])),Flowdown_CIC[[SyRS]:[SyRS]],"")))</f>
        <v>MASTER-17420
UTICA-2463</v>
      </c>
      <c r="K133" s="12" t="str" cm="1">
        <f t="array" ref="K133">_xlfn.TEXTJOIN(CHAR(10),TRUE,_xlfn._xlws.SORT(IF((--($B133=Flowdown_CIC[[URS]:[URS]]))*(--(K$14=Flowdown_CIC[[Source.Name]:[Source.Name]])),Flowdown_CIC[[SyRS]:[SyRS]],"")))</f>
        <v/>
      </c>
      <c r="L133" s="16" t="b" cm="1">
        <f t="array" ref="L133">OR(LEN(C133:K133)&gt;0)</f>
        <v>1</v>
      </c>
    </row>
    <row r="134" spans="2:12" ht="13.5" x14ac:dyDescent="0.2">
      <c r="B134" s="11" t="str">
        <v>MASTER-6286</v>
      </c>
      <c r="C134" s="12" t="str" cm="1">
        <f t="array" ref="C134">_xlfn.TEXTJOIN(CHAR(10),TRUE,_xlfn._xlws.SORT(IF((--($B134=Flowdown_CIC[[URS]:[URS]]))*(--(C$14=Flowdown_CIC[[Source.Name]:[Source.Name]])),Flowdown_CIC[[SyRS]:[SyRS]],"")))</f>
        <v/>
      </c>
      <c r="D134" s="12" t="str" cm="1">
        <f t="array" ref="D134">_xlfn.TEXTJOIN(CHAR(10),TRUE,_xlfn._xlws.SORT(IF((--($B134=Flowdown_CIC[[URS]:[URS]]))*(--(D$14=Flowdown_CIC[[Source.Name]:[Source.Name]])),Flowdown_CIC[[SyRS]:[SyRS]],"")))</f>
        <v/>
      </c>
      <c r="E134" s="12" t="str" cm="1">
        <f t="array" ref="E134">_xlfn.TEXTJOIN(CHAR(10),TRUE,_xlfn._xlws.SORT(IF((--($B134=Flowdown_CIC[[URS]:[URS]]))*(--(E$14=Flowdown_CIC[[Source.Name]:[Source.Name]])),Flowdown_CIC[[SyRS]:[SyRS]],"")))</f>
        <v/>
      </c>
      <c r="F134" s="12" t="str" cm="1">
        <f t="array" ref="F134">_xlfn.TEXTJOIN(CHAR(10),TRUE,_xlfn._xlws.SORT(IF((--($B134=Flowdown_CIC[[URS]:[URS]]))*(--(F$14=Flowdown_CIC[[Source.Name]:[Source.Name]])),Flowdown_CIC[[SyRS]:[SyRS]],"")))</f>
        <v/>
      </c>
      <c r="G134" s="12" t="str" cm="1">
        <f t="array" ref="G134">_xlfn.TEXTJOIN(CHAR(10),TRUE,_xlfn._xlws.SORT(IF((--($B134=Flowdown_CIC[[URS]:[URS]]))*(--(G$14=Flowdown_CIC[[Source.Name]:[Source.Name]])),Flowdown_CIC[[SyRS]:[SyRS]],"")))</f>
        <v/>
      </c>
      <c r="H134" s="12" t="str" cm="1">
        <f t="array" ref="H134">_xlfn.TEXTJOIN(CHAR(10),TRUE,_xlfn._xlws.SORT(IF((--($B134=Flowdown_CIC[[URS]:[URS]]))*(--(H$14=Flowdown_CIC[[Source.Name]:[Source.Name]])),Flowdown_CIC[[SyRS]:[SyRS]],"")))</f>
        <v/>
      </c>
      <c r="I134" s="12" t="str" cm="1">
        <f t="array" ref="I134">_xlfn.TEXTJOIN(CHAR(10),TRUE,_xlfn._xlws.SORT(IF((--($B134=Flowdown_CIC[[URS]:[URS]]))*(--(I$14=Flowdown_CIC[[Source.Name]:[Source.Name]])),Flowdown_CIC[[SyRS]:[SyRS]],"")))</f>
        <v/>
      </c>
      <c r="J134" s="12" t="str" cm="1">
        <f t="array" ref="J134">_xlfn.TEXTJOIN(CHAR(10),TRUE,_xlfn._xlws.SORT(IF((--($B134=Flowdown_CIC[[URS]:[URS]]))*(--(J$14=Flowdown_CIC[[Source.Name]:[Source.Name]])),Flowdown_CIC[[SyRS]:[SyRS]],"")))</f>
        <v>UTICA-2466</v>
      </c>
      <c r="K134" s="12" t="str" cm="1">
        <f t="array" ref="K134">_xlfn.TEXTJOIN(CHAR(10),TRUE,_xlfn._xlws.SORT(IF((--($B134=Flowdown_CIC[[URS]:[URS]]))*(--(K$14=Flowdown_CIC[[Source.Name]:[Source.Name]])),Flowdown_CIC[[SyRS]:[SyRS]],"")))</f>
        <v/>
      </c>
      <c r="L134" s="16" t="b" cm="1">
        <f t="array" ref="L134">OR(LEN(C134:K134)&gt;0)</f>
        <v>1</v>
      </c>
    </row>
    <row r="135" spans="2:12" ht="13.5" x14ac:dyDescent="0.2">
      <c r="B135" s="11" t="str">
        <v>MASTER-6291</v>
      </c>
      <c r="C135" s="12" t="str" cm="1">
        <f t="array" ref="C135">_xlfn.TEXTJOIN(CHAR(10),TRUE,_xlfn._xlws.SORT(IF((--($B135=Flowdown_CIC[[URS]:[URS]]))*(--(C$14=Flowdown_CIC[[Source.Name]:[Source.Name]])),Flowdown_CIC[[SyRS]:[SyRS]],"")))</f>
        <v/>
      </c>
      <c r="D135" s="12" t="str" cm="1">
        <f t="array" ref="D135">_xlfn.TEXTJOIN(CHAR(10),TRUE,_xlfn._xlws.SORT(IF((--($B135=Flowdown_CIC[[URS]:[URS]]))*(--(D$14=Flowdown_CIC[[Source.Name]:[Source.Name]])),Flowdown_CIC[[SyRS]:[SyRS]],"")))</f>
        <v/>
      </c>
      <c r="E135" s="12" t="str" cm="1">
        <f t="array" ref="E135">_xlfn.TEXTJOIN(CHAR(10),TRUE,_xlfn._xlws.SORT(IF((--($B135=Flowdown_CIC[[URS]:[URS]]))*(--(E$14=Flowdown_CIC[[Source.Name]:[Source.Name]])),Flowdown_CIC[[SyRS]:[SyRS]],"")))</f>
        <v/>
      </c>
      <c r="F135" s="12" t="str" cm="1">
        <f t="array" ref="F135">_xlfn.TEXTJOIN(CHAR(10),TRUE,_xlfn._xlws.SORT(IF((--($B135=Flowdown_CIC[[URS]:[URS]]))*(--(F$14=Flowdown_CIC[[Source.Name]:[Source.Name]])),Flowdown_CIC[[SyRS]:[SyRS]],"")))</f>
        <v/>
      </c>
      <c r="G135" s="12" t="str" cm="1">
        <f t="array" ref="G135">_xlfn.TEXTJOIN(CHAR(10),TRUE,_xlfn._xlws.SORT(IF((--($B135=Flowdown_CIC[[URS]:[URS]]))*(--(G$14=Flowdown_CIC[[Source.Name]:[Source.Name]])),Flowdown_CIC[[SyRS]:[SyRS]],"")))</f>
        <v/>
      </c>
      <c r="H135" s="12" t="str" cm="1">
        <f t="array" ref="H135">_xlfn.TEXTJOIN(CHAR(10),TRUE,_xlfn._xlws.SORT(IF((--($B135=Flowdown_CIC[[URS]:[URS]]))*(--(H$14=Flowdown_CIC[[Source.Name]:[Source.Name]])),Flowdown_CIC[[SyRS]:[SyRS]],"")))</f>
        <v/>
      </c>
      <c r="I135" s="12" t="str" cm="1">
        <f t="array" ref="I135">_xlfn.TEXTJOIN(CHAR(10),TRUE,_xlfn._xlws.SORT(IF((--($B135=Flowdown_CIC[[URS]:[URS]]))*(--(I$14=Flowdown_CIC[[Source.Name]:[Source.Name]])),Flowdown_CIC[[SyRS]:[SyRS]],"")))</f>
        <v>MASTER-17469</v>
      </c>
      <c r="J135" s="12" t="str" cm="1">
        <f t="array" ref="J135">_xlfn.TEXTJOIN(CHAR(10),TRUE,_xlfn._xlws.SORT(IF((--($B135=Flowdown_CIC[[URS]:[URS]]))*(--(J$14=Flowdown_CIC[[Source.Name]:[Source.Name]])),Flowdown_CIC[[SyRS]:[SyRS]],"")))</f>
        <v/>
      </c>
      <c r="K135" s="12" t="str" cm="1">
        <f t="array" ref="K135">_xlfn.TEXTJOIN(CHAR(10),TRUE,_xlfn._xlws.SORT(IF((--($B135=Flowdown_CIC[[URS]:[URS]]))*(--(K$14=Flowdown_CIC[[Source.Name]:[Source.Name]])),Flowdown_CIC[[SyRS]:[SyRS]],"")))</f>
        <v/>
      </c>
      <c r="L135" s="16" t="b" cm="1">
        <f t="array" ref="L135">OR(LEN(C135:K135)&gt;0)</f>
        <v>1</v>
      </c>
    </row>
    <row r="136" spans="2:12" ht="40.5" x14ac:dyDescent="0.2">
      <c r="B136" s="11" t="str">
        <v>MASTER-6292</v>
      </c>
      <c r="C136" s="12" t="str" cm="1">
        <f t="array" ref="C136">_xlfn.TEXTJOIN(CHAR(10),TRUE,_xlfn._xlws.SORT(IF((--($B136=Flowdown_CIC[[URS]:[URS]]))*(--(C$14=Flowdown_CIC[[Source.Name]:[Source.Name]])),Flowdown_CIC[[SyRS]:[SyRS]],"")))</f>
        <v/>
      </c>
      <c r="D136" s="12" t="str" cm="1">
        <f t="array" ref="D136">_xlfn.TEXTJOIN(CHAR(10),TRUE,_xlfn._xlws.SORT(IF((--($B136=Flowdown_CIC[[URS]:[URS]]))*(--(D$14=Flowdown_CIC[[Source.Name]:[Source.Name]])),Flowdown_CIC[[SyRS]:[SyRS]],"")))</f>
        <v/>
      </c>
      <c r="E136" s="12" t="str" cm="1">
        <f t="array" ref="E136">_xlfn.TEXTJOIN(CHAR(10),TRUE,_xlfn._xlws.SORT(IF((--($B136=Flowdown_CIC[[URS]:[URS]]))*(--(E$14=Flowdown_CIC[[Source.Name]:[Source.Name]])),Flowdown_CIC[[SyRS]:[SyRS]],"")))</f>
        <v/>
      </c>
      <c r="F136" s="12" t="str" cm="1">
        <f t="array" ref="F136">_xlfn.TEXTJOIN(CHAR(10),TRUE,_xlfn._xlws.SORT(IF((--($B136=Flowdown_CIC[[URS]:[URS]]))*(--(F$14=Flowdown_CIC[[Source.Name]:[Source.Name]])),Flowdown_CIC[[SyRS]:[SyRS]],"")))</f>
        <v/>
      </c>
      <c r="G136" s="12" t="str" cm="1">
        <f t="array" ref="G136">_xlfn.TEXTJOIN(CHAR(10),TRUE,_xlfn._xlws.SORT(IF((--($B136=Flowdown_CIC[[URS]:[URS]]))*(--(G$14=Flowdown_CIC[[Source.Name]:[Source.Name]])),Flowdown_CIC[[SyRS]:[SyRS]],"")))</f>
        <v/>
      </c>
      <c r="H136" s="12" t="str" cm="1">
        <f t="array" ref="H136">_xlfn.TEXTJOIN(CHAR(10),TRUE,_xlfn._xlws.SORT(IF((--($B136=Flowdown_CIC[[URS]:[URS]]))*(--(H$14=Flowdown_CIC[[Source.Name]:[Source.Name]])),Flowdown_CIC[[SyRS]:[SyRS]],"")))</f>
        <v/>
      </c>
      <c r="I136" s="12" t="str" cm="1">
        <f t="array" ref="I136">_xlfn.TEXTJOIN(CHAR(10),TRUE,_xlfn._xlws.SORT(IF((--($B136=Flowdown_CIC[[URS]:[URS]]))*(--(I$14=Flowdown_CIC[[Source.Name]:[Source.Name]])),Flowdown_CIC[[SyRS]:[SyRS]],"")))</f>
        <v>MASTER-17471
MASTER-17474
MASTER-17475</v>
      </c>
      <c r="J136" s="12" t="str" cm="1">
        <f t="array" ref="J136">_xlfn.TEXTJOIN(CHAR(10),TRUE,_xlfn._xlws.SORT(IF((--($B136=Flowdown_CIC[[URS]:[URS]]))*(--(J$14=Flowdown_CIC[[Source.Name]:[Source.Name]])),Flowdown_CIC[[SyRS]:[SyRS]],"")))</f>
        <v/>
      </c>
      <c r="K136" s="12" t="str" cm="1">
        <f t="array" ref="K136">_xlfn.TEXTJOIN(CHAR(10),TRUE,_xlfn._xlws.SORT(IF((--($B136=Flowdown_CIC[[URS]:[URS]]))*(--(K$14=Flowdown_CIC[[Source.Name]:[Source.Name]])),Flowdown_CIC[[SyRS]:[SyRS]],"")))</f>
        <v/>
      </c>
      <c r="L136" s="16" t="b" cm="1">
        <f t="array" ref="L136">OR(LEN(C136:K136)&gt;0)</f>
        <v>1</v>
      </c>
    </row>
    <row r="137" spans="2:12" ht="27" x14ac:dyDescent="0.2">
      <c r="B137" s="11" t="str">
        <v>MASTER-6298</v>
      </c>
      <c r="C137" s="12" t="str" cm="1">
        <f t="array" ref="C137">_xlfn.TEXTJOIN(CHAR(10),TRUE,_xlfn._xlws.SORT(IF((--($B137=Flowdown_CIC[[URS]:[URS]]))*(--(C$14=Flowdown_CIC[[Source.Name]:[Source.Name]])),Flowdown_CIC[[SyRS]:[SyRS]],"")))</f>
        <v/>
      </c>
      <c r="D137" s="12" t="str" cm="1">
        <f t="array" ref="D137">_xlfn.TEXTJOIN(CHAR(10),TRUE,_xlfn._xlws.SORT(IF((--($B137=Flowdown_CIC[[URS]:[URS]]))*(--(D$14=Flowdown_CIC[[Source.Name]:[Source.Name]])),Flowdown_CIC[[SyRS]:[SyRS]],"")))</f>
        <v/>
      </c>
      <c r="E137" s="12" t="str" cm="1">
        <f t="array" ref="E137">_xlfn.TEXTJOIN(CHAR(10),TRUE,_xlfn._xlws.SORT(IF((--($B137=Flowdown_CIC[[URS]:[URS]]))*(--(E$14=Flowdown_CIC[[Source.Name]:[Source.Name]])),Flowdown_CIC[[SyRS]:[SyRS]],"")))</f>
        <v/>
      </c>
      <c r="F137" s="12" t="str" cm="1">
        <f t="array" ref="F137">_xlfn.TEXTJOIN(CHAR(10),TRUE,_xlfn._xlws.SORT(IF((--($B137=Flowdown_CIC[[URS]:[URS]]))*(--(F$14=Flowdown_CIC[[Source.Name]:[Source.Name]])),Flowdown_CIC[[SyRS]:[SyRS]],"")))</f>
        <v/>
      </c>
      <c r="G137" s="12" t="str" cm="1">
        <f t="array" ref="G137">_xlfn.TEXTJOIN(CHAR(10),TRUE,_xlfn._xlws.SORT(IF((--($B137=Flowdown_CIC[[URS]:[URS]]))*(--(G$14=Flowdown_CIC[[Source.Name]:[Source.Name]])),Flowdown_CIC[[SyRS]:[SyRS]],"")))</f>
        <v/>
      </c>
      <c r="H137" s="12" t="str" cm="1">
        <f t="array" ref="H137">_xlfn.TEXTJOIN(CHAR(10),TRUE,_xlfn._xlws.SORT(IF((--($B137=Flowdown_CIC[[URS]:[URS]]))*(--(H$14=Flowdown_CIC[[Source.Name]:[Source.Name]])),Flowdown_CIC[[SyRS]:[SyRS]],"")))</f>
        <v/>
      </c>
      <c r="I137" s="12" t="str" cm="1">
        <f t="array" ref="I137">_xlfn.TEXTJOIN(CHAR(10),TRUE,_xlfn._xlws.SORT(IF((--($B137=Flowdown_CIC[[URS]:[URS]]))*(--(I$14=Flowdown_CIC[[Source.Name]:[Source.Name]])),Flowdown_CIC[[SyRS]:[SyRS]],"")))</f>
        <v/>
      </c>
      <c r="J137" s="12" t="str" cm="1">
        <f t="array" ref="J137">_xlfn.TEXTJOIN(CHAR(10),TRUE,_xlfn._xlws.SORT(IF((--($B137=Flowdown_CIC[[URS]:[URS]]))*(--(J$14=Flowdown_CIC[[Source.Name]:[Source.Name]])),Flowdown_CIC[[SyRS]:[SyRS]],"")))</f>
        <v>MASTER-17509
UTICA-2467</v>
      </c>
      <c r="K137" s="12" t="str" cm="1">
        <f t="array" ref="K137">_xlfn.TEXTJOIN(CHAR(10),TRUE,_xlfn._xlws.SORT(IF((--($B137=Flowdown_CIC[[URS]:[URS]]))*(--(K$14=Flowdown_CIC[[Source.Name]:[Source.Name]])),Flowdown_CIC[[SyRS]:[SyRS]],"")))</f>
        <v/>
      </c>
      <c r="L137" s="16" t="b" cm="1">
        <f t="array" ref="L137">OR(LEN(C137:K137)&gt;0)</f>
        <v>1</v>
      </c>
    </row>
    <row r="138" spans="2:12" ht="27" x14ac:dyDescent="0.2">
      <c r="B138" s="11" t="str">
        <v>MASTER-6304</v>
      </c>
      <c r="C138" s="12" t="str" cm="1">
        <f t="array" ref="C138">_xlfn.TEXTJOIN(CHAR(10),TRUE,_xlfn._xlws.SORT(IF((--($B138=Flowdown_CIC[[URS]:[URS]]))*(--(C$14=Flowdown_CIC[[Source.Name]:[Source.Name]])),Flowdown_CIC[[SyRS]:[SyRS]],"")))</f>
        <v/>
      </c>
      <c r="D138" s="12" t="str" cm="1">
        <f t="array" ref="D138">_xlfn.TEXTJOIN(CHAR(10),TRUE,_xlfn._xlws.SORT(IF((--($B138=Flowdown_CIC[[URS]:[URS]]))*(--(D$14=Flowdown_CIC[[Source.Name]:[Source.Name]])),Flowdown_CIC[[SyRS]:[SyRS]],"")))</f>
        <v/>
      </c>
      <c r="E138" s="12" t="str" cm="1">
        <f t="array" ref="E138">_xlfn.TEXTJOIN(CHAR(10),TRUE,_xlfn._xlws.SORT(IF((--($B138=Flowdown_CIC[[URS]:[URS]]))*(--(E$14=Flowdown_CIC[[Source.Name]:[Source.Name]])),Flowdown_CIC[[SyRS]:[SyRS]],"")))</f>
        <v/>
      </c>
      <c r="F138" s="12" t="str" cm="1">
        <f t="array" ref="F138">_xlfn.TEXTJOIN(CHAR(10),TRUE,_xlfn._xlws.SORT(IF((--($B138=Flowdown_CIC[[URS]:[URS]]))*(--(F$14=Flowdown_CIC[[Source.Name]:[Source.Name]])),Flowdown_CIC[[SyRS]:[SyRS]],"")))</f>
        <v/>
      </c>
      <c r="G138" s="12" t="str" cm="1">
        <f t="array" ref="G138">_xlfn.TEXTJOIN(CHAR(10),TRUE,_xlfn._xlws.SORT(IF((--($B138=Flowdown_CIC[[URS]:[URS]]))*(--(G$14=Flowdown_CIC[[Source.Name]:[Source.Name]])),Flowdown_CIC[[SyRS]:[SyRS]],"")))</f>
        <v/>
      </c>
      <c r="H138" s="12" t="str" cm="1">
        <f t="array" ref="H138">_xlfn.TEXTJOIN(CHAR(10),TRUE,_xlfn._xlws.SORT(IF((--($B138=Flowdown_CIC[[URS]:[URS]]))*(--(H$14=Flowdown_CIC[[Source.Name]:[Source.Name]])),Flowdown_CIC[[SyRS]:[SyRS]],"")))</f>
        <v/>
      </c>
      <c r="I138" s="12" t="str" cm="1">
        <f t="array" ref="I138">_xlfn.TEXTJOIN(CHAR(10),TRUE,_xlfn._xlws.SORT(IF((--($B138=Flowdown_CIC[[URS]:[URS]]))*(--(I$14=Flowdown_CIC[[Source.Name]:[Source.Name]])),Flowdown_CIC[[SyRS]:[SyRS]],"")))</f>
        <v>MASTER-17518</v>
      </c>
      <c r="J138" s="12" t="str" cm="1">
        <f t="array" ref="J138">_xlfn.TEXTJOIN(CHAR(10),TRUE,_xlfn._xlws.SORT(IF((--($B138=Flowdown_CIC[[URS]:[URS]]))*(--(J$14=Flowdown_CIC[[Source.Name]:[Source.Name]])),Flowdown_CIC[[SyRS]:[SyRS]],"")))</f>
        <v>MASTER-17518
MASTER-17519</v>
      </c>
      <c r="K138" s="12" t="str" cm="1">
        <f t="array" ref="K138">_xlfn.TEXTJOIN(CHAR(10),TRUE,_xlfn._xlws.SORT(IF((--($B138=Flowdown_CIC[[URS]:[URS]]))*(--(K$14=Flowdown_CIC[[Source.Name]:[Source.Name]])),Flowdown_CIC[[SyRS]:[SyRS]],"")))</f>
        <v/>
      </c>
      <c r="L138" s="16" t="b" cm="1">
        <f t="array" ref="L138">OR(LEN(C138:K138)&gt;0)</f>
        <v>1</v>
      </c>
    </row>
    <row r="139" spans="2:12" ht="13.5" x14ac:dyDescent="0.2">
      <c r="B139" s="11" t="str">
        <v>MASTER-6309</v>
      </c>
      <c r="C139" s="12" t="str" cm="1">
        <f t="array" ref="C139">_xlfn.TEXTJOIN(CHAR(10),TRUE,_xlfn._xlws.SORT(IF((--($B139=Flowdown_CIC[[URS]:[URS]]))*(--(C$14=Flowdown_CIC[[Source.Name]:[Source.Name]])),Flowdown_CIC[[SyRS]:[SyRS]],"")))</f>
        <v/>
      </c>
      <c r="D139" s="12" t="str" cm="1">
        <f t="array" ref="D139">_xlfn.TEXTJOIN(CHAR(10),TRUE,_xlfn._xlws.SORT(IF((--($B139=Flowdown_CIC[[URS]:[URS]]))*(--(D$14=Flowdown_CIC[[Source.Name]:[Source.Name]])),Flowdown_CIC[[SyRS]:[SyRS]],"")))</f>
        <v/>
      </c>
      <c r="E139" s="12" t="str" cm="1">
        <f t="array" ref="E139">_xlfn.TEXTJOIN(CHAR(10),TRUE,_xlfn._xlws.SORT(IF((--($B139=Flowdown_CIC[[URS]:[URS]]))*(--(E$14=Flowdown_CIC[[Source.Name]:[Source.Name]])),Flowdown_CIC[[SyRS]:[SyRS]],"")))</f>
        <v/>
      </c>
      <c r="F139" s="12" t="str" cm="1">
        <f t="array" ref="F139">_xlfn.TEXTJOIN(CHAR(10),TRUE,_xlfn._xlws.SORT(IF((--($B139=Flowdown_CIC[[URS]:[URS]]))*(--(F$14=Flowdown_CIC[[Source.Name]:[Source.Name]])),Flowdown_CIC[[SyRS]:[SyRS]],"")))</f>
        <v/>
      </c>
      <c r="G139" s="12" t="str" cm="1">
        <f t="array" ref="G139">_xlfn.TEXTJOIN(CHAR(10),TRUE,_xlfn._xlws.SORT(IF((--($B139=Flowdown_CIC[[URS]:[URS]]))*(--(G$14=Flowdown_CIC[[Source.Name]:[Source.Name]])),Flowdown_CIC[[SyRS]:[SyRS]],"")))</f>
        <v/>
      </c>
      <c r="H139" s="12" t="str" cm="1">
        <f t="array" ref="H139">_xlfn.TEXTJOIN(CHAR(10),TRUE,_xlfn._xlws.SORT(IF((--($B139=Flowdown_CIC[[URS]:[URS]]))*(--(H$14=Flowdown_CIC[[Source.Name]:[Source.Name]])),Flowdown_CIC[[SyRS]:[SyRS]],"")))</f>
        <v/>
      </c>
      <c r="I139" s="12" t="str" cm="1">
        <f t="array" ref="I139">_xlfn.TEXTJOIN(CHAR(10),TRUE,_xlfn._xlws.SORT(IF((--($B139=Flowdown_CIC[[URS]:[URS]]))*(--(I$14=Flowdown_CIC[[Source.Name]:[Source.Name]])),Flowdown_CIC[[SyRS]:[SyRS]],"")))</f>
        <v/>
      </c>
      <c r="J139" s="12" t="str" cm="1">
        <f t="array" ref="J139">_xlfn.TEXTJOIN(CHAR(10),TRUE,_xlfn._xlws.SORT(IF((--($B139=Flowdown_CIC[[URS]:[URS]]))*(--(J$14=Flowdown_CIC[[Source.Name]:[Source.Name]])),Flowdown_CIC[[SyRS]:[SyRS]],"")))</f>
        <v>UTICA-2468</v>
      </c>
      <c r="K139" s="12" t="str" cm="1">
        <f t="array" ref="K139">_xlfn.TEXTJOIN(CHAR(10),TRUE,_xlfn._xlws.SORT(IF((--($B139=Flowdown_CIC[[URS]:[URS]]))*(--(K$14=Flowdown_CIC[[Source.Name]:[Source.Name]])),Flowdown_CIC[[SyRS]:[SyRS]],"")))</f>
        <v/>
      </c>
      <c r="L139" s="16" t="b" cm="1">
        <f t="array" ref="L139">OR(LEN(C139:K139)&gt;0)</f>
        <v>1</v>
      </c>
    </row>
    <row r="140" spans="2:12" ht="27" x14ac:dyDescent="0.2">
      <c r="B140" s="11" t="str">
        <v>MASTER-6310</v>
      </c>
      <c r="C140" s="12" t="str" cm="1">
        <f t="array" ref="C140">_xlfn.TEXTJOIN(CHAR(10),TRUE,_xlfn._xlws.SORT(IF((--($B140=Flowdown_CIC[[URS]:[URS]]))*(--(C$14=Flowdown_CIC[[Source.Name]:[Source.Name]])),Flowdown_CIC[[SyRS]:[SyRS]],"")))</f>
        <v/>
      </c>
      <c r="D140" s="12" t="str" cm="1">
        <f t="array" ref="D140">_xlfn.TEXTJOIN(CHAR(10),TRUE,_xlfn._xlws.SORT(IF((--($B140=Flowdown_CIC[[URS]:[URS]]))*(--(D$14=Flowdown_CIC[[Source.Name]:[Source.Name]])),Flowdown_CIC[[SyRS]:[SyRS]],"")))</f>
        <v/>
      </c>
      <c r="E140" s="12" t="str" cm="1">
        <f t="array" ref="E140">_xlfn.TEXTJOIN(CHAR(10),TRUE,_xlfn._xlws.SORT(IF((--($B140=Flowdown_CIC[[URS]:[URS]]))*(--(E$14=Flowdown_CIC[[Source.Name]:[Source.Name]])),Flowdown_CIC[[SyRS]:[SyRS]],"")))</f>
        <v/>
      </c>
      <c r="F140" s="12" t="str" cm="1">
        <f t="array" ref="F140">_xlfn.TEXTJOIN(CHAR(10),TRUE,_xlfn._xlws.SORT(IF((--($B140=Flowdown_CIC[[URS]:[URS]]))*(--(F$14=Flowdown_CIC[[Source.Name]:[Source.Name]])),Flowdown_CIC[[SyRS]:[SyRS]],"")))</f>
        <v/>
      </c>
      <c r="G140" s="12" t="str" cm="1">
        <f t="array" ref="G140">_xlfn.TEXTJOIN(CHAR(10),TRUE,_xlfn._xlws.SORT(IF((--($B140=Flowdown_CIC[[URS]:[URS]]))*(--(G$14=Flowdown_CIC[[Source.Name]:[Source.Name]])),Flowdown_CIC[[SyRS]:[SyRS]],"")))</f>
        <v/>
      </c>
      <c r="H140" s="12" t="str" cm="1">
        <f t="array" ref="H140">_xlfn.TEXTJOIN(CHAR(10),TRUE,_xlfn._xlws.SORT(IF((--($B140=Flowdown_CIC[[URS]:[URS]]))*(--(H$14=Flowdown_CIC[[Source.Name]:[Source.Name]])),Flowdown_CIC[[SyRS]:[SyRS]],"")))</f>
        <v/>
      </c>
      <c r="I140" s="12" t="str" cm="1">
        <f t="array" ref="I140">_xlfn.TEXTJOIN(CHAR(10),TRUE,_xlfn._xlws.SORT(IF((--($B140=Flowdown_CIC[[URS]:[URS]]))*(--(I$14=Flowdown_CIC[[Source.Name]:[Source.Name]])),Flowdown_CIC[[SyRS]:[SyRS]],"")))</f>
        <v>MASTER-17537
UTICA-200</v>
      </c>
      <c r="J140" s="12" t="str" cm="1">
        <f t="array" ref="J140">_xlfn.TEXTJOIN(CHAR(10),TRUE,_xlfn._xlws.SORT(IF((--($B140=Flowdown_CIC[[URS]:[URS]]))*(--(J$14=Flowdown_CIC[[Source.Name]:[Source.Name]])),Flowdown_CIC[[SyRS]:[SyRS]],"")))</f>
        <v/>
      </c>
      <c r="K140" s="12" t="str" cm="1">
        <f t="array" ref="K140">_xlfn.TEXTJOIN(CHAR(10),TRUE,_xlfn._xlws.SORT(IF((--($B140=Flowdown_CIC[[URS]:[URS]]))*(--(K$14=Flowdown_CIC[[Source.Name]:[Source.Name]])),Flowdown_CIC[[SyRS]:[SyRS]],"")))</f>
        <v/>
      </c>
      <c r="L140" s="16" t="b" cm="1">
        <f t="array" ref="L140">OR(LEN(C140:K140)&gt;0)</f>
        <v>1</v>
      </c>
    </row>
    <row r="141" spans="2:12" ht="13.5" x14ac:dyDescent="0.2">
      <c r="B141" s="11" t="str">
        <v>MASTER-6311</v>
      </c>
      <c r="C141" s="12" t="str" cm="1">
        <f t="array" ref="C141">_xlfn.TEXTJOIN(CHAR(10),TRUE,_xlfn._xlws.SORT(IF((--($B141=Flowdown_CIC[[URS]:[URS]]))*(--(C$14=Flowdown_CIC[[Source.Name]:[Source.Name]])),Flowdown_CIC[[SyRS]:[SyRS]],"")))</f>
        <v/>
      </c>
      <c r="D141" s="12" t="str" cm="1">
        <f t="array" ref="D141">_xlfn.TEXTJOIN(CHAR(10),TRUE,_xlfn._xlws.SORT(IF((--($B141=Flowdown_CIC[[URS]:[URS]]))*(--(D$14=Flowdown_CIC[[Source.Name]:[Source.Name]])),Flowdown_CIC[[SyRS]:[SyRS]],"")))</f>
        <v/>
      </c>
      <c r="E141" s="12" t="str" cm="1">
        <f t="array" ref="E141">_xlfn.TEXTJOIN(CHAR(10),TRUE,_xlfn._xlws.SORT(IF((--($B141=Flowdown_CIC[[URS]:[URS]]))*(--(E$14=Flowdown_CIC[[Source.Name]:[Source.Name]])),Flowdown_CIC[[SyRS]:[SyRS]],"")))</f>
        <v/>
      </c>
      <c r="F141" s="12" t="str" cm="1">
        <f t="array" ref="F141">_xlfn.TEXTJOIN(CHAR(10),TRUE,_xlfn._xlws.SORT(IF((--($B141=Flowdown_CIC[[URS]:[URS]]))*(--(F$14=Flowdown_CIC[[Source.Name]:[Source.Name]])),Flowdown_CIC[[SyRS]:[SyRS]],"")))</f>
        <v/>
      </c>
      <c r="G141" s="12" t="str" cm="1">
        <f t="array" ref="G141">_xlfn.TEXTJOIN(CHAR(10),TRUE,_xlfn._xlws.SORT(IF((--($B141=Flowdown_CIC[[URS]:[URS]]))*(--(G$14=Flowdown_CIC[[Source.Name]:[Source.Name]])),Flowdown_CIC[[SyRS]:[SyRS]],"")))</f>
        <v/>
      </c>
      <c r="H141" s="12" t="str" cm="1">
        <f t="array" ref="H141">_xlfn.TEXTJOIN(CHAR(10),TRUE,_xlfn._xlws.SORT(IF((--($B141=Flowdown_CIC[[URS]:[URS]]))*(--(H$14=Flowdown_CIC[[Source.Name]:[Source.Name]])),Flowdown_CIC[[SyRS]:[SyRS]],"")))</f>
        <v/>
      </c>
      <c r="I141" s="12" t="str" cm="1">
        <f t="array" ref="I141">_xlfn.TEXTJOIN(CHAR(10),TRUE,_xlfn._xlws.SORT(IF((--($B141=Flowdown_CIC[[URS]:[URS]]))*(--(I$14=Flowdown_CIC[[Source.Name]:[Source.Name]])),Flowdown_CIC[[SyRS]:[SyRS]],"")))</f>
        <v/>
      </c>
      <c r="J141" s="12" t="str" cm="1">
        <f t="array" ref="J141">_xlfn.TEXTJOIN(CHAR(10),TRUE,_xlfn._xlws.SORT(IF((--($B141=Flowdown_CIC[[URS]:[URS]]))*(--(J$14=Flowdown_CIC[[Source.Name]:[Source.Name]])),Flowdown_CIC[[SyRS]:[SyRS]],"")))</f>
        <v>UTICA-2468</v>
      </c>
      <c r="K141" s="12" t="str" cm="1">
        <f t="array" ref="K141">_xlfn.TEXTJOIN(CHAR(10),TRUE,_xlfn._xlws.SORT(IF((--($B141=Flowdown_CIC[[URS]:[URS]]))*(--(K$14=Flowdown_CIC[[Source.Name]:[Source.Name]])),Flowdown_CIC[[SyRS]:[SyRS]],"")))</f>
        <v/>
      </c>
      <c r="L141" s="16" t="b" cm="1">
        <f t="array" ref="L141">OR(LEN(C141:K141)&gt;0)</f>
        <v>1</v>
      </c>
    </row>
    <row r="142" spans="2:12" ht="13.5" x14ac:dyDescent="0.2">
      <c r="B142" s="11" t="str">
        <v>MASTER-6312</v>
      </c>
      <c r="C142" s="12" t="str" cm="1">
        <f t="array" ref="C142">_xlfn.TEXTJOIN(CHAR(10),TRUE,_xlfn._xlws.SORT(IF((--($B142=Flowdown_CIC[[URS]:[URS]]))*(--(C$14=Flowdown_CIC[[Source.Name]:[Source.Name]])),Flowdown_CIC[[SyRS]:[SyRS]],"")))</f>
        <v/>
      </c>
      <c r="D142" s="12" t="str" cm="1">
        <f t="array" ref="D142">_xlfn.TEXTJOIN(CHAR(10),TRUE,_xlfn._xlws.SORT(IF((--($B142=Flowdown_CIC[[URS]:[URS]]))*(--(D$14=Flowdown_CIC[[Source.Name]:[Source.Name]])),Flowdown_CIC[[SyRS]:[SyRS]],"")))</f>
        <v/>
      </c>
      <c r="E142" s="12" t="str" cm="1">
        <f t="array" ref="E142">_xlfn.TEXTJOIN(CHAR(10),TRUE,_xlfn._xlws.SORT(IF((--($B142=Flowdown_CIC[[URS]:[URS]]))*(--(E$14=Flowdown_CIC[[Source.Name]:[Source.Name]])),Flowdown_CIC[[SyRS]:[SyRS]],"")))</f>
        <v/>
      </c>
      <c r="F142" s="12" t="str" cm="1">
        <f t="array" ref="F142">_xlfn.TEXTJOIN(CHAR(10),TRUE,_xlfn._xlws.SORT(IF((--($B142=Flowdown_CIC[[URS]:[URS]]))*(--(F$14=Flowdown_CIC[[Source.Name]:[Source.Name]])),Flowdown_CIC[[SyRS]:[SyRS]],"")))</f>
        <v/>
      </c>
      <c r="G142" s="12" t="str" cm="1">
        <f t="array" ref="G142">_xlfn.TEXTJOIN(CHAR(10),TRUE,_xlfn._xlws.SORT(IF((--($B142=Flowdown_CIC[[URS]:[URS]]))*(--(G$14=Flowdown_CIC[[Source.Name]:[Source.Name]])),Flowdown_CIC[[SyRS]:[SyRS]],"")))</f>
        <v/>
      </c>
      <c r="H142" s="12" t="str" cm="1">
        <f t="array" ref="H142">_xlfn.TEXTJOIN(CHAR(10),TRUE,_xlfn._xlws.SORT(IF((--($B142=Flowdown_CIC[[URS]:[URS]]))*(--(H$14=Flowdown_CIC[[Source.Name]:[Source.Name]])),Flowdown_CIC[[SyRS]:[SyRS]],"")))</f>
        <v/>
      </c>
      <c r="I142" s="12" t="str" cm="1">
        <f t="array" ref="I142">_xlfn.TEXTJOIN(CHAR(10),TRUE,_xlfn._xlws.SORT(IF((--($B142=Flowdown_CIC[[URS]:[URS]]))*(--(I$14=Flowdown_CIC[[Source.Name]:[Source.Name]])),Flowdown_CIC[[SyRS]:[SyRS]],"")))</f>
        <v/>
      </c>
      <c r="J142" s="12" t="str" cm="1">
        <f t="array" ref="J142">_xlfn.TEXTJOIN(CHAR(10),TRUE,_xlfn._xlws.SORT(IF((--($B142=Flowdown_CIC[[URS]:[URS]]))*(--(J$14=Flowdown_CIC[[Source.Name]:[Source.Name]])),Flowdown_CIC[[SyRS]:[SyRS]],"")))</f>
        <v>UTICA-2468</v>
      </c>
      <c r="K142" s="12" t="str" cm="1">
        <f t="array" ref="K142">_xlfn.TEXTJOIN(CHAR(10),TRUE,_xlfn._xlws.SORT(IF((--($B142=Flowdown_CIC[[URS]:[URS]]))*(--(K$14=Flowdown_CIC[[Source.Name]:[Source.Name]])),Flowdown_CIC[[SyRS]:[SyRS]],"")))</f>
        <v/>
      </c>
      <c r="L142" s="16" t="b" cm="1">
        <f t="array" ref="L142">OR(LEN(C142:K142)&gt;0)</f>
        <v>1</v>
      </c>
    </row>
    <row r="143" spans="2:12" ht="13.5" x14ac:dyDescent="0.2">
      <c r="B143" s="11" t="str">
        <v>MASTER-6315</v>
      </c>
      <c r="C143" s="12" t="str" cm="1">
        <f t="array" ref="C143">_xlfn.TEXTJOIN(CHAR(10),TRUE,_xlfn._xlws.SORT(IF((--($B143=Flowdown_CIC[[URS]:[URS]]))*(--(C$14=Flowdown_CIC[[Source.Name]:[Source.Name]])),Flowdown_CIC[[SyRS]:[SyRS]],"")))</f>
        <v>MASTER-20295</v>
      </c>
      <c r="D143" s="12" t="str" cm="1">
        <f t="array" ref="D143">_xlfn.TEXTJOIN(CHAR(10),TRUE,_xlfn._xlws.SORT(IF((--($B143=Flowdown_CIC[[URS]:[URS]]))*(--(D$14=Flowdown_CIC[[Source.Name]:[Source.Name]])),Flowdown_CIC[[SyRS]:[SyRS]],"")))</f>
        <v>MASTER-20295</v>
      </c>
      <c r="E143" s="12" t="str" cm="1">
        <f t="array" ref="E143">_xlfn.TEXTJOIN(CHAR(10),TRUE,_xlfn._xlws.SORT(IF((--($B143=Flowdown_CIC[[URS]:[URS]]))*(--(E$14=Flowdown_CIC[[Source.Name]:[Source.Name]])),Flowdown_CIC[[SyRS]:[SyRS]],"")))</f>
        <v>MASTER-20295</v>
      </c>
      <c r="F143" s="12" t="str" cm="1">
        <f t="array" ref="F143">_xlfn.TEXTJOIN(CHAR(10),TRUE,_xlfn._xlws.SORT(IF((--($B143=Flowdown_CIC[[URS]:[URS]]))*(--(F$14=Flowdown_CIC[[Source.Name]:[Source.Name]])),Flowdown_CIC[[SyRS]:[SyRS]],"")))</f>
        <v>MASTER-20295</v>
      </c>
      <c r="G143" s="12" t="str" cm="1">
        <f t="array" ref="G143">_xlfn.TEXTJOIN(CHAR(10),TRUE,_xlfn._xlws.SORT(IF((--($B143=Flowdown_CIC[[URS]:[URS]]))*(--(G$14=Flowdown_CIC[[Source.Name]:[Source.Name]])),Flowdown_CIC[[SyRS]:[SyRS]],"")))</f>
        <v>MASTER-20295</v>
      </c>
      <c r="H143" s="12" t="str" cm="1">
        <f t="array" ref="H143">_xlfn.TEXTJOIN(CHAR(10),TRUE,_xlfn._xlws.SORT(IF((--($B143=Flowdown_CIC[[URS]:[URS]]))*(--(H$14=Flowdown_CIC[[Source.Name]:[Source.Name]])),Flowdown_CIC[[SyRS]:[SyRS]],"")))</f>
        <v/>
      </c>
      <c r="I143" s="12" t="str" cm="1">
        <f t="array" ref="I143">_xlfn.TEXTJOIN(CHAR(10),TRUE,_xlfn._xlws.SORT(IF((--($B143=Flowdown_CIC[[URS]:[URS]]))*(--(I$14=Flowdown_CIC[[Source.Name]:[Source.Name]])),Flowdown_CIC[[SyRS]:[SyRS]],"")))</f>
        <v>MASTER-59956</v>
      </c>
      <c r="J143" s="12" t="str" cm="1">
        <f t="array" ref="J143">_xlfn.TEXTJOIN(CHAR(10),TRUE,_xlfn._xlws.SORT(IF((--($B143=Flowdown_CIC[[URS]:[URS]]))*(--(J$14=Flowdown_CIC[[Source.Name]:[Source.Name]])),Flowdown_CIC[[SyRS]:[SyRS]],"")))</f>
        <v>MASTER-59956</v>
      </c>
      <c r="K143" s="12" t="str" cm="1">
        <f t="array" ref="K143">_xlfn.TEXTJOIN(CHAR(10),TRUE,_xlfn._xlws.SORT(IF((--($B143=Flowdown_CIC[[URS]:[URS]]))*(--(K$14=Flowdown_CIC[[Source.Name]:[Source.Name]])),Flowdown_CIC[[SyRS]:[SyRS]],"")))</f>
        <v/>
      </c>
      <c r="L143" s="16" t="b" cm="1">
        <f t="array" ref="L143">OR(LEN(C143:K143)&gt;0)</f>
        <v>1</v>
      </c>
    </row>
    <row r="144" spans="2:12" ht="13.5" x14ac:dyDescent="0.2">
      <c r="B144" s="11" t="str">
        <v>MASTER-63178</v>
      </c>
      <c r="C144" s="12" t="str" cm="1">
        <f t="array" ref="C144">_xlfn.TEXTJOIN(CHAR(10),TRUE,_xlfn._xlws.SORT(IF((--($B144=Flowdown_CIC[[URS]:[URS]]))*(--(C$14=Flowdown_CIC[[Source.Name]:[Source.Name]])),Flowdown_CIC[[SyRS]:[SyRS]],"")))</f>
        <v>MASTER-19840</v>
      </c>
      <c r="D144" s="12" t="str" cm="1">
        <f t="array" ref="D144">_xlfn.TEXTJOIN(CHAR(10),TRUE,_xlfn._xlws.SORT(IF((--($B144=Flowdown_CIC[[URS]:[URS]]))*(--(D$14=Flowdown_CIC[[Source.Name]:[Source.Name]])),Flowdown_CIC[[SyRS]:[SyRS]],"")))</f>
        <v>MASTER-19840</v>
      </c>
      <c r="E144" s="12" t="str" cm="1">
        <f t="array" ref="E144">_xlfn.TEXTJOIN(CHAR(10),TRUE,_xlfn._xlws.SORT(IF((--($B144=Flowdown_CIC[[URS]:[URS]]))*(--(E$14=Flowdown_CIC[[Source.Name]:[Source.Name]])),Flowdown_CIC[[SyRS]:[SyRS]],"")))</f>
        <v>MASTER-19840</v>
      </c>
      <c r="F144" s="12" t="str" cm="1">
        <f t="array" ref="F144">_xlfn.TEXTJOIN(CHAR(10),TRUE,_xlfn._xlws.SORT(IF((--($B144=Flowdown_CIC[[URS]:[URS]]))*(--(F$14=Flowdown_CIC[[Source.Name]:[Source.Name]])),Flowdown_CIC[[SyRS]:[SyRS]],"")))</f>
        <v>MASTER-19840</v>
      </c>
      <c r="G144" s="12" t="str" cm="1">
        <f t="array" ref="G144">_xlfn.TEXTJOIN(CHAR(10),TRUE,_xlfn._xlws.SORT(IF((--($B144=Flowdown_CIC[[URS]:[URS]]))*(--(G$14=Flowdown_CIC[[Source.Name]:[Source.Name]])),Flowdown_CIC[[SyRS]:[SyRS]],"")))</f>
        <v>MASTER-19840</v>
      </c>
      <c r="H144" s="12" t="str" cm="1">
        <f t="array" ref="H144">_xlfn.TEXTJOIN(CHAR(10),TRUE,_xlfn._xlws.SORT(IF((--($B144=Flowdown_CIC[[URS]:[URS]]))*(--(H$14=Flowdown_CIC[[Source.Name]:[Source.Name]])),Flowdown_CIC[[SyRS]:[SyRS]],"")))</f>
        <v/>
      </c>
      <c r="I144" s="12" t="str" cm="1">
        <f t="array" ref="I144">_xlfn.TEXTJOIN(CHAR(10),TRUE,_xlfn._xlws.SORT(IF((--($B144=Flowdown_CIC[[URS]:[URS]]))*(--(I$14=Flowdown_CIC[[Source.Name]:[Source.Name]])),Flowdown_CIC[[SyRS]:[SyRS]],"")))</f>
        <v>MASTER-19840</v>
      </c>
      <c r="J144" s="12" t="str" cm="1">
        <f t="array" ref="J144">_xlfn.TEXTJOIN(CHAR(10),TRUE,_xlfn._xlws.SORT(IF((--($B144=Flowdown_CIC[[URS]:[URS]]))*(--(J$14=Flowdown_CIC[[Source.Name]:[Source.Name]])),Flowdown_CIC[[SyRS]:[SyRS]],"")))</f>
        <v>MASTER-19840</v>
      </c>
      <c r="K144" s="12" t="str" cm="1">
        <f t="array" ref="K144">_xlfn.TEXTJOIN(CHAR(10),TRUE,_xlfn._xlws.SORT(IF((--($B144=Flowdown_CIC[[URS]:[URS]]))*(--(K$14=Flowdown_CIC[[Source.Name]:[Source.Name]])),Flowdown_CIC[[SyRS]:[SyRS]],"")))</f>
        <v/>
      </c>
      <c r="L144" s="16" t="b" cm="1">
        <f t="array" ref="L144">OR(LEN(C144:K144)&gt;0)</f>
        <v>1</v>
      </c>
    </row>
    <row r="145" spans="2:12" ht="13.5" x14ac:dyDescent="0.2">
      <c r="B145" s="11" t="str">
        <v>MASTER-6318</v>
      </c>
      <c r="C145" s="12" t="str" cm="1">
        <f t="array" ref="C145">_xlfn.TEXTJOIN(CHAR(10),TRUE,_xlfn._xlws.SORT(IF((--($B145=Flowdown_CIC[[URS]:[URS]]))*(--(C$14=Flowdown_CIC[[Source.Name]:[Source.Name]])),Flowdown_CIC[[SyRS]:[SyRS]],"")))</f>
        <v/>
      </c>
      <c r="D145" s="12" t="str" cm="1">
        <f t="array" ref="D145">_xlfn.TEXTJOIN(CHAR(10),TRUE,_xlfn._xlws.SORT(IF((--($B145=Flowdown_CIC[[URS]:[URS]]))*(--(D$14=Flowdown_CIC[[Source.Name]:[Source.Name]])),Flowdown_CIC[[SyRS]:[SyRS]],"")))</f>
        <v/>
      </c>
      <c r="E145" s="12" t="str" cm="1">
        <f t="array" ref="E145">_xlfn.TEXTJOIN(CHAR(10),TRUE,_xlfn._xlws.SORT(IF((--($B145=Flowdown_CIC[[URS]:[URS]]))*(--(E$14=Flowdown_CIC[[Source.Name]:[Source.Name]])),Flowdown_CIC[[SyRS]:[SyRS]],"")))</f>
        <v/>
      </c>
      <c r="F145" s="12" t="str" cm="1">
        <f t="array" ref="F145">_xlfn.TEXTJOIN(CHAR(10),TRUE,_xlfn._xlws.SORT(IF((--($B145=Flowdown_CIC[[URS]:[URS]]))*(--(F$14=Flowdown_CIC[[Source.Name]:[Source.Name]])),Flowdown_CIC[[SyRS]:[SyRS]],"")))</f>
        <v/>
      </c>
      <c r="G145" s="12" t="str" cm="1">
        <f t="array" ref="G145">_xlfn.TEXTJOIN(CHAR(10),TRUE,_xlfn._xlws.SORT(IF((--($B145=Flowdown_CIC[[URS]:[URS]]))*(--(G$14=Flowdown_CIC[[Source.Name]:[Source.Name]])),Flowdown_CIC[[SyRS]:[SyRS]],"")))</f>
        <v/>
      </c>
      <c r="H145" s="12" t="str" cm="1">
        <f t="array" ref="H145">_xlfn.TEXTJOIN(CHAR(10),TRUE,_xlfn._xlws.SORT(IF((--($B145=Flowdown_CIC[[URS]:[URS]]))*(--(H$14=Flowdown_CIC[[Source.Name]:[Source.Name]])),Flowdown_CIC[[SyRS]:[SyRS]],"")))</f>
        <v/>
      </c>
      <c r="I145" s="12" t="str" cm="1">
        <f t="array" ref="I145">_xlfn.TEXTJOIN(CHAR(10),TRUE,_xlfn._xlws.SORT(IF((--($B145=Flowdown_CIC[[URS]:[URS]]))*(--(I$14=Flowdown_CIC[[Source.Name]:[Source.Name]])),Flowdown_CIC[[SyRS]:[SyRS]],"")))</f>
        <v>MASTER-59956</v>
      </c>
      <c r="J145" s="12" t="str" cm="1">
        <f t="array" ref="J145">_xlfn.TEXTJOIN(CHAR(10),TRUE,_xlfn._xlws.SORT(IF((--($B145=Flowdown_CIC[[URS]:[URS]]))*(--(J$14=Flowdown_CIC[[Source.Name]:[Source.Name]])),Flowdown_CIC[[SyRS]:[SyRS]],"")))</f>
        <v>MASTER-59956</v>
      </c>
      <c r="K145" s="12" t="str" cm="1">
        <f t="array" ref="K145">_xlfn.TEXTJOIN(CHAR(10),TRUE,_xlfn._xlws.SORT(IF((--($B145=Flowdown_CIC[[URS]:[URS]]))*(--(K$14=Flowdown_CIC[[Source.Name]:[Source.Name]])),Flowdown_CIC[[SyRS]:[SyRS]],"")))</f>
        <v/>
      </c>
      <c r="L145" s="16" t="b" cm="1">
        <f t="array" ref="L145">OR(LEN(C145:K145)&gt;0)</f>
        <v>1</v>
      </c>
    </row>
    <row r="146" spans="2:12" ht="27" x14ac:dyDescent="0.2">
      <c r="B146" s="11" t="str">
        <v>MASTER-6336</v>
      </c>
      <c r="C146" s="12" t="str" cm="1">
        <f t="array" ref="C146">_xlfn.TEXTJOIN(CHAR(10),TRUE,_xlfn._xlws.SORT(IF((--($B146=Flowdown_CIC[[URS]:[URS]]))*(--(C$14=Flowdown_CIC[[Source.Name]:[Source.Name]])),Flowdown_CIC[[SyRS]:[SyRS]],"")))</f>
        <v/>
      </c>
      <c r="D146" s="12" t="str" cm="1">
        <f t="array" ref="D146">_xlfn.TEXTJOIN(CHAR(10),TRUE,_xlfn._xlws.SORT(IF((--($B146=Flowdown_CIC[[URS]:[URS]]))*(--(D$14=Flowdown_CIC[[Source.Name]:[Source.Name]])),Flowdown_CIC[[SyRS]:[SyRS]],"")))</f>
        <v/>
      </c>
      <c r="E146" s="12" t="str" cm="1">
        <f t="array" ref="E146">_xlfn.TEXTJOIN(CHAR(10),TRUE,_xlfn._xlws.SORT(IF((--($B146=Flowdown_CIC[[URS]:[URS]]))*(--(E$14=Flowdown_CIC[[Source.Name]:[Source.Name]])),Flowdown_CIC[[SyRS]:[SyRS]],"")))</f>
        <v/>
      </c>
      <c r="F146" s="12" t="str" cm="1">
        <f t="array" ref="F146">_xlfn.TEXTJOIN(CHAR(10),TRUE,_xlfn._xlws.SORT(IF((--($B146=Flowdown_CIC[[URS]:[URS]]))*(--(F$14=Flowdown_CIC[[Source.Name]:[Source.Name]])),Flowdown_CIC[[SyRS]:[SyRS]],"")))</f>
        <v/>
      </c>
      <c r="G146" s="12" t="str" cm="1">
        <f t="array" ref="G146">_xlfn.TEXTJOIN(CHAR(10),TRUE,_xlfn._xlws.SORT(IF((--($B146=Flowdown_CIC[[URS]:[URS]]))*(--(G$14=Flowdown_CIC[[Source.Name]:[Source.Name]])),Flowdown_CIC[[SyRS]:[SyRS]],"")))</f>
        <v/>
      </c>
      <c r="H146" s="12" t="str" cm="1">
        <f t="array" ref="H146">_xlfn.TEXTJOIN(CHAR(10),TRUE,_xlfn._xlws.SORT(IF((--($B146=Flowdown_CIC[[URS]:[URS]]))*(--(H$14=Flowdown_CIC[[Source.Name]:[Source.Name]])),Flowdown_CIC[[SyRS]:[SyRS]],"")))</f>
        <v/>
      </c>
      <c r="I146" s="12" t="str" cm="1">
        <f t="array" ref="I146">_xlfn.TEXTJOIN(CHAR(10),TRUE,_xlfn._xlws.SORT(IF((--($B146=Flowdown_CIC[[URS]:[URS]]))*(--(I$14=Flowdown_CIC[[Source.Name]:[Source.Name]])),Flowdown_CIC[[SyRS]:[SyRS]],"")))</f>
        <v/>
      </c>
      <c r="J146" s="12" t="str" cm="1">
        <f t="array" ref="J146">_xlfn.TEXTJOIN(CHAR(10),TRUE,_xlfn._xlws.SORT(IF((--($B146=Flowdown_CIC[[URS]:[URS]]))*(--(J$14=Flowdown_CIC[[Source.Name]:[Source.Name]])),Flowdown_CIC[[SyRS]:[SyRS]],"")))</f>
        <v>MASTER-17662
UTICA-2470</v>
      </c>
      <c r="K146" s="12" t="str" cm="1">
        <f t="array" ref="K146">_xlfn.TEXTJOIN(CHAR(10),TRUE,_xlfn._xlws.SORT(IF((--($B146=Flowdown_CIC[[URS]:[URS]]))*(--(K$14=Flowdown_CIC[[Source.Name]:[Source.Name]])),Flowdown_CIC[[SyRS]:[SyRS]],"")))</f>
        <v/>
      </c>
      <c r="L146" s="16" t="b" cm="1">
        <f t="array" ref="L146">OR(LEN(C146:K146)&gt;0)</f>
        <v>1</v>
      </c>
    </row>
    <row r="147" spans="2:12" ht="67.5" x14ac:dyDescent="0.2">
      <c r="B147" s="11" t="str">
        <v>MASTER-6338</v>
      </c>
      <c r="C147" s="12" t="str" cm="1">
        <f t="array" ref="C147">_xlfn.TEXTJOIN(CHAR(10),TRUE,_xlfn._xlws.SORT(IF((--($B147=Flowdown_CIC[[URS]:[URS]]))*(--(C$14=Flowdown_CIC[[Source.Name]:[Source.Name]])),Flowdown_CIC[[SyRS]:[SyRS]],"")))</f>
        <v/>
      </c>
      <c r="D147" s="12" t="str" cm="1">
        <f t="array" ref="D147">_xlfn.TEXTJOIN(CHAR(10),TRUE,_xlfn._xlws.SORT(IF((--($B147=Flowdown_CIC[[URS]:[URS]]))*(--(D$14=Flowdown_CIC[[Source.Name]:[Source.Name]])),Flowdown_CIC[[SyRS]:[SyRS]],"")))</f>
        <v/>
      </c>
      <c r="E147" s="12" t="str" cm="1">
        <f t="array" ref="E147">_xlfn.TEXTJOIN(CHAR(10),TRUE,_xlfn._xlws.SORT(IF((--($B147=Flowdown_CIC[[URS]:[URS]]))*(--(E$14=Flowdown_CIC[[Source.Name]:[Source.Name]])),Flowdown_CIC[[SyRS]:[SyRS]],"")))</f>
        <v/>
      </c>
      <c r="F147" s="12" t="str" cm="1">
        <f t="array" ref="F147">_xlfn.TEXTJOIN(CHAR(10),TRUE,_xlfn._xlws.SORT(IF((--($B147=Flowdown_CIC[[URS]:[URS]]))*(--(F$14=Flowdown_CIC[[Source.Name]:[Source.Name]])),Flowdown_CIC[[SyRS]:[SyRS]],"")))</f>
        <v/>
      </c>
      <c r="G147" s="12" t="str" cm="1">
        <f t="array" ref="G147">_xlfn.TEXTJOIN(CHAR(10),TRUE,_xlfn._xlws.SORT(IF((--($B147=Flowdown_CIC[[URS]:[URS]]))*(--(G$14=Flowdown_CIC[[Source.Name]:[Source.Name]])),Flowdown_CIC[[SyRS]:[SyRS]],"")))</f>
        <v/>
      </c>
      <c r="H147" s="12" t="str" cm="1">
        <f t="array" ref="H147">_xlfn.TEXTJOIN(CHAR(10),TRUE,_xlfn._xlws.SORT(IF((--($B147=Flowdown_CIC[[URS]:[URS]]))*(--(H$14=Flowdown_CIC[[Source.Name]:[Source.Name]])),Flowdown_CIC[[SyRS]:[SyRS]],"")))</f>
        <v/>
      </c>
      <c r="I147" s="12" t="str" cm="1">
        <f t="array" ref="I147">_xlfn.TEXTJOIN(CHAR(10),TRUE,_xlfn._xlws.SORT(IF((--($B147=Flowdown_CIC[[URS]:[URS]]))*(--(I$14=Flowdown_CIC[[Source.Name]:[Source.Name]])),Flowdown_CIC[[SyRS]:[SyRS]],"")))</f>
        <v>MASTER-17654</v>
      </c>
      <c r="J147" s="12" t="str" cm="1">
        <f t="array" ref="J147">_xlfn.TEXTJOIN(CHAR(10),TRUE,_xlfn._xlws.SORT(IF((--($B147=Flowdown_CIC[[URS]:[URS]]))*(--(J$14=Flowdown_CIC[[Source.Name]:[Source.Name]])),Flowdown_CIC[[SyRS]:[SyRS]],"")))</f>
        <v>MASTER-17657
MASTER-17659
UTICA-2469
UTICA-2472
UTICA-2521</v>
      </c>
      <c r="K147" s="12" t="str" cm="1">
        <f t="array" ref="K147">_xlfn.TEXTJOIN(CHAR(10),TRUE,_xlfn._xlws.SORT(IF((--($B147=Flowdown_CIC[[URS]:[URS]]))*(--(K$14=Flowdown_CIC[[Source.Name]:[Source.Name]])),Flowdown_CIC[[SyRS]:[SyRS]],"")))</f>
        <v/>
      </c>
      <c r="L147" s="16" t="b" cm="1">
        <f t="array" ref="L147">OR(LEN(C147:K147)&gt;0)</f>
        <v>1</v>
      </c>
    </row>
    <row r="148" spans="2:12" ht="27" x14ac:dyDescent="0.2">
      <c r="B148" s="11" t="str">
        <v>MASTER-6339</v>
      </c>
      <c r="C148" s="12" t="str" cm="1">
        <f t="array" ref="C148">_xlfn.TEXTJOIN(CHAR(10),TRUE,_xlfn._xlws.SORT(IF((--($B148=Flowdown_CIC[[URS]:[URS]]))*(--(C$14=Flowdown_CIC[[Source.Name]:[Source.Name]])),Flowdown_CIC[[SyRS]:[SyRS]],"")))</f>
        <v/>
      </c>
      <c r="D148" s="12" t="str" cm="1">
        <f t="array" ref="D148">_xlfn.TEXTJOIN(CHAR(10),TRUE,_xlfn._xlws.SORT(IF((--($B148=Flowdown_CIC[[URS]:[URS]]))*(--(D$14=Flowdown_CIC[[Source.Name]:[Source.Name]])),Flowdown_CIC[[SyRS]:[SyRS]],"")))</f>
        <v/>
      </c>
      <c r="E148" s="12" t="str" cm="1">
        <f t="array" ref="E148">_xlfn.TEXTJOIN(CHAR(10),TRUE,_xlfn._xlws.SORT(IF((--($B148=Flowdown_CIC[[URS]:[URS]]))*(--(E$14=Flowdown_CIC[[Source.Name]:[Source.Name]])),Flowdown_CIC[[SyRS]:[SyRS]],"")))</f>
        <v/>
      </c>
      <c r="F148" s="12" t="str" cm="1">
        <f t="array" ref="F148">_xlfn.TEXTJOIN(CHAR(10),TRUE,_xlfn._xlws.SORT(IF((--($B148=Flowdown_CIC[[URS]:[URS]]))*(--(F$14=Flowdown_CIC[[Source.Name]:[Source.Name]])),Flowdown_CIC[[SyRS]:[SyRS]],"")))</f>
        <v/>
      </c>
      <c r="G148" s="12" t="str" cm="1">
        <f t="array" ref="G148">_xlfn.TEXTJOIN(CHAR(10),TRUE,_xlfn._xlws.SORT(IF((--($B148=Flowdown_CIC[[URS]:[URS]]))*(--(G$14=Flowdown_CIC[[Source.Name]:[Source.Name]])),Flowdown_CIC[[SyRS]:[SyRS]],"")))</f>
        <v/>
      </c>
      <c r="H148" s="12" t="str" cm="1">
        <f t="array" ref="H148">_xlfn.TEXTJOIN(CHAR(10),TRUE,_xlfn._xlws.SORT(IF((--($B148=Flowdown_CIC[[URS]:[URS]]))*(--(H$14=Flowdown_CIC[[Source.Name]:[Source.Name]])),Flowdown_CIC[[SyRS]:[SyRS]],"")))</f>
        <v/>
      </c>
      <c r="I148" s="12" t="str" cm="1">
        <f t="array" ref="I148">_xlfn.TEXTJOIN(CHAR(10),TRUE,_xlfn._xlws.SORT(IF((--($B148=Flowdown_CIC[[URS]:[URS]]))*(--(I$14=Flowdown_CIC[[Source.Name]:[Source.Name]])),Flowdown_CIC[[SyRS]:[SyRS]],"")))</f>
        <v/>
      </c>
      <c r="J148" s="12" t="str" cm="1">
        <f t="array" ref="J148">_xlfn.TEXTJOIN(CHAR(10),TRUE,_xlfn._xlws.SORT(IF((--($B148=Flowdown_CIC[[URS]:[URS]]))*(--(J$14=Flowdown_CIC[[Source.Name]:[Source.Name]])),Flowdown_CIC[[SyRS]:[SyRS]],"")))</f>
        <v>MASTER-17660
UTICA-2471</v>
      </c>
      <c r="K148" s="12" t="str" cm="1">
        <f t="array" ref="K148">_xlfn.TEXTJOIN(CHAR(10),TRUE,_xlfn._xlws.SORT(IF((--($B148=Flowdown_CIC[[URS]:[URS]]))*(--(K$14=Flowdown_CIC[[Source.Name]:[Source.Name]])),Flowdown_CIC[[SyRS]:[SyRS]],"")))</f>
        <v/>
      </c>
      <c r="L148" s="16" t="b" cm="1">
        <f t="array" ref="L148">OR(LEN(C148:K148)&gt;0)</f>
        <v>1</v>
      </c>
    </row>
    <row r="149" spans="2:12" ht="27" x14ac:dyDescent="0.2">
      <c r="B149" s="11" t="str">
        <v>MASTER-6358</v>
      </c>
      <c r="C149" s="12" t="str" cm="1">
        <f t="array" ref="C149">_xlfn.TEXTJOIN(CHAR(10),TRUE,_xlfn._xlws.SORT(IF((--($B149=Flowdown_CIC[[URS]:[URS]]))*(--(C$14=Flowdown_CIC[[Source.Name]:[Source.Name]])),Flowdown_CIC[[SyRS]:[SyRS]],"")))</f>
        <v>MASTER-17676
MASTER-17679</v>
      </c>
      <c r="D149" s="12" t="str" cm="1">
        <f t="array" ref="D149">_xlfn.TEXTJOIN(CHAR(10),TRUE,_xlfn._xlws.SORT(IF((--($B149=Flowdown_CIC[[URS]:[URS]]))*(--(D$14=Flowdown_CIC[[Source.Name]:[Source.Name]])),Flowdown_CIC[[SyRS]:[SyRS]],"")))</f>
        <v>MASTER-17676
MASTER-17679</v>
      </c>
      <c r="E149" s="12" t="str" cm="1">
        <f t="array" ref="E149">_xlfn.TEXTJOIN(CHAR(10),TRUE,_xlfn._xlws.SORT(IF((--($B149=Flowdown_CIC[[URS]:[URS]]))*(--(E$14=Flowdown_CIC[[Source.Name]:[Source.Name]])),Flowdown_CIC[[SyRS]:[SyRS]],"")))</f>
        <v>MASTER-17676
MASTER-17679</v>
      </c>
      <c r="F149" s="12" t="str" cm="1">
        <f t="array" ref="F149">_xlfn.TEXTJOIN(CHAR(10),TRUE,_xlfn._xlws.SORT(IF((--($B149=Flowdown_CIC[[URS]:[URS]]))*(--(F$14=Flowdown_CIC[[Source.Name]:[Source.Name]])),Flowdown_CIC[[SyRS]:[SyRS]],"")))</f>
        <v>MASTER-17676
MASTER-17679</v>
      </c>
      <c r="G149" s="12" t="str" cm="1">
        <f t="array" ref="G149">_xlfn.TEXTJOIN(CHAR(10),TRUE,_xlfn._xlws.SORT(IF((--($B149=Flowdown_CIC[[URS]:[URS]]))*(--(G$14=Flowdown_CIC[[Source.Name]:[Source.Name]])),Flowdown_CIC[[SyRS]:[SyRS]],"")))</f>
        <v>MASTER-17676
MASTER-17679</v>
      </c>
      <c r="H149" s="12" t="str" cm="1">
        <f t="array" ref="H149">_xlfn.TEXTJOIN(CHAR(10),TRUE,_xlfn._xlws.SORT(IF((--($B149=Flowdown_CIC[[URS]:[URS]]))*(--(H$14=Flowdown_CIC[[Source.Name]:[Source.Name]])),Flowdown_CIC[[SyRS]:[SyRS]],"")))</f>
        <v>MASTER-21791</v>
      </c>
      <c r="I149" s="12" t="str" cm="1">
        <f t="array" ref="I149">_xlfn.TEXTJOIN(CHAR(10),TRUE,_xlfn._xlws.SORT(IF((--($B149=Flowdown_CIC[[URS]:[URS]]))*(--(I$14=Flowdown_CIC[[Source.Name]:[Source.Name]])),Flowdown_CIC[[SyRS]:[SyRS]],"")))</f>
        <v/>
      </c>
      <c r="J149" s="12" t="str" cm="1">
        <f t="array" ref="J149">_xlfn.TEXTJOIN(CHAR(10),TRUE,_xlfn._xlws.SORT(IF((--($B149=Flowdown_CIC[[URS]:[URS]]))*(--(J$14=Flowdown_CIC[[Source.Name]:[Source.Name]])),Flowdown_CIC[[SyRS]:[SyRS]],"")))</f>
        <v/>
      </c>
      <c r="K149" s="12" t="str" cm="1">
        <f t="array" ref="K149">_xlfn.TEXTJOIN(CHAR(10),TRUE,_xlfn._xlws.SORT(IF((--($B149=Flowdown_CIC[[URS]:[URS]]))*(--(K$14=Flowdown_CIC[[Source.Name]:[Source.Name]])),Flowdown_CIC[[SyRS]:[SyRS]],"")))</f>
        <v/>
      </c>
      <c r="L149" s="16" t="b" cm="1">
        <f t="array" ref="L149">OR(LEN(C149:K149)&gt;0)</f>
        <v>1</v>
      </c>
    </row>
    <row r="150" spans="2:12" ht="108" x14ac:dyDescent="0.2">
      <c r="B150" s="11" t="str">
        <v>MASTER-6359</v>
      </c>
      <c r="C150" s="12" t="str" cm="1">
        <f t="array" ref="C150">_xlfn.TEXTJOIN(CHAR(10),TRUE,_xlfn._xlws.SORT(IF((--($B150=Flowdown_CIC[[URS]:[URS]]))*(--(C$14=Flowdown_CIC[[Source.Name]:[Source.Name]])),Flowdown_CIC[[SyRS]:[SyRS]],"")))</f>
        <v>MASTER-18353</v>
      </c>
      <c r="D150" s="12" t="str" cm="1">
        <f t="array" ref="D150">_xlfn.TEXTJOIN(CHAR(10),TRUE,_xlfn._xlws.SORT(IF((--($B150=Flowdown_CIC[[URS]:[URS]]))*(--(D$14=Flowdown_CIC[[Source.Name]:[Source.Name]])),Flowdown_CIC[[SyRS]:[SyRS]],"")))</f>
        <v>MASTER-18353</v>
      </c>
      <c r="E150" s="12" t="str" cm="1">
        <f t="array" ref="E150">_xlfn.TEXTJOIN(CHAR(10),TRUE,_xlfn._xlws.SORT(IF((--($B150=Flowdown_CIC[[URS]:[URS]]))*(--(E$14=Flowdown_CIC[[Source.Name]:[Source.Name]])),Flowdown_CIC[[SyRS]:[SyRS]],"")))</f>
        <v>MASTER-18353</v>
      </c>
      <c r="F150" s="12" t="str" cm="1">
        <f t="array" ref="F150">_xlfn.TEXTJOIN(CHAR(10),TRUE,_xlfn._xlws.SORT(IF((--($B150=Flowdown_CIC[[URS]:[URS]]))*(--(F$14=Flowdown_CIC[[Source.Name]:[Source.Name]])),Flowdown_CIC[[SyRS]:[SyRS]],"")))</f>
        <v>MASTER-18353</v>
      </c>
      <c r="G150" s="12" t="str" cm="1">
        <f t="array" ref="G150">_xlfn.TEXTJOIN(CHAR(10),TRUE,_xlfn._xlws.SORT(IF((--($B150=Flowdown_CIC[[URS]:[URS]]))*(--(G$14=Flowdown_CIC[[Source.Name]:[Source.Name]])),Flowdown_CIC[[SyRS]:[SyRS]],"")))</f>
        <v>MASTER-18353</v>
      </c>
      <c r="H150" s="12" t="str" cm="1">
        <f t="array" ref="H150">_xlfn.TEXTJOIN(CHAR(10),TRUE,_xlfn._xlws.SORT(IF((--($B150=Flowdown_CIC[[URS]:[URS]]))*(--(H$14=Flowdown_CIC[[Source.Name]:[Source.Name]])),Flowdown_CIC[[SyRS]:[SyRS]],"")))</f>
        <v>MASTER-21791
MASTER-21792
MASTER-21793
MASTER-21794
MASTER-21795
MASTER-50255
MASTER-76083
UTICA-25681</v>
      </c>
      <c r="I150" s="12" t="str" cm="1">
        <f t="array" ref="I150">_xlfn.TEXTJOIN(CHAR(10),TRUE,_xlfn._xlws.SORT(IF((--($B150=Flowdown_CIC[[URS]:[URS]]))*(--(I$14=Flowdown_CIC[[Source.Name]:[Source.Name]])),Flowdown_CIC[[SyRS]:[SyRS]],"")))</f>
        <v/>
      </c>
      <c r="J150" s="12" t="str" cm="1">
        <f t="array" ref="J150">_xlfn.TEXTJOIN(CHAR(10),TRUE,_xlfn._xlws.SORT(IF((--($B150=Flowdown_CIC[[URS]:[URS]]))*(--(J$14=Flowdown_CIC[[Source.Name]:[Source.Name]])),Flowdown_CIC[[SyRS]:[SyRS]],"")))</f>
        <v/>
      </c>
      <c r="K150" s="12" t="str" cm="1">
        <f t="array" ref="K150">_xlfn.TEXTJOIN(CHAR(10),TRUE,_xlfn._xlws.SORT(IF((--($B150=Flowdown_CIC[[URS]:[URS]]))*(--(K$14=Flowdown_CIC[[Source.Name]:[Source.Name]])),Flowdown_CIC[[SyRS]:[SyRS]],"")))</f>
        <v/>
      </c>
      <c r="L150" s="16" t="b" cm="1">
        <f t="array" ref="L150">OR(LEN(C150:K150)&gt;0)</f>
        <v>1</v>
      </c>
    </row>
    <row r="151" spans="2:12" ht="67.5" x14ac:dyDescent="0.2">
      <c r="B151" s="11" t="str">
        <v>MASTER-6360</v>
      </c>
      <c r="C151" s="12" t="str" cm="1">
        <f t="array" ref="C151">_xlfn.TEXTJOIN(CHAR(10),TRUE,_xlfn._xlws.SORT(IF((--($B151=Flowdown_CIC[[URS]:[URS]]))*(--(C$14=Flowdown_CIC[[Source.Name]:[Source.Name]])),Flowdown_CIC[[SyRS]:[SyRS]],"")))</f>
        <v>MASTER-17676
MASTER-17679
MASTER-18684</v>
      </c>
      <c r="D151" s="12" t="str" cm="1">
        <f t="array" ref="D151">_xlfn.TEXTJOIN(CHAR(10),TRUE,_xlfn._xlws.SORT(IF((--($B151=Flowdown_CIC[[URS]:[URS]]))*(--(D$14=Flowdown_CIC[[Source.Name]:[Source.Name]])),Flowdown_CIC[[SyRS]:[SyRS]],"")))</f>
        <v>MASTER-17676
MASTER-17679
MASTER-18684</v>
      </c>
      <c r="E151" s="12" t="str" cm="1">
        <f t="array" ref="E151">_xlfn.TEXTJOIN(CHAR(10),TRUE,_xlfn._xlws.SORT(IF((--($B151=Flowdown_CIC[[URS]:[URS]]))*(--(E$14=Flowdown_CIC[[Source.Name]:[Source.Name]])),Flowdown_CIC[[SyRS]:[SyRS]],"")))</f>
        <v>MASTER-17676
MASTER-17679
MASTER-18684</v>
      </c>
      <c r="F151" s="12" t="str" cm="1">
        <f t="array" ref="F151">_xlfn.TEXTJOIN(CHAR(10),TRUE,_xlfn._xlws.SORT(IF((--($B151=Flowdown_CIC[[URS]:[URS]]))*(--(F$14=Flowdown_CIC[[Source.Name]:[Source.Name]])),Flowdown_CIC[[SyRS]:[SyRS]],"")))</f>
        <v>MASTER-17676
MASTER-17679
MASTER-18684</v>
      </c>
      <c r="G151" s="12" t="str" cm="1">
        <f t="array" ref="G151">_xlfn.TEXTJOIN(CHAR(10),TRUE,_xlfn._xlws.SORT(IF((--($B151=Flowdown_CIC[[URS]:[URS]]))*(--(G$14=Flowdown_CIC[[Source.Name]:[Source.Name]])),Flowdown_CIC[[SyRS]:[SyRS]],"")))</f>
        <v>MASTER-17676
MASTER-17679
MASTER-18684</v>
      </c>
      <c r="H151" s="12" t="str" cm="1">
        <f t="array" ref="H151">_xlfn.TEXTJOIN(CHAR(10),TRUE,_xlfn._xlws.SORT(IF((--($B151=Flowdown_CIC[[URS]:[URS]]))*(--(H$14=Flowdown_CIC[[Source.Name]:[Source.Name]])),Flowdown_CIC[[SyRS]:[SyRS]],"")))</f>
        <v>MASTER-21791
MASTER-21792
MASTER-21793
MASTER-21794
MASTER-21795</v>
      </c>
      <c r="I151" s="12" t="str" cm="1">
        <f t="array" ref="I151">_xlfn.TEXTJOIN(CHAR(10),TRUE,_xlfn._xlws.SORT(IF((--($B151=Flowdown_CIC[[URS]:[URS]]))*(--(I$14=Flowdown_CIC[[Source.Name]:[Source.Name]])),Flowdown_CIC[[SyRS]:[SyRS]],"")))</f>
        <v/>
      </c>
      <c r="J151" s="12" t="str" cm="1">
        <f t="array" ref="J151">_xlfn.TEXTJOIN(CHAR(10),TRUE,_xlfn._xlws.SORT(IF((--($B151=Flowdown_CIC[[URS]:[URS]]))*(--(J$14=Flowdown_CIC[[Source.Name]:[Source.Name]])),Flowdown_CIC[[SyRS]:[SyRS]],"")))</f>
        <v/>
      </c>
      <c r="K151" s="12" t="str" cm="1">
        <f t="array" ref="K151">_xlfn.TEXTJOIN(CHAR(10),TRUE,_xlfn._xlws.SORT(IF((--($B151=Flowdown_CIC[[URS]:[URS]]))*(--(K$14=Flowdown_CIC[[Source.Name]:[Source.Name]])),Flowdown_CIC[[SyRS]:[SyRS]],"")))</f>
        <v/>
      </c>
      <c r="L151" s="16" t="b" cm="1">
        <f t="array" ref="L151">OR(LEN(C151:K151)&gt;0)</f>
        <v>1</v>
      </c>
    </row>
    <row r="152" spans="2:12" ht="27" x14ac:dyDescent="0.2">
      <c r="B152" s="11" t="str">
        <v>MASTER-6362</v>
      </c>
      <c r="C152" s="12" t="str" cm="1">
        <f t="array" ref="C152">_xlfn.TEXTJOIN(CHAR(10),TRUE,_xlfn._xlws.SORT(IF((--($B152=Flowdown_CIC[[URS]:[URS]]))*(--(C$14=Flowdown_CIC[[Source.Name]:[Source.Name]])),Flowdown_CIC[[SyRS]:[SyRS]],"")))</f>
        <v>MASTER-19181
MASTER-19249</v>
      </c>
      <c r="D152" s="12" t="str" cm="1">
        <f t="array" ref="D152">_xlfn.TEXTJOIN(CHAR(10),TRUE,_xlfn._xlws.SORT(IF((--($B152=Flowdown_CIC[[URS]:[URS]]))*(--(D$14=Flowdown_CIC[[Source.Name]:[Source.Name]])),Flowdown_CIC[[SyRS]:[SyRS]],"")))</f>
        <v>MASTER-19181
MASTER-19249</v>
      </c>
      <c r="E152" s="12" t="str" cm="1">
        <f t="array" ref="E152">_xlfn.TEXTJOIN(CHAR(10),TRUE,_xlfn._xlws.SORT(IF((--($B152=Flowdown_CIC[[URS]:[URS]]))*(--(E$14=Flowdown_CIC[[Source.Name]:[Source.Name]])),Flowdown_CIC[[SyRS]:[SyRS]],"")))</f>
        <v>MASTER-19181
MASTER-19249</v>
      </c>
      <c r="F152" s="12" t="str" cm="1">
        <f t="array" ref="F152">_xlfn.TEXTJOIN(CHAR(10),TRUE,_xlfn._xlws.SORT(IF((--($B152=Flowdown_CIC[[URS]:[URS]]))*(--(F$14=Flowdown_CIC[[Source.Name]:[Source.Name]])),Flowdown_CIC[[SyRS]:[SyRS]],"")))</f>
        <v>MASTER-19181
MASTER-19249</v>
      </c>
      <c r="G152" s="12" t="str" cm="1">
        <f t="array" ref="G152">_xlfn.TEXTJOIN(CHAR(10),TRUE,_xlfn._xlws.SORT(IF((--($B152=Flowdown_CIC[[URS]:[URS]]))*(--(G$14=Flowdown_CIC[[Source.Name]:[Source.Name]])),Flowdown_CIC[[SyRS]:[SyRS]],"")))</f>
        <v>MASTER-19181
MASTER-19249</v>
      </c>
      <c r="H152" s="12" t="str" cm="1">
        <f t="array" ref="H152">_xlfn.TEXTJOIN(CHAR(10),TRUE,_xlfn._xlws.SORT(IF((--($B152=Flowdown_CIC[[URS]:[URS]]))*(--(H$14=Flowdown_CIC[[Source.Name]:[Source.Name]])),Flowdown_CIC[[SyRS]:[SyRS]],"")))</f>
        <v>MASTER-22580
MASTER-22581</v>
      </c>
      <c r="I152" s="12" t="str" cm="1">
        <f t="array" ref="I152">_xlfn.TEXTJOIN(CHAR(10),TRUE,_xlfn._xlws.SORT(IF((--($B152=Flowdown_CIC[[URS]:[URS]]))*(--(I$14=Flowdown_CIC[[Source.Name]:[Source.Name]])),Flowdown_CIC[[SyRS]:[SyRS]],"")))</f>
        <v>MASTER-20027
UTICA-210</v>
      </c>
      <c r="J152" s="12" t="str" cm="1">
        <f t="array" ref="J152">_xlfn.TEXTJOIN(CHAR(10),TRUE,_xlfn._xlws.SORT(IF((--($B152=Flowdown_CIC[[URS]:[URS]]))*(--(J$14=Flowdown_CIC[[Source.Name]:[Source.Name]])),Flowdown_CIC[[SyRS]:[SyRS]],"")))</f>
        <v>MASTER-20027</v>
      </c>
      <c r="K152" s="12" t="str" cm="1">
        <f t="array" ref="K152">_xlfn.TEXTJOIN(CHAR(10),TRUE,_xlfn._xlws.SORT(IF((--($B152=Flowdown_CIC[[URS]:[URS]]))*(--(K$14=Flowdown_CIC[[Source.Name]:[Source.Name]])),Flowdown_CIC[[SyRS]:[SyRS]],"")))</f>
        <v/>
      </c>
      <c r="L152" s="16" t="b" cm="1">
        <f t="array" ref="L152">OR(LEN(C152:K152)&gt;0)</f>
        <v>1</v>
      </c>
    </row>
    <row r="153" spans="2:12" ht="27" x14ac:dyDescent="0.2">
      <c r="B153" s="11" t="str">
        <v>MASTER-6363</v>
      </c>
      <c r="C153" s="12" t="str" cm="1">
        <f t="array" ref="C153">_xlfn.TEXTJOIN(CHAR(10),TRUE,_xlfn._xlws.SORT(IF((--($B153=Flowdown_CIC[[URS]:[URS]]))*(--(C$14=Flowdown_CIC[[Source.Name]:[Source.Name]])),Flowdown_CIC[[SyRS]:[SyRS]],"")))</f>
        <v>MASTER-19181</v>
      </c>
      <c r="D153" s="12" t="str" cm="1">
        <f t="array" ref="D153">_xlfn.TEXTJOIN(CHAR(10),TRUE,_xlfn._xlws.SORT(IF((--($B153=Flowdown_CIC[[URS]:[URS]]))*(--(D$14=Flowdown_CIC[[Source.Name]:[Source.Name]])),Flowdown_CIC[[SyRS]:[SyRS]],"")))</f>
        <v>MASTER-19181</v>
      </c>
      <c r="E153" s="12" t="str" cm="1">
        <f t="array" ref="E153">_xlfn.TEXTJOIN(CHAR(10),TRUE,_xlfn._xlws.SORT(IF((--($B153=Flowdown_CIC[[URS]:[URS]]))*(--(E$14=Flowdown_CIC[[Source.Name]:[Source.Name]])),Flowdown_CIC[[SyRS]:[SyRS]],"")))</f>
        <v>MASTER-19181</v>
      </c>
      <c r="F153" s="12" t="str" cm="1">
        <f t="array" ref="F153">_xlfn.TEXTJOIN(CHAR(10),TRUE,_xlfn._xlws.SORT(IF((--($B153=Flowdown_CIC[[URS]:[URS]]))*(--(F$14=Flowdown_CIC[[Source.Name]:[Source.Name]])),Flowdown_CIC[[SyRS]:[SyRS]],"")))</f>
        <v>MASTER-19181</v>
      </c>
      <c r="G153" s="12" t="str" cm="1">
        <f t="array" ref="G153">_xlfn.TEXTJOIN(CHAR(10),TRUE,_xlfn._xlws.SORT(IF((--($B153=Flowdown_CIC[[URS]:[URS]]))*(--(G$14=Flowdown_CIC[[Source.Name]:[Source.Name]])),Flowdown_CIC[[SyRS]:[SyRS]],"")))</f>
        <v>MASTER-19181</v>
      </c>
      <c r="H153" s="12" t="str" cm="1">
        <f t="array" ref="H153">_xlfn.TEXTJOIN(CHAR(10),TRUE,_xlfn._xlws.SORT(IF((--($B153=Flowdown_CIC[[URS]:[URS]]))*(--(H$14=Flowdown_CIC[[Source.Name]:[Source.Name]])),Flowdown_CIC[[SyRS]:[SyRS]],"")))</f>
        <v/>
      </c>
      <c r="I153" s="12" t="str" cm="1">
        <f t="array" ref="I153">_xlfn.TEXTJOIN(CHAR(10),TRUE,_xlfn._xlws.SORT(IF((--($B153=Flowdown_CIC[[URS]:[URS]]))*(--(I$14=Flowdown_CIC[[Source.Name]:[Source.Name]])),Flowdown_CIC[[SyRS]:[SyRS]],"")))</f>
        <v>MASTER-20027
UTICA-210</v>
      </c>
      <c r="J153" s="12" t="str" cm="1">
        <f t="array" ref="J153">_xlfn.TEXTJOIN(CHAR(10),TRUE,_xlfn._xlws.SORT(IF((--($B153=Flowdown_CIC[[URS]:[URS]]))*(--(J$14=Flowdown_CIC[[Source.Name]:[Source.Name]])),Flowdown_CIC[[SyRS]:[SyRS]],"")))</f>
        <v>MASTER-20027</v>
      </c>
      <c r="K153" s="12" t="str" cm="1">
        <f t="array" ref="K153">_xlfn.TEXTJOIN(CHAR(10),TRUE,_xlfn._xlws.SORT(IF((--($B153=Flowdown_CIC[[URS]:[URS]]))*(--(K$14=Flowdown_CIC[[Source.Name]:[Source.Name]])),Flowdown_CIC[[SyRS]:[SyRS]],"")))</f>
        <v/>
      </c>
      <c r="L153" s="16" t="b" cm="1">
        <f t="array" ref="L153">OR(LEN(C153:K153)&gt;0)</f>
        <v>1</v>
      </c>
    </row>
    <row r="154" spans="2:12" ht="54" x14ac:dyDescent="0.2">
      <c r="B154" s="11" t="str">
        <v>MASTER-6365</v>
      </c>
      <c r="C154" s="12" t="str" cm="1">
        <f t="array" ref="C154">_xlfn.TEXTJOIN(CHAR(10),TRUE,_xlfn._xlws.SORT(IF((--($B154=Flowdown_CIC[[URS]:[URS]]))*(--(C$14=Flowdown_CIC[[Source.Name]:[Source.Name]])),Flowdown_CIC[[SyRS]:[SyRS]],"")))</f>
        <v>MASTER-19216
MASTER-19217
MASTER-42144
MASTER-42145</v>
      </c>
      <c r="D154" s="12" t="str" cm="1">
        <f t="array" ref="D154">_xlfn.TEXTJOIN(CHAR(10),TRUE,_xlfn._xlws.SORT(IF((--($B154=Flowdown_CIC[[URS]:[URS]]))*(--(D$14=Flowdown_CIC[[Source.Name]:[Source.Name]])),Flowdown_CIC[[SyRS]:[SyRS]],"")))</f>
        <v>MASTER-19217
MASTER-42144
MASTER-42145</v>
      </c>
      <c r="E154" s="12" t="str" cm="1">
        <f t="array" ref="E154">_xlfn.TEXTJOIN(CHAR(10),TRUE,_xlfn._xlws.SORT(IF((--($B154=Flowdown_CIC[[URS]:[URS]]))*(--(E$14=Flowdown_CIC[[Source.Name]:[Source.Name]])),Flowdown_CIC[[SyRS]:[SyRS]],"")))</f>
        <v>MASTER-19217
MASTER-42144
MASTER-42145</v>
      </c>
      <c r="F154" s="12" t="str" cm="1">
        <f t="array" ref="F154">_xlfn.TEXTJOIN(CHAR(10),TRUE,_xlfn._xlws.SORT(IF((--($B154=Flowdown_CIC[[URS]:[URS]]))*(--(F$14=Flowdown_CIC[[Source.Name]:[Source.Name]])),Flowdown_CIC[[SyRS]:[SyRS]],"")))</f>
        <v>MASTER-19217
MASTER-42144
MASTER-42145</v>
      </c>
      <c r="G154" s="12" t="str" cm="1">
        <f t="array" ref="G154">_xlfn.TEXTJOIN(CHAR(10),TRUE,_xlfn._xlws.SORT(IF((--($B154=Flowdown_CIC[[URS]:[URS]]))*(--(G$14=Flowdown_CIC[[Source.Name]:[Source.Name]])),Flowdown_CIC[[SyRS]:[SyRS]],"")))</f>
        <v>MASTER-19217
MASTER-42144
MASTER-42145</v>
      </c>
      <c r="H154" s="12" t="str" cm="1">
        <f t="array" ref="H154">_xlfn.TEXTJOIN(CHAR(10),TRUE,_xlfn._xlws.SORT(IF((--($B154=Flowdown_CIC[[URS]:[URS]]))*(--(H$14=Flowdown_CIC[[Source.Name]:[Source.Name]])),Flowdown_CIC[[SyRS]:[SyRS]],"")))</f>
        <v>MASTER-22275
MASTER-22276</v>
      </c>
      <c r="I154" s="12" t="str" cm="1">
        <f t="array" ref="I154">_xlfn.TEXTJOIN(CHAR(10),TRUE,_xlfn._xlws.SORT(IF((--($B154=Flowdown_CIC[[URS]:[URS]]))*(--(I$14=Flowdown_CIC[[Source.Name]:[Source.Name]])),Flowdown_CIC[[SyRS]:[SyRS]],"")))</f>
        <v/>
      </c>
      <c r="J154" s="12" t="str" cm="1">
        <f t="array" ref="J154">_xlfn.TEXTJOIN(CHAR(10),TRUE,_xlfn._xlws.SORT(IF((--($B154=Flowdown_CIC[[URS]:[URS]]))*(--(J$14=Flowdown_CIC[[Source.Name]:[Source.Name]])),Flowdown_CIC[[SyRS]:[SyRS]],"")))</f>
        <v/>
      </c>
      <c r="K154" s="12" t="str" cm="1">
        <f t="array" ref="K154">_xlfn.TEXTJOIN(CHAR(10),TRUE,_xlfn._xlws.SORT(IF((--($B154=Flowdown_CIC[[URS]:[URS]]))*(--(K$14=Flowdown_CIC[[Source.Name]:[Source.Name]])),Flowdown_CIC[[SyRS]:[SyRS]],"")))</f>
        <v/>
      </c>
      <c r="L154" s="16" t="b" cm="1">
        <f t="array" ref="L154">OR(LEN(C154:K154)&gt;0)</f>
        <v>1</v>
      </c>
    </row>
    <row r="155" spans="2:12" ht="409.5" x14ac:dyDescent="0.2">
      <c r="B155" s="11" t="str">
        <v>MASTER-6370</v>
      </c>
      <c r="C155" s="12" t="str" cm="1">
        <f t="array" ref="C155">_xlfn.TEXTJOIN(CHAR(10),TRUE,_xlfn._xlws.SORT(IF((--($B155=Flowdown_CIC[[URS]:[URS]]))*(--(C$14=Flowdown_CIC[[Source.Name]:[Source.Name]])),Flowdown_CIC[[SyRS]:[SyRS]],"")))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55" s="12" t="str" cm="1">
        <f t="array" ref="D155">_xlfn.TEXTJOIN(CHAR(10),TRUE,_xlfn._xlws.SORT(IF((--($B155=Flowdown_CIC[[URS]:[URS]]))*(--(D$14=Flowdown_CIC[[Source.Name]:[Source.Name]])),Flowdown_CIC[[SyRS]:[SyRS]],"")))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55" s="12" t="str" cm="1">
        <f t="array" ref="E155">_xlfn.TEXTJOIN(CHAR(10),TRUE,_xlfn._xlws.SORT(IF((--($B155=Flowdown_CIC[[URS]:[URS]]))*(--(E$14=Flowdown_CIC[[Source.Name]:[Source.Name]])),Flowdown_CIC[[SyRS]:[SyRS]],"")))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55" s="12" t="str" cm="1">
        <f t="array" ref="F155">_xlfn.TEXTJOIN(CHAR(10),TRUE,_xlfn._xlws.SORT(IF((--($B155=Flowdown_CIC[[URS]:[URS]]))*(--(F$14=Flowdown_CIC[[Source.Name]:[Source.Name]])),Flowdown_CIC[[SyRS]:[SyRS]],"")))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55" s="12" t="str" cm="1">
        <f t="array" ref="G155">_xlfn.TEXTJOIN(CHAR(10),TRUE,_xlfn._xlws.SORT(IF((--($B155=Flowdown_CIC[[URS]:[URS]]))*(--(G$14=Flowdown_CIC[[Source.Name]:[Source.Name]])),Flowdown_CIC[[SyRS]:[SyRS]],"")))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55" s="12" t="str" cm="1">
        <f t="array" ref="H155">_xlfn.TEXTJOIN(CHAR(10),TRUE,_xlfn._xlws.SORT(IF((--($B155=Flowdown_CIC[[URS]:[URS]]))*(--(H$14=Flowdown_CIC[[Source.Name]:[Source.Name]])),Flowdown_CIC[[SyRS]:[SyRS]],"")))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55" s="12" t="str" cm="1">
        <f t="array" ref="I155">_xlfn.TEXTJOIN(CHAR(10),TRUE,_xlfn._xlws.SORT(IF((--($B155=Flowdown_CIC[[URS]:[URS]]))*(--(I$14=Flowdown_CIC[[Source.Name]:[Source.Name]])),Flowdown_CIC[[SyRS]:[SyRS]],"")))</f>
        <v/>
      </c>
      <c r="J155" s="12" t="str" cm="1">
        <f t="array" ref="J155">_xlfn.TEXTJOIN(CHAR(10),TRUE,_xlfn._xlws.SORT(IF((--($B155=Flowdown_CIC[[URS]:[URS]]))*(--(J$14=Flowdown_CIC[[Source.Name]:[Source.Name]])),Flowdown_CIC[[SyRS]:[SyRS]],"")))</f>
        <v/>
      </c>
      <c r="K155" s="12" t="str" cm="1">
        <f t="array" ref="K155">_xlfn.TEXTJOIN(CHAR(10),TRUE,_xlfn._xlws.SORT(IF((--($B155=Flowdown_CIC[[URS]:[URS]]))*(--(K$14=Flowdown_CIC[[Source.Name]:[Source.Name]])),Flowdown_CIC[[SyRS]:[SyRS]],"")))</f>
        <v/>
      </c>
      <c r="L155" s="16" t="b" cm="1">
        <f t="array" ref="L155">OR(LEN(C155:K155)&gt;0)</f>
        <v>1</v>
      </c>
    </row>
    <row r="156" spans="2:12" ht="54" x14ac:dyDescent="0.2">
      <c r="B156" s="11" t="str">
        <v>MASTER-6376</v>
      </c>
      <c r="C156" s="12" t="str" cm="1">
        <f t="array" ref="C156">_xlfn.TEXTJOIN(CHAR(10),TRUE,_xlfn._xlws.SORT(IF((--($B156=Flowdown_CIC[[URS]:[URS]]))*(--(C$14=Flowdown_CIC[[Source.Name]:[Source.Name]])),Flowdown_CIC[[SyRS]:[SyRS]],"")))</f>
        <v>MASTER-60679
MASTER-60680
MASTER-60681</v>
      </c>
      <c r="D156" s="12" t="str" cm="1">
        <f t="array" ref="D156">_xlfn.TEXTJOIN(CHAR(10),TRUE,_xlfn._xlws.SORT(IF((--($B156=Flowdown_CIC[[URS]:[URS]]))*(--(D$14=Flowdown_CIC[[Source.Name]:[Source.Name]])),Flowdown_CIC[[SyRS]:[SyRS]],"")))</f>
        <v>MASTER-60675
MASTER-60679
MASTER-60680
MASTER-60681</v>
      </c>
      <c r="E156" s="12" t="str" cm="1">
        <f t="array" ref="E156">_xlfn.TEXTJOIN(CHAR(10),TRUE,_xlfn._xlws.SORT(IF((--($B156=Flowdown_CIC[[URS]:[URS]]))*(--(E$14=Flowdown_CIC[[Source.Name]:[Source.Name]])),Flowdown_CIC[[SyRS]:[SyRS]],"")))</f>
        <v>MASTER-60675
MASTER-60679
MASTER-60685</v>
      </c>
      <c r="F156" s="12" t="str" cm="1">
        <f t="array" ref="F156">_xlfn.TEXTJOIN(CHAR(10),TRUE,_xlfn._xlws.SORT(IF((--($B156=Flowdown_CIC[[URS]:[URS]]))*(--(F$14=Flowdown_CIC[[Source.Name]:[Source.Name]])),Flowdown_CIC[[SyRS]:[SyRS]],"")))</f>
        <v>MASTER-60675
MASTER-60679
MASTER-60681</v>
      </c>
      <c r="G156" s="12" t="str" cm="1">
        <f t="array" ref="G156">_xlfn.TEXTJOIN(CHAR(10),TRUE,_xlfn._xlws.SORT(IF((--($B156=Flowdown_CIC[[URS]:[URS]]))*(--(G$14=Flowdown_CIC[[Source.Name]:[Source.Name]])),Flowdown_CIC[[SyRS]:[SyRS]],"")))</f>
        <v>MASTER-60675
MASTER-60679
MASTER-60680
MASTER-60681</v>
      </c>
      <c r="H156" s="12" t="str" cm="1">
        <f t="array" ref="H156">_xlfn.TEXTJOIN(CHAR(10),TRUE,_xlfn._xlws.SORT(IF((--($B156=Flowdown_CIC[[URS]:[URS]]))*(--(H$14=Flowdown_CIC[[Source.Name]:[Source.Name]])),Flowdown_CIC[[SyRS]:[SyRS]],"")))</f>
        <v>MASTER-60779</v>
      </c>
      <c r="I156" s="12" t="str" cm="1">
        <f t="array" ref="I156">_xlfn.TEXTJOIN(CHAR(10),TRUE,_xlfn._xlws.SORT(IF((--($B156=Flowdown_CIC[[URS]:[URS]]))*(--(I$14=Flowdown_CIC[[Source.Name]:[Source.Name]])),Flowdown_CIC[[SyRS]:[SyRS]],"")))</f>
        <v/>
      </c>
      <c r="J156" s="12" t="str" cm="1">
        <f t="array" ref="J156">_xlfn.TEXTJOIN(CHAR(10),TRUE,_xlfn._xlws.SORT(IF((--($B156=Flowdown_CIC[[URS]:[URS]]))*(--(J$14=Flowdown_CIC[[Source.Name]:[Source.Name]])),Flowdown_CIC[[SyRS]:[SyRS]],"")))</f>
        <v/>
      </c>
      <c r="K156" s="12" t="str" cm="1">
        <f t="array" ref="K156">_xlfn.TEXTJOIN(CHAR(10),TRUE,_xlfn._xlws.SORT(IF((--($B156=Flowdown_CIC[[URS]:[URS]]))*(--(K$14=Flowdown_CIC[[Source.Name]:[Source.Name]])),Flowdown_CIC[[SyRS]:[SyRS]],"")))</f>
        <v/>
      </c>
      <c r="L156" s="16" t="b" cm="1">
        <f t="array" ref="L156">OR(LEN(C156:K156)&gt;0)</f>
        <v>1</v>
      </c>
    </row>
    <row r="157" spans="2:12" ht="13.5" x14ac:dyDescent="0.2">
      <c r="B157" s="11" t="str">
        <v>MASTER-6377</v>
      </c>
      <c r="C157" s="12" t="str" cm="1">
        <f t="array" ref="C157">_xlfn.TEXTJOIN(CHAR(10),TRUE,_xlfn._xlws.SORT(IF((--($B157=Flowdown_CIC[[URS]:[URS]]))*(--(C$14=Flowdown_CIC[[Source.Name]:[Source.Name]])),Flowdown_CIC[[SyRS]:[SyRS]],"")))</f>
        <v/>
      </c>
      <c r="D157" s="12" t="str" cm="1">
        <f t="array" ref="D157">_xlfn.TEXTJOIN(CHAR(10),TRUE,_xlfn._xlws.SORT(IF((--($B157=Flowdown_CIC[[URS]:[URS]]))*(--(D$14=Flowdown_CIC[[Source.Name]:[Source.Name]])),Flowdown_CIC[[SyRS]:[SyRS]],"")))</f>
        <v/>
      </c>
      <c r="E157" s="12" t="str" cm="1">
        <f t="array" ref="E157">_xlfn.TEXTJOIN(CHAR(10),TRUE,_xlfn._xlws.SORT(IF((--($B157=Flowdown_CIC[[URS]:[URS]]))*(--(E$14=Flowdown_CIC[[Source.Name]:[Source.Name]])),Flowdown_CIC[[SyRS]:[SyRS]],"")))</f>
        <v/>
      </c>
      <c r="F157" s="12" t="str" cm="1">
        <f t="array" ref="F157">_xlfn.TEXTJOIN(CHAR(10),TRUE,_xlfn._xlws.SORT(IF((--($B157=Flowdown_CIC[[URS]:[URS]]))*(--(F$14=Flowdown_CIC[[Source.Name]:[Source.Name]])),Flowdown_CIC[[SyRS]:[SyRS]],"")))</f>
        <v/>
      </c>
      <c r="G157" s="12" t="str" cm="1">
        <f t="array" ref="G157">_xlfn.TEXTJOIN(CHAR(10),TRUE,_xlfn._xlws.SORT(IF((--($B157=Flowdown_CIC[[URS]:[URS]]))*(--(G$14=Flowdown_CIC[[Source.Name]:[Source.Name]])),Flowdown_CIC[[SyRS]:[SyRS]],"")))</f>
        <v/>
      </c>
      <c r="H157" s="12" t="str" cm="1">
        <f t="array" ref="H157">_xlfn.TEXTJOIN(CHAR(10),TRUE,_xlfn._xlws.SORT(IF((--($B157=Flowdown_CIC[[URS]:[URS]]))*(--(H$14=Flowdown_CIC[[Source.Name]:[Source.Name]])),Flowdown_CIC[[SyRS]:[SyRS]],"")))</f>
        <v/>
      </c>
      <c r="I157" s="12" t="str" cm="1">
        <f t="array" ref="I157">_xlfn.TEXTJOIN(CHAR(10),TRUE,_xlfn._xlws.SORT(IF((--($B157=Flowdown_CIC[[URS]:[URS]]))*(--(I$14=Flowdown_CIC[[Source.Name]:[Source.Name]])),Flowdown_CIC[[SyRS]:[SyRS]],"")))</f>
        <v/>
      </c>
      <c r="J157" s="12" t="str" cm="1">
        <f t="array" ref="J157">_xlfn.TEXTJOIN(CHAR(10),TRUE,_xlfn._xlws.SORT(IF((--($B157=Flowdown_CIC[[URS]:[URS]]))*(--(J$14=Flowdown_CIC[[Source.Name]:[Source.Name]])),Flowdown_CIC[[SyRS]:[SyRS]],"")))</f>
        <v>UTICA-2466</v>
      </c>
      <c r="K157" s="12" t="str" cm="1">
        <f t="array" ref="K157">_xlfn.TEXTJOIN(CHAR(10),TRUE,_xlfn._xlws.SORT(IF((--($B157=Flowdown_CIC[[URS]:[URS]]))*(--(K$14=Flowdown_CIC[[Source.Name]:[Source.Name]])),Flowdown_CIC[[SyRS]:[SyRS]],"")))</f>
        <v/>
      </c>
      <c r="L157" s="16" t="b" cm="1">
        <f t="array" ref="L157">OR(LEN(C157:K157)&gt;0)</f>
        <v>1</v>
      </c>
    </row>
    <row r="158" spans="2:12" ht="256.5" x14ac:dyDescent="0.2">
      <c r="B158" s="11" t="str">
        <v>MASTER-6381</v>
      </c>
      <c r="C158" s="12" t="str" cm="1">
        <f t="array" ref="C158">_xlfn.TEXTJOIN(CHAR(10),TRUE,_xlfn._xlws.SORT(IF((--($B158=Flowdown_CIC[[URS]:[URS]]))*(--(C$14=Flowdown_CIC[[Source.Name]:[Source.Name]])),Flowdown_CIC[[SyRS]:[SyRS]],"")))</f>
        <v>MASTER-18254
MASTER-18255
MASTER-18259
MASTER-18262
MASTER-18264
MASTER-18267</v>
      </c>
      <c r="D158" s="12" t="str" cm="1">
        <f t="array" ref="D158">_xlfn.TEXTJOIN(CHAR(10),TRUE,_xlfn._xlws.SORT(IF((--($B158=Flowdown_CIC[[URS]:[URS]]))*(--(D$14=Flowdown_CIC[[Source.Name]:[Source.Name]])),Flowdown_CIC[[SyRS]:[SyRS]],"")))</f>
        <v>MASTER-18254
MASTER-18255
MASTER-18259
MASTER-18262
MASTER-18264
MASTER-18267</v>
      </c>
      <c r="E158" s="12" t="str" cm="1">
        <f t="array" ref="E158">_xlfn.TEXTJOIN(CHAR(10),TRUE,_xlfn._xlws.SORT(IF((--($B158=Flowdown_CIC[[URS]:[URS]]))*(--(E$14=Flowdown_CIC[[Source.Name]:[Source.Name]])),Flowdown_CIC[[SyRS]:[SyRS]],"")))</f>
        <v>MASTER-18254
MASTER-18255
MASTER-18259
MASTER-18262
MASTER-18264
MASTER-18267</v>
      </c>
      <c r="F158" s="12" t="str" cm="1">
        <f t="array" ref="F158">_xlfn.TEXTJOIN(CHAR(10),TRUE,_xlfn._xlws.SORT(IF((--($B158=Flowdown_CIC[[URS]:[URS]]))*(--(F$14=Flowdown_CIC[[Source.Name]:[Source.Name]])),Flowdown_CIC[[SyRS]:[SyRS]],"")))</f>
        <v>MASTER-18254
MASTER-18255
MASTER-18259
MASTER-18262
MASTER-18264
MASTER-18267</v>
      </c>
      <c r="G158" s="12" t="str" cm="1">
        <f t="array" ref="G158">_xlfn.TEXTJOIN(CHAR(10),TRUE,_xlfn._xlws.SORT(IF((--($B158=Flowdown_CIC[[URS]:[URS]]))*(--(G$14=Flowdown_CIC[[Source.Name]:[Source.Name]])),Flowdown_CIC[[SyRS]:[SyRS]],"")))</f>
        <v>MASTER-18254
MASTER-18255
MASTER-18259
MASTER-18262
MASTER-18264
MASTER-18267</v>
      </c>
      <c r="H158" s="12" t="str" cm="1">
        <f t="array" ref="H158">_xlfn.TEXTJOIN(CHAR(10),TRUE,_xlfn._xlws.SORT(IF((--($B158=Flowdown_CIC[[URS]:[URS]]))*(--(H$14=Flowdown_CIC[[Source.Name]:[Source.Name]])),Flowdown_CIC[[SyRS]:[SyRS]],"")))</f>
        <v/>
      </c>
      <c r="I158" s="12" t="str" cm="1">
        <f t="array" ref="I158">_xlfn.TEXTJOIN(CHAR(10),TRUE,_xlfn._xlws.SORT(IF((--($B158=Flowdown_CIC[[URS]:[URS]]))*(--(I$14=Flowdown_CIC[[Source.Name]:[Source.Name]])),Flowdown_CIC[[SyRS]:[SyRS]],"")))</f>
        <v/>
      </c>
      <c r="J158" s="12" t="str" cm="1">
        <f t="array" ref="J158">_xlfn.TEXTJOIN(CHAR(10),TRUE,_xlfn._xlws.SORT(IF((--($B158=Flowdown_CIC[[URS]:[URS]]))*(--(J$14=Flowdown_CIC[[Source.Name]:[Source.Name]])),Flowdown_CIC[[SyRS]:[SyRS]],"")))</f>
        <v/>
      </c>
      <c r="K158" s="12" t="str" cm="1">
        <f t="array" ref="K158">_xlfn.TEXTJOIN(CHAR(10),TRUE,_xlfn._xlws.SORT(IF((--($B158=Flowdown_CIC[[URS]:[URS]]))*(--(K$14=Flowdown_CIC[[Source.Name]:[Source.Name]])),Flowdown_CIC[[SyRS]:[SyRS]],"")))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58" s="16" t="b" cm="1">
        <f t="array" ref="L158">OR(LEN(C158:K158)&gt;0)</f>
        <v>1</v>
      </c>
    </row>
    <row r="159" spans="2:12" ht="81" x14ac:dyDescent="0.2">
      <c r="B159" s="11" t="str">
        <v>MASTER-6382</v>
      </c>
      <c r="C159" s="12" t="str" cm="1">
        <f t="array" ref="C159">_xlfn.TEXTJOIN(CHAR(10),TRUE,_xlfn._xlws.SORT(IF((--($B159=Flowdown_CIC[[URS]:[URS]]))*(--(C$14=Flowdown_CIC[[Source.Name]:[Source.Name]])),Flowdown_CIC[[SyRS]:[SyRS]],"")))</f>
        <v>MASTER-18254
MASTER-18255
MASTER-18262
MASTER-18264
MASTER-18283
MASTER-18284</v>
      </c>
      <c r="D159" s="12" t="str" cm="1">
        <f t="array" ref="D159">_xlfn.TEXTJOIN(CHAR(10),TRUE,_xlfn._xlws.SORT(IF((--($B159=Flowdown_CIC[[URS]:[URS]]))*(--(D$14=Flowdown_CIC[[Source.Name]:[Source.Name]])),Flowdown_CIC[[SyRS]:[SyRS]],"")))</f>
        <v>MASTER-18254
MASTER-18255
MASTER-18262
MASTER-18264
MASTER-18283
MASTER-18284</v>
      </c>
      <c r="E159" s="12" t="str" cm="1">
        <f t="array" ref="E159">_xlfn.TEXTJOIN(CHAR(10),TRUE,_xlfn._xlws.SORT(IF((--($B159=Flowdown_CIC[[URS]:[URS]]))*(--(E$14=Flowdown_CIC[[Source.Name]:[Source.Name]])),Flowdown_CIC[[SyRS]:[SyRS]],"")))</f>
        <v>MASTER-18254
MASTER-18255
MASTER-18262
MASTER-18264
MASTER-18283
MASTER-18284</v>
      </c>
      <c r="F159" s="12" t="str" cm="1">
        <f t="array" ref="F159">_xlfn.TEXTJOIN(CHAR(10),TRUE,_xlfn._xlws.SORT(IF((--($B159=Flowdown_CIC[[URS]:[URS]]))*(--(F$14=Flowdown_CIC[[Source.Name]:[Source.Name]])),Flowdown_CIC[[SyRS]:[SyRS]],"")))</f>
        <v>MASTER-18254
MASTER-18255
MASTER-18262
MASTER-18264
MASTER-18283
MASTER-18284</v>
      </c>
      <c r="G159" s="12" t="str" cm="1">
        <f t="array" ref="G159">_xlfn.TEXTJOIN(CHAR(10),TRUE,_xlfn._xlws.SORT(IF((--($B159=Flowdown_CIC[[URS]:[URS]]))*(--(G$14=Flowdown_CIC[[Source.Name]:[Source.Name]])),Flowdown_CIC[[SyRS]:[SyRS]],"")))</f>
        <v>MASTER-18254
MASTER-18255
MASTER-18262
MASTER-18264
MASTER-18283
MASTER-18284</v>
      </c>
      <c r="H159" s="12" t="str" cm="1">
        <f t="array" ref="H159">_xlfn.TEXTJOIN(CHAR(10),TRUE,_xlfn._xlws.SORT(IF((--($B159=Flowdown_CIC[[URS]:[URS]]))*(--(H$14=Flowdown_CIC[[Source.Name]:[Source.Name]])),Flowdown_CIC[[SyRS]:[SyRS]],"")))</f>
        <v/>
      </c>
      <c r="I159" s="12" t="str" cm="1">
        <f t="array" ref="I159">_xlfn.TEXTJOIN(CHAR(10),TRUE,_xlfn._xlws.SORT(IF((--($B159=Flowdown_CIC[[URS]:[URS]]))*(--(I$14=Flowdown_CIC[[Source.Name]:[Source.Name]])),Flowdown_CIC[[SyRS]:[SyRS]],"")))</f>
        <v/>
      </c>
      <c r="J159" s="12" t="str" cm="1">
        <f t="array" ref="J159">_xlfn.TEXTJOIN(CHAR(10),TRUE,_xlfn._xlws.SORT(IF((--($B159=Flowdown_CIC[[URS]:[URS]]))*(--(J$14=Flowdown_CIC[[Source.Name]:[Source.Name]])),Flowdown_CIC[[SyRS]:[SyRS]],"")))</f>
        <v/>
      </c>
      <c r="K159" s="12" t="str" cm="1">
        <f t="array" ref="K159">_xlfn.TEXTJOIN(CHAR(10),TRUE,_xlfn._xlws.SORT(IF((--($B159=Flowdown_CIC[[URS]:[URS]]))*(--(K$14=Flowdown_CIC[[Source.Name]:[Source.Name]])),Flowdown_CIC[[SyRS]:[SyRS]],"")))</f>
        <v/>
      </c>
      <c r="L159" s="16" t="b" cm="1">
        <f t="array" ref="L159">OR(LEN(C159:K159)&gt;0)</f>
        <v>1</v>
      </c>
    </row>
    <row r="160" spans="2:12" ht="81" x14ac:dyDescent="0.2">
      <c r="B160" s="11" t="str">
        <v>MASTER-6383</v>
      </c>
      <c r="C160" s="12" t="str" cm="1">
        <f t="array" ref="C160">_xlfn.TEXTJOIN(CHAR(10),TRUE,_xlfn._xlws.SORT(IF((--($B160=Flowdown_CIC[[URS]:[URS]]))*(--(C$14=Flowdown_CIC[[Source.Name]:[Source.Name]])),Flowdown_CIC[[SyRS]:[SyRS]],"")))</f>
        <v>MASTER-18114
MASTER-18225
MASTER-18227
MASTER-18282
MASTER-18283
MASTER-18284</v>
      </c>
      <c r="D160" s="12" t="str" cm="1">
        <f t="array" ref="D160">_xlfn.TEXTJOIN(CHAR(10),TRUE,_xlfn._xlws.SORT(IF((--($B160=Flowdown_CIC[[URS]:[URS]]))*(--(D$14=Flowdown_CIC[[Source.Name]:[Source.Name]])),Flowdown_CIC[[SyRS]:[SyRS]],"")))</f>
        <v>MASTER-18114
MASTER-18225
MASTER-18227
MASTER-18282
MASTER-18283
MASTER-18284</v>
      </c>
      <c r="E160" s="12" t="str" cm="1">
        <f t="array" ref="E160">_xlfn.TEXTJOIN(CHAR(10),TRUE,_xlfn._xlws.SORT(IF((--($B160=Flowdown_CIC[[URS]:[URS]]))*(--(E$14=Flowdown_CIC[[Source.Name]:[Source.Name]])),Flowdown_CIC[[SyRS]:[SyRS]],"")))</f>
        <v>MASTER-18114
MASTER-18225
MASTER-18227
MASTER-18282
MASTER-18283
MASTER-18284</v>
      </c>
      <c r="F160" s="12" t="str" cm="1">
        <f t="array" ref="F160">_xlfn.TEXTJOIN(CHAR(10),TRUE,_xlfn._xlws.SORT(IF((--($B160=Flowdown_CIC[[URS]:[URS]]))*(--(F$14=Flowdown_CIC[[Source.Name]:[Source.Name]])),Flowdown_CIC[[SyRS]:[SyRS]],"")))</f>
        <v>MASTER-18114
MASTER-18225
MASTER-18227
MASTER-18282
MASTER-18283
MASTER-18284</v>
      </c>
      <c r="G160" s="12" t="str" cm="1">
        <f t="array" ref="G160">_xlfn.TEXTJOIN(CHAR(10),TRUE,_xlfn._xlws.SORT(IF((--($B160=Flowdown_CIC[[URS]:[URS]]))*(--(G$14=Flowdown_CIC[[Source.Name]:[Source.Name]])),Flowdown_CIC[[SyRS]:[SyRS]],"")))</f>
        <v>MASTER-18114
MASTER-18225
MASTER-18227
MASTER-18282
MASTER-18283
MASTER-18284</v>
      </c>
      <c r="H160" s="12" t="str" cm="1">
        <f t="array" ref="H160">_xlfn.TEXTJOIN(CHAR(10),TRUE,_xlfn._xlws.SORT(IF((--($B160=Flowdown_CIC[[URS]:[URS]]))*(--(H$14=Flowdown_CIC[[Source.Name]:[Source.Name]])),Flowdown_CIC[[SyRS]:[SyRS]],"")))</f>
        <v/>
      </c>
      <c r="I160" s="12" t="str" cm="1">
        <f t="array" ref="I160">_xlfn.TEXTJOIN(CHAR(10),TRUE,_xlfn._xlws.SORT(IF((--($B160=Flowdown_CIC[[URS]:[URS]]))*(--(I$14=Flowdown_CIC[[Source.Name]:[Source.Name]])),Flowdown_CIC[[SyRS]:[SyRS]],"")))</f>
        <v/>
      </c>
      <c r="J160" s="12" t="str" cm="1">
        <f t="array" ref="J160">_xlfn.TEXTJOIN(CHAR(10),TRUE,_xlfn._xlws.SORT(IF((--($B160=Flowdown_CIC[[URS]:[URS]]))*(--(J$14=Flowdown_CIC[[Source.Name]:[Source.Name]])),Flowdown_CIC[[SyRS]:[SyRS]],"")))</f>
        <v/>
      </c>
      <c r="K160" s="12" t="str" cm="1">
        <f t="array" ref="K160">_xlfn.TEXTJOIN(CHAR(10),TRUE,_xlfn._xlws.SORT(IF((--($B160=Flowdown_CIC[[URS]:[URS]]))*(--(K$14=Flowdown_CIC[[Source.Name]:[Source.Name]])),Flowdown_CIC[[SyRS]:[SyRS]],"")))</f>
        <v>MASTER-16552
MASTER-16553
MASTER-16561</v>
      </c>
      <c r="L160" s="16" t="b" cm="1">
        <f t="array" ref="L160">OR(LEN(C160:K160)&gt;0)</f>
        <v>1</v>
      </c>
    </row>
    <row r="161" spans="2:12" ht="13.5" x14ac:dyDescent="0.2">
      <c r="B161" s="11" t="str">
        <v>MASTER-6384</v>
      </c>
      <c r="C161" s="12" t="str" cm="1">
        <f t="array" ref="C161">_xlfn.TEXTJOIN(CHAR(10),TRUE,_xlfn._xlws.SORT(IF((--($B161=Flowdown_CIC[[URS]:[URS]]))*(--(C$14=Flowdown_CIC[[Source.Name]:[Source.Name]])),Flowdown_CIC[[SyRS]:[SyRS]],"")))</f>
        <v/>
      </c>
      <c r="D161" s="12" t="str" cm="1">
        <f t="array" ref="D161">_xlfn.TEXTJOIN(CHAR(10),TRUE,_xlfn._xlws.SORT(IF((--($B161=Flowdown_CIC[[URS]:[URS]]))*(--(D$14=Flowdown_CIC[[Source.Name]:[Source.Name]])),Flowdown_CIC[[SyRS]:[SyRS]],"")))</f>
        <v/>
      </c>
      <c r="E161" s="12" t="str" cm="1">
        <f t="array" ref="E161">_xlfn.TEXTJOIN(CHAR(10),TRUE,_xlfn._xlws.SORT(IF((--($B161=Flowdown_CIC[[URS]:[URS]]))*(--(E$14=Flowdown_CIC[[Source.Name]:[Source.Name]])),Flowdown_CIC[[SyRS]:[SyRS]],"")))</f>
        <v/>
      </c>
      <c r="F161" s="12" t="str" cm="1">
        <f t="array" ref="F161">_xlfn.TEXTJOIN(CHAR(10),TRUE,_xlfn._xlws.SORT(IF((--($B161=Flowdown_CIC[[URS]:[URS]]))*(--(F$14=Flowdown_CIC[[Source.Name]:[Source.Name]])),Flowdown_CIC[[SyRS]:[SyRS]],"")))</f>
        <v/>
      </c>
      <c r="G161" s="12" t="str" cm="1">
        <f t="array" ref="G161">_xlfn.TEXTJOIN(CHAR(10),TRUE,_xlfn._xlws.SORT(IF((--($B161=Flowdown_CIC[[URS]:[URS]]))*(--(G$14=Flowdown_CIC[[Source.Name]:[Source.Name]])),Flowdown_CIC[[SyRS]:[SyRS]],"")))</f>
        <v/>
      </c>
      <c r="H161" s="12" t="str" cm="1">
        <f t="array" ref="H161">_xlfn.TEXTJOIN(CHAR(10),TRUE,_xlfn._xlws.SORT(IF((--($B161=Flowdown_CIC[[URS]:[URS]]))*(--(H$14=Flowdown_CIC[[Source.Name]:[Source.Name]])),Flowdown_CIC[[SyRS]:[SyRS]],"")))</f>
        <v/>
      </c>
      <c r="I161" s="12" t="str" cm="1">
        <f t="array" ref="I161">_xlfn.TEXTJOIN(CHAR(10),TRUE,_xlfn._xlws.SORT(IF((--($B161=Flowdown_CIC[[URS]:[URS]]))*(--(I$14=Flowdown_CIC[[Source.Name]:[Source.Name]])),Flowdown_CIC[[SyRS]:[SyRS]],"")))</f>
        <v/>
      </c>
      <c r="J161" s="12" t="str" cm="1">
        <f t="array" ref="J161">_xlfn.TEXTJOIN(CHAR(10),TRUE,_xlfn._xlws.SORT(IF((--($B161=Flowdown_CIC[[URS]:[URS]]))*(--(J$14=Flowdown_CIC[[Source.Name]:[Source.Name]])),Flowdown_CIC[[SyRS]:[SyRS]],"")))</f>
        <v>MASTER-20222</v>
      </c>
      <c r="K161" s="12" t="str" cm="1">
        <f t="array" ref="K161">_xlfn.TEXTJOIN(CHAR(10),TRUE,_xlfn._xlws.SORT(IF((--($B161=Flowdown_CIC[[URS]:[URS]]))*(--(K$14=Flowdown_CIC[[Source.Name]:[Source.Name]])),Flowdown_CIC[[SyRS]:[SyRS]],"")))</f>
        <v/>
      </c>
      <c r="L161" s="16" t="b" cm="1">
        <f t="array" ref="L161">OR(LEN(C161:K161)&gt;0)</f>
        <v>1</v>
      </c>
    </row>
    <row r="162" spans="2:12" ht="27" x14ac:dyDescent="0.2">
      <c r="B162" s="11" t="str">
        <v>MASTER-6385</v>
      </c>
      <c r="C162" s="12" t="str" cm="1">
        <f t="array" ref="C162">_xlfn.TEXTJOIN(CHAR(10),TRUE,_xlfn._xlws.SORT(IF((--($B162=Flowdown_CIC[[URS]:[URS]]))*(--(C$14=Flowdown_CIC[[Source.Name]:[Source.Name]])),Flowdown_CIC[[SyRS]:[SyRS]],"")))</f>
        <v>MASTER-60681</v>
      </c>
      <c r="D162" s="12" t="str" cm="1">
        <f t="array" ref="D162">_xlfn.TEXTJOIN(CHAR(10),TRUE,_xlfn._xlws.SORT(IF((--($B162=Flowdown_CIC[[URS]:[URS]]))*(--(D$14=Flowdown_CIC[[Source.Name]:[Source.Name]])),Flowdown_CIC[[SyRS]:[SyRS]],"")))</f>
        <v>MASTER-60675
MASTER-60681</v>
      </c>
      <c r="E162" s="12" t="str" cm="1">
        <f t="array" ref="E162">_xlfn.TEXTJOIN(CHAR(10),TRUE,_xlfn._xlws.SORT(IF((--($B162=Flowdown_CIC[[URS]:[URS]]))*(--(E$14=Flowdown_CIC[[Source.Name]:[Source.Name]])),Flowdown_CIC[[SyRS]:[SyRS]],"")))</f>
        <v>MASTER-60675
MASTER-60685</v>
      </c>
      <c r="F162" s="12" t="str" cm="1">
        <f t="array" ref="F162">_xlfn.TEXTJOIN(CHAR(10),TRUE,_xlfn._xlws.SORT(IF((--($B162=Flowdown_CIC[[URS]:[URS]]))*(--(F$14=Flowdown_CIC[[Source.Name]:[Source.Name]])),Flowdown_CIC[[SyRS]:[SyRS]],"")))</f>
        <v>MASTER-60675
MASTER-60681</v>
      </c>
      <c r="G162" s="12" t="str" cm="1">
        <f t="array" ref="G162">_xlfn.TEXTJOIN(CHAR(10),TRUE,_xlfn._xlws.SORT(IF((--($B162=Flowdown_CIC[[URS]:[URS]]))*(--(G$14=Flowdown_CIC[[Source.Name]:[Source.Name]])),Flowdown_CIC[[SyRS]:[SyRS]],"")))</f>
        <v>MASTER-60675
MASTER-60681</v>
      </c>
      <c r="H162" s="12" t="str" cm="1">
        <f t="array" ref="H162">_xlfn.TEXTJOIN(CHAR(10),TRUE,_xlfn._xlws.SORT(IF((--($B162=Flowdown_CIC[[URS]:[URS]]))*(--(H$14=Flowdown_CIC[[Source.Name]:[Source.Name]])),Flowdown_CIC[[SyRS]:[SyRS]],"")))</f>
        <v>MASTER-22345</v>
      </c>
      <c r="I162" s="12" t="str" cm="1">
        <f t="array" ref="I162">_xlfn.TEXTJOIN(CHAR(10),TRUE,_xlfn._xlws.SORT(IF((--($B162=Flowdown_CIC[[URS]:[URS]]))*(--(I$14=Flowdown_CIC[[Source.Name]:[Source.Name]])),Flowdown_CIC[[SyRS]:[SyRS]],"")))</f>
        <v/>
      </c>
      <c r="J162" s="12" t="str" cm="1">
        <f t="array" ref="J162">_xlfn.TEXTJOIN(CHAR(10),TRUE,_xlfn._xlws.SORT(IF((--($B162=Flowdown_CIC[[URS]:[URS]]))*(--(J$14=Flowdown_CIC[[Source.Name]:[Source.Name]])),Flowdown_CIC[[SyRS]:[SyRS]],"")))</f>
        <v/>
      </c>
      <c r="K162" s="12" t="str" cm="1">
        <f t="array" ref="K162">_xlfn.TEXTJOIN(CHAR(10),TRUE,_xlfn._xlws.SORT(IF((--($B162=Flowdown_CIC[[URS]:[URS]]))*(--(K$14=Flowdown_CIC[[Source.Name]:[Source.Name]])),Flowdown_CIC[[SyRS]:[SyRS]],"")))</f>
        <v/>
      </c>
      <c r="L162" s="16" t="b" cm="1">
        <f t="array" ref="L162">OR(LEN(C162:K162)&gt;0)</f>
        <v>1</v>
      </c>
    </row>
    <row r="163" spans="2:12" ht="40.5" x14ac:dyDescent="0.2">
      <c r="B163" s="11" t="str">
        <v>MASTER-6386</v>
      </c>
      <c r="C163" s="12" t="str" cm="1">
        <f t="array" ref="C163">_xlfn.TEXTJOIN(CHAR(10),TRUE,_xlfn._xlws.SORT(IF((--($B163=Flowdown_CIC[[URS]:[URS]]))*(--(C$14=Flowdown_CIC[[Source.Name]:[Source.Name]])),Flowdown_CIC[[SyRS]:[SyRS]],"")))</f>
        <v>MASTER-19249</v>
      </c>
      <c r="D163" s="12" t="str" cm="1">
        <f t="array" ref="D163">_xlfn.TEXTJOIN(CHAR(10),TRUE,_xlfn._xlws.SORT(IF((--($B163=Flowdown_CIC[[URS]:[URS]]))*(--(D$14=Flowdown_CIC[[Source.Name]:[Source.Name]])),Flowdown_CIC[[SyRS]:[SyRS]],"")))</f>
        <v>MASTER-19249</v>
      </c>
      <c r="E163" s="12" t="str" cm="1">
        <f t="array" ref="E163">_xlfn.TEXTJOIN(CHAR(10),TRUE,_xlfn._xlws.SORT(IF((--($B163=Flowdown_CIC[[URS]:[URS]]))*(--(E$14=Flowdown_CIC[[Source.Name]:[Source.Name]])),Flowdown_CIC[[SyRS]:[SyRS]],"")))</f>
        <v>MASTER-19249</v>
      </c>
      <c r="F163" s="12" t="str" cm="1">
        <f t="array" ref="F163">_xlfn.TEXTJOIN(CHAR(10),TRUE,_xlfn._xlws.SORT(IF((--($B163=Flowdown_CIC[[URS]:[URS]]))*(--(F$14=Flowdown_CIC[[Source.Name]:[Source.Name]])),Flowdown_CIC[[SyRS]:[SyRS]],"")))</f>
        <v>MASTER-19249</v>
      </c>
      <c r="G163" s="12" t="str" cm="1">
        <f t="array" ref="G163">_xlfn.TEXTJOIN(CHAR(10),TRUE,_xlfn._xlws.SORT(IF((--($B163=Flowdown_CIC[[URS]:[URS]]))*(--(G$14=Flowdown_CIC[[Source.Name]:[Source.Name]])),Flowdown_CIC[[SyRS]:[SyRS]],"")))</f>
        <v>MASTER-19249</v>
      </c>
      <c r="H163" s="12" t="str" cm="1">
        <f t="array" ref="H163">_xlfn.TEXTJOIN(CHAR(10),TRUE,_xlfn._xlws.SORT(IF((--($B163=Flowdown_CIC[[URS]:[URS]]))*(--(H$14=Flowdown_CIC[[Source.Name]:[Source.Name]])),Flowdown_CIC[[SyRS]:[SyRS]],"")))</f>
        <v/>
      </c>
      <c r="I163" s="12" t="str" cm="1">
        <f t="array" ref="I163">_xlfn.TEXTJOIN(CHAR(10),TRUE,_xlfn._xlws.SORT(IF((--($B163=Flowdown_CIC[[URS]:[URS]]))*(--(I$14=Flowdown_CIC[[Source.Name]:[Source.Name]])),Flowdown_CIC[[SyRS]:[SyRS]],"")))</f>
        <v>MASTER-20021
MASTER-64822
UTICA-209</v>
      </c>
      <c r="J163" s="12" t="str" cm="1">
        <f t="array" ref="J163">_xlfn.TEXTJOIN(CHAR(10),TRUE,_xlfn._xlws.SORT(IF((--($B163=Flowdown_CIC[[URS]:[URS]]))*(--(J$14=Flowdown_CIC[[Source.Name]:[Source.Name]])),Flowdown_CIC[[SyRS]:[SyRS]],"")))</f>
        <v/>
      </c>
      <c r="K163" s="12" t="str" cm="1">
        <f t="array" ref="K163">_xlfn.TEXTJOIN(CHAR(10),TRUE,_xlfn._xlws.SORT(IF((--($B163=Flowdown_CIC[[URS]:[URS]]))*(--(K$14=Flowdown_CIC[[Source.Name]:[Source.Name]])),Flowdown_CIC[[SyRS]:[SyRS]],"")))</f>
        <v/>
      </c>
      <c r="L163" s="16" t="b" cm="1">
        <f t="array" ref="L163">OR(LEN(C163:K163)&gt;0)</f>
        <v>1</v>
      </c>
    </row>
    <row r="164" spans="2:12" ht="243" x14ac:dyDescent="0.2">
      <c r="B164" s="11" t="str">
        <v>MASTER-6387</v>
      </c>
      <c r="C164" s="12" t="str" cm="1">
        <f t="array" ref="C164">_xlfn.TEXTJOIN(CHAR(10),TRUE,_xlfn._xlws.SORT(IF((--($B164=Flowdown_CIC[[URS]:[URS]]))*(--(C$14=Flowdown_CIC[[Source.Name]:[Source.Name]])),Flowdown_CIC[[SyRS]:[SyRS]],"")))</f>
        <v>MASTER-18248
MASTER-18249</v>
      </c>
      <c r="D164" s="12" t="str" cm="1">
        <f t="array" ref="D164">_xlfn.TEXTJOIN(CHAR(10),TRUE,_xlfn._xlws.SORT(IF((--($B164=Flowdown_CIC[[URS]:[URS]]))*(--(D$14=Flowdown_CIC[[Source.Name]:[Source.Name]])),Flowdown_CIC[[SyRS]:[SyRS]],"")))</f>
        <v>MASTER-18248
MASTER-18249</v>
      </c>
      <c r="E164" s="12" t="str" cm="1">
        <f t="array" ref="E164">_xlfn.TEXTJOIN(CHAR(10),TRUE,_xlfn._xlws.SORT(IF((--($B164=Flowdown_CIC[[URS]:[URS]]))*(--(E$14=Flowdown_CIC[[Source.Name]:[Source.Name]])),Flowdown_CIC[[SyRS]:[SyRS]],"")))</f>
        <v>MASTER-18248
MASTER-18249</v>
      </c>
      <c r="F164" s="12" t="str" cm="1">
        <f t="array" ref="F164">_xlfn.TEXTJOIN(CHAR(10),TRUE,_xlfn._xlws.SORT(IF((--($B164=Flowdown_CIC[[URS]:[URS]]))*(--(F$14=Flowdown_CIC[[Source.Name]:[Source.Name]])),Flowdown_CIC[[SyRS]:[SyRS]],"")))</f>
        <v>MASTER-18248
MASTER-18249</v>
      </c>
      <c r="G164" s="12" t="str" cm="1">
        <f t="array" ref="G164">_xlfn.TEXTJOIN(CHAR(10),TRUE,_xlfn._xlws.SORT(IF((--($B164=Flowdown_CIC[[URS]:[URS]]))*(--(G$14=Flowdown_CIC[[Source.Name]:[Source.Name]])),Flowdown_CIC[[SyRS]:[SyRS]],"")))</f>
        <v>MASTER-18248
MASTER-18249</v>
      </c>
      <c r="H164" s="12" t="str" cm="1">
        <f t="array" ref="H164">_xlfn.TEXTJOIN(CHAR(10),TRUE,_xlfn._xlws.SORT(IF((--($B164=Flowdown_CIC[[URS]:[URS]]))*(--(H$14=Flowdown_CIC[[Source.Name]:[Source.Name]])),Flowdown_CIC[[SyRS]:[SyRS]],"")))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64" s="12" t="str" cm="1">
        <f t="array" ref="I164">_xlfn.TEXTJOIN(CHAR(10),TRUE,_xlfn._xlws.SORT(IF((--($B164=Flowdown_CIC[[URS]:[URS]]))*(--(I$14=Flowdown_CIC[[Source.Name]:[Source.Name]])),Flowdown_CIC[[SyRS]:[SyRS]],"")))</f>
        <v/>
      </c>
      <c r="J164" s="12" t="str" cm="1">
        <f t="array" ref="J164">_xlfn.TEXTJOIN(CHAR(10),TRUE,_xlfn._xlws.SORT(IF((--($B164=Flowdown_CIC[[URS]:[URS]]))*(--(J$14=Flowdown_CIC[[Source.Name]:[Source.Name]])),Flowdown_CIC[[SyRS]:[SyRS]],"")))</f>
        <v/>
      </c>
      <c r="K164" s="12" t="str" cm="1">
        <f t="array" ref="K164">_xlfn.TEXTJOIN(CHAR(10),TRUE,_xlfn._xlws.SORT(IF((--($B164=Flowdown_CIC[[URS]:[URS]]))*(--(K$14=Flowdown_CIC[[Source.Name]:[Source.Name]])),Flowdown_CIC[[SyRS]:[SyRS]],"")))</f>
        <v/>
      </c>
      <c r="L164" s="16" t="b" cm="1">
        <f t="array" ref="L164">OR(LEN(C164:K164)&gt;0)</f>
        <v>1</v>
      </c>
    </row>
    <row r="165" spans="2:12" ht="148.5" x14ac:dyDescent="0.2">
      <c r="B165" s="11" t="str">
        <v>MASTER-6389</v>
      </c>
      <c r="C165" s="12" t="str" cm="1">
        <f t="array" ref="C165">_xlfn.TEXTJOIN(CHAR(10),TRUE,_xlfn._xlws.SORT(IF((--($B165=Flowdown_CIC[[URS]:[URS]]))*(--(C$14=Flowdown_CIC[[Source.Name]:[Source.Name]])),Flowdown_CIC[[SyRS]:[SyRS]],"")))</f>
        <v>MASTER-18182
MASTER-18190
MASTER-18200
MASTER-18201
MASTER-18203
MASTER-18208
MASTER-18209
MASTER-18210
MASTER-18211
MASTER-18212
MASTER-20296</v>
      </c>
      <c r="D165" s="12" t="str" cm="1">
        <f t="array" ref="D165">_xlfn.TEXTJOIN(CHAR(10),TRUE,_xlfn._xlws.SORT(IF((--($B165=Flowdown_CIC[[URS]:[URS]]))*(--(D$14=Flowdown_CIC[[Source.Name]:[Source.Name]])),Flowdown_CIC[[SyRS]:[SyRS]],"")))</f>
        <v>MASTER-18182
MASTER-18190
MASTER-18200
MASTER-18201
MASTER-18203
MASTER-18208
MASTER-18209
MASTER-18210
MASTER-18211
MASTER-18212
MASTER-20296</v>
      </c>
      <c r="E165" s="12" t="str" cm="1">
        <f t="array" ref="E165">_xlfn.TEXTJOIN(CHAR(10),TRUE,_xlfn._xlws.SORT(IF((--($B165=Flowdown_CIC[[URS]:[URS]]))*(--(E$14=Flowdown_CIC[[Source.Name]:[Source.Name]])),Flowdown_CIC[[SyRS]:[SyRS]],"")))</f>
        <v>MASTER-18182
MASTER-18190
MASTER-18200
MASTER-18201
MASTER-18203
MASTER-18208
MASTER-18209
MASTER-18210
MASTER-18211
MASTER-18212
MASTER-20296</v>
      </c>
      <c r="F165" s="12" t="str" cm="1">
        <f t="array" ref="F165">_xlfn.TEXTJOIN(CHAR(10),TRUE,_xlfn._xlws.SORT(IF((--($B165=Flowdown_CIC[[URS]:[URS]]))*(--(F$14=Flowdown_CIC[[Source.Name]:[Source.Name]])),Flowdown_CIC[[SyRS]:[SyRS]],"")))</f>
        <v>MASTER-18182
MASTER-18190
MASTER-18200
MASTER-18201
MASTER-18203
MASTER-18208
MASTER-18209
MASTER-18210
MASTER-18211
MASTER-18212
MASTER-20296</v>
      </c>
      <c r="G165" s="12" t="str" cm="1">
        <f t="array" ref="G165">_xlfn.TEXTJOIN(CHAR(10),TRUE,_xlfn._xlws.SORT(IF((--($B165=Flowdown_CIC[[URS]:[URS]]))*(--(G$14=Flowdown_CIC[[Source.Name]:[Source.Name]])),Flowdown_CIC[[SyRS]:[SyRS]],"")))</f>
        <v>MASTER-18182
MASTER-18190
MASTER-18200
MASTER-18201
MASTER-18203
MASTER-18208
MASTER-18209
MASTER-18210
MASTER-18211
MASTER-18212
MASTER-20296</v>
      </c>
      <c r="H165" s="12" t="str" cm="1">
        <f t="array" ref="H165">_xlfn.TEXTJOIN(CHAR(10),TRUE,_xlfn._xlws.SORT(IF((--($B165=Flowdown_CIC[[URS]:[URS]]))*(--(H$14=Flowdown_CIC[[Source.Name]:[Source.Name]])),Flowdown_CIC[[SyRS]:[SyRS]],"")))</f>
        <v/>
      </c>
      <c r="I165" s="12" t="str" cm="1">
        <f t="array" ref="I165">_xlfn.TEXTJOIN(CHAR(10),TRUE,_xlfn._xlws.SORT(IF((--($B165=Flowdown_CIC[[URS]:[URS]]))*(--(I$14=Flowdown_CIC[[Source.Name]:[Source.Name]])),Flowdown_CIC[[SyRS]:[SyRS]],"")))</f>
        <v/>
      </c>
      <c r="J165" s="12" t="str" cm="1">
        <f t="array" ref="J165">_xlfn.TEXTJOIN(CHAR(10),TRUE,_xlfn._xlws.SORT(IF((--($B165=Flowdown_CIC[[URS]:[URS]]))*(--(J$14=Flowdown_CIC[[Source.Name]:[Source.Name]])),Flowdown_CIC[[SyRS]:[SyRS]],"")))</f>
        <v/>
      </c>
      <c r="K165" s="12" t="str" cm="1">
        <f t="array" ref="K165">_xlfn.TEXTJOIN(CHAR(10),TRUE,_xlfn._xlws.SORT(IF((--($B165=Flowdown_CIC[[URS]:[URS]]))*(--(K$14=Flowdown_CIC[[Source.Name]:[Source.Name]])),Flowdown_CIC[[SyRS]:[SyRS]],"")))</f>
        <v>MASTER-16704</v>
      </c>
      <c r="L165" s="16" t="b" cm="1">
        <f t="array" ref="L165">OR(LEN(C165:K165)&gt;0)</f>
        <v>1</v>
      </c>
    </row>
    <row r="166" spans="2:12" ht="13.5" x14ac:dyDescent="0.2">
      <c r="B166" s="11" t="str">
        <v>MASTER-6390</v>
      </c>
      <c r="C166" s="12" t="str" cm="1">
        <f t="array" ref="C166">_xlfn.TEXTJOIN(CHAR(10),TRUE,_xlfn._xlws.SORT(IF((--($B166=Flowdown_CIC[[URS]:[URS]]))*(--(C$14=Flowdown_CIC[[Source.Name]:[Source.Name]])),Flowdown_CIC[[SyRS]:[SyRS]],"")))</f>
        <v>MASTER-18182</v>
      </c>
      <c r="D166" s="12" t="str" cm="1">
        <f t="array" ref="D166">_xlfn.TEXTJOIN(CHAR(10),TRUE,_xlfn._xlws.SORT(IF((--($B166=Flowdown_CIC[[URS]:[URS]]))*(--(D$14=Flowdown_CIC[[Source.Name]:[Source.Name]])),Flowdown_CIC[[SyRS]:[SyRS]],"")))</f>
        <v>MASTER-18182</v>
      </c>
      <c r="E166" s="12" t="str" cm="1">
        <f t="array" ref="E166">_xlfn.TEXTJOIN(CHAR(10),TRUE,_xlfn._xlws.SORT(IF((--($B166=Flowdown_CIC[[URS]:[URS]]))*(--(E$14=Flowdown_CIC[[Source.Name]:[Source.Name]])),Flowdown_CIC[[SyRS]:[SyRS]],"")))</f>
        <v>MASTER-18182</v>
      </c>
      <c r="F166" s="12" t="str" cm="1">
        <f t="array" ref="F166">_xlfn.TEXTJOIN(CHAR(10),TRUE,_xlfn._xlws.SORT(IF((--($B166=Flowdown_CIC[[URS]:[URS]]))*(--(F$14=Flowdown_CIC[[Source.Name]:[Source.Name]])),Flowdown_CIC[[SyRS]:[SyRS]],"")))</f>
        <v>MASTER-18182</v>
      </c>
      <c r="G166" s="12" t="str" cm="1">
        <f t="array" ref="G166">_xlfn.TEXTJOIN(CHAR(10),TRUE,_xlfn._xlws.SORT(IF((--($B166=Flowdown_CIC[[URS]:[URS]]))*(--(G$14=Flowdown_CIC[[Source.Name]:[Source.Name]])),Flowdown_CIC[[SyRS]:[SyRS]],"")))</f>
        <v>MASTER-18182</v>
      </c>
      <c r="H166" s="12" t="str" cm="1">
        <f t="array" ref="H166">_xlfn.TEXTJOIN(CHAR(10),TRUE,_xlfn._xlws.SORT(IF((--($B166=Flowdown_CIC[[URS]:[URS]]))*(--(H$14=Flowdown_CIC[[Source.Name]:[Source.Name]])),Flowdown_CIC[[SyRS]:[SyRS]],"")))</f>
        <v/>
      </c>
      <c r="I166" s="12" t="str" cm="1">
        <f t="array" ref="I166">_xlfn.TEXTJOIN(CHAR(10),TRUE,_xlfn._xlws.SORT(IF((--($B166=Flowdown_CIC[[URS]:[URS]]))*(--(I$14=Flowdown_CIC[[Source.Name]:[Source.Name]])),Flowdown_CIC[[SyRS]:[SyRS]],"")))</f>
        <v/>
      </c>
      <c r="J166" s="12" t="str" cm="1">
        <f t="array" ref="J166">_xlfn.TEXTJOIN(CHAR(10),TRUE,_xlfn._xlws.SORT(IF((--($B166=Flowdown_CIC[[URS]:[URS]]))*(--(J$14=Flowdown_CIC[[Source.Name]:[Source.Name]])),Flowdown_CIC[[SyRS]:[SyRS]],"")))</f>
        <v/>
      </c>
      <c r="K166" s="12" t="str" cm="1">
        <f t="array" ref="K166">_xlfn.TEXTJOIN(CHAR(10),TRUE,_xlfn._xlws.SORT(IF((--($B166=Flowdown_CIC[[URS]:[URS]]))*(--(K$14=Flowdown_CIC[[Source.Name]:[Source.Name]])),Flowdown_CIC[[SyRS]:[SyRS]],"")))</f>
        <v/>
      </c>
      <c r="L166" s="16" t="b" cm="1">
        <f t="array" ref="L166">OR(LEN(C166:K166)&gt;0)</f>
        <v>1</v>
      </c>
    </row>
    <row r="167" spans="2:12" ht="108" x14ac:dyDescent="0.2">
      <c r="B167" s="11" t="str">
        <v>MASTER-6391</v>
      </c>
      <c r="C167" s="12" t="str" cm="1">
        <f t="array" ref="C167">_xlfn.TEXTJOIN(CHAR(10),TRUE,_xlfn._xlws.SORT(IF((--($B167=Flowdown_CIC[[URS]:[URS]]))*(--(C$14=Flowdown_CIC[[Source.Name]:[Source.Name]])),Flowdown_CIC[[SyRS]:[SyRS]],"")))</f>
        <v>MASTER-60681</v>
      </c>
      <c r="D167" s="12" t="str" cm="1">
        <f t="array" ref="D167">_xlfn.TEXTJOIN(CHAR(10),TRUE,_xlfn._xlws.SORT(IF((--($B167=Flowdown_CIC[[URS]:[URS]]))*(--(D$14=Flowdown_CIC[[Source.Name]:[Source.Name]])),Flowdown_CIC[[SyRS]:[SyRS]],"")))</f>
        <v>MASTER-60675
MASTER-60681</v>
      </c>
      <c r="E167" s="12" t="str" cm="1">
        <f t="array" ref="E167">_xlfn.TEXTJOIN(CHAR(10),TRUE,_xlfn._xlws.SORT(IF((--($B167=Flowdown_CIC[[URS]:[URS]]))*(--(E$14=Flowdown_CIC[[Source.Name]:[Source.Name]])),Flowdown_CIC[[SyRS]:[SyRS]],"")))</f>
        <v>MASTER-60675</v>
      </c>
      <c r="F167" s="12" t="str" cm="1">
        <f t="array" ref="F167">_xlfn.TEXTJOIN(CHAR(10),TRUE,_xlfn._xlws.SORT(IF((--($B167=Flowdown_CIC[[URS]:[URS]]))*(--(F$14=Flowdown_CIC[[Source.Name]:[Source.Name]])),Flowdown_CIC[[SyRS]:[SyRS]],"")))</f>
        <v>MASTER-60675
MASTER-60681</v>
      </c>
      <c r="G167" s="12" t="str" cm="1">
        <f t="array" ref="G167">_xlfn.TEXTJOIN(CHAR(10),TRUE,_xlfn._xlws.SORT(IF((--($B167=Flowdown_CIC[[URS]:[URS]]))*(--(G$14=Flowdown_CIC[[Source.Name]:[Source.Name]])),Flowdown_CIC[[SyRS]:[SyRS]],"")))</f>
        <v>MASTER-60675
MASTER-60681</v>
      </c>
      <c r="H167" s="12" t="str" cm="1">
        <f t="array" ref="H167">_xlfn.TEXTJOIN(CHAR(10),TRUE,_xlfn._xlws.SORT(IF((--($B167=Flowdown_CIC[[URS]:[URS]]))*(--(H$14=Flowdown_CIC[[Source.Name]:[Source.Name]])),Flowdown_CIC[[SyRS]:[SyRS]],"")))</f>
        <v>MASTER-21877
MASTER-21878
MASTER-21930
MASTER-21935
MASTER-21937
MASTER-21939
MASTER-21941
MASTER-21951</v>
      </c>
      <c r="I167" s="12" t="str" cm="1">
        <f t="array" ref="I167">_xlfn.TEXTJOIN(CHAR(10),TRUE,_xlfn._xlws.SORT(IF((--($B167=Flowdown_CIC[[URS]:[URS]]))*(--(I$14=Flowdown_CIC[[Source.Name]:[Source.Name]])),Flowdown_CIC[[SyRS]:[SyRS]],"")))</f>
        <v/>
      </c>
      <c r="J167" s="12" t="str" cm="1">
        <f t="array" ref="J167">_xlfn.TEXTJOIN(CHAR(10),TRUE,_xlfn._xlws.SORT(IF((--($B167=Flowdown_CIC[[URS]:[URS]]))*(--(J$14=Flowdown_CIC[[Source.Name]:[Source.Name]])),Flowdown_CIC[[SyRS]:[SyRS]],"")))</f>
        <v/>
      </c>
      <c r="K167" s="12" t="str" cm="1">
        <f t="array" ref="K167">_xlfn.TEXTJOIN(CHAR(10),TRUE,_xlfn._xlws.SORT(IF((--($B167=Flowdown_CIC[[URS]:[URS]]))*(--(K$14=Flowdown_CIC[[Source.Name]:[Source.Name]])),Flowdown_CIC[[SyRS]:[SyRS]],"")))</f>
        <v/>
      </c>
      <c r="L167" s="16" t="b" cm="1">
        <f t="array" ref="L167">OR(LEN(C167:K167)&gt;0)</f>
        <v>1</v>
      </c>
    </row>
    <row r="168" spans="2:12" ht="67.5" x14ac:dyDescent="0.2">
      <c r="B168" s="11" t="str">
        <v>MASTER-6392</v>
      </c>
      <c r="C168" s="12" t="str" cm="1">
        <f t="array" ref="C168">_xlfn.TEXTJOIN(CHAR(10),TRUE,_xlfn._xlws.SORT(IF((--($B168=Flowdown_CIC[[URS]:[URS]]))*(--(C$14=Flowdown_CIC[[Source.Name]:[Source.Name]])),Flowdown_CIC[[SyRS]:[SyRS]],"")))</f>
        <v>MASTER-19249
MASTER-60732
MASTER-60733
MASTER-60735
MASTER-60737</v>
      </c>
      <c r="D168" s="12" t="str" cm="1">
        <f t="array" ref="D168">_xlfn.TEXTJOIN(CHAR(10),TRUE,_xlfn._xlws.SORT(IF((--($B168=Flowdown_CIC[[URS]:[URS]]))*(--(D$14=Flowdown_CIC[[Source.Name]:[Source.Name]])),Flowdown_CIC[[SyRS]:[SyRS]],"")))</f>
        <v>MASTER-19249
MASTER-60732
MASTER-60733
MASTER-60735
MASTER-60737</v>
      </c>
      <c r="E168" s="12" t="str" cm="1">
        <f t="array" ref="E168">_xlfn.TEXTJOIN(CHAR(10),TRUE,_xlfn._xlws.SORT(IF((--($B168=Flowdown_CIC[[URS]:[URS]]))*(--(E$14=Flowdown_CIC[[Source.Name]:[Source.Name]])),Flowdown_CIC[[SyRS]:[SyRS]],"")))</f>
        <v>MASTER-19249
MASTER-60732
MASTER-60733
MASTER-60735</v>
      </c>
      <c r="F168" s="12" t="str" cm="1">
        <f t="array" ref="F168">_xlfn.TEXTJOIN(CHAR(10),TRUE,_xlfn._xlws.SORT(IF((--($B168=Flowdown_CIC[[URS]:[URS]]))*(--(F$14=Flowdown_CIC[[Source.Name]:[Source.Name]])),Flowdown_CIC[[SyRS]:[SyRS]],"")))</f>
        <v>MASTER-19249
MASTER-60732
MASTER-60733
MASTER-60735</v>
      </c>
      <c r="G168" s="12" t="str" cm="1">
        <f t="array" ref="G168">_xlfn.TEXTJOIN(CHAR(10),TRUE,_xlfn._xlws.SORT(IF((--($B168=Flowdown_CIC[[URS]:[URS]]))*(--(G$14=Flowdown_CIC[[Source.Name]:[Source.Name]])),Flowdown_CIC[[SyRS]:[SyRS]],"")))</f>
        <v>MASTER-19249
MASTER-60732
MASTER-60733
MASTER-60735</v>
      </c>
      <c r="H168" s="12" t="str" cm="1">
        <f t="array" ref="H168">_xlfn.TEXTJOIN(CHAR(10),TRUE,_xlfn._xlws.SORT(IF((--($B168=Flowdown_CIC[[URS]:[URS]]))*(--(H$14=Flowdown_CIC[[Source.Name]:[Source.Name]])),Flowdown_CIC[[SyRS]:[SyRS]],"")))</f>
        <v/>
      </c>
      <c r="I168" s="12" t="str" cm="1">
        <f t="array" ref="I168">_xlfn.TEXTJOIN(CHAR(10),TRUE,_xlfn._xlws.SORT(IF((--($B168=Flowdown_CIC[[URS]:[URS]]))*(--(I$14=Flowdown_CIC[[Source.Name]:[Source.Name]])),Flowdown_CIC[[SyRS]:[SyRS]],"")))</f>
        <v>MASTER-64822</v>
      </c>
      <c r="J168" s="12" t="str" cm="1">
        <f t="array" ref="J168">_xlfn.TEXTJOIN(CHAR(10),TRUE,_xlfn._xlws.SORT(IF((--($B168=Flowdown_CIC[[URS]:[URS]]))*(--(J$14=Flowdown_CIC[[Source.Name]:[Source.Name]])),Flowdown_CIC[[SyRS]:[SyRS]],"")))</f>
        <v/>
      </c>
      <c r="K168" s="12" t="str" cm="1">
        <f t="array" ref="K168">_xlfn.TEXTJOIN(CHAR(10),TRUE,_xlfn._xlws.SORT(IF((--($B168=Flowdown_CIC[[URS]:[URS]]))*(--(K$14=Flowdown_CIC[[Source.Name]:[Source.Name]])),Flowdown_CIC[[SyRS]:[SyRS]],"")))</f>
        <v>MASTER-16739</v>
      </c>
      <c r="L168" s="16" t="b" cm="1">
        <f t="array" ref="L168">OR(LEN(C168:K168)&gt;0)</f>
        <v>1</v>
      </c>
    </row>
    <row r="169" spans="2:12" ht="40.5" x14ac:dyDescent="0.2">
      <c r="B169" s="11" t="str">
        <v>MASTER-6393</v>
      </c>
      <c r="C169" s="12" t="str" cm="1">
        <f t="array" ref="C169">_xlfn.TEXTJOIN(CHAR(10),TRUE,_xlfn._xlws.SORT(IF((--($B169=Flowdown_CIC[[URS]:[URS]]))*(--(C$14=Flowdown_CIC[[Source.Name]:[Source.Name]])),Flowdown_CIC[[SyRS]:[SyRS]],"")))</f>
        <v/>
      </c>
      <c r="D169" s="12" t="str" cm="1">
        <f t="array" ref="D169">_xlfn.TEXTJOIN(CHAR(10),TRUE,_xlfn._xlws.SORT(IF((--($B169=Flowdown_CIC[[URS]:[URS]]))*(--(D$14=Flowdown_CIC[[Source.Name]:[Source.Name]])),Flowdown_CIC[[SyRS]:[SyRS]],"")))</f>
        <v/>
      </c>
      <c r="E169" s="12" t="str" cm="1">
        <f t="array" ref="E169">_xlfn.TEXTJOIN(CHAR(10),TRUE,_xlfn._xlws.SORT(IF((--($B169=Flowdown_CIC[[URS]:[URS]]))*(--(E$14=Flowdown_CIC[[Source.Name]:[Source.Name]])),Flowdown_CIC[[SyRS]:[SyRS]],"")))</f>
        <v/>
      </c>
      <c r="F169" s="12" t="str" cm="1">
        <f t="array" ref="F169">_xlfn.TEXTJOIN(CHAR(10),TRUE,_xlfn._xlws.SORT(IF((--($B169=Flowdown_CIC[[URS]:[URS]]))*(--(F$14=Flowdown_CIC[[Source.Name]:[Source.Name]])),Flowdown_CIC[[SyRS]:[SyRS]],"")))</f>
        <v/>
      </c>
      <c r="G169" s="12" t="str" cm="1">
        <f t="array" ref="G169">_xlfn.TEXTJOIN(CHAR(10),TRUE,_xlfn._xlws.SORT(IF((--($B169=Flowdown_CIC[[URS]:[URS]]))*(--(G$14=Flowdown_CIC[[Source.Name]:[Source.Name]])),Flowdown_CIC[[SyRS]:[SyRS]],"")))</f>
        <v/>
      </c>
      <c r="H169" s="12" t="str" cm="1">
        <f t="array" ref="H169">_xlfn.TEXTJOIN(CHAR(10),TRUE,_xlfn._xlws.SORT(IF((--($B169=Flowdown_CIC[[URS]:[URS]]))*(--(H$14=Flowdown_CIC[[Source.Name]:[Source.Name]])),Flowdown_CIC[[SyRS]:[SyRS]],"")))</f>
        <v>MASTER-21937
MASTER-21941</v>
      </c>
      <c r="I169" s="12" t="str" cm="1">
        <f t="array" ref="I169">_xlfn.TEXTJOIN(CHAR(10),TRUE,_xlfn._xlws.SORT(IF((--($B169=Flowdown_CIC[[URS]:[URS]]))*(--(I$14=Flowdown_CIC[[Source.Name]:[Source.Name]])),Flowdown_CIC[[SyRS]:[SyRS]],"")))</f>
        <v>MASTER-20021
MASTER-64822
UTICA-209</v>
      </c>
      <c r="J169" s="12" t="str" cm="1">
        <f t="array" ref="J169">_xlfn.TEXTJOIN(CHAR(10),TRUE,_xlfn._xlws.SORT(IF((--($B169=Flowdown_CIC[[URS]:[URS]]))*(--(J$14=Flowdown_CIC[[Source.Name]:[Source.Name]])),Flowdown_CIC[[SyRS]:[SyRS]],"")))</f>
        <v/>
      </c>
      <c r="K169" s="12" t="str" cm="1">
        <f t="array" ref="K169">_xlfn.TEXTJOIN(CHAR(10),TRUE,_xlfn._xlws.SORT(IF((--($B169=Flowdown_CIC[[URS]:[URS]]))*(--(K$14=Flowdown_CIC[[Source.Name]:[Source.Name]])),Flowdown_CIC[[SyRS]:[SyRS]],"")))</f>
        <v/>
      </c>
      <c r="L169" s="16" t="b" cm="1">
        <f t="array" ref="L169">OR(LEN(C169:K169)&gt;0)</f>
        <v>1</v>
      </c>
    </row>
    <row r="170" spans="2:12" ht="409.5" x14ac:dyDescent="0.2">
      <c r="B170" s="11" t="str">
        <v>MASTER-6394</v>
      </c>
      <c r="C170" s="12" t="str" cm="1">
        <f t="array" ref="C170">_xlfn.TEXTJOIN(CHAR(10),TRUE,_xlfn._xlws.SORT(IF((--($B170=Flowdown_CIC[[URS]:[URS]]))*(--(C$14=Flowdown_CIC[[Source.Name]:[Source.Name]])),Flowdown_CIC[[SyRS]:[SyRS]],"")))</f>
        <v>MASTER-18050
MASTER-18203
MASTER-18210
MASTER-18211
MASTER-18212</v>
      </c>
      <c r="D170" s="12" t="str" cm="1">
        <f t="array" ref="D170">_xlfn.TEXTJOIN(CHAR(10),TRUE,_xlfn._xlws.SORT(IF((--($B170=Flowdown_CIC[[URS]:[URS]]))*(--(D$14=Flowdown_CIC[[Source.Name]:[Source.Name]])),Flowdown_CIC[[SyRS]:[SyRS]],"")))</f>
        <v>MASTER-18050
MASTER-18203
MASTER-18210
MASTER-18211
MASTER-18212</v>
      </c>
      <c r="E170" s="12" t="str" cm="1">
        <f t="array" ref="E170">_xlfn.TEXTJOIN(CHAR(10),TRUE,_xlfn._xlws.SORT(IF((--($B170=Flowdown_CIC[[URS]:[URS]]))*(--(E$14=Flowdown_CIC[[Source.Name]:[Source.Name]])),Flowdown_CIC[[SyRS]:[SyRS]],"")))</f>
        <v>MASTER-18050
MASTER-18203
MASTER-18210
MASTER-18211
MASTER-18212</v>
      </c>
      <c r="F170" s="12" t="str" cm="1">
        <f t="array" ref="F170">_xlfn.TEXTJOIN(CHAR(10),TRUE,_xlfn._xlws.SORT(IF((--($B170=Flowdown_CIC[[URS]:[URS]]))*(--(F$14=Flowdown_CIC[[Source.Name]:[Source.Name]])),Flowdown_CIC[[SyRS]:[SyRS]],"")))</f>
        <v>MASTER-18050
MASTER-18203
MASTER-18210
MASTER-18211
MASTER-18212</v>
      </c>
      <c r="G170" s="12" t="str" cm="1">
        <f t="array" ref="G170">_xlfn.TEXTJOIN(CHAR(10),TRUE,_xlfn._xlws.SORT(IF((--($B170=Flowdown_CIC[[URS]:[URS]]))*(--(G$14=Flowdown_CIC[[Source.Name]:[Source.Name]])),Flowdown_CIC[[SyRS]:[SyRS]],"")))</f>
        <v>MASTER-18050
MASTER-18203
MASTER-18210
MASTER-18211
MASTER-18212</v>
      </c>
      <c r="H170" s="12" t="str" cm="1">
        <f t="array" ref="H170">_xlfn.TEXTJOIN(CHAR(10),TRUE,_xlfn._xlws.SORT(IF((--($B170=Flowdown_CIC[[URS]:[URS]]))*(--(H$14=Flowdown_CIC[[Source.Name]:[Source.Name]])),Flowdown_CIC[[SyRS]:[SyRS]],"")))</f>
        <v/>
      </c>
      <c r="I170" s="12" t="str" cm="1">
        <f t="array" ref="I170">_xlfn.TEXTJOIN(CHAR(10),TRUE,_xlfn._xlws.SORT(IF((--($B170=Flowdown_CIC[[URS]:[URS]]))*(--(I$14=Flowdown_CIC[[Source.Name]:[Source.Name]])),Flowdown_CIC[[SyRS]:[SyRS]],"")))</f>
        <v/>
      </c>
      <c r="J170" s="12" t="str" cm="1">
        <f t="array" ref="J170">_xlfn.TEXTJOIN(CHAR(10),TRUE,_xlfn._xlws.SORT(IF((--($B170=Flowdown_CIC[[URS]:[URS]]))*(--(J$14=Flowdown_CIC[[Source.Name]:[Source.Name]])),Flowdown_CIC[[SyRS]:[SyRS]],"")))</f>
        <v/>
      </c>
      <c r="K170" s="12" t="str" cm="1">
        <f t="array" ref="K170">_xlfn.TEXTJOIN(CHAR(10),TRUE,_xlfn._xlws.SORT(IF((--($B170=Flowdown_CIC[[URS]:[URS]]))*(--(K$14=Flowdown_CIC[[Source.Name]:[Source.Name]])),Flowdown_CIC[[SyRS]:[SyRS]],"")))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70" s="16" t="b" cm="1">
        <f t="array" ref="L170">OR(LEN(C170:K170)&gt;0)</f>
        <v>1</v>
      </c>
    </row>
    <row r="171" spans="2:12" ht="337.5" x14ac:dyDescent="0.2">
      <c r="B171" s="11" t="str">
        <v>MASTER-6395</v>
      </c>
      <c r="C171" s="12" t="str" cm="1">
        <f t="array" ref="C171">_xlfn.TEXTJOIN(CHAR(10),TRUE,_xlfn._xlws.SORT(IF((--($B171=Flowdown_CIC[[URS]:[URS]]))*(--(C$14=Flowdown_CIC[[Source.Name]:[Source.Name]])),Flowdown_CIC[[SyRS]:[SyRS]],"")))</f>
        <v>MASTER-18189
MASTER-18201</v>
      </c>
      <c r="D171" s="12" t="str" cm="1">
        <f t="array" ref="D171">_xlfn.TEXTJOIN(CHAR(10),TRUE,_xlfn._xlws.SORT(IF((--($B171=Flowdown_CIC[[URS]:[URS]]))*(--(D$14=Flowdown_CIC[[Source.Name]:[Source.Name]])),Flowdown_CIC[[SyRS]:[SyRS]],"")))</f>
        <v>MASTER-18189
MASTER-18201</v>
      </c>
      <c r="E171" s="12" t="str" cm="1">
        <f t="array" ref="E171">_xlfn.TEXTJOIN(CHAR(10),TRUE,_xlfn._xlws.SORT(IF((--($B171=Flowdown_CIC[[URS]:[URS]]))*(--(E$14=Flowdown_CIC[[Source.Name]:[Source.Name]])),Flowdown_CIC[[SyRS]:[SyRS]],"")))</f>
        <v>MASTER-18189
MASTER-18201</v>
      </c>
      <c r="F171" s="12" t="str" cm="1">
        <f t="array" ref="F171">_xlfn.TEXTJOIN(CHAR(10),TRUE,_xlfn._xlws.SORT(IF((--($B171=Flowdown_CIC[[URS]:[URS]]))*(--(F$14=Flowdown_CIC[[Source.Name]:[Source.Name]])),Flowdown_CIC[[SyRS]:[SyRS]],"")))</f>
        <v>MASTER-18189
MASTER-18201</v>
      </c>
      <c r="G171" s="12" t="str" cm="1">
        <f t="array" ref="G171">_xlfn.TEXTJOIN(CHAR(10),TRUE,_xlfn._xlws.SORT(IF((--($B171=Flowdown_CIC[[URS]:[URS]]))*(--(G$14=Flowdown_CIC[[Source.Name]:[Source.Name]])),Flowdown_CIC[[SyRS]:[SyRS]],"")))</f>
        <v>MASTER-18189
MASTER-18201</v>
      </c>
      <c r="H171" s="12" t="str" cm="1">
        <f t="array" ref="H171">_xlfn.TEXTJOIN(CHAR(10),TRUE,_xlfn._xlws.SORT(IF((--($B171=Flowdown_CIC[[URS]:[URS]]))*(--(H$14=Flowdown_CIC[[Source.Name]:[Source.Name]])),Flowdown_CIC[[SyRS]:[SyRS]],"")))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171" s="12" t="str" cm="1">
        <f t="array" ref="I171">_xlfn.TEXTJOIN(CHAR(10),TRUE,_xlfn._xlws.SORT(IF((--($B171=Flowdown_CIC[[URS]:[URS]]))*(--(I$14=Flowdown_CIC[[Source.Name]:[Source.Name]])),Flowdown_CIC[[SyRS]:[SyRS]],"")))</f>
        <v/>
      </c>
      <c r="J171" s="12" t="str" cm="1">
        <f t="array" ref="J171">_xlfn.TEXTJOIN(CHAR(10),TRUE,_xlfn._xlws.SORT(IF((--($B171=Flowdown_CIC[[URS]:[URS]]))*(--(J$14=Flowdown_CIC[[Source.Name]:[Source.Name]])),Flowdown_CIC[[SyRS]:[SyRS]],"")))</f>
        <v/>
      </c>
      <c r="K171" s="12" t="str" cm="1">
        <f t="array" ref="K171">_xlfn.TEXTJOIN(CHAR(10),TRUE,_xlfn._xlws.SORT(IF((--($B171=Flowdown_CIC[[URS]:[URS]]))*(--(K$14=Flowdown_CIC[[Source.Name]:[Source.Name]])),Flowdown_CIC[[SyRS]:[SyRS]],"")))</f>
        <v/>
      </c>
      <c r="L171" s="16" t="b" cm="1">
        <f t="array" ref="L171">OR(LEN(C171:K171)&gt;0)</f>
        <v>1</v>
      </c>
    </row>
    <row r="172" spans="2:12" ht="67.5" x14ac:dyDescent="0.2">
      <c r="B172" s="11" t="str">
        <v>MASTER-6396</v>
      </c>
      <c r="C172" s="12" t="str" cm="1">
        <f t="array" ref="C172">_xlfn.TEXTJOIN(CHAR(10),TRUE,_xlfn._xlws.SORT(IF((--($B172=Flowdown_CIC[[URS]:[URS]]))*(--(C$14=Flowdown_CIC[[Source.Name]:[Source.Name]])),Flowdown_CIC[[SyRS]:[SyRS]],"")))</f>
        <v>MASTER-18189
MASTER-18200
MASTER-18201
MASTER-19314
MASTER-50183</v>
      </c>
      <c r="D172" s="12" t="str" cm="1">
        <f t="array" ref="D172">_xlfn.TEXTJOIN(CHAR(10),TRUE,_xlfn._xlws.SORT(IF((--($B172=Flowdown_CIC[[URS]:[URS]]))*(--(D$14=Flowdown_CIC[[Source.Name]:[Source.Name]])),Flowdown_CIC[[SyRS]:[SyRS]],"")))</f>
        <v>MASTER-18189
MASTER-18200
MASTER-18201
MASTER-19314
MASTER-50183</v>
      </c>
      <c r="E172" s="12" t="str" cm="1">
        <f t="array" ref="E172">_xlfn.TEXTJOIN(CHAR(10),TRUE,_xlfn._xlws.SORT(IF((--($B172=Flowdown_CIC[[URS]:[URS]]))*(--(E$14=Flowdown_CIC[[Source.Name]:[Source.Name]])),Flowdown_CIC[[SyRS]:[SyRS]],"")))</f>
        <v>MASTER-18189
MASTER-18200
MASTER-18201
MASTER-19314
MASTER-50183</v>
      </c>
      <c r="F172" s="12" t="str" cm="1">
        <f t="array" ref="F172">_xlfn.TEXTJOIN(CHAR(10),TRUE,_xlfn._xlws.SORT(IF((--($B172=Flowdown_CIC[[URS]:[URS]]))*(--(F$14=Flowdown_CIC[[Source.Name]:[Source.Name]])),Flowdown_CIC[[SyRS]:[SyRS]],"")))</f>
        <v>MASTER-18189
MASTER-18200
MASTER-18201
MASTER-19314
MASTER-50183</v>
      </c>
      <c r="G172" s="12" t="str" cm="1">
        <f t="array" ref="G172">_xlfn.TEXTJOIN(CHAR(10),TRUE,_xlfn._xlws.SORT(IF((--($B172=Flowdown_CIC[[URS]:[URS]]))*(--(G$14=Flowdown_CIC[[Source.Name]:[Source.Name]])),Flowdown_CIC[[SyRS]:[SyRS]],"")))</f>
        <v>MASTER-18189
MASTER-18200
MASTER-18201
MASTER-19314
MASTER-50183</v>
      </c>
      <c r="H172" s="12" t="str" cm="1">
        <f t="array" ref="H172">_xlfn.TEXTJOIN(CHAR(10),TRUE,_xlfn._xlws.SORT(IF((--($B172=Flowdown_CIC[[URS]:[URS]]))*(--(H$14=Flowdown_CIC[[Source.Name]:[Source.Name]])),Flowdown_CIC[[SyRS]:[SyRS]],"")))</f>
        <v>MASTER-20651
MASTER-20652</v>
      </c>
      <c r="I172" s="12" t="str" cm="1">
        <f t="array" ref="I172">_xlfn.TEXTJOIN(CHAR(10),TRUE,_xlfn._xlws.SORT(IF((--($B172=Flowdown_CIC[[URS]:[URS]]))*(--(I$14=Flowdown_CIC[[Source.Name]:[Source.Name]])),Flowdown_CIC[[SyRS]:[SyRS]],"")))</f>
        <v/>
      </c>
      <c r="J172" s="12" t="str" cm="1">
        <f t="array" ref="J172">_xlfn.TEXTJOIN(CHAR(10),TRUE,_xlfn._xlws.SORT(IF((--($B172=Flowdown_CIC[[URS]:[URS]]))*(--(J$14=Flowdown_CIC[[Source.Name]:[Source.Name]])),Flowdown_CIC[[SyRS]:[SyRS]],"")))</f>
        <v/>
      </c>
      <c r="K172" s="12" t="str" cm="1">
        <f t="array" ref="K172">_xlfn.TEXTJOIN(CHAR(10),TRUE,_xlfn._xlws.SORT(IF((--($B172=Flowdown_CIC[[URS]:[URS]]))*(--(K$14=Flowdown_CIC[[Source.Name]:[Source.Name]])),Flowdown_CIC[[SyRS]:[SyRS]],"")))</f>
        <v/>
      </c>
      <c r="L172" s="16" t="b" cm="1">
        <f t="array" ref="L172">OR(LEN(C172:K172)&gt;0)</f>
        <v>1</v>
      </c>
    </row>
    <row r="173" spans="2:12" ht="409.5" x14ac:dyDescent="0.2">
      <c r="B173" s="11" t="str">
        <v>MASTER-6397</v>
      </c>
      <c r="C173" s="12" t="str" cm="1">
        <f t="array" ref="C173">_xlfn.TEXTJOIN(CHAR(10),TRUE,_xlfn._xlws.SORT(IF((--($B173=Flowdown_CIC[[URS]:[URS]]))*(--(C$14=Flowdown_CIC[[Source.Name]:[Source.Name]])),Flowdown_CIC[[SyRS]:[SyRS]],"")))</f>
        <v>MASTER-18190
MASTER-18200</v>
      </c>
      <c r="D173" s="12" t="str" cm="1">
        <f t="array" ref="D173">_xlfn.TEXTJOIN(CHAR(10),TRUE,_xlfn._xlws.SORT(IF((--($B173=Flowdown_CIC[[URS]:[URS]]))*(--(D$14=Flowdown_CIC[[Source.Name]:[Source.Name]])),Flowdown_CIC[[SyRS]:[SyRS]],"")))</f>
        <v>MASTER-18190
MASTER-18200</v>
      </c>
      <c r="E173" s="12" t="str" cm="1">
        <f t="array" ref="E173">_xlfn.TEXTJOIN(CHAR(10),TRUE,_xlfn._xlws.SORT(IF((--($B173=Flowdown_CIC[[URS]:[URS]]))*(--(E$14=Flowdown_CIC[[Source.Name]:[Source.Name]])),Flowdown_CIC[[SyRS]:[SyRS]],"")))</f>
        <v>MASTER-18190
MASTER-18200</v>
      </c>
      <c r="F173" s="12" t="str" cm="1">
        <f t="array" ref="F173">_xlfn.TEXTJOIN(CHAR(10),TRUE,_xlfn._xlws.SORT(IF((--($B173=Flowdown_CIC[[URS]:[URS]]))*(--(F$14=Flowdown_CIC[[Source.Name]:[Source.Name]])),Flowdown_CIC[[SyRS]:[SyRS]],"")))</f>
        <v>MASTER-18190
MASTER-18200</v>
      </c>
      <c r="G173" s="12" t="str" cm="1">
        <f t="array" ref="G173">_xlfn.TEXTJOIN(CHAR(10),TRUE,_xlfn._xlws.SORT(IF((--($B173=Flowdown_CIC[[URS]:[URS]]))*(--(G$14=Flowdown_CIC[[Source.Name]:[Source.Name]])),Flowdown_CIC[[SyRS]:[SyRS]],"")))</f>
        <v>MASTER-18190
MASTER-18200</v>
      </c>
      <c r="H173" s="12" t="str" cm="1">
        <f t="array" ref="H173">_xlfn.TEXTJOIN(CHAR(10),TRUE,_xlfn._xlws.SORT(IF((--($B173=Flowdown_CIC[[URS]:[URS]]))*(--(H$14=Flowdown_CIC[[Source.Name]:[Source.Name]])),Flowdown_CIC[[SyRS]:[SyRS]],"")))</f>
        <v>MASTER-20657</v>
      </c>
      <c r="I173" s="12" t="str" cm="1">
        <f t="array" ref="I173">_xlfn.TEXTJOIN(CHAR(10),TRUE,_xlfn._xlws.SORT(IF((--($B173=Flowdown_CIC[[URS]:[URS]]))*(--(I$14=Flowdown_CIC[[Source.Name]:[Source.Name]])),Flowdown_CIC[[SyRS]:[SyRS]],"")))</f>
        <v/>
      </c>
      <c r="J173" s="12" t="str" cm="1">
        <f t="array" ref="J173">_xlfn.TEXTJOIN(CHAR(10),TRUE,_xlfn._xlws.SORT(IF((--($B173=Flowdown_CIC[[URS]:[URS]]))*(--(J$14=Flowdown_CIC[[Source.Name]:[Source.Name]])),Flowdown_CIC[[SyRS]:[SyRS]],"")))</f>
        <v/>
      </c>
      <c r="K173" s="12" t="str" cm="1">
        <f t="array" ref="K173">_xlfn.TEXTJOIN(CHAR(10),TRUE,_xlfn._xlws.SORT(IF((--($B173=Flowdown_CIC[[URS]:[URS]]))*(--(K$14=Flowdown_CIC[[Source.Name]:[Source.Name]])),Flowdown_CIC[[SyRS]:[SyRS]],"")))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73" s="16" t="b" cm="1">
        <f t="array" ref="L173">OR(LEN(C173:K173)&gt;0)</f>
        <v>1</v>
      </c>
    </row>
    <row r="174" spans="2:12" ht="13.5" x14ac:dyDescent="0.2">
      <c r="B174" s="11" t="str">
        <v>MASTER-6398</v>
      </c>
      <c r="C174" s="12" t="str" cm="1">
        <f t="array" ref="C174">_xlfn.TEXTJOIN(CHAR(10),TRUE,_xlfn._xlws.SORT(IF((--($B174=Flowdown_CIC[[URS]:[URS]]))*(--(C$14=Flowdown_CIC[[Source.Name]:[Source.Name]])),Flowdown_CIC[[SyRS]:[SyRS]],"")))</f>
        <v/>
      </c>
      <c r="D174" s="12" t="str" cm="1">
        <f t="array" ref="D174">_xlfn.TEXTJOIN(CHAR(10),TRUE,_xlfn._xlws.SORT(IF((--($B174=Flowdown_CIC[[URS]:[URS]]))*(--(D$14=Flowdown_CIC[[Source.Name]:[Source.Name]])),Flowdown_CIC[[SyRS]:[SyRS]],"")))</f>
        <v/>
      </c>
      <c r="E174" s="12" t="str" cm="1">
        <f t="array" ref="E174">_xlfn.TEXTJOIN(CHAR(10),TRUE,_xlfn._xlws.SORT(IF((--($B174=Flowdown_CIC[[URS]:[URS]]))*(--(E$14=Flowdown_CIC[[Source.Name]:[Source.Name]])),Flowdown_CIC[[SyRS]:[SyRS]],"")))</f>
        <v/>
      </c>
      <c r="F174" s="12" t="str" cm="1">
        <f t="array" ref="F174">_xlfn.TEXTJOIN(CHAR(10),TRUE,_xlfn._xlws.SORT(IF((--($B174=Flowdown_CIC[[URS]:[URS]]))*(--(F$14=Flowdown_CIC[[Source.Name]:[Source.Name]])),Flowdown_CIC[[SyRS]:[SyRS]],"")))</f>
        <v/>
      </c>
      <c r="G174" s="12" t="str" cm="1">
        <f t="array" ref="G174">_xlfn.TEXTJOIN(CHAR(10),TRUE,_xlfn._xlws.SORT(IF((--($B174=Flowdown_CIC[[URS]:[URS]]))*(--(G$14=Flowdown_CIC[[Source.Name]:[Source.Name]])),Flowdown_CIC[[SyRS]:[SyRS]],"")))</f>
        <v/>
      </c>
      <c r="H174" s="12" t="str" cm="1">
        <f t="array" ref="H174">_xlfn.TEXTJOIN(CHAR(10),TRUE,_xlfn._xlws.SORT(IF((--($B174=Flowdown_CIC[[URS]:[URS]]))*(--(H$14=Flowdown_CIC[[Source.Name]:[Source.Name]])),Flowdown_CIC[[SyRS]:[SyRS]],"")))</f>
        <v/>
      </c>
      <c r="I174" s="12" t="str" cm="1">
        <f t="array" ref="I174">_xlfn.TEXTJOIN(CHAR(10),TRUE,_xlfn._xlws.SORT(IF((--($B174=Flowdown_CIC[[URS]:[URS]]))*(--(I$14=Flowdown_CIC[[Source.Name]:[Source.Name]])),Flowdown_CIC[[SyRS]:[SyRS]],"")))</f>
        <v/>
      </c>
      <c r="J174" s="12" t="str" cm="1">
        <f t="array" ref="J174">_xlfn.TEXTJOIN(CHAR(10),TRUE,_xlfn._xlws.SORT(IF((--($B174=Flowdown_CIC[[URS]:[URS]]))*(--(J$14=Flowdown_CIC[[Source.Name]:[Source.Name]])),Flowdown_CIC[[SyRS]:[SyRS]],"")))</f>
        <v/>
      </c>
      <c r="K174" s="12" t="str" cm="1">
        <f t="array" ref="K174">_xlfn.TEXTJOIN(CHAR(10),TRUE,_xlfn._xlws.SORT(IF((--($B174=Flowdown_CIC[[URS]:[URS]]))*(--(K$14=Flowdown_CIC[[Source.Name]:[Source.Name]])),Flowdown_CIC[[SyRS]:[SyRS]],"")))</f>
        <v>UTICA-6120</v>
      </c>
      <c r="L174" s="16" t="b" cm="1">
        <f t="array" ref="L174">OR(LEN(C174:K174)&gt;0)</f>
        <v>1</v>
      </c>
    </row>
    <row r="175" spans="2:12" ht="229.5" x14ac:dyDescent="0.2">
      <c r="B175" s="11" t="str">
        <v>MASTER-6400</v>
      </c>
      <c r="C175" s="12" t="str" cm="1">
        <f t="array" ref="C175">_xlfn.TEXTJOIN(CHAR(10),TRUE,_xlfn._xlws.SORT(IF((--($B175=Flowdown_CIC[[URS]:[URS]]))*(--(C$14=Flowdown_CIC[[Source.Name]:[Source.Name]])),Flowdown_CIC[[SyRS]:[SyRS]],"")))</f>
        <v>MASTER-18144
MASTER-18152
MASTER-18682
MASTER-42113
MASTER-42114
MASTER-50013
MASTER-50021</v>
      </c>
      <c r="D175" s="12" t="str" cm="1">
        <f t="array" ref="D175">_xlfn.TEXTJOIN(CHAR(10),TRUE,_xlfn._xlws.SORT(IF((--($B175=Flowdown_CIC[[URS]:[URS]]))*(--(D$14=Flowdown_CIC[[Source.Name]:[Source.Name]])),Flowdown_CIC[[SyRS]:[SyRS]],"")))</f>
        <v>MASTER-18144
MASTER-18152
MASTER-18155
MASTER-18682
MASTER-42113
MASTER-42114
MASTER-50013
MASTER-50021</v>
      </c>
      <c r="E175" s="12" t="str" cm="1">
        <f t="array" ref="E175">_xlfn.TEXTJOIN(CHAR(10),TRUE,_xlfn._xlws.SORT(IF((--($B175=Flowdown_CIC[[URS]:[URS]]))*(--(E$14=Flowdown_CIC[[Source.Name]:[Source.Name]])),Flowdown_CIC[[SyRS]:[SyRS]],"")))</f>
        <v>MASTER-18144
MASTER-18152
MASTER-18682
MASTER-42113
MASTER-42114
MASTER-50013
MASTER-50021</v>
      </c>
      <c r="F175" s="12" t="str" cm="1">
        <f t="array" ref="F175">_xlfn.TEXTJOIN(CHAR(10),TRUE,_xlfn._xlws.SORT(IF((--($B175=Flowdown_CIC[[URS]:[URS]]))*(--(F$14=Flowdown_CIC[[Source.Name]:[Source.Name]])),Flowdown_CIC[[SyRS]:[SyRS]],"")))</f>
        <v>MASTER-18144
MASTER-18152
MASTER-18682
MASTER-42113
MASTER-42114
MASTER-50013
MASTER-50021</v>
      </c>
      <c r="G175" s="12" t="str" cm="1">
        <f t="array" ref="G175">_xlfn.TEXTJOIN(CHAR(10),TRUE,_xlfn._xlws.SORT(IF((--($B175=Flowdown_CIC[[URS]:[URS]]))*(--(G$14=Flowdown_CIC[[Source.Name]:[Source.Name]])),Flowdown_CIC[[SyRS]:[SyRS]],"")))</f>
        <v>MASTER-18144
MASTER-18152
MASTER-18682
MASTER-42113
MASTER-42114
MASTER-50013
MASTER-50021</v>
      </c>
      <c r="H175" s="12" t="str" cm="1">
        <f t="array" ref="H175">_xlfn.TEXTJOIN(CHAR(10),TRUE,_xlfn._xlws.SORT(IF((--($B175=Flowdown_CIC[[URS]:[URS]]))*(--(H$14=Flowdown_CIC[[Source.Name]:[Source.Name]])),Flowdown_CIC[[SyRS]:[SyRS]],"")))</f>
        <v/>
      </c>
      <c r="I175" s="12" t="str" cm="1">
        <f t="array" ref="I175">_xlfn.TEXTJOIN(CHAR(10),TRUE,_xlfn._xlws.SORT(IF((--($B175=Flowdown_CIC[[URS]:[URS]]))*(--(I$14=Flowdown_CIC[[Source.Name]:[Source.Name]])),Flowdown_CIC[[SyRS]:[SyRS]],"")))</f>
        <v/>
      </c>
      <c r="J175" s="12" t="str" cm="1">
        <f t="array" ref="J175">_xlfn.TEXTJOIN(CHAR(10),TRUE,_xlfn._xlws.SORT(IF((--($B175=Flowdown_CIC[[URS]:[URS]]))*(--(J$14=Flowdown_CIC[[Source.Name]:[Source.Name]])),Flowdown_CIC[[SyRS]:[SyRS]],"")))</f>
        <v/>
      </c>
      <c r="K175" s="12" t="str" cm="1">
        <f t="array" ref="K175">_xlfn.TEXTJOIN(CHAR(10),TRUE,_xlfn._xlws.SORT(IF((--($B175=Flowdown_CIC[[URS]:[URS]]))*(--(K$14=Flowdown_CIC[[Source.Name]:[Source.Name]])),Flowdown_CIC[[SyRS]:[SyRS]],"")))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75" s="16" t="b" cm="1">
        <f t="array" ref="L175">OR(LEN(C175:K175)&gt;0)</f>
        <v>1</v>
      </c>
    </row>
    <row r="176" spans="2:12" ht="54" x14ac:dyDescent="0.2">
      <c r="B176" s="11" t="str">
        <v>MASTER-6401</v>
      </c>
      <c r="C176" s="12" t="str" cm="1">
        <f t="array" ref="C176">_xlfn.TEXTJOIN(CHAR(10),TRUE,_xlfn._xlws.SORT(IF((--($B176=Flowdown_CIC[[URS]:[URS]]))*(--(C$14=Flowdown_CIC[[Source.Name]:[Source.Name]])),Flowdown_CIC[[SyRS]:[SyRS]],"")))</f>
        <v>MASTER-60681</v>
      </c>
      <c r="D176" s="12" t="str" cm="1">
        <f t="array" ref="D176">_xlfn.TEXTJOIN(CHAR(10),TRUE,_xlfn._xlws.SORT(IF((--($B176=Flowdown_CIC[[URS]:[URS]]))*(--(D$14=Flowdown_CIC[[Source.Name]:[Source.Name]])),Flowdown_CIC[[SyRS]:[SyRS]],"")))</f>
        <v>MASTER-60675
MASTER-60681</v>
      </c>
      <c r="E176" s="12" t="str" cm="1">
        <f t="array" ref="E176">_xlfn.TEXTJOIN(CHAR(10),TRUE,_xlfn._xlws.SORT(IF((--($B176=Flowdown_CIC[[URS]:[URS]]))*(--(E$14=Flowdown_CIC[[Source.Name]:[Source.Name]])),Flowdown_CIC[[SyRS]:[SyRS]],"")))</f>
        <v>MASTER-60675
MASTER-60685</v>
      </c>
      <c r="F176" s="12" t="str" cm="1">
        <f t="array" ref="F176">_xlfn.TEXTJOIN(CHAR(10),TRUE,_xlfn._xlws.SORT(IF((--($B176=Flowdown_CIC[[URS]:[URS]]))*(--(F$14=Flowdown_CIC[[Source.Name]:[Source.Name]])),Flowdown_CIC[[SyRS]:[SyRS]],"")))</f>
        <v>MASTER-60675
MASTER-60681</v>
      </c>
      <c r="G176" s="12" t="str" cm="1">
        <f t="array" ref="G176">_xlfn.TEXTJOIN(CHAR(10),TRUE,_xlfn._xlws.SORT(IF((--($B176=Flowdown_CIC[[URS]:[URS]]))*(--(G$14=Flowdown_CIC[[Source.Name]:[Source.Name]])),Flowdown_CIC[[SyRS]:[SyRS]],"")))</f>
        <v>MASTER-60675
MASTER-60681</v>
      </c>
      <c r="H176" s="12" t="str" cm="1">
        <f t="array" ref="H176">_xlfn.TEXTJOIN(CHAR(10),TRUE,_xlfn._xlws.SORT(IF((--($B176=Flowdown_CIC[[URS]:[URS]]))*(--(H$14=Flowdown_CIC[[Source.Name]:[Source.Name]])),Flowdown_CIC[[SyRS]:[SyRS]],"")))</f>
        <v/>
      </c>
      <c r="I176" s="12" t="str" cm="1">
        <f t="array" ref="I176">_xlfn.TEXTJOIN(CHAR(10),TRUE,_xlfn._xlws.SORT(IF((--($B176=Flowdown_CIC[[URS]:[URS]]))*(--(I$14=Flowdown_CIC[[Source.Name]:[Source.Name]])),Flowdown_CIC[[SyRS]:[SyRS]],"")))</f>
        <v/>
      </c>
      <c r="J176" s="12" t="str" cm="1">
        <f t="array" ref="J176">_xlfn.TEXTJOIN(CHAR(10),TRUE,_xlfn._xlws.SORT(IF((--($B176=Flowdown_CIC[[URS]:[URS]]))*(--(J$14=Flowdown_CIC[[Source.Name]:[Source.Name]])),Flowdown_CIC[[SyRS]:[SyRS]],"")))</f>
        <v/>
      </c>
      <c r="K176" s="12" t="str" cm="1">
        <f t="array" ref="K176">_xlfn.TEXTJOIN(CHAR(10),TRUE,_xlfn._xlws.SORT(IF((--($B176=Flowdown_CIC[[URS]:[URS]]))*(--(K$14=Flowdown_CIC[[Source.Name]:[Source.Name]])),Flowdown_CIC[[SyRS]:[SyRS]],"")))</f>
        <v>MASTER-16489
MASTER-16490
MASTER-16491
MASTER-16492</v>
      </c>
      <c r="L176" s="16" t="b" cm="1">
        <f t="array" ref="L176">OR(LEN(C176:K176)&gt;0)</f>
        <v>1</v>
      </c>
    </row>
    <row r="177" spans="2:12" ht="54" x14ac:dyDescent="0.2">
      <c r="B177" s="11" t="str">
        <v>MASTER-6402</v>
      </c>
      <c r="C177" s="12" t="str" cm="1">
        <f t="array" ref="C177">_xlfn.TEXTJOIN(CHAR(10),TRUE,_xlfn._xlws.SORT(IF((--($B177=Flowdown_CIC[[URS]:[URS]]))*(--(C$14=Flowdown_CIC[[Source.Name]:[Source.Name]])),Flowdown_CIC[[SyRS]:[SyRS]],"")))</f>
        <v>MASTER-18118
MASTER-18162
MASTER-18163
MASTER-18167</v>
      </c>
      <c r="D177" s="12" t="str" cm="1">
        <f t="array" ref="D177">_xlfn.TEXTJOIN(CHAR(10),TRUE,_xlfn._xlws.SORT(IF((--($B177=Flowdown_CIC[[URS]:[URS]]))*(--(D$14=Flowdown_CIC[[Source.Name]:[Source.Name]])),Flowdown_CIC[[SyRS]:[SyRS]],"")))</f>
        <v>MASTER-18118
MASTER-18162
MASTER-18163
MASTER-18167</v>
      </c>
      <c r="E177" s="12" t="str" cm="1">
        <f t="array" ref="E177">_xlfn.TEXTJOIN(CHAR(10),TRUE,_xlfn._xlws.SORT(IF((--($B177=Flowdown_CIC[[URS]:[URS]]))*(--(E$14=Flowdown_CIC[[Source.Name]:[Source.Name]])),Flowdown_CIC[[SyRS]:[SyRS]],"")))</f>
        <v>MASTER-18118
MASTER-18162
MASTER-18163
MASTER-18167</v>
      </c>
      <c r="F177" s="12" t="str" cm="1">
        <f t="array" ref="F177">_xlfn.TEXTJOIN(CHAR(10),TRUE,_xlfn._xlws.SORT(IF((--($B177=Flowdown_CIC[[URS]:[URS]]))*(--(F$14=Flowdown_CIC[[Source.Name]:[Source.Name]])),Flowdown_CIC[[SyRS]:[SyRS]],"")))</f>
        <v>MASTER-18118
MASTER-18162
MASTER-18163
MASTER-18167</v>
      </c>
      <c r="G177" s="12" t="str" cm="1">
        <f t="array" ref="G177">_xlfn.TEXTJOIN(CHAR(10),TRUE,_xlfn._xlws.SORT(IF((--($B177=Flowdown_CIC[[URS]:[URS]]))*(--(G$14=Flowdown_CIC[[Source.Name]:[Source.Name]])),Flowdown_CIC[[SyRS]:[SyRS]],"")))</f>
        <v>MASTER-18118
MASTER-18162
MASTER-18163
MASTER-18167</v>
      </c>
      <c r="H177" s="12" t="str" cm="1">
        <f t="array" ref="H177">_xlfn.TEXTJOIN(CHAR(10),TRUE,_xlfn._xlws.SORT(IF((--($B177=Flowdown_CIC[[URS]:[URS]]))*(--(H$14=Flowdown_CIC[[Source.Name]:[Source.Name]])),Flowdown_CIC[[SyRS]:[SyRS]],"")))</f>
        <v/>
      </c>
      <c r="I177" s="12" t="str" cm="1">
        <f t="array" ref="I177">_xlfn.TEXTJOIN(CHAR(10),TRUE,_xlfn._xlws.SORT(IF((--($B177=Flowdown_CIC[[URS]:[URS]]))*(--(I$14=Flowdown_CIC[[Source.Name]:[Source.Name]])),Flowdown_CIC[[SyRS]:[SyRS]],"")))</f>
        <v/>
      </c>
      <c r="J177" s="12" t="str" cm="1">
        <f t="array" ref="J177">_xlfn.TEXTJOIN(CHAR(10),TRUE,_xlfn._xlws.SORT(IF((--($B177=Flowdown_CIC[[URS]:[URS]]))*(--(J$14=Flowdown_CIC[[Source.Name]:[Source.Name]])),Flowdown_CIC[[SyRS]:[SyRS]],"")))</f>
        <v/>
      </c>
      <c r="K177" s="12" t="str" cm="1">
        <f t="array" ref="K177">_xlfn.TEXTJOIN(CHAR(10),TRUE,_xlfn._xlws.SORT(IF((--($B177=Flowdown_CIC[[URS]:[URS]]))*(--(K$14=Flowdown_CIC[[Source.Name]:[Source.Name]])),Flowdown_CIC[[SyRS]:[SyRS]],"")))</f>
        <v>MASTER-16505</v>
      </c>
      <c r="L177" s="16" t="b" cm="1">
        <f t="array" ref="L177">OR(LEN(C177:K177)&gt;0)</f>
        <v>1</v>
      </c>
    </row>
    <row r="178" spans="2:12" ht="13.5" x14ac:dyDescent="0.2">
      <c r="B178" s="11" t="str">
        <v>MASTER-6403</v>
      </c>
      <c r="C178" s="12" t="str" cm="1">
        <f t="array" ref="C178">_xlfn.TEXTJOIN(CHAR(10),TRUE,_xlfn._xlws.SORT(IF((--($B178=Flowdown_CIC[[URS]:[URS]]))*(--(C$14=Flowdown_CIC[[Source.Name]:[Source.Name]])),Flowdown_CIC[[SyRS]:[SyRS]],"")))</f>
        <v/>
      </c>
      <c r="D178" s="12" t="str" cm="1">
        <f t="array" ref="D178">_xlfn.TEXTJOIN(CHAR(10),TRUE,_xlfn._xlws.SORT(IF((--($B178=Flowdown_CIC[[URS]:[URS]]))*(--(D$14=Flowdown_CIC[[Source.Name]:[Source.Name]])),Flowdown_CIC[[SyRS]:[SyRS]],"")))</f>
        <v/>
      </c>
      <c r="E178" s="12" t="str" cm="1">
        <f t="array" ref="E178">_xlfn.TEXTJOIN(CHAR(10),TRUE,_xlfn._xlws.SORT(IF((--($B178=Flowdown_CIC[[URS]:[URS]]))*(--(E$14=Flowdown_CIC[[Source.Name]:[Source.Name]])),Flowdown_CIC[[SyRS]:[SyRS]],"")))</f>
        <v/>
      </c>
      <c r="F178" s="12" t="str" cm="1">
        <f t="array" ref="F178">_xlfn.TEXTJOIN(CHAR(10),TRUE,_xlfn._xlws.SORT(IF((--($B178=Flowdown_CIC[[URS]:[URS]]))*(--(F$14=Flowdown_CIC[[Source.Name]:[Source.Name]])),Flowdown_CIC[[SyRS]:[SyRS]],"")))</f>
        <v/>
      </c>
      <c r="G178" s="12" t="str" cm="1">
        <f t="array" ref="G178">_xlfn.TEXTJOIN(CHAR(10),TRUE,_xlfn._xlws.SORT(IF((--($B178=Flowdown_CIC[[URS]:[URS]]))*(--(G$14=Flowdown_CIC[[Source.Name]:[Source.Name]])),Flowdown_CIC[[SyRS]:[SyRS]],"")))</f>
        <v/>
      </c>
      <c r="H178" s="12" t="str" cm="1">
        <f t="array" ref="H178">_xlfn.TEXTJOIN(CHAR(10),TRUE,_xlfn._xlws.SORT(IF((--($B178=Flowdown_CIC[[URS]:[URS]]))*(--(H$14=Flowdown_CIC[[Source.Name]:[Source.Name]])),Flowdown_CIC[[SyRS]:[SyRS]],"")))</f>
        <v/>
      </c>
      <c r="I178" s="12" t="str" cm="1">
        <f t="array" ref="I178">_xlfn.TEXTJOIN(CHAR(10),TRUE,_xlfn._xlws.SORT(IF((--($B178=Flowdown_CIC[[URS]:[URS]]))*(--(I$14=Flowdown_CIC[[Source.Name]:[Source.Name]])),Flowdown_CIC[[SyRS]:[SyRS]],"")))</f>
        <v/>
      </c>
      <c r="J178" s="12" t="str" cm="1">
        <f t="array" ref="J178">_xlfn.TEXTJOIN(CHAR(10),TRUE,_xlfn._xlws.SORT(IF((--($B178=Flowdown_CIC[[URS]:[URS]]))*(--(J$14=Flowdown_CIC[[Source.Name]:[Source.Name]])),Flowdown_CIC[[SyRS]:[SyRS]],"")))</f>
        <v>MASTER-19821</v>
      </c>
      <c r="K178" s="12" t="str" cm="1">
        <f t="array" ref="K178">_xlfn.TEXTJOIN(CHAR(10),TRUE,_xlfn._xlws.SORT(IF((--($B178=Flowdown_CIC[[URS]:[URS]]))*(--(K$14=Flowdown_CIC[[Source.Name]:[Source.Name]])),Flowdown_CIC[[SyRS]:[SyRS]],"")))</f>
        <v/>
      </c>
      <c r="L178" s="16" t="b" cm="1">
        <f t="array" ref="L178">OR(LEN(C178:K178)&gt;0)</f>
        <v>1</v>
      </c>
    </row>
    <row r="179" spans="2:12" ht="40.5" x14ac:dyDescent="0.2">
      <c r="B179" s="11" t="str">
        <v>MASTER-6404</v>
      </c>
      <c r="C179" s="12" t="str" cm="1">
        <f t="array" ref="C179">_xlfn.TEXTJOIN(CHAR(10),TRUE,_xlfn._xlws.SORT(IF((--($B179=Flowdown_CIC[[URS]:[URS]]))*(--(C$14=Flowdown_CIC[[Source.Name]:[Source.Name]])),Flowdown_CIC[[SyRS]:[SyRS]],"")))</f>
        <v>MASTER-19249</v>
      </c>
      <c r="D179" s="12" t="str" cm="1">
        <f t="array" ref="D179">_xlfn.TEXTJOIN(CHAR(10),TRUE,_xlfn._xlws.SORT(IF((--($B179=Flowdown_CIC[[URS]:[URS]]))*(--(D$14=Flowdown_CIC[[Source.Name]:[Source.Name]])),Flowdown_CIC[[SyRS]:[SyRS]],"")))</f>
        <v>MASTER-19249</v>
      </c>
      <c r="E179" s="12" t="str" cm="1">
        <f t="array" ref="E179">_xlfn.TEXTJOIN(CHAR(10),TRUE,_xlfn._xlws.SORT(IF((--($B179=Flowdown_CIC[[URS]:[URS]]))*(--(E$14=Flowdown_CIC[[Source.Name]:[Source.Name]])),Flowdown_CIC[[SyRS]:[SyRS]],"")))</f>
        <v>MASTER-19249</v>
      </c>
      <c r="F179" s="12" t="str" cm="1">
        <f t="array" ref="F179">_xlfn.TEXTJOIN(CHAR(10),TRUE,_xlfn._xlws.SORT(IF((--($B179=Flowdown_CIC[[URS]:[URS]]))*(--(F$14=Flowdown_CIC[[Source.Name]:[Source.Name]])),Flowdown_CIC[[SyRS]:[SyRS]],"")))</f>
        <v>MASTER-19249</v>
      </c>
      <c r="G179" s="12" t="str" cm="1">
        <f t="array" ref="G179">_xlfn.TEXTJOIN(CHAR(10),TRUE,_xlfn._xlws.SORT(IF((--($B179=Flowdown_CIC[[URS]:[URS]]))*(--(G$14=Flowdown_CIC[[Source.Name]:[Source.Name]])),Flowdown_CIC[[SyRS]:[SyRS]],"")))</f>
        <v>MASTER-19249</v>
      </c>
      <c r="H179" s="12" t="str" cm="1">
        <f t="array" ref="H179">_xlfn.TEXTJOIN(CHAR(10),TRUE,_xlfn._xlws.SORT(IF((--($B179=Flowdown_CIC[[URS]:[URS]]))*(--(H$14=Flowdown_CIC[[Source.Name]:[Source.Name]])),Flowdown_CIC[[SyRS]:[SyRS]],"")))</f>
        <v>MASTER-21897
MASTER-21900
MASTER-21901</v>
      </c>
      <c r="I179" s="12" t="str" cm="1">
        <f t="array" ref="I179">_xlfn.TEXTJOIN(CHAR(10),TRUE,_xlfn._xlws.SORT(IF((--($B179=Flowdown_CIC[[URS]:[URS]]))*(--(I$14=Flowdown_CIC[[Source.Name]:[Source.Name]])),Flowdown_CIC[[SyRS]:[SyRS]],"")))</f>
        <v>MASTER-20021
MASTER-64822
UTICA-209</v>
      </c>
      <c r="J179" s="12" t="str" cm="1">
        <f t="array" ref="J179">_xlfn.TEXTJOIN(CHAR(10),TRUE,_xlfn._xlws.SORT(IF((--($B179=Flowdown_CIC[[URS]:[URS]]))*(--(J$14=Flowdown_CIC[[Source.Name]:[Source.Name]])),Flowdown_CIC[[SyRS]:[SyRS]],"")))</f>
        <v/>
      </c>
      <c r="K179" s="12" t="str" cm="1">
        <f t="array" ref="K179">_xlfn.TEXTJOIN(CHAR(10),TRUE,_xlfn._xlws.SORT(IF((--($B179=Flowdown_CIC[[URS]:[URS]]))*(--(K$14=Flowdown_CIC[[Source.Name]:[Source.Name]])),Flowdown_CIC[[SyRS]:[SyRS]],"")))</f>
        <v>MASTER-16739</v>
      </c>
      <c r="L179" s="16" t="b" cm="1">
        <f t="array" ref="L179">OR(LEN(C179:K179)&gt;0)</f>
        <v>1</v>
      </c>
    </row>
    <row r="180" spans="2:12" ht="229.5" x14ac:dyDescent="0.2">
      <c r="B180" s="11" t="str">
        <v>MASTER-6405</v>
      </c>
      <c r="C180" s="12" t="str" cm="1">
        <f t="array" ref="C180">_xlfn.TEXTJOIN(CHAR(10),TRUE,_xlfn._xlws.SORT(IF((--($B180=Flowdown_CIC[[URS]:[URS]]))*(--(C$14=Flowdown_CIC[[Source.Name]:[Source.Name]])),Flowdown_CIC[[SyRS]:[SyRS]],"")))</f>
        <v>MASTER-18116
MASTER-18160
MASTER-18162
MASTER-18167
MASTER-24072
MASTER-50015
MASTER-50017
MASTER-64681</v>
      </c>
      <c r="D180" s="12" t="str" cm="1">
        <f t="array" ref="D180">_xlfn.TEXTJOIN(CHAR(10),TRUE,_xlfn._xlws.SORT(IF((--($B180=Flowdown_CIC[[URS]:[URS]]))*(--(D$14=Flowdown_CIC[[Source.Name]:[Source.Name]])),Flowdown_CIC[[SyRS]:[SyRS]],"")))</f>
        <v>MASTER-18116
MASTER-18160
MASTER-18162
MASTER-18167
MASTER-24072
MASTER-50015
MASTER-50017
MASTER-64681</v>
      </c>
      <c r="E180" s="12" t="str" cm="1">
        <f t="array" ref="E180">_xlfn.TEXTJOIN(CHAR(10),TRUE,_xlfn._xlws.SORT(IF((--($B180=Flowdown_CIC[[URS]:[URS]]))*(--(E$14=Flowdown_CIC[[Source.Name]:[Source.Name]])),Flowdown_CIC[[SyRS]:[SyRS]],"")))</f>
        <v>MASTER-18116
MASTER-18132
MASTER-18160
MASTER-18162
MASTER-18167
MASTER-24072
MASTER-50015
MASTER-50017
MASTER-64681</v>
      </c>
      <c r="F180" s="12" t="str" cm="1">
        <f t="array" ref="F180">_xlfn.TEXTJOIN(CHAR(10),TRUE,_xlfn._xlws.SORT(IF((--($B180=Flowdown_CIC[[URS]:[URS]]))*(--(F$14=Flowdown_CIC[[Source.Name]:[Source.Name]])),Flowdown_CIC[[SyRS]:[SyRS]],"")))</f>
        <v>MASTER-18116
MASTER-18160
MASTER-18162
MASTER-18167
MASTER-24072
MASTER-50015
MASTER-50017
MASTER-64681</v>
      </c>
      <c r="G180" s="12" t="str" cm="1">
        <f t="array" ref="G180">_xlfn.TEXTJOIN(CHAR(10),TRUE,_xlfn._xlws.SORT(IF((--($B180=Flowdown_CIC[[URS]:[URS]]))*(--(G$14=Flowdown_CIC[[Source.Name]:[Source.Name]])),Flowdown_CIC[[SyRS]:[SyRS]],"")))</f>
        <v>MASTER-18116
MASTER-18160
MASTER-18162
MASTER-18167
MASTER-24072
MASTER-50015
MASTER-50017
MASTER-64681</v>
      </c>
      <c r="H180" s="12" t="str" cm="1">
        <f t="array" ref="H180">_xlfn.TEXTJOIN(CHAR(10),TRUE,_xlfn._xlws.SORT(IF((--($B180=Flowdown_CIC[[URS]:[URS]]))*(--(H$14=Flowdown_CIC[[Source.Name]:[Source.Name]])),Flowdown_CIC[[SyRS]:[SyRS]],"")))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80" s="12" t="str" cm="1">
        <f t="array" ref="I180">_xlfn.TEXTJOIN(CHAR(10),TRUE,_xlfn._xlws.SORT(IF((--($B180=Flowdown_CIC[[URS]:[URS]]))*(--(I$14=Flowdown_CIC[[Source.Name]:[Source.Name]])),Flowdown_CIC[[SyRS]:[SyRS]],"")))</f>
        <v/>
      </c>
      <c r="J180" s="12" t="str" cm="1">
        <f t="array" ref="J180">_xlfn.TEXTJOIN(CHAR(10),TRUE,_xlfn._xlws.SORT(IF((--($B180=Flowdown_CIC[[URS]:[URS]]))*(--(J$14=Flowdown_CIC[[Source.Name]:[Source.Name]])),Flowdown_CIC[[SyRS]:[SyRS]],"")))</f>
        <v/>
      </c>
      <c r="K180" s="12" t="str" cm="1">
        <f t="array" ref="K180">_xlfn.TEXTJOIN(CHAR(10),TRUE,_xlfn._xlws.SORT(IF((--($B180=Flowdown_CIC[[URS]:[URS]]))*(--(K$14=Flowdown_CIC[[Source.Name]:[Source.Name]])),Flowdown_CIC[[SyRS]:[SyRS]],"")))</f>
        <v/>
      </c>
      <c r="L180" s="16" t="b" cm="1">
        <f t="array" ref="L180">OR(LEN(C180:K180)&gt;0)</f>
        <v>1</v>
      </c>
    </row>
    <row r="181" spans="2:12" ht="94.5" x14ac:dyDescent="0.2">
      <c r="B181" s="11" t="str">
        <v>MASTER-6406</v>
      </c>
      <c r="C181" s="12" t="str" cm="1">
        <f t="array" ref="C181">_xlfn.TEXTJOIN(CHAR(10),TRUE,_xlfn._xlws.SORT(IF((--($B181=Flowdown_CIC[[URS]:[URS]]))*(--(C$14=Flowdown_CIC[[Source.Name]:[Source.Name]])),Flowdown_CIC[[SyRS]:[SyRS]],"")))</f>
        <v>MASTER-18119
MASTER-18144
MASTER-18152
MASTER-42113
MASTER-42114
MASTER-50018</v>
      </c>
      <c r="D181" s="12" t="str" cm="1">
        <f t="array" ref="D181">_xlfn.TEXTJOIN(CHAR(10),TRUE,_xlfn._xlws.SORT(IF((--($B181=Flowdown_CIC[[URS]:[URS]]))*(--(D$14=Flowdown_CIC[[Source.Name]:[Source.Name]])),Flowdown_CIC[[SyRS]:[SyRS]],"")))</f>
        <v>MASTER-18119
MASTER-18144
MASTER-18152
MASTER-18155
MASTER-42113
MASTER-42114
MASTER-50018</v>
      </c>
      <c r="E181" s="12" t="str" cm="1">
        <f t="array" ref="E181">_xlfn.TEXTJOIN(CHAR(10),TRUE,_xlfn._xlws.SORT(IF((--($B181=Flowdown_CIC[[URS]:[URS]]))*(--(E$14=Flowdown_CIC[[Source.Name]:[Source.Name]])),Flowdown_CIC[[SyRS]:[SyRS]],"")))</f>
        <v>MASTER-18119
MASTER-18144
MASTER-18152
MASTER-42113
MASTER-42114
MASTER-50018</v>
      </c>
      <c r="F181" s="12" t="str" cm="1">
        <f t="array" ref="F181">_xlfn.TEXTJOIN(CHAR(10),TRUE,_xlfn._xlws.SORT(IF((--($B181=Flowdown_CIC[[URS]:[URS]]))*(--(F$14=Flowdown_CIC[[Source.Name]:[Source.Name]])),Flowdown_CIC[[SyRS]:[SyRS]],"")))</f>
        <v>MASTER-18119
MASTER-18144
MASTER-18152
MASTER-42113
MASTER-42114
MASTER-50018</v>
      </c>
      <c r="G181" s="12" t="str" cm="1">
        <f t="array" ref="G181">_xlfn.TEXTJOIN(CHAR(10),TRUE,_xlfn._xlws.SORT(IF((--($B181=Flowdown_CIC[[URS]:[URS]]))*(--(G$14=Flowdown_CIC[[Source.Name]:[Source.Name]])),Flowdown_CIC[[SyRS]:[SyRS]],"")))</f>
        <v>MASTER-18119
MASTER-18144
MASTER-18152
MASTER-42113
MASTER-42114
MASTER-50018</v>
      </c>
      <c r="H181" s="12" t="str" cm="1">
        <f t="array" ref="H181">_xlfn.TEXTJOIN(CHAR(10),TRUE,_xlfn._xlws.SORT(IF((--($B181=Flowdown_CIC[[URS]:[URS]]))*(--(H$14=Flowdown_CIC[[Source.Name]:[Source.Name]])),Flowdown_CIC[[SyRS]:[SyRS]],"")))</f>
        <v>MASTER-21894
MASTER-21904</v>
      </c>
      <c r="I181" s="12" t="str" cm="1">
        <f t="array" ref="I181">_xlfn.TEXTJOIN(CHAR(10),TRUE,_xlfn._xlws.SORT(IF((--($B181=Flowdown_CIC[[URS]:[URS]]))*(--(I$14=Flowdown_CIC[[Source.Name]:[Source.Name]])),Flowdown_CIC[[SyRS]:[SyRS]],"")))</f>
        <v/>
      </c>
      <c r="J181" s="12" t="str" cm="1">
        <f t="array" ref="J181">_xlfn.TEXTJOIN(CHAR(10),TRUE,_xlfn._xlws.SORT(IF((--($B181=Flowdown_CIC[[URS]:[URS]]))*(--(J$14=Flowdown_CIC[[Source.Name]:[Source.Name]])),Flowdown_CIC[[SyRS]:[SyRS]],"")))</f>
        <v/>
      </c>
      <c r="K181" s="12" t="str" cm="1">
        <f t="array" ref="K181">_xlfn.TEXTJOIN(CHAR(10),TRUE,_xlfn._xlws.SORT(IF((--($B181=Flowdown_CIC[[URS]:[URS]]))*(--(K$14=Flowdown_CIC[[Source.Name]:[Source.Name]])),Flowdown_CIC[[SyRS]:[SyRS]],"")))</f>
        <v/>
      </c>
      <c r="L181" s="16" t="b" cm="1">
        <f t="array" ref="L181">OR(LEN(C181:K181)&gt;0)</f>
        <v>1</v>
      </c>
    </row>
    <row r="182" spans="2:12" ht="67.5" x14ac:dyDescent="0.2">
      <c r="B182" s="11" t="str">
        <v>MASTER-6407</v>
      </c>
      <c r="C182" s="12" t="str" cm="1">
        <f t="array" ref="C182">_xlfn.TEXTJOIN(CHAR(10),TRUE,_xlfn._xlws.SORT(IF((--($B182=Flowdown_CIC[[URS]:[URS]]))*(--(C$14=Flowdown_CIC[[Source.Name]:[Source.Name]])),Flowdown_CIC[[SyRS]:[SyRS]],"")))</f>
        <v>MASTER-18118
MASTER-18119
MASTER-18163
MASTER-18164
MASTER-50018</v>
      </c>
      <c r="D182" s="12" t="str" cm="1">
        <f t="array" ref="D182">_xlfn.TEXTJOIN(CHAR(10),TRUE,_xlfn._xlws.SORT(IF((--($B182=Flowdown_CIC[[URS]:[URS]]))*(--(D$14=Flowdown_CIC[[Source.Name]:[Source.Name]])),Flowdown_CIC[[SyRS]:[SyRS]],"")))</f>
        <v>MASTER-18118
MASTER-18119
MASTER-18163
MASTER-18164
MASTER-50018</v>
      </c>
      <c r="E182" s="12" t="str" cm="1">
        <f t="array" ref="E182">_xlfn.TEXTJOIN(CHAR(10),TRUE,_xlfn._xlws.SORT(IF((--($B182=Flowdown_CIC[[URS]:[URS]]))*(--(E$14=Flowdown_CIC[[Source.Name]:[Source.Name]])),Flowdown_CIC[[SyRS]:[SyRS]],"")))</f>
        <v>MASTER-18118
MASTER-18119
MASTER-18163
MASTER-18164
MASTER-50018</v>
      </c>
      <c r="F182" s="12" t="str" cm="1">
        <f t="array" ref="F182">_xlfn.TEXTJOIN(CHAR(10),TRUE,_xlfn._xlws.SORT(IF((--($B182=Flowdown_CIC[[URS]:[URS]]))*(--(F$14=Flowdown_CIC[[Source.Name]:[Source.Name]])),Flowdown_CIC[[SyRS]:[SyRS]],"")))</f>
        <v>MASTER-18118
MASTER-18119
MASTER-18163
MASTER-18164
MASTER-50018</v>
      </c>
      <c r="G182" s="12" t="str" cm="1">
        <f t="array" ref="G182">_xlfn.TEXTJOIN(CHAR(10),TRUE,_xlfn._xlws.SORT(IF((--($B182=Flowdown_CIC[[URS]:[URS]]))*(--(G$14=Flowdown_CIC[[Source.Name]:[Source.Name]])),Flowdown_CIC[[SyRS]:[SyRS]],"")))</f>
        <v>MASTER-18118
MASTER-18119
MASTER-18163
MASTER-18164
MASTER-50018</v>
      </c>
      <c r="H182" s="12" t="str" cm="1">
        <f t="array" ref="H182">_xlfn.TEXTJOIN(CHAR(10),TRUE,_xlfn._xlws.SORT(IF((--($B182=Flowdown_CIC[[URS]:[URS]]))*(--(H$14=Flowdown_CIC[[Source.Name]:[Source.Name]])),Flowdown_CIC[[SyRS]:[SyRS]],"")))</f>
        <v>MASTER-21899
MASTER-21900
MASTER-21901
MASTER-22555
MASTER-22556</v>
      </c>
      <c r="I182" s="12" t="str" cm="1">
        <f t="array" ref="I182">_xlfn.TEXTJOIN(CHAR(10),TRUE,_xlfn._xlws.SORT(IF((--($B182=Flowdown_CIC[[URS]:[URS]]))*(--(I$14=Flowdown_CIC[[Source.Name]:[Source.Name]])),Flowdown_CIC[[SyRS]:[SyRS]],"")))</f>
        <v/>
      </c>
      <c r="J182" s="12" t="str" cm="1">
        <f t="array" ref="J182">_xlfn.TEXTJOIN(CHAR(10),TRUE,_xlfn._xlws.SORT(IF((--($B182=Flowdown_CIC[[URS]:[URS]]))*(--(J$14=Flowdown_CIC[[Source.Name]:[Source.Name]])),Flowdown_CIC[[SyRS]:[SyRS]],"")))</f>
        <v/>
      </c>
      <c r="K182" s="12" t="str" cm="1">
        <f t="array" ref="K182">_xlfn.TEXTJOIN(CHAR(10),TRUE,_xlfn._xlws.SORT(IF((--($B182=Flowdown_CIC[[URS]:[URS]]))*(--(K$14=Flowdown_CIC[[Source.Name]:[Source.Name]])),Flowdown_CIC[[SyRS]:[SyRS]],"")))</f>
        <v/>
      </c>
      <c r="L182" s="16" t="b" cm="1">
        <f t="array" ref="L182">OR(LEN(C182:K182)&gt;0)</f>
        <v>1</v>
      </c>
    </row>
    <row r="183" spans="2:12" ht="337.5" x14ac:dyDescent="0.2">
      <c r="B183" s="11" t="str">
        <v>MASTER-6409</v>
      </c>
      <c r="C183" s="12" t="str" cm="1">
        <f t="array" ref="C183">_xlfn.TEXTJOIN(CHAR(10),TRUE,_xlfn._xlws.SORT(IF((--($B183=Flowdown_CIC[[URS]:[URS]]))*(--(C$14=Flowdown_CIC[[Source.Name]:[Source.Name]])),Flowdown_CIC[[SyRS]:[SyRS]],"")))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83" s="12" t="str" cm="1">
        <f t="array" ref="D183">_xlfn.TEXTJOIN(CHAR(10),TRUE,_xlfn._xlws.SORT(IF((--($B183=Flowdown_CIC[[URS]:[URS]]))*(--(D$14=Flowdown_CIC[[Source.Name]:[Source.Name]])),Flowdown_CIC[[SyRS]:[SyRS]],"")))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83" s="12" t="str" cm="1">
        <f t="array" ref="E183">_xlfn.TEXTJOIN(CHAR(10),TRUE,_xlfn._xlws.SORT(IF((--($B183=Flowdown_CIC[[URS]:[URS]]))*(--(E$14=Flowdown_CIC[[Source.Name]:[Source.Name]])),Flowdown_CIC[[SyRS]:[SyRS]],"")))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83" s="12" t="str" cm="1">
        <f t="array" ref="F183">_xlfn.TEXTJOIN(CHAR(10),TRUE,_xlfn._xlws.SORT(IF((--($B183=Flowdown_CIC[[URS]:[URS]]))*(--(F$14=Flowdown_CIC[[Source.Name]:[Source.Name]])),Flowdown_CIC[[SyRS]:[SyRS]],"")))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83" s="12" t="str" cm="1">
        <f t="array" ref="G183">_xlfn.TEXTJOIN(CHAR(10),TRUE,_xlfn._xlws.SORT(IF((--($B183=Flowdown_CIC[[URS]:[URS]]))*(--(G$14=Flowdown_CIC[[Source.Name]:[Source.Name]])),Flowdown_CIC[[SyRS]:[SyRS]],"")))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83" s="12" t="str" cm="1">
        <f t="array" ref="H183">_xlfn.TEXTJOIN(CHAR(10),TRUE,_xlfn._xlws.SORT(IF((--($B183=Flowdown_CIC[[URS]:[URS]]))*(--(H$14=Flowdown_CIC[[Source.Name]:[Source.Name]])),Flowdown_CIC[[SyRS]:[SyRS]],"")))</f>
        <v>MASTER-55413
MASTER-55414
MASTER-55415</v>
      </c>
      <c r="I183" s="12" t="str" cm="1">
        <f t="array" ref="I183">_xlfn.TEXTJOIN(CHAR(10),TRUE,_xlfn._xlws.SORT(IF((--($B183=Flowdown_CIC[[URS]:[URS]]))*(--(I$14=Flowdown_CIC[[Source.Name]:[Source.Name]])),Flowdown_CIC[[SyRS]:[SyRS]],"")))</f>
        <v/>
      </c>
      <c r="J183" s="12" t="str" cm="1">
        <f t="array" ref="J183">_xlfn.TEXTJOIN(CHAR(10),TRUE,_xlfn._xlws.SORT(IF((--($B183=Flowdown_CIC[[URS]:[URS]]))*(--(J$14=Flowdown_CIC[[Source.Name]:[Source.Name]])),Flowdown_CIC[[SyRS]:[SyRS]],"")))</f>
        <v/>
      </c>
      <c r="K183" s="12" t="str" cm="1">
        <f t="array" ref="K183">_xlfn.TEXTJOIN(CHAR(10),TRUE,_xlfn._xlws.SORT(IF((--($B183=Flowdown_CIC[[URS]:[URS]]))*(--(K$14=Flowdown_CIC[[Source.Name]:[Source.Name]])),Flowdown_CIC[[SyRS]:[SyRS]],"")))</f>
        <v/>
      </c>
      <c r="L183" s="16" t="b" cm="1">
        <f t="array" ref="L183">OR(LEN(C183:K183)&gt;0)</f>
        <v>1</v>
      </c>
    </row>
    <row r="184" spans="2:12" ht="81" x14ac:dyDescent="0.2">
      <c r="B184" s="11" t="str">
        <v>MASTER-6410</v>
      </c>
      <c r="C184" s="12" t="str" cm="1">
        <f t="array" ref="C184">_xlfn.TEXTJOIN(CHAR(10),TRUE,_xlfn._xlws.SORT(IF((--($B184=Flowdown_CIC[[URS]:[URS]]))*(--(C$14=Flowdown_CIC[[Source.Name]:[Source.Name]])),Flowdown_CIC[[SyRS]:[SyRS]],"")))</f>
        <v>MASTER-18357
MASTER-50242
UTICA-25188
UTICA-25190
UTICA-25191
UTICA-25679</v>
      </c>
      <c r="D184" s="12" t="str" cm="1">
        <f t="array" ref="D184">_xlfn.TEXTJOIN(CHAR(10),TRUE,_xlfn._xlws.SORT(IF((--($B184=Flowdown_CIC[[URS]:[URS]]))*(--(D$14=Flowdown_CIC[[Source.Name]:[Source.Name]])),Flowdown_CIC[[SyRS]:[SyRS]],"")))</f>
        <v>MASTER-18357
MASTER-50242
UTICA-25188
UTICA-25190
UTICA-25191
UTICA-25679</v>
      </c>
      <c r="E184" s="12" t="str" cm="1">
        <f t="array" ref="E184">_xlfn.TEXTJOIN(CHAR(10),TRUE,_xlfn._xlws.SORT(IF((--($B184=Flowdown_CIC[[URS]:[URS]]))*(--(E$14=Flowdown_CIC[[Source.Name]:[Source.Name]])),Flowdown_CIC[[SyRS]:[SyRS]],"")))</f>
        <v>MASTER-18357
MASTER-50242
MASTER-50245
MASTER-50248
MASTER-50249
MASTER-50250</v>
      </c>
      <c r="F184" s="12" t="str" cm="1">
        <f t="array" ref="F184">_xlfn.TEXTJOIN(CHAR(10),TRUE,_xlfn._xlws.SORT(IF((--($B184=Flowdown_CIC[[URS]:[URS]]))*(--(F$14=Flowdown_CIC[[Source.Name]:[Source.Name]])),Flowdown_CIC[[SyRS]:[SyRS]],"")))</f>
        <v>MASTER-18357
MASTER-50242
MASTER-50245
MASTER-50248
MASTER-50249
MASTER-50250</v>
      </c>
      <c r="G184" s="12" t="str" cm="1">
        <f t="array" ref="G184">_xlfn.TEXTJOIN(CHAR(10),TRUE,_xlfn._xlws.SORT(IF((--($B184=Flowdown_CIC[[URS]:[URS]]))*(--(G$14=Flowdown_CIC[[Source.Name]:[Source.Name]])),Flowdown_CIC[[SyRS]:[SyRS]],"")))</f>
        <v>MASTER-18357
MASTER-50242
MASTER-50245
MASTER-50248
MASTER-50249
MASTER-50250</v>
      </c>
      <c r="H184" s="12" t="str" cm="1">
        <f t="array" ref="H184">_xlfn.TEXTJOIN(CHAR(10),TRUE,_xlfn._xlws.SORT(IF((--($B184=Flowdown_CIC[[URS]:[URS]]))*(--(H$14=Flowdown_CIC[[Source.Name]:[Source.Name]])),Flowdown_CIC[[SyRS]:[SyRS]],"")))</f>
        <v>MASTER-55413
MASTER-55414
MASTER-55415</v>
      </c>
      <c r="I184" s="12" t="str" cm="1">
        <f t="array" ref="I184">_xlfn.TEXTJOIN(CHAR(10),TRUE,_xlfn._xlws.SORT(IF((--($B184=Flowdown_CIC[[URS]:[URS]]))*(--(I$14=Flowdown_CIC[[Source.Name]:[Source.Name]])),Flowdown_CIC[[SyRS]:[SyRS]],"")))</f>
        <v/>
      </c>
      <c r="J184" s="12" t="str" cm="1">
        <f t="array" ref="J184">_xlfn.TEXTJOIN(CHAR(10),TRUE,_xlfn._xlws.SORT(IF((--($B184=Flowdown_CIC[[URS]:[URS]]))*(--(J$14=Flowdown_CIC[[Source.Name]:[Source.Name]])),Flowdown_CIC[[SyRS]:[SyRS]],"")))</f>
        <v/>
      </c>
      <c r="K184" s="12" t="str" cm="1">
        <f t="array" ref="K184">_xlfn.TEXTJOIN(CHAR(10),TRUE,_xlfn._xlws.SORT(IF((--($B184=Flowdown_CIC[[URS]:[URS]]))*(--(K$14=Flowdown_CIC[[Source.Name]:[Source.Name]])),Flowdown_CIC[[SyRS]:[SyRS]],"")))</f>
        <v/>
      </c>
      <c r="L184" s="16" t="b" cm="1">
        <f t="array" ref="L184">OR(LEN(C184:K184)&gt;0)</f>
        <v>1</v>
      </c>
    </row>
    <row r="185" spans="2:12" ht="121.5" x14ac:dyDescent="0.2">
      <c r="B185" s="11" t="str">
        <v>MASTER-6411</v>
      </c>
      <c r="C185" s="12" t="str" cm="1">
        <f t="array" ref="C185">_xlfn.TEXTJOIN(CHAR(10),TRUE,_xlfn._xlws.SORT(IF((--($B185=Flowdown_CIC[[URS]:[URS]]))*(--(C$14=Flowdown_CIC[[Source.Name]:[Source.Name]])),Flowdown_CIC[[SyRS]:[SyRS]],"")))</f>
        <v>MASTER-18368
MASTER-18369
MASTER-18370
MASTER-18382
MASTER-18383
MASTER-18388
MASTER-18389
MASTER-18394
MASTER-18398</v>
      </c>
      <c r="D185" s="12" t="str" cm="1">
        <f t="array" ref="D185">_xlfn.TEXTJOIN(CHAR(10),TRUE,_xlfn._xlws.SORT(IF((--($B185=Flowdown_CIC[[URS]:[URS]]))*(--(D$14=Flowdown_CIC[[Source.Name]:[Source.Name]])),Flowdown_CIC[[SyRS]:[SyRS]],"")))</f>
        <v>MASTER-18368
MASTER-18369
MASTER-18370
MASTER-18382
MASTER-18383
MASTER-18388
MASTER-18389
MASTER-18394
MASTER-18398</v>
      </c>
      <c r="E185" s="12" t="str" cm="1">
        <f t="array" ref="E185">_xlfn.TEXTJOIN(CHAR(10),TRUE,_xlfn._xlws.SORT(IF((--($B185=Flowdown_CIC[[URS]:[URS]]))*(--(E$14=Flowdown_CIC[[Source.Name]:[Source.Name]])),Flowdown_CIC[[SyRS]:[SyRS]],"")))</f>
        <v>MASTER-18368
MASTER-18369
MASTER-18370
MASTER-18382
MASTER-18383
MASTER-18388
MASTER-18389
MASTER-18394
MASTER-18398</v>
      </c>
      <c r="F185" s="12" t="str" cm="1">
        <f t="array" ref="F185">_xlfn.TEXTJOIN(CHAR(10),TRUE,_xlfn._xlws.SORT(IF((--($B185=Flowdown_CIC[[URS]:[URS]]))*(--(F$14=Flowdown_CIC[[Source.Name]:[Source.Name]])),Flowdown_CIC[[SyRS]:[SyRS]],"")))</f>
        <v>MASTER-18368
MASTER-18369
MASTER-18370
MASTER-18382
MASTER-18383
MASTER-18388
MASTER-18389
MASTER-18394
MASTER-18398</v>
      </c>
      <c r="G185" s="12" t="str" cm="1">
        <f t="array" ref="G185">_xlfn.TEXTJOIN(CHAR(10),TRUE,_xlfn._xlws.SORT(IF((--($B185=Flowdown_CIC[[URS]:[URS]]))*(--(G$14=Flowdown_CIC[[Source.Name]:[Source.Name]])),Flowdown_CIC[[SyRS]:[SyRS]],"")))</f>
        <v>MASTER-18368
MASTER-18369
MASTER-18370
MASTER-18382
MASTER-18383
MASTER-18388
MASTER-18389
MASTER-18394
MASTER-18398</v>
      </c>
      <c r="H185" s="12" t="str" cm="1">
        <f t="array" ref="H185">_xlfn.TEXTJOIN(CHAR(10),TRUE,_xlfn._xlws.SORT(IF((--($B185=Flowdown_CIC[[URS]:[URS]]))*(--(H$14=Flowdown_CIC[[Source.Name]:[Source.Name]])),Flowdown_CIC[[SyRS]:[SyRS]],"")))</f>
        <v/>
      </c>
      <c r="I185" s="12" t="str" cm="1">
        <f t="array" ref="I185">_xlfn.TEXTJOIN(CHAR(10),TRUE,_xlfn._xlws.SORT(IF((--($B185=Flowdown_CIC[[URS]:[URS]]))*(--(I$14=Flowdown_CIC[[Source.Name]:[Source.Name]])),Flowdown_CIC[[SyRS]:[SyRS]],"")))</f>
        <v/>
      </c>
      <c r="J185" s="12" t="str" cm="1">
        <f t="array" ref="J185">_xlfn.TEXTJOIN(CHAR(10),TRUE,_xlfn._xlws.SORT(IF((--($B185=Flowdown_CIC[[URS]:[URS]]))*(--(J$14=Flowdown_CIC[[Source.Name]:[Source.Name]])),Flowdown_CIC[[SyRS]:[SyRS]],"")))</f>
        <v/>
      </c>
      <c r="K185" s="12" t="str" cm="1">
        <f t="array" ref="K185">_xlfn.TEXTJOIN(CHAR(10),TRUE,_xlfn._xlws.SORT(IF((--($B185=Flowdown_CIC[[URS]:[URS]]))*(--(K$14=Flowdown_CIC[[Source.Name]:[Source.Name]])),Flowdown_CIC[[SyRS]:[SyRS]],"")))</f>
        <v/>
      </c>
      <c r="L185" s="16" t="b" cm="1">
        <f t="array" ref="L185">OR(LEN(C185:K185)&gt;0)</f>
        <v>1</v>
      </c>
    </row>
    <row r="186" spans="2:12" ht="229.5" x14ac:dyDescent="0.2">
      <c r="B186" s="11" t="str">
        <v>MASTER-6412</v>
      </c>
      <c r="C186" s="12" t="str" cm="1">
        <f t="array" ref="C186">_xlfn.TEXTJOIN(CHAR(10),TRUE,_xlfn._xlws.SORT(IF((--($B186=Flowdown_CIC[[URS]:[URS]]))*(--(C$14=Flowdown_CIC[[Source.Name]:[Source.Name]])),Flowdown_CIC[[SyRS]:[SyRS]],"")))</f>
        <v>MASTER-18351
MASTER-18354
MASTER-18357
MASTER-18359
MASTER-18361
MASTER-18362
MASTER-18363
MASTER-55395</v>
      </c>
      <c r="D186" s="12" t="str" cm="1">
        <f t="array" ref="D186">_xlfn.TEXTJOIN(CHAR(10),TRUE,_xlfn._xlws.SORT(IF((--($B186=Flowdown_CIC[[URS]:[URS]]))*(--(D$14=Flowdown_CIC[[Source.Name]:[Source.Name]])),Flowdown_CIC[[SyRS]:[SyRS]],"")))</f>
        <v>MASTER-18351
MASTER-18354
MASTER-18357
MASTER-18359
MASTER-18361
MASTER-18362
MASTER-18363
MASTER-55395</v>
      </c>
      <c r="E186" s="12" t="str" cm="1">
        <f t="array" ref="E186">_xlfn.TEXTJOIN(CHAR(10),TRUE,_xlfn._xlws.SORT(IF((--($B186=Flowdown_CIC[[URS]:[URS]]))*(--(E$14=Flowdown_CIC[[Source.Name]:[Source.Name]])),Flowdown_CIC[[SyRS]:[SyRS]],"")))</f>
        <v>MASTER-18351
MASTER-18354
MASTER-18357
MASTER-18359
MASTER-18361
MASTER-18362
MASTER-18363</v>
      </c>
      <c r="F186" s="12" t="str" cm="1">
        <f t="array" ref="F186">_xlfn.TEXTJOIN(CHAR(10),TRUE,_xlfn._xlws.SORT(IF((--($B186=Flowdown_CIC[[URS]:[URS]]))*(--(F$14=Flowdown_CIC[[Source.Name]:[Source.Name]])),Flowdown_CIC[[SyRS]:[SyRS]],"")))</f>
        <v>MASTER-18351
MASTER-18354
MASTER-18357
MASTER-18359
MASTER-18361
MASTER-18362
MASTER-18363</v>
      </c>
      <c r="G186" s="12" t="str" cm="1">
        <f t="array" ref="G186">_xlfn.TEXTJOIN(CHAR(10),TRUE,_xlfn._xlws.SORT(IF((--($B186=Flowdown_CIC[[URS]:[URS]]))*(--(G$14=Flowdown_CIC[[Source.Name]:[Source.Name]])),Flowdown_CIC[[SyRS]:[SyRS]],"")))</f>
        <v>MASTER-18351
MASTER-18354
MASTER-18357
MASTER-18359
MASTER-18361
MASTER-18362
MASTER-18363</v>
      </c>
      <c r="H186" s="12" t="str" cm="1">
        <f t="array" ref="H186">_xlfn.TEXTJOIN(CHAR(10),TRUE,_xlfn._xlws.SORT(IF((--($B186=Flowdown_CIC[[URS]:[URS]]))*(--(H$14=Flowdown_CIC[[Source.Name]:[Source.Name]])),Flowdown_CIC[[SyRS]:[SyRS]],"")))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86" s="12" t="str" cm="1">
        <f t="array" ref="I186">_xlfn.TEXTJOIN(CHAR(10),TRUE,_xlfn._xlws.SORT(IF((--($B186=Flowdown_CIC[[URS]:[URS]]))*(--(I$14=Flowdown_CIC[[Source.Name]:[Source.Name]])),Flowdown_CIC[[SyRS]:[SyRS]],"")))</f>
        <v/>
      </c>
      <c r="J186" s="12" t="str" cm="1">
        <f t="array" ref="J186">_xlfn.TEXTJOIN(CHAR(10),TRUE,_xlfn._xlws.SORT(IF((--($B186=Flowdown_CIC[[URS]:[URS]]))*(--(J$14=Flowdown_CIC[[Source.Name]:[Source.Name]])),Flowdown_CIC[[SyRS]:[SyRS]],"")))</f>
        <v/>
      </c>
      <c r="K186" s="12" t="str" cm="1">
        <f t="array" ref="K186">_xlfn.TEXTJOIN(CHAR(10),TRUE,_xlfn._xlws.SORT(IF((--($B186=Flowdown_CIC[[URS]:[URS]]))*(--(K$14=Flowdown_CIC[[Source.Name]:[Source.Name]])),Flowdown_CIC[[SyRS]:[SyRS]],"")))</f>
        <v/>
      </c>
      <c r="L186" s="16" t="b" cm="1">
        <f t="array" ref="L186">OR(LEN(C186:K186)&gt;0)</f>
        <v>1</v>
      </c>
    </row>
    <row r="187" spans="2:12" ht="108" x14ac:dyDescent="0.2">
      <c r="B187" s="11" t="str">
        <v>MASTER-6413</v>
      </c>
      <c r="C187" s="12" t="str" cm="1">
        <f t="array" ref="C187">_xlfn.TEXTJOIN(CHAR(10),TRUE,_xlfn._xlws.SORT(IF((--($B187=Flowdown_CIC[[URS]:[URS]]))*(--(C$14=Flowdown_CIC[[Source.Name]:[Source.Name]])),Flowdown_CIC[[SyRS]:[SyRS]],"")))</f>
        <v/>
      </c>
      <c r="D187" s="12" t="str" cm="1">
        <f t="array" ref="D187">_xlfn.TEXTJOIN(CHAR(10),TRUE,_xlfn._xlws.SORT(IF((--($B187=Flowdown_CIC[[URS]:[URS]]))*(--(D$14=Flowdown_CIC[[Source.Name]:[Source.Name]])),Flowdown_CIC[[SyRS]:[SyRS]],"")))</f>
        <v/>
      </c>
      <c r="E187" s="12" t="str" cm="1">
        <f t="array" ref="E187">_xlfn.TEXTJOIN(CHAR(10),TRUE,_xlfn._xlws.SORT(IF((--($B187=Flowdown_CIC[[URS]:[URS]]))*(--(E$14=Flowdown_CIC[[Source.Name]:[Source.Name]])),Flowdown_CIC[[SyRS]:[SyRS]],"")))</f>
        <v/>
      </c>
      <c r="F187" s="12" t="str" cm="1">
        <f t="array" ref="F187">_xlfn.TEXTJOIN(CHAR(10),TRUE,_xlfn._xlws.SORT(IF((--($B187=Flowdown_CIC[[URS]:[URS]]))*(--(F$14=Flowdown_CIC[[Source.Name]:[Source.Name]])),Flowdown_CIC[[SyRS]:[SyRS]],"")))</f>
        <v/>
      </c>
      <c r="G187" s="12" t="str" cm="1">
        <f t="array" ref="G187">_xlfn.TEXTJOIN(CHAR(10),TRUE,_xlfn._xlws.SORT(IF((--($B187=Flowdown_CIC[[URS]:[URS]]))*(--(G$14=Flowdown_CIC[[Source.Name]:[Source.Name]])),Flowdown_CIC[[SyRS]:[SyRS]],"")))</f>
        <v/>
      </c>
      <c r="H187" s="12" t="str" cm="1">
        <f t="array" ref="H187">_xlfn.TEXTJOIN(CHAR(10),TRUE,_xlfn._xlws.SORT(IF((--($B187=Flowdown_CIC[[URS]:[URS]]))*(--(H$14=Flowdown_CIC[[Source.Name]:[Source.Name]])),Flowdown_CIC[[SyRS]:[SyRS]],"")))</f>
        <v>MASTER-21975
MASTER-21979
MASTER-21987
MASTER-21996
MASTER-50255
MASTER-50256
MASTER-50257
MASTER-50258</v>
      </c>
      <c r="I187" s="12" t="str" cm="1">
        <f t="array" ref="I187">_xlfn.TEXTJOIN(CHAR(10),TRUE,_xlfn._xlws.SORT(IF((--($B187=Flowdown_CIC[[URS]:[URS]]))*(--(I$14=Flowdown_CIC[[Source.Name]:[Source.Name]])),Flowdown_CIC[[SyRS]:[SyRS]],"")))</f>
        <v/>
      </c>
      <c r="J187" s="12" t="str" cm="1">
        <f t="array" ref="J187">_xlfn.TEXTJOIN(CHAR(10),TRUE,_xlfn._xlws.SORT(IF((--($B187=Flowdown_CIC[[URS]:[URS]]))*(--(J$14=Flowdown_CIC[[Source.Name]:[Source.Name]])),Flowdown_CIC[[SyRS]:[SyRS]],"")))</f>
        <v/>
      </c>
      <c r="K187" s="12" t="str" cm="1">
        <f t="array" ref="K187">_xlfn.TEXTJOIN(CHAR(10),TRUE,_xlfn._xlws.SORT(IF((--($B187=Flowdown_CIC[[URS]:[URS]]))*(--(K$14=Flowdown_CIC[[Source.Name]:[Source.Name]])),Flowdown_CIC[[SyRS]:[SyRS]],"")))</f>
        <v/>
      </c>
      <c r="L187" s="16" t="b" cm="1">
        <f t="array" ref="L187">OR(LEN(C187:K187)&gt;0)</f>
        <v>1</v>
      </c>
    </row>
    <row r="188" spans="2:12" ht="40.5" x14ac:dyDescent="0.2">
      <c r="B188" s="11" t="str">
        <v>MASTER-6414</v>
      </c>
      <c r="C188" s="12" t="str" cm="1">
        <f t="array" ref="C188">_xlfn.TEXTJOIN(CHAR(10),TRUE,_xlfn._xlws.SORT(IF((--($B188=Flowdown_CIC[[URS]:[URS]]))*(--(C$14=Flowdown_CIC[[Source.Name]:[Source.Name]])),Flowdown_CIC[[SyRS]:[SyRS]],"")))</f>
        <v>MASTER-18352
MASTER-18360
MASTER-19249</v>
      </c>
      <c r="D188" s="12" t="str" cm="1">
        <f t="array" ref="D188">_xlfn.TEXTJOIN(CHAR(10),TRUE,_xlfn._xlws.SORT(IF((--($B188=Flowdown_CIC[[URS]:[URS]]))*(--(D$14=Flowdown_CIC[[Source.Name]:[Source.Name]])),Flowdown_CIC[[SyRS]:[SyRS]],"")))</f>
        <v>MASTER-18352
MASTER-18360
MASTER-19249</v>
      </c>
      <c r="E188" s="12" t="str" cm="1">
        <f t="array" ref="E188">_xlfn.TEXTJOIN(CHAR(10),TRUE,_xlfn._xlws.SORT(IF((--($B188=Flowdown_CIC[[URS]:[URS]]))*(--(E$14=Flowdown_CIC[[Source.Name]:[Source.Name]])),Flowdown_CIC[[SyRS]:[SyRS]],"")))</f>
        <v>MASTER-18352
MASTER-18360
MASTER-19249</v>
      </c>
      <c r="F188" s="12" t="str" cm="1">
        <f t="array" ref="F188">_xlfn.TEXTJOIN(CHAR(10),TRUE,_xlfn._xlws.SORT(IF((--($B188=Flowdown_CIC[[URS]:[URS]]))*(--(F$14=Flowdown_CIC[[Source.Name]:[Source.Name]])),Flowdown_CIC[[SyRS]:[SyRS]],"")))</f>
        <v>MASTER-18352
MASTER-18360
MASTER-19249</v>
      </c>
      <c r="G188" s="12" t="str" cm="1">
        <f t="array" ref="G188">_xlfn.TEXTJOIN(CHAR(10),TRUE,_xlfn._xlws.SORT(IF((--($B188=Flowdown_CIC[[URS]:[URS]]))*(--(G$14=Flowdown_CIC[[Source.Name]:[Source.Name]])),Flowdown_CIC[[SyRS]:[SyRS]],"")))</f>
        <v>MASTER-18352
MASTER-18360
MASTER-19249</v>
      </c>
      <c r="H188" s="12" t="str" cm="1">
        <f t="array" ref="H188">_xlfn.TEXTJOIN(CHAR(10),TRUE,_xlfn._xlws.SORT(IF((--($B188=Flowdown_CIC[[URS]:[URS]]))*(--(H$14=Flowdown_CIC[[Source.Name]:[Source.Name]])),Flowdown_CIC[[SyRS]:[SyRS]],"")))</f>
        <v>MASTER-21984
MASTER-21993
MASTER-22002</v>
      </c>
      <c r="I188" s="12" t="str" cm="1">
        <f t="array" ref="I188">_xlfn.TEXTJOIN(CHAR(10),TRUE,_xlfn._xlws.SORT(IF((--($B188=Flowdown_CIC[[URS]:[URS]]))*(--(I$14=Flowdown_CIC[[Source.Name]:[Source.Name]])),Flowdown_CIC[[SyRS]:[SyRS]],"")))</f>
        <v/>
      </c>
      <c r="J188" s="12" t="str" cm="1">
        <f t="array" ref="J188">_xlfn.TEXTJOIN(CHAR(10),TRUE,_xlfn._xlws.SORT(IF((--($B188=Flowdown_CIC[[URS]:[URS]]))*(--(J$14=Flowdown_CIC[[Source.Name]:[Source.Name]])),Flowdown_CIC[[SyRS]:[SyRS]],"")))</f>
        <v/>
      </c>
      <c r="K188" s="12" t="str" cm="1">
        <f t="array" ref="K188">_xlfn.TEXTJOIN(CHAR(10),TRUE,_xlfn._xlws.SORT(IF((--($B188=Flowdown_CIC[[URS]:[URS]]))*(--(K$14=Flowdown_CIC[[Source.Name]:[Source.Name]])),Flowdown_CIC[[SyRS]:[SyRS]],"")))</f>
        <v/>
      </c>
      <c r="L188" s="16" t="b" cm="1">
        <f t="array" ref="L188">OR(LEN(C188:K188)&gt;0)</f>
        <v>1</v>
      </c>
    </row>
    <row r="189" spans="2:12" ht="27" x14ac:dyDescent="0.2">
      <c r="B189" s="11" t="str">
        <v>MASTER-6415</v>
      </c>
      <c r="C189" s="12" t="str" cm="1">
        <f t="array" ref="C189">_xlfn.TEXTJOIN(CHAR(10),TRUE,_xlfn._xlws.SORT(IF((--($B189=Flowdown_CIC[[URS]:[URS]]))*(--(C$14=Flowdown_CIC[[Source.Name]:[Source.Name]])),Flowdown_CIC[[SyRS]:[SyRS]],"")))</f>
        <v>MASTER-18634
MASTER-18638</v>
      </c>
      <c r="D189" s="12" t="str" cm="1">
        <f t="array" ref="D189">_xlfn.TEXTJOIN(CHAR(10),TRUE,_xlfn._xlws.SORT(IF((--($B189=Flowdown_CIC[[URS]:[URS]]))*(--(D$14=Flowdown_CIC[[Source.Name]:[Source.Name]])),Flowdown_CIC[[SyRS]:[SyRS]],"")))</f>
        <v>MASTER-18634
MASTER-18638</v>
      </c>
      <c r="E189" s="12" t="str" cm="1">
        <f t="array" ref="E189">_xlfn.TEXTJOIN(CHAR(10),TRUE,_xlfn._xlws.SORT(IF((--($B189=Flowdown_CIC[[URS]:[URS]]))*(--(E$14=Flowdown_CIC[[Source.Name]:[Source.Name]])),Flowdown_CIC[[SyRS]:[SyRS]],"")))</f>
        <v>MASTER-18634
MASTER-18638</v>
      </c>
      <c r="F189" s="12" t="str" cm="1">
        <f t="array" ref="F189">_xlfn.TEXTJOIN(CHAR(10),TRUE,_xlfn._xlws.SORT(IF((--($B189=Flowdown_CIC[[URS]:[URS]]))*(--(F$14=Flowdown_CIC[[Source.Name]:[Source.Name]])),Flowdown_CIC[[SyRS]:[SyRS]],"")))</f>
        <v>MASTER-18634
MASTER-18638</v>
      </c>
      <c r="G189" s="12" t="str" cm="1">
        <f t="array" ref="G189">_xlfn.TEXTJOIN(CHAR(10),TRUE,_xlfn._xlws.SORT(IF((--($B189=Flowdown_CIC[[URS]:[URS]]))*(--(G$14=Flowdown_CIC[[Source.Name]:[Source.Name]])),Flowdown_CIC[[SyRS]:[SyRS]],"")))</f>
        <v>MASTER-18634
MASTER-18638</v>
      </c>
      <c r="H189" s="12" t="str" cm="1">
        <f t="array" ref="H189">_xlfn.TEXTJOIN(CHAR(10),TRUE,_xlfn._xlws.SORT(IF((--($B189=Flowdown_CIC[[URS]:[URS]]))*(--(H$14=Flowdown_CIC[[Source.Name]:[Source.Name]])),Flowdown_CIC[[SyRS]:[SyRS]],"")))</f>
        <v>MASTER-51789</v>
      </c>
      <c r="I189" s="12" t="str" cm="1">
        <f t="array" ref="I189">_xlfn.TEXTJOIN(CHAR(10),TRUE,_xlfn._xlws.SORT(IF((--($B189=Flowdown_CIC[[URS]:[URS]]))*(--(I$14=Flowdown_CIC[[Source.Name]:[Source.Name]])),Flowdown_CIC[[SyRS]:[SyRS]],"")))</f>
        <v/>
      </c>
      <c r="J189" s="12" t="str" cm="1">
        <f t="array" ref="J189">_xlfn.TEXTJOIN(CHAR(10),TRUE,_xlfn._xlws.SORT(IF((--($B189=Flowdown_CIC[[URS]:[URS]]))*(--(J$14=Flowdown_CIC[[Source.Name]:[Source.Name]])),Flowdown_CIC[[SyRS]:[SyRS]],"")))</f>
        <v/>
      </c>
      <c r="K189" s="12" t="str" cm="1">
        <f t="array" ref="K189">_xlfn.TEXTJOIN(CHAR(10),TRUE,_xlfn._xlws.SORT(IF((--($B189=Flowdown_CIC[[URS]:[URS]]))*(--(K$14=Flowdown_CIC[[Source.Name]:[Source.Name]])),Flowdown_CIC[[SyRS]:[SyRS]],"")))</f>
        <v/>
      </c>
      <c r="L189" s="16" t="b" cm="1">
        <f t="array" ref="L189">OR(LEN(C189:K189)&gt;0)</f>
        <v>1</v>
      </c>
    </row>
    <row r="190" spans="2:12" ht="216" x14ac:dyDescent="0.2">
      <c r="B190" s="11" t="str">
        <v>MASTER-64367</v>
      </c>
      <c r="C190" s="12" t="str" cm="1">
        <f t="array" ref="C190">_xlfn.TEXTJOIN(CHAR(10),TRUE,_xlfn._xlws.SORT(IF((--($B190=Flowdown_CIC[[URS]:[URS]]))*(--(C$14=Flowdown_CIC[[Source.Name]:[Source.Name]])),Flowdown_CIC[[SyRS]:[SyRS]],"")))</f>
        <v/>
      </c>
      <c r="D190" s="12" t="str" cm="1">
        <f t="array" ref="D190">_xlfn.TEXTJOIN(CHAR(10),TRUE,_xlfn._xlws.SORT(IF((--($B190=Flowdown_CIC[[URS]:[URS]]))*(--(D$14=Flowdown_CIC[[Source.Name]:[Source.Name]])),Flowdown_CIC[[SyRS]:[SyRS]],"")))</f>
        <v/>
      </c>
      <c r="E190" s="12" t="str" cm="1">
        <f t="array" ref="E190">_xlfn.TEXTJOIN(CHAR(10),TRUE,_xlfn._xlws.SORT(IF((--($B190=Flowdown_CIC[[URS]:[URS]]))*(--(E$14=Flowdown_CIC[[Source.Name]:[Source.Name]])),Flowdown_CIC[[SyRS]:[SyRS]],"")))</f>
        <v/>
      </c>
      <c r="F190" s="12" t="str" cm="1">
        <f t="array" ref="F190">_xlfn.TEXTJOIN(CHAR(10),TRUE,_xlfn._xlws.SORT(IF((--($B190=Flowdown_CIC[[URS]:[URS]]))*(--(F$14=Flowdown_CIC[[Source.Name]:[Source.Name]])),Flowdown_CIC[[SyRS]:[SyRS]],"")))</f>
        <v/>
      </c>
      <c r="G190" s="12" t="str" cm="1">
        <f t="array" ref="G190">_xlfn.TEXTJOIN(CHAR(10),TRUE,_xlfn._xlws.SORT(IF((--($B190=Flowdown_CIC[[URS]:[URS]]))*(--(G$14=Flowdown_CIC[[Source.Name]:[Source.Name]])),Flowdown_CIC[[SyRS]:[SyRS]],"")))</f>
        <v/>
      </c>
      <c r="H190" s="12" t="str" cm="1">
        <f t="array" ref="H190">_xlfn.TEXTJOIN(CHAR(10),TRUE,_xlfn._xlws.SORT(IF((--($B190=Flowdown_CIC[[URS]:[URS]]))*(--(H$14=Flowdown_CIC[[Source.Name]:[Source.Name]])),Flowdown_CIC[[SyRS]:[SyRS]],"")))</f>
        <v/>
      </c>
      <c r="I190" s="12" t="str" cm="1">
        <f t="array" ref="I190">_xlfn.TEXTJOIN(CHAR(10),TRUE,_xlfn._xlws.SORT(IF((--($B190=Flowdown_CIC[[URS]:[URS]]))*(--(I$14=Flowdown_CIC[[Source.Name]:[Source.Name]])),Flowdown_CIC[[SyRS]:[SyRS]],"")))</f>
        <v/>
      </c>
      <c r="J190" s="12" t="str" cm="1">
        <f t="array" ref="J190">_xlfn.TEXTJOIN(CHAR(10),TRUE,_xlfn._xlws.SORT(IF((--($B190=Flowdown_CIC[[URS]:[URS]]))*(--(J$14=Flowdown_CIC[[Source.Name]:[Source.Name]])),Flowdown_CIC[[SyRS]:[SyRS]],"")))</f>
        <v/>
      </c>
      <c r="K190" s="12" t="str" cm="1">
        <f t="array" ref="K190">_xlfn.TEXTJOIN(CHAR(10),TRUE,_xlfn._xlws.SORT(IF((--($B190=Flowdown_CIC[[URS]:[URS]]))*(--(K$14=Flowdown_CIC[[Source.Name]:[Source.Name]])),Flowdown_CIC[[SyRS]:[SyRS]],"")))</f>
        <v>MASTER-64573
MASTER-64576
MASTER-64577
MASTER-64578
MASTER-64579
MASTER-64580
MASTER-64581
MASTER-64582
MASTER-64584
MASTER-64585
MASTER-64586
MASTER-64587
MASTER-64588
MASTER-64591
MASTER-64592
MASTER-64594</v>
      </c>
      <c r="L190" s="16" t="b" cm="1">
        <f t="array" ref="L190">OR(LEN(C190:K190)&gt;0)</f>
        <v>1</v>
      </c>
    </row>
    <row r="191" spans="2:12" ht="54" x14ac:dyDescent="0.2">
      <c r="B191" s="11" t="str">
        <v>MASTER-64368</v>
      </c>
      <c r="C191" s="12" t="str" cm="1">
        <f t="array" ref="C191">_xlfn.TEXTJOIN(CHAR(10),TRUE,_xlfn._xlws.SORT(IF((--($B191=Flowdown_CIC[[URS]:[URS]]))*(--(C$14=Flowdown_CIC[[Source.Name]:[Source.Name]])),Flowdown_CIC[[SyRS]:[SyRS]],"")))</f>
        <v/>
      </c>
      <c r="D191" s="12" t="str" cm="1">
        <f t="array" ref="D191">_xlfn.TEXTJOIN(CHAR(10),TRUE,_xlfn._xlws.SORT(IF((--($B191=Flowdown_CIC[[URS]:[URS]]))*(--(D$14=Flowdown_CIC[[Source.Name]:[Source.Name]])),Flowdown_CIC[[SyRS]:[SyRS]],"")))</f>
        <v/>
      </c>
      <c r="E191" s="12" t="str" cm="1">
        <f t="array" ref="E191">_xlfn.TEXTJOIN(CHAR(10),TRUE,_xlfn._xlws.SORT(IF((--($B191=Flowdown_CIC[[URS]:[URS]]))*(--(E$14=Flowdown_CIC[[Source.Name]:[Source.Name]])),Flowdown_CIC[[SyRS]:[SyRS]],"")))</f>
        <v/>
      </c>
      <c r="F191" s="12" t="str" cm="1">
        <f t="array" ref="F191">_xlfn.TEXTJOIN(CHAR(10),TRUE,_xlfn._xlws.SORT(IF((--($B191=Flowdown_CIC[[URS]:[URS]]))*(--(F$14=Flowdown_CIC[[Source.Name]:[Source.Name]])),Flowdown_CIC[[SyRS]:[SyRS]],"")))</f>
        <v/>
      </c>
      <c r="G191" s="12" t="str" cm="1">
        <f t="array" ref="G191">_xlfn.TEXTJOIN(CHAR(10),TRUE,_xlfn._xlws.SORT(IF((--($B191=Flowdown_CIC[[URS]:[URS]]))*(--(G$14=Flowdown_CIC[[Source.Name]:[Source.Name]])),Flowdown_CIC[[SyRS]:[SyRS]],"")))</f>
        <v/>
      </c>
      <c r="H191" s="12" t="str" cm="1">
        <f t="array" ref="H191">_xlfn.TEXTJOIN(CHAR(10),TRUE,_xlfn._xlws.SORT(IF((--($B191=Flowdown_CIC[[URS]:[URS]]))*(--(H$14=Flowdown_CIC[[Source.Name]:[Source.Name]])),Flowdown_CIC[[SyRS]:[SyRS]],"")))</f>
        <v>MASTER-63153
MASTER-63155
MASTER-63164
MASTER-63165</v>
      </c>
      <c r="I191" s="12" t="str" cm="1">
        <f t="array" ref="I191">_xlfn.TEXTJOIN(CHAR(10),TRUE,_xlfn._xlws.SORT(IF((--($B191=Flowdown_CIC[[URS]:[URS]]))*(--(I$14=Flowdown_CIC[[Source.Name]:[Source.Name]])),Flowdown_CIC[[SyRS]:[SyRS]],"")))</f>
        <v/>
      </c>
      <c r="J191" s="12" t="str" cm="1">
        <f t="array" ref="J191">_xlfn.TEXTJOIN(CHAR(10),TRUE,_xlfn._xlws.SORT(IF((--($B191=Flowdown_CIC[[URS]:[URS]]))*(--(J$14=Flowdown_CIC[[Source.Name]:[Source.Name]])),Flowdown_CIC[[SyRS]:[SyRS]],"")))</f>
        <v/>
      </c>
      <c r="K191" s="12" t="str" cm="1">
        <f t="array" ref="K191">_xlfn.TEXTJOIN(CHAR(10),TRUE,_xlfn._xlws.SORT(IF((--($B191=Flowdown_CIC[[URS]:[URS]]))*(--(K$14=Flowdown_CIC[[Source.Name]:[Source.Name]])),Flowdown_CIC[[SyRS]:[SyRS]],"")))</f>
        <v/>
      </c>
      <c r="L191" s="16" t="b" cm="1">
        <f t="array" ref="L191">OR(LEN(C191:K191)&gt;0)</f>
        <v>1</v>
      </c>
    </row>
    <row r="192" spans="2:12" ht="54" x14ac:dyDescent="0.2">
      <c r="B192" s="11" t="str">
        <v>MASTER-64370</v>
      </c>
      <c r="C192" s="12" t="str" cm="1">
        <f t="array" ref="C192">_xlfn.TEXTJOIN(CHAR(10),TRUE,_xlfn._xlws.SORT(IF((--($B192=Flowdown_CIC[[URS]:[URS]]))*(--(C$14=Flowdown_CIC[[Source.Name]:[Source.Name]])),Flowdown_CIC[[SyRS]:[SyRS]],"")))</f>
        <v/>
      </c>
      <c r="D192" s="12" t="str" cm="1">
        <f t="array" ref="D192">_xlfn.TEXTJOIN(CHAR(10),TRUE,_xlfn._xlws.SORT(IF((--($B192=Flowdown_CIC[[URS]:[URS]]))*(--(D$14=Flowdown_CIC[[Source.Name]:[Source.Name]])),Flowdown_CIC[[SyRS]:[SyRS]],"")))</f>
        <v/>
      </c>
      <c r="E192" s="12" t="str" cm="1">
        <f t="array" ref="E192">_xlfn.TEXTJOIN(CHAR(10),TRUE,_xlfn._xlws.SORT(IF((--($B192=Flowdown_CIC[[URS]:[URS]]))*(--(E$14=Flowdown_CIC[[Source.Name]:[Source.Name]])),Flowdown_CIC[[SyRS]:[SyRS]],"")))</f>
        <v/>
      </c>
      <c r="F192" s="12" t="str" cm="1">
        <f t="array" ref="F192">_xlfn.TEXTJOIN(CHAR(10),TRUE,_xlfn._xlws.SORT(IF((--($B192=Flowdown_CIC[[URS]:[URS]]))*(--(F$14=Flowdown_CIC[[Source.Name]:[Source.Name]])),Flowdown_CIC[[SyRS]:[SyRS]],"")))</f>
        <v/>
      </c>
      <c r="G192" s="12" t="str" cm="1">
        <f t="array" ref="G192">_xlfn.TEXTJOIN(CHAR(10),TRUE,_xlfn._xlws.SORT(IF((--($B192=Flowdown_CIC[[URS]:[URS]]))*(--(G$14=Flowdown_CIC[[Source.Name]:[Source.Name]])),Flowdown_CIC[[SyRS]:[SyRS]],"")))</f>
        <v/>
      </c>
      <c r="H192" s="12" t="str" cm="1">
        <f t="array" ref="H192">_xlfn.TEXTJOIN(CHAR(10),TRUE,_xlfn._xlws.SORT(IF((--($B192=Flowdown_CIC[[URS]:[URS]]))*(--(H$14=Flowdown_CIC[[Source.Name]:[Source.Name]])),Flowdown_CIC[[SyRS]:[SyRS]],"")))</f>
        <v>MASTER-64360
MASTER-64362
MASTER-64364
MASTER-64366</v>
      </c>
      <c r="I192" s="12" t="str" cm="1">
        <f t="array" ref="I192">_xlfn.TEXTJOIN(CHAR(10),TRUE,_xlfn._xlws.SORT(IF((--($B192=Flowdown_CIC[[URS]:[URS]]))*(--(I$14=Flowdown_CIC[[Source.Name]:[Source.Name]])),Flowdown_CIC[[SyRS]:[SyRS]],"")))</f>
        <v/>
      </c>
      <c r="J192" s="12" t="str" cm="1">
        <f t="array" ref="J192">_xlfn.TEXTJOIN(CHAR(10),TRUE,_xlfn._xlws.SORT(IF((--($B192=Flowdown_CIC[[URS]:[URS]]))*(--(J$14=Flowdown_CIC[[Source.Name]:[Source.Name]])),Flowdown_CIC[[SyRS]:[SyRS]],"")))</f>
        <v/>
      </c>
      <c r="K192" s="12" t="str" cm="1">
        <f t="array" ref="K192">_xlfn.TEXTJOIN(CHAR(10),TRUE,_xlfn._xlws.SORT(IF((--($B192=Flowdown_CIC[[URS]:[URS]]))*(--(K$14=Flowdown_CIC[[Source.Name]:[Source.Name]])),Flowdown_CIC[[SyRS]:[SyRS]],"")))</f>
        <v/>
      </c>
      <c r="L192" s="16" t="b" cm="1">
        <f t="array" ref="L192">OR(LEN(C192:K192)&gt;0)</f>
        <v>1</v>
      </c>
    </row>
    <row r="193" spans="2:12" ht="27" x14ac:dyDescent="0.2">
      <c r="B193" s="11" t="str">
        <v>MASTER-6448</v>
      </c>
      <c r="C193" s="12" t="str" cm="1">
        <f t="array" ref="C193">_xlfn.TEXTJOIN(CHAR(10),TRUE,_xlfn._xlws.SORT(IF((--($B193=Flowdown_CIC[[URS]:[URS]]))*(--(C$14=Flowdown_CIC[[Source.Name]:[Source.Name]])),Flowdown_CIC[[SyRS]:[SyRS]],"")))</f>
        <v>MASTER-17679
MASTER-18634</v>
      </c>
      <c r="D193" s="12" t="str" cm="1">
        <f t="array" ref="D193">_xlfn.TEXTJOIN(CHAR(10),TRUE,_xlfn._xlws.SORT(IF((--($B193=Flowdown_CIC[[URS]:[URS]]))*(--(D$14=Flowdown_CIC[[Source.Name]:[Source.Name]])),Flowdown_CIC[[SyRS]:[SyRS]],"")))</f>
        <v>MASTER-17679
MASTER-18634</v>
      </c>
      <c r="E193" s="12" t="str" cm="1">
        <f t="array" ref="E193">_xlfn.TEXTJOIN(CHAR(10),TRUE,_xlfn._xlws.SORT(IF((--($B193=Flowdown_CIC[[URS]:[URS]]))*(--(E$14=Flowdown_CIC[[Source.Name]:[Source.Name]])),Flowdown_CIC[[SyRS]:[SyRS]],"")))</f>
        <v>MASTER-17679
MASTER-18634</v>
      </c>
      <c r="F193" s="12" t="str" cm="1">
        <f t="array" ref="F193">_xlfn.TEXTJOIN(CHAR(10),TRUE,_xlfn._xlws.SORT(IF((--($B193=Flowdown_CIC[[URS]:[URS]]))*(--(F$14=Flowdown_CIC[[Source.Name]:[Source.Name]])),Flowdown_CIC[[SyRS]:[SyRS]],"")))</f>
        <v>MASTER-17679
MASTER-18634</v>
      </c>
      <c r="G193" s="12" t="str" cm="1">
        <f t="array" ref="G193">_xlfn.TEXTJOIN(CHAR(10),TRUE,_xlfn._xlws.SORT(IF((--($B193=Flowdown_CIC[[URS]:[URS]]))*(--(G$14=Flowdown_CIC[[Source.Name]:[Source.Name]])),Flowdown_CIC[[SyRS]:[SyRS]],"")))</f>
        <v>MASTER-17679
MASTER-18634</v>
      </c>
      <c r="H193" s="12" t="str" cm="1">
        <f t="array" ref="H193">_xlfn.TEXTJOIN(CHAR(10),TRUE,_xlfn._xlws.SORT(IF((--($B193=Flowdown_CIC[[URS]:[URS]]))*(--(H$14=Flowdown_CIC[[Source.Name]:[Source.Name]])),Flowdown_CIC[[SyRS]:[SyRS]],"")))</f>
        <v>MASTER-22547</v>
      </c>
      <c r="I193" s="12" t="str" cm="1">
        <f t="array" ref="I193">_xlfn.TEXTJOIN(CHAR(10),TRUE,_xlfn._xlws.SORT(IF((--($B193=Flowdown_CIC[[URS]:[URS]]))*(--(I$14=Flowdown_CIC[[Source.Name]:[Source.Name]])),Flowdown_CIC[[SyRS]:[SyRS]],"")))</f>
        <v/>
      </c>
      <c r="J193" s="12" t="str" cm="1">
        <f t="array" ref="J193">_xlfn.TEXTJOIN(CHAR(10),TRUE,_xlfn._xlws.SORT(IF((--($B193=Flowdown_CIC[[URS]:[URS]]))*(--(J$14=Flowdown_CIC[[Source.Name]:[Source.Name]])),Flowdown_CIC[[SyRS]:[SyRS]],"")))</f>
        <v>UTICA-2474</v>
      </c>
      <c r="K193" s="12" t="str" cm="1">
        <f t="array" ref="K193">_xlfn.TEXTJOIN(CHAR(10),TRUE,_xlfn._xlws.SORT(IF((--($B193=Flowdown_CIC[[URS]:[URS]]))*(--(K$14=Flowdown_CIC[[Source.Name]:[Source.Name]])),Flowdown_CIC[[SyRS]:[SyRS]],"")))</f>
        <v/>
      </c>
      <c r="L193" s="16" t="b" cm="1">
        <f t="array" ref="L193">OR(LEN(C193:K193)&gt;0)</f>
        <v>1</v>
      </c>
    </row>
    <row r="194" spans="2:12" ht="81" x14ac:dyDescent="0.2">
      <c r="B194" s="11" t="str">
        <v>MASTER-6449</v>
      </c>
      <c r="C194" s="12" t="str" cm="1">
        <f t="array" ref="C194">_xlfn.TEXTJOIN(CHAR(10),TRUE,_xlfn._xlws.SORT(IF((--($B194=Flowdown_CIC[[URS]:[URS]]))*(--(C$14=Flowdown_CIC[[Source.Name]:[Source.Name]])),Flowdown_CIC[[SyRS]:[SyRS]],"")))</f>
        <v>MASTER-18638
MASTER-18640
MASTER-18642
MASTER-18644</v>
      </c>
      <c r="D194" s="12" t="str" cm="1">
        <f t="array" ref="D194">_xlfn.TEXTJOIN(CHAR(10),TRUE,_xlfn._xlws.SORT(IF((--($B194=Flowdown_CIC[[URS]:[URS]]))*(--(D$14=Flowdown_CIC[[Source.Name]:[Source.Name]])),Flowdown_CIC[[SyRS]:[SyRS]],"")))</f>
        <v>MASTER-18638
MASTER-18640
MASTER-18642
MASTER-18644</v>
      </c>
      <c r="E194" s="12" t="str" cm="1">
        <f t="array" ref="E194">_xlfn.TEXTJOIN(CHAR(10),TRUE,_xlfn._xlws.SORT(IF((--($B194=Flowdown_CIC[[URS]:[URS]]))*(--(E$14=Flowdown_CIC[[Source.Name]:[Source.Name]])),Flowdown_CIC[[SyRS]:[SyRS]],"")))</f>
        <v>MASTER-18638
MASTER-18640
MASTER-18642
MASTER-18644</v>
      </c>
      <c r="F194" s="12" t="str" cm="1">
        <f t="array" ref="F194">_xlfn.TEXTJOIN(CHAR(10),TRUE,_xlfn._xlws.SORT(IF((--($B194=Flowdown_CIC[[URS]:[URS]]))*(--(F$14=Flowdown_CIC[[Source.Name]:[Source.Name]])),Flowdown_CIC[[SyRS]:[SyRS]],"")))</f>
        <v>MASTER-18638
MASTER-18640
MASTER-18642
MASTER-18644
MASTER-18646
MASTER-18648</v>
      </c>
      <c r="G194" s="12" t="str" cm="1">
        <f t="array" ref="G194">_xlfn.TEXTJOIN(CHAR(10),TRUE,_xlfn._xlws.SORT(IF((--($B194=Flowdown_CIC[[URS]:[URS]]))*(--(G$14=Flowdown_CIC[[Source.Name]:[Source.Name]])),Flowdown_CIC[[SyRS]:[SyRS]],"")))</f>
        <v>MASTER-18638
MASTER-18640
MASTER-18642
MASTER-18644
MASTER-18646
MASTER-18648</v>
      </c>
      <c r="H194" s="12" t="str" cm="1">
        <f t="array" ref="H194">_xlfn.TEXTJOIN(CHAR(10),TRUE,_xlfn._xlws.SORT(IF((--($B194=Flowdown_CIC[[URS]:[URS]]))*(--(H$14=Flowdown_CIC[[Source.Name]:[Source.Name]])),Flowdown_CIC[[SyRS]:[SyRS]],"")))</f>
        <v/>
      </c>
      <c r="I194" s="12" t="str" cm="1">
        <f t="array" ref="I194">_xlfn.TEXTJOIN(CHAR(10),TRUE,_xlfn._xlws.SORT(IF((--($B194=Flowdown_CIC[[URS]:[URS]]))*(--(I$14=Flowdown_CIC[[Source.Name]:[Source.Name]])),Flowdown_CIC[[SyRS]:[SyRS]],"")))</f>
        <v/>
      </c>
      <c r="J194" s="12" t="str" cm="1">
        <f t="array" ref="J194">_xlfn.TEXTJOIN(CHAR(10),TRUE,_xlfn._xlws.SORT(IF((--($B194=Flowdown_CIC[[URS]:[URS]]))*(--(J$14=Flowdown_CIC[[Source.Name]:[Source.Name]])),Flowdown_CIC[[SyRS]:[SyRS]],"")))</f>
        <v/>
      </c>
      <c r="K194" s="12" t="str" cm="1">
        <f t="array" ref="K194">_xlfn.TEXTJOIN(CHAR(10),TRUE,_xlfn._xlws.SORT(IF((--($B194=Flowdown_CIC[[URS]:[URS]]))*(--(K$14=Flowdown_CIC[[Source.Name]:[Source.Name]])),Flowdown_CIC[[SyRS]:[SyRS]],"")))</f>
        <v/>
      </c>
      <c r="L194" s="16" t="b" cm="1">
        <f t="array" ref="L194">OR(LEN(C194:K194)&gt;0)</f>
        <v>1</v>
      </c>
    </row>
    <row r="195" spans="2:12" ht="40.5" x14ac:dyDescent="0.2">
      <c r="B195" s="11" t="str">
        <v>MASTER-6450</v>
      </c>
      <c r="C195" s="12" t="str" cm="1">
        <f t="array" ref="C195">_xlfn.TEXTJOIN(CHAR(10),TRUE,_xlfn._xlws.SORT(IF((--($B195=Flowdown_CIC[[URS]:[URS]]))*(--(C$14=Flowdown_CIC[[Source.Name]:[Source.Name]])),Flowdown_CIC[[SyRS]:[SyRS]],"")))</f>
        <v>MASTER-18617</v>
      </c>
      <c r="D195" s="12" t="str" cm="1">
        <f t="array" ref="D195">_xlfn.TEXTJOIN(CHAR(10),TRUE,_xlfn._xlws.SORT(IF((--($B195=Flowdown_CIC[[URS]:[URS]]))*(--(D$14=Flowdown_CIC[[Source.Name]:[Source.Name]])),Flowdown_CIC[[SyRS]:[SyRS]],"")))</f>
        <v>MASTER-18617</v>
      </c>
      <c r="E195" s="12" t="str" cm="1">
        <f t="array" ref="E195">_xlfn.TEXTJOIN(CHAR(10),TRUE,_xlfn._xlws.SORT(IF((--($B195=Flowdown_CIC[[URS]:[URS]]))*(--(E$14=Flowdown_CIC[[Source.Name]:[Source.Name]])),Flowdown_CIC[[SyRS]:[SyRS]],"")))</f>
        <v>MASTER-18617</v>
      </c>
      <c r="F195" s="12" t="str" cm="1">
        <f t="array" ref="F195">_xlfn.TEXTJOIN(CHAR(10),TRUE,_xlfn._xlws.SORT(IF((--($B195=Flowdown_CIC[[URS]:[URS]]))*(--(F$14=Flowdown_CIC[[Source.Name]:[Source.Name]])),Flowdown_CIC[[SyRS]:[SyRS]],"")))</f>
        <v>MASTER-18617</v>
      </c>
      <c r="G195" s="12" t="str" cm="1">
        <f t="array" ref="G195">_xlfn.TEXTJOIN(CHAR(10),TRUE,_xlfn._xlws.SORT(IF((--($B195=Flowdown_CIC[[URS]:[URS]]))*(--(G$14=Flowdown_CIC[[Source.Name]:[Source.Name]])),Flowdown_CIC[[SyRS]:[SyRS]],"")))</f>
        <v>MASTER-18617</v>
      </c>
      <c r="H195" s="12" t="str" cm="1">
        <f t="array" ref="H195">_xlfn.TEXTJOIN(CHAR(10),TRUE,_xlfn._xlws.SORT(IF((--($B195=Flowdown_CIC[[URS]:[URS]]))*(--(H$14=Flowdown_CIC[[Source.Name]:[Source.Name]])),Flowdown_CIC[[SyRS]:[SyRS]],"")))</f>
        <v/>
      </c>
      <c r="I195" s="12" t="str" cm="1">
        <f t="array" ref="I195">_xlfn.TEXTJOIN(CHAR(10),TRUE,_xlfn._xlws.SORT(IF((--($B195=Flowdown_CIC[[URS]:[URS]]))*(--(I$14=Flowdown_CIC[[Source.Name]:[Source.Name]])),Flowdown_CIC[[SyRS]:[SyRS]],"")))</f>
        <v>MASTER-48451
UTICA-202</v>
      </c>
      <c r="J195" s="12" t="str" cm="1">
        <f t="array" ref="J195">_xlfn.TEXTJOIN(CHAR(10),TRUE,_xlfn._xlws.SORT(IF((--($B195=Flowdown_CIC[[URS]:[URS]]))*(--(J$14=Flowdown_CIC[[Source.Name]:[Source.Name]])),Flowdown_CIC[[SyRS]:[SyRS]],"")))</f>
        <v>MASTER-48451
UTICA-2476
UTICA-25732</v>
      </c>
      <c r="K195" s="12" t="str" cm="1">
        <f t="array" ref="K195">_xlfn.TEXTJOIN(CHAR(10),TRUE,_xlfn._xlws.SORT(IF((--($B195=Flowdown_CIC[[URS]:[URS]]))*(--(K$14=Flowdown_CIC[[Source.Name]:[Source.Name]])),Flowdown_CIC[[SyRS]:[SyRS]],"")))</f>
        <v/>
      </c>
      <c r="L195" s="16" t="b" cm="1">
        <f t="array" ref="L195">OR(LEN(C195:K195)&gt;0)</f>
        <v>1</v>
      </c>
    </row>
    <row r="196" spans="2:12" ht="27" x14ac:dyDescent="0.2">
      <c r="B196" s="11" t="str">
        <v>MASTER-6451</v>
      </c>
      <c r="C196" s="12" t="str" cm="1">
        <f t="array" ref="C196">_xlfn.TEXTJOIN(CHAR(10),TRUE,_xlfn._xlws.SORT(IF((--($B196=Flowdown_CIC[[URS]:[URS]]))*(--(C$14=Flowdown_CIC[[Source.Name]:[Source.Name]])),Flowdown_CIC[[SyRS]:[SyRS]],"")))</f>
        <v>MASTER-18634
MASTER-18638</v>
      </c>
      <c r="D196" s="12" t="str" cm="1">
        <f t="array" ref="D196">_xlfn.TEXTJOIN(CHAR(10),TRUE,_xlfn._xlws.SORT(IF((--($B196=Flowdown_CIC[[URS]:[URS]]))*(--(D$14=Flowdown_CIC[[Source.Name]:[Source.Name]])),Flowdown_CIC[[SyRS]:[SyRS]],"")))</f>
        <v>MASTER-18634
MASTER-18638</v>
      </c>
      <c r="E196" s="12" t="str" cm="1">
        <f t="array" ref="E196">_xlfn.TEXTJOIN(CHAR(10),TRUE,_xlfn._xlws.SORT(IF((--($B196=Flowdown_CIC[[URS]:[URS]]))*(--(E$14=Flowdown_CIC[[Source.Name]:[Source.Name]])),Flowdown_CIC[[SyRS]:[SyRS]],"")))</f>
        <v>MASTER-18634
MASTER-18638</v>
      </c>
      <c r="F196" s="12" t="str" cm="1">
        <f t="array" ref="F196">_xlfn.TEXTJOIN(CHAR(10),TRUE,_xlfn._xlws.SORT(IF((--($B196=Flowdown_CIC[[URS]:[URS]]))*(--(F$14=Flowdown_CIC[[Source.Name]:[Source.Name]])),Flowdown_CIC[[SyRS]:[SyRS]],"")))</f>
        <v>MASTER-18634
MASTER-18638</v>
      </c>
      <c r="G196" s="12" t="str" cm="1">
        <f t="array" ref="G196">_xlfn.TEXTJOIN(CHAR(10),TRUE,_xlfn._xlws.SORT(IF((--($B196=Flowdown_CIC[[URS]:[URS]]))*(--(G$14=Flowdown_CIC[[Source.Name]:[Source.Name]])),Flowdown_CIC[[SyRS]:[SyRS]],"")))</f>
        <v>MASTER-18634
MASTER-18638</v>
      </c>
      <c r="H196" s="12" t="str" cm="1">
        <f t="array" ref="H196">_xlfn.TEXTJOIN(CHAR(10),TRUE,_xlfn._xlws.SORT(IF((--($B196=Flowdown_CIC[[URS]:[URS]]))*(--(H$14=Flowdown_CIC[[Source.Name]:[Source.Name]])),Flowdown_CIC[[SyRS]:[SyRS]],"")))</f>
        <v/>
      </c>
      <c r="I196" s="12" t="str" cm="1">
        <f t="array" ref="I196">_xlfn.TEXTJOIN(CHAR(10),TRUE,_xlfn._xlws.SORT(IF((--($B196=Flowdown_CIC[[URS]:[URS]]))*(--(I$14=Flowdown_CIC[[Source.Name]:[Source.Name]])),Flowdown_CIC[[SyRS]:[SyRS]],"")))</f>
        <v/>
      </c>
      <c r="J196" s="12" t="str" cm="1">
        <f t="array" ref="J196">_xlfn.TEXTJOIN(CHAR(10),TRUE,_xlfn._xlws.SORT(IF((--($B196=Flowdown_CIC[[URS]:[URS]]))*(--(J$14=Flowdown_CIC[[Source.Name]:[Source.Name]])),Flowdown_CIC[[SyRS]:[SyRS]],"")))</f>
        <v/>
      </c>
      <c r="K196" s="12" t="str" cm="1">
        <f t="array" ref="K196">_xlfn.TEXTJOIN(CHAR(10),TRUE,_xlfn._xlws.SORT(IF((--($B196=Flowdown_CIC[[URS]:[URS]]))*(--(K$14=Flowdown_CIC[[Source.Name]:[Source.Name]])),Flowdown_CIC[[SyRS]:[SyRS]],"")))</f>
        <v/>
      </c>
      <c r="L196" s="16" t="b" cm="1">
        <f t="array" ref="L196">OR(LEN(C196:K196)&gt;0)</f>
        <v>1</v>
      </c>
    </row>
    <row r="197" spans="2:12" ht="54" x14ac:dyDescent="0.2">
      <c r="B197" s="11" t="str">
        <v>MASTER-6452</v>
      </c>
      <c r="C197" s="12" t="str" cm="1">
        <f t="array" ref="C197">_xlfn.TEXTJOIN(CHAR(10),TRUE,_xlfn._xlws.SORT(IF((--($B197=Flowdown_CIC[[URS]:[URS]]))*(--(C$14=Flowdown_CIC[[Source.Name]:[Source.Name]])),Flowdown_CIC[[SyRS]:[SyRS]],"")))</f>
        <v>MASTER-18638
MASTER-51774
MASTER-51777
MASTER-51778</v>
      </c>
      <c r="D197" s="12" t="str" cm="1">
        <f t="array" ref="D197">_xlfn.TEXTJOIN(CHAR(10),TRUE,_xlfn._xlws.SORT(IF((--($B197=Flowdown_CIC[[URS]:[URS]]))*(--(D$14=Flowdown_CIC[[Source.Name]:[Source.Name]])),Flowdown_CIC[[SyRS]:[SyRS]],"")))</f>
        <v>MASTER-18638
MASTER-51777
MASTER-51778</v>
      </c>
      <c r="E197" s="12" t="str" cm="1">
        <f t="array" ref="E197">_xlfn.TEXTJOIN(CHAR(10),TRUE,_xlfn._xlws.SORT(IF((--($B197=Flowdown_CIC[[URS]:[URS]]))*(--(E$14=Flowdown_CIC[[Source.Name]:[Source.Name]])),Flowdown_CIC[[SyRS]:[SyRS]],"")))</f>
        <v>MASTER-18638
MASTER-51774
MASTER-51777
MASTER-51778</v>
      </c>
      <c r="F197" s="12" t="str" cm="1">
        <f t="array" ref="F197">_xlfn.TEXTJOIN(CHAR(10),TRUE,_xlfn._xlws.SORT(IF((--($B197=Flowdown_CIC[[URS]:[URS]]))*(--(F$14=Flowdown_CIC[[Source.Name]:[Source.Name]])),Flowdown_CIC[[SyRS]:[SyRS]],"")))</f>
        <v>MASTER-18638
MASTER-51774
MASTER-51777
MASTER-51778</v>
      </c>
      <c r="G197" s="12" t="str" cm="1">
        <f t="array" ref="G197">_xlfn.TEXTJOIN(CHAR(10),TRUE,_xlfn._xlws.SORT(IF((--($B197=Flowdown_CIC[[URS]:[URS]]))*(--(G$14=Flowdown_CIC[[Source.Name]:[Source.Name]])),Flowdown_CIC[[SyRS]:[SyRS]],"")))</f>
        <v>MASTER-18638
MASTER-51774
MASTER-51777
MASTER-51778</v>
      </c>
      <c r="H197" s="12" t="str" cm="1">
        <f t="array" ref="H197">_xlfn.TEXTJOIN(CHAR(10),TRUE,_xlfn._xlws.SORT(IF((--($B197=Flowdown_CIC[[URS]:[URS]]))*(--(H$14=Flowdown_CIC[[Source.Name]:[Source.Name]])),Flowdown_CIC[[SyRS]:[SyRS]],"")))</f>
        <v/>
      </c>
      <c r="I197" s="12" t="str" cm="1">
        <f t="array" ref="I197">_xlfn.TEXTJOIN(CHAR(10),TRUE,_xlfn._xlws.SORT(IF((--($B197=Flowdown_CIC[[URS]:[URS]]))*(--(I$14=Flowdown_CIC[[Source.Name]:[Source.Name]])),Flowdown_CIC[[SyRS]:[SyRS]],"")))</f>
        <v/>
      </c>
      <c r="J197" s="12" t="str" cm="1">
        <f t="array" ref="J197">_xlfn.TEXTJOIN(CHAR(10),TRUE,_xlfn._xlws.SORT(IF((--($B197=Flowdown_CIC[[URS]:[URS]]))*(--(J$14=Flowdown_CIC[[Source.Name]:[Source.Name]])),Flowdown_CIC[[SyRS]:[SyRS]],"")))</f>
        <v/>
      </c>
      <c r="K197" s="12" t="str" cm="1">
        <f t="array" ref="K197">_xlfn.TEXTJOIN(CHAR(10),TRUE,_xlfn._xlws.SORT(IF((--($B197=Flowdown_CIC[[URS]:[URS]]))*(--(K$14=Flowdown_CIC[[Source.Name]:[Source.Name]])),Flowdown_CIC[[SyRS]:[SyRS]],"")))</f>
        <v/>
      </c>
      <c r="L197" s="16" t="b" cm="1">
        <f t="array" ref="L197">OR(LEN(C197:K197)&gt;0)</f>
        <v>1</v>
      </c>
    </row>
    <row r="198" spans="2:12" ht="40.5" x14ac:dyDescent="0.2">
      <c r="B198" s="11" t="str">
        <v>MASTER-6453</v>
      </c>
      <c r="C198" s="12" t="str" cm="1">
        <f t="array" ref="C198">_xlfn.TEXTJOIN(CHAR(10),TRUE,_xlfn._xlws.SORT(IF((--($B198=Flowdown_CIC[[URS]:[URS]]))*(--(C$14=Flowdown_CIC[[Source.Name]:[Source.Name]])),Flowdown_CIC[[SyRS]:[SyRS]],"")))</f>
        <v>MASTER-18640
MASTER-18642
MASTER-18644</v>
      </c>
      <c r="D198" s="12" t="str" cm="1">
        <f t="array" ref="D198">_xlfn.TEXTJOIN(CHAR(10),TRUE,_xlfn._xlws.SORT(IF((--($B198=Flowdown_CIC[[URS]:[URS]]))*(--(D$14=Flowdown_CIC[[Source.Name]:[Source.Name]])),Flowdown_CIC[[SyRS]:[SyRS]],"")))</f>
        <v>MASTER-18640
MASTER-18642
MASTER-18644</v>
      </c>
      <c r="E198" s="12" t="str" cm="1">
        <f t="array" ref="E198">_xlfn.TEXTJOIN(CHAR(10),TRUE,_xlfn._xlws.SORT(IF((--($B198=Flowdown_CIC[[URS]:[URS]]))*(--(E$14=Flowdown_CIC[[Source.Name]:[Source.Name]])),Flowdown_CIC[[SyRS]:[SyRS]],"")))</f>
        <v>MASTER-18640
MASTER-18642
MASTER-18644</v>
      </c>
      <c r="F198" s="12" t="str" cm="1">
        <f t="array" ref="F198">_xlfn.TEXTJOIN(CHAR(10),TRUE,_xlfn._xlws.SORT(IF((--($B198=Flowdown_CIC[[URS]:[URS]]))*(--(F$14=Flowdown_CIC[[Source.Name]:[Source.Name]])),Flowdown_CIC[[SyRS]:[SyRS]],"")))</f>
        <v>MASTER-18640
MASTER-18642
MASTER-18644</v>
      </c>
      <c r="G198" s="12" t="str" cm="1">
        <f t="array" ref="G198">_xlfn.TEXTJOIN(CHAR(10),TRUE,_xlfn._xlws.SORT(IF((--($B198=Flowdown_CIC[[URS]:[URS]]))*(--(G$14=Flowdown_CIC[[Source.Name]:[Source.Name]])),Flowdown_CIC[[SyRS]:[SyRS]],"")))</f>
        <v>MASTER-18640
MASTER-18642
MASTER-18644</v>
      </c>
      <c r="H198" s="12" t="str" cm="1">
        <f t="array" ref="H198">_xlfn.TEXTJOIN(CHAR(10),TRUE,_xlfn._xlws.SORT(IF((--($B198=Flowdown_CIC[[URS]:[URS]]))*(--(H$14=Flowdown_CIC[[Source.Name]:[Source.Name]])),Flowdown_CIC[[SyRS]:[SyRS]],"")))</f>
        <v/>
      </c>
      <c r="I198" s="12" t="str" cm="1">
        <f t="array" ref="I198">_xlfn.TEXTJOIN(CHAR(10),TRUE,_xlfn._xlws.SORT(IF((--($B198=Flowdown_CIC[[URS]:[URS]]))*(--(I$14=Flowdown_CIC[[Source.Name]:[Source.Name]])),Flowdown_CIC[[SyRS]:[SyRS]],"")))</f>
        <v/>
      </c>
      <c r="J198" s="12" t="str" cm="1">
        <f t="array" ref="J198">_xlfn.TEXTJOIN(CHAR(10),TRUE,_xlfn._xlws.SORT(IF((--($B198=Flowdown_CIC[[URS]:[URS]]))*(--(J$14=Flowdown_CIC[[Source.Name]:[Source.Name]])),Flowdown_CIC[[SyRS]:[SyRS]],"")))</f>
        <v/>
      </c>
      <c r="K198" s="12" t="str" cm="1">
        <f t="array" ref="K198">_xlfn.TEXTJOIN(CHAR(10),TRUE,_xlfn._xlws.SORT(IF((--($B198=Flowdown_CIC[[URS]:[URS]]))*(--(K$14=Flowdown_CIC[[Source.Name]:[Source.Name]])),Flowdown_CIC[[SyRS]:[SyRS]],"")))</f>
        <v/>
      </c>
      <c r="L198" s="16" t="b" cm="1">
        <f t="array" ref="L198">OR(LEN(C198:K198)&gt;0)</f>
        <v>1</v>
      </c>
    </row>
    <row r="199" spans="2:12" ht="54" x14ac:dyDescent="0.2">
      <c r="B199" s="11" t="str">
        <v>MASTER-6454</v>
      </c>
      <c r="C199" s="12" t="str" cm="1">
        <f t="array" ref="C199">_xlfn.TEXTJOIN(CHAR(10),TRUE,_xlfn._xlws.SORT(IF((--($B199=Flowdown_CIC[[URS]:[URS]]))*(--(C$14=Flowdown_CIC[[Source.Name]:[Source.Name]])),Flowdown_CIC[[SyRS]:[SyRS]],"")))</f>
        <v>MASTER-18634</v>
      </c>
      <c r="D199" s="12" t="str" cm="1">
        <f t="array" ref="D199">_xlfn.TEXTJOIN(CHAR(10),TRUE,_xlfn._xlws.SORT(IF((--($B199=Flowdown_CIC[[URS]:[URS]]))*(--(D$14=Flowdown_CIC[[Source.Name]:[Source.Name]])),Flowdown_CIC[[SyRS]:[SyRS]],"")))</f>
        <v>MASTER-18634</v>
      </c>
      <c r="E199" s="12" t="str" cm="1">
        <f t="array" ref="E199">_xlfn.TEXTJOIN(CHAR(10),TRUE,_xlfn._xlws.SORT(IF((--($B199=Flowdown_CIC[[URS]:[URS]]))*(--(E$14=Flowdown_CIC[[Source.Name]:[Source.Name]])),Flowdown_CIC[[SyRS]:[SyRS]],"")))</f>
        <v>MASTER-18634</v>
      </c>
      <c r="F199" s="12" t="str" cm="1">
        <f t="array" ref="F199">_xlfn.TEXTJOIN(CHAR(10),TRUE,_xlfn._xlws.SORT(IF((--($B199=Flowdown_CIC[[URS]:[URS]]))*(--(F$14=Flowdown_CIC[[Source.Name]:[Source.Name]])),Flowdown_CIC[[SyRS]:[SyRS]],"")))</f>
        <v>MASTER-18634
MASTER-18646
MASTER-18647
MASTER-18648</v>
      </c>
      <c r="G199" s="12" t="str" cm="1">
        <f t="array" ref="G199">_xlfn.TEXTJOIN(CHAR(10),TRUE,_xlfn._xlws.SORT(IF((--($B199=Flowdown_CIC[[URS]:[URS]]))*(--(G$14=Flowdown_CIC[[Source.Name]:[Source.Name]])),Flowdown_CIC[[SyRS]:[SyRS]],"")))</f>
        <v>MASTER-18634
MASTER-18646
MASTER-18647
MASTER-18648</v>
      </c>
      <c r="H199" s="12" t="str" cm="1">
        <f t="array" ref="H199">_xlfn.TEXTJOIN(CHAR(10),TRUE,_xlfn._xlws.SORT(IF((--($B199=Flowdown_CIC[[URS]:[URS]]))*(--(H$14=Flowdown_CIC[[Source.Name]:[Source.Name]])),Flowdown_CIC[[SyRS]:[SyRS]],"")))</f>
        <v/>
      </c>
      <c r="I199" s="12" t="str" cm="1">
        <f t="array" ref="I199">_xlfn.TEXTJOIN(CHAR(10),TRUE,_xlfn._xlws.SORT(IF((--($B199=Flowdown_CIC[[URS]:[URS]]))*(--(I$14=Flowdown_CIC[[Source.Name]:[Source.Name]])),Flowdown_CIC[[SyRS]:[SyRS]],"")))</f>
        <v/>
      </c>
      <c r="J199" s="12" t="str" cm="1">
        <f t="array" ref="J199">_xlfn.TEXTJOIN(CHAR(10),TRUE,_xlfn._xlws.SORT(IF((--($B199=Flowdown_CIC[[URS]:[URS]]))*(--(J$14=Flowdown_CIC[[Source.Name]:[Source.Name]])),Flowdown_CIC[[SyRS]:[SyRS]],"")))</f>
        <v/>
      </c>
      <c r="K199" s="12" t="str" cm="1">
        <f t="array" ref="K199">_xlfn.TEXTJOIN(CHAR(10),TRUE,_xlfn._xlws.SORT(IF((--($B199=Flowdown_CIC[[URS]:[URS]]))*(--(K$14=Flowdown_CIC[[Source.Name]:[Source.Name]])),Flowdown_CIC[[SyRS]:[SyRS]],"")))</f>
        <v/>
      </c>
      <c r="L199" s="16" t="b" cm="1">
        <f t="array" ref="L199">OR(LEN(C199:K199)&gt;0)</f>
        <v>1</v>
      </c>
    </row>
    <row r="200" spans="2:12" ht="13.5" x14ac:dyDescent="0.2">
      <c r="B200" s="11" t="str">
        <v>MASTER-6455</v>
      </c>
      <c r="C200" s="12" t="str" cm="1">
        <f t="array" ref="C200">_xlfn.TEXTJOIN(CHAR(10),TRUE,_xlfn._xlws.SORT(IF((--($B200=Flowdown_CIC[[URS]:[URS]]))*(--(C$14=Flowdown_CIC[[Source.Name]:[Source.Name]])),Flowdown_CIC[[SyRS]:[SyRS]],"")))</f>
        <v>MASTER-18681</v>
      </c>
      <c r="D200" s="12" t="str" cm="1">
        <f t="array" ref="D200">_xlfn.TEXTJOIN(CHAR(10),TRUE,_xlfn._xlws.SORT(IF((--($B200=Flowdown_CIC[[URS]:[URS]]))*(--(D$14=Flowdown_CIC[[Source.Name]:[Source.Name]])),Flowdown_CIC[[SyRS]:[SyRS]],"")))</f>
        <v>MASTER-18681</v>
      </c>
      <c r="E200" s="12" t="str" cm="1">
        <f t="array" ref="E200">_xlfn.TEXTJOIN(CHAR(10),TRUE,_xlfn._xlws.SORT(IF((--($B200=Flowdown_CIC[[URS]:[URS]]))*(--(E$14=Flowdown_CIC[[Source.Name]:[Source.Name]])),Flowdown_CIC[[SyRS]:[SyRS]],"")))</f>
        <v>MASTER-18681</v>
      </c>
      <c r="F200" s="12" t="str" cm="1">
        <f t="array" ref="F200">_xlfn.TEXTJOIN(CHAR(10),TRUE,_xlfn._xlws.SORT(IF((--($B200=Flowdown_CIC[[URS]:[URS]]))*(--(F$14=Flowdown_CIC[[Source.Name]:[Source.Name]])),Flowdown_CIC[[SyRS]:[SyRS]],"")))</f>
        <v>MASTER-18681</v>
      </c>
      <c r="G200" s="12" t="str" cm="1">
        <f t="array" ref="G200">_xlfn.TEXTJOIN(CHAR(10),TRUE,_xlfn._xlws.SORT(IF((--($B200=Flowdown_CIC[[URS]:[URS]]))*(--(G$14=Flowdown_CIC[[Source.Name]:[Source.Name]])),Flowdown_CIC[[SyRS]:[SyRS]],"")))</f>
        <v>MASTER-18681</v>
      </c>
      <c r="H200" s="12" t="str" cm="1">
        <f t="array" ref="H200">_xlfn.TEXTJOIN(CHAR(10),TRUE,_xlfn._xlws.SORT(IF((--($B200=Flowdown_CIC[[URS]:[URS]]))*(--(H$14=Flowdown_CIC[[Source.Name]:[Source.Name]])),Flowdown_CIC[[SyRS]:[SyRS]],"")))</f>
        <v/>
      </c>
      <c r="I200" s="12" t="str" cm="1">
        <f t="array" ref="I200">_xlfn.TEXTJOIN(CHAR(10),TRUE,_xlfn._xlws.SORT(IF((--($B200=Flowdown_CIC[[URS]:[URS]]))*(--(I$14=Flowdown_CIC[[Source.Name]:[Source.Name]])),Flowdown_CIC[[SyRS]:[SyRS]],"")))</f>
        <v/>
      </c>
      <c r="J200" s="12" t="str" cm="1">
        <f t="array" ref="J200">_xlfn.TEXTJOIN(CHAR(10),TRUE,_xlfn._xlws.SORT(IF((--($B200=Flowdown_CIC[[URS]:[URS]]))*(--(J$14=Flowdown_CIC[[Source.Name]:[Source.Name]])),Flowdown_CIC[[SyRS]:[SyRS]],"")))</f>
        <v/>
      </c>
      <c r="K200" s="12" t="str" cm="1">
        <f t="array" ref="K200">_xlfn.TEXTJOIN(CHAR(10),TRUE,_xlfn._xlws.SORT(IF((--($B200=Flowdown_CIC[[URS]:[URS]]))*(--(K$14=Flowdown_CIC[[Source.Name]:[Source.Name]])),Flowdown_CIC[[SyRS]:[SyRS]],"")))</f>
        <v/>
      </c>
      <c r="L200" s="16" t="b" cm="1">
        <f t="array" ref="L200">OR(LEN(C200:K200)&gt;0)</f>
        <v>1</v>
      </c>
    </row>
    <row r="201" spans="2:12" ht="94.5" x14ac:dyDescent="0.2">
      <c r="B201" s="11" t="str">
        <v>MASTER-64570</v>
      </c>
      <c r="C201" s="12" t="str" cm="1">
        <f t="array" ref="C201">_xlfn.TEXTJOIN(CHAR(10),TRUE,_xlfn._xlws.SORT(IF((--($B201=Flowdown_CIC[[URS]:[URS]]))*(--(C$14=Flowdown_CIC[[Source.Name]:[Source.Name]])),Flowdown_CIC[[SyRS]:[SyRS]],"")))</f>
        <v/>
      </c>
      <c r="D201" s="12" t="str" cm="1">
        <f t="array" ref="D201">_xlfn.TEXTJOIN(CHAR(10),TRUE,_xlfn._xlws.SORT(IF((--($B201=Flowdown_CIC[[URS]:[URS]]))*(--(D$14=Flowdown_CIC[[Source.Name]:[Source.Name]])),Flowdown_CIC[[SyRS]:[SyRS]],"")))</f>
        <v/>
      </c>
      <c r="E201" s="12" t="str" cm="1">
        <f t="array" ref="E201">_xlfn.TEXTJOIN(CHAR(10),TRUE,_xlfn._xlws.SORT(IF((--($B201=Flowdown_CIC[[URS]:[URS]]))*(--(E$14=Flowdown_CIC[[Source.Name]:[Source.Name]])),Flowdown_CIC[[SyRS]:[SyRS]],"")))</f>
        <v/>
      </c>
      <c r="F201" s="12" t="str" cm="1">
        <f t="array" ref="F201">_xlfn.TEXTJOIN(CHAR(10),TRUE,_xlfn._xlws.SORT(IF((--($B201=Flowdown_CIC[[URS]:[URS]]))*(--(F$14=Flowdown_CIC[[Source.Name]:[Source.Name]])),Flowdown_CIC[[SyRS]:[SyRS]],"")))</f>
        <v/>
      </c>
      <c r="G201" s="12" t="str" cm="1">
        <f t="array" ref="G201">_xlfn.TEXTJOIN(CHAR(10),TRUE,_xlfn._xlws.SORT(IF((--($B201=Flowdown_CIC[[URS]:[URS]]))*(--(G$14=Flowdown_CIC[[Source.Name]:[Source.Name]])),Flowdown_CIC[[SyRS]:[SyRS]],"")))</f>
        <v/>
      </c>
      <c r="H201" s="12" t="str" cm="1">
        <f t="array" ref="H201">_xlfn.TEXTJOIN(CHAR(10),TRUE,_xlfn._xlws.SORT(IF((--($B201=Flowdown_CIC[[URS]:[URS]]))*(--(H$14=Flowdown_CIC[[Source.Name]:[Source.Name]])),Flowdown_CIC[[SyRS]:[SyRS]],"")))</f>
        <v/>
      </c>
      <c r="I201" s="12" t="str" cm="1">
        <f t="array" ref="I201">_xlfn.TEXTJOIN(CHAR(10),TRUE,_xlfn._xlws.SORT(IF((--($B201=Flowdown_CIC[[URS]:[URS]]))*(--(I$14=Flowdown_CIC[[Source.Name]:[Source.Name]])),Flowdown_CIC[[SyRS]:[SyRS]],"")))</f>
        <v/>
      </c>
      <c r="J201" s="12" t="str" cm="1">
        <f t="array" ref="J201">_xlfn.TEXTJOIN(CHAR(10),TRUE,_xlfn._xlws.SORT(IF((--($B201=Flowdown_CIC[[URS]:[URS]]))*(--(J$14=Flowdown_CIC[[Source.Name]:[Source.Name]])),Flowdown_CIC[[SyRS]:[SyRS]],"")))</f>
        <v/>
      </c>
      <c r="K201" s="12" t="str" cm="1">
        <f t="array" ref="K201">_xlfn.TEXTJOIN(CHAR(10),TRUE,_xlfn._xlws.SORT(IF((--($B201=Flowdown_CIC[[URS]:[URS]]))*(--(K$14=Flowdown_CIC[[Source.Name]:[Source.Name]])),Flowdown_CIC[[SyRS]:[SyRS]],"")))</f>
        <v>MASTER-62909
MASTER-62910
MASTER-62912
MASTER-62913
MASTER-62915
MASTER-62916
MASTER-62918</v>
      </c>
      <c r="L201" s="16" t="b" cm="1">
        <f t="array" ref="L201">OR(LEN(C201:K201)&gt;0)</f>
        <v>1</v>
      </c>
    </row>
    <row r="202" spans="2:12" ht="94.5" x14ac:dyDescent="0.2">
      <c r="B202" s="11" t="str">
        <v>MASTER-6458</v>
      </c>
      <c r="C202" s="12" t="str" cm="1">
        <f t="array" ref="C202">_xlfn.TEXTJOIN(CHAR(10),TRUE,_xlfn._xlws.SORT(IF((--($B202=Flowdown_CIC[[URS]:[URS]]))*(--(C$14=Flowdown_CIC[[Source.Name]:[Source.Name]])),Flowdown_CIC[[SyRS]:[SyRS]],"")))</f>
        <v>MASTER-53031
MASTER-53034
MASTER-53035
MASTER-53036
MASTER-53038
MASTER-53039
MASTER-53040</v>
      </c>
      <c r="D202" s="12" t="str" cm="1">
        <f t="array" ref="D202">_xlfn.TEXTJOIN(CHAR(10),TRUE,_xlfn._xlws.SORT(IF((--($B202=Flowdown_CIC[[URS]:[URS]]))*(--(D$14=Flowdown_CIC[[Source.Name]:[Source.Name]])),Flowdown_CIC[[SyRS]:[SyRS]],"")))</f>
        <v>MASTER-53031
MASTER-53034
MASTER-53035
MASTER-53036
MASTER-53038
MASTER-53039
MASTER-53040</v>
      </c>
      <c r="E202" s="12" t="str" cm="1">
        <f t="array" ref="E202">_xlfn.TEXTJOIN(CHAR(10),TRUE,_xlfn._xlws.SORT(IF((--($B202=Flowdown_CIC[[URS]:[URS]]))*(--(E$14=Flowdown_CIC[[Source.Name]:[Source.Name]])),Flowdown_CIC[[SyRS]:[SyRS]],"")))</f>
        <v>MASTER-53031
MASTER-53034
MASTER-53035
MASTER-53036
MASTER-53038
MASTER-53039
MASTER-53040</v>
      </c>
      <c r="F202" s="12" t="str" cm="1">
        <f t="array" ref="F202">_xlfn.TEXTJOIN(CHAR(10),TRUE,_xlfn._xlws.SORT(IF((--($B202=Flowdown_CIC[[URS]:[URS]]))*(--(F$14=Flowdown_CIC[[Source.Name]:[Source.Name]])),Flowdown_CIC[[SyRS]:[SyRS]],"")))</f>
        <v>MASTER-53031
MASTER-53034
MASTER-53035
MASTER-53036
MASTER-53038
MASTER-53039
MASTER-53040</v>
      </c>
      <c r="G202" s="12" t="str" cm="1">
        <f t="array" ref="G202">_xlfn.TEXTJOIN(CHAR(10),TRUE,_xlfn._xlws.SORT(IF((--($B202=Flowdown_CIC[[URS]:[URS]]))*(--(G$14=Flowdown_CIC[[Source.Name]:[Source.Name]])),Flowdown_CIC[[SyRS]:[SyRS]],"")))</f>
        <v>MASTER-53031
MASTER-53034
MASTER-53035
MASTER-53036
MASTER-53038
MASTER-53039
MASTER-53040</v>
      </c>
      <c r="H202" s="12" t="str" cm="1">
        <f t="array" ref="H202">_xlfn.TEXTJOIN(CHAR(10),TRUE,_xlfn._xlws.SORT(IF((--($B202=Flowdown_CIC[[URS]:[URS]]))*(--(H$14=Flowdown_CIC[[Source.Name]:[Source.Name]])),Flowdown_CIC[[SyRS]:[SyRS]],"")))</f>
        <v>MASTER-22025
MASTER-53019
MASTER-53021
MASTER-53022
MASTER-53023
MASTER-53025</v>
      </c>
      <c r="I202" s="12" t="str" cm="1">
        <f t="array" ref="I202">_xlfn.TEXTJOIN(CHAR(10),TRUE,_xlfn._xlws.SORT(IF((--($B202=Flowdown_CIC[[URS]:[URS]]))*(--(I$14=Flowdown_CIC[[Source.Name]:[Source.Name]])),Flowdown_CIC[[SyRS]:[SyRS]],"")))</f>
        <v/>
      </c>
      <c r="J202" s="12" t="str" cm="1">
        <f t="array" ref="J202">_xlfn.TEXTJOIN(CHAR(10),TRUE,_xlfn._xlws.SORT(IF((--($B202=Flowdown_CIC[[URS]:[URS]]))*(--(J$14=Flowdown_CIC[[Source.Name]:[Source.Name]])),Flowdown_CIC[[SyRS]:[SyRS]],"")))</f>
        <v/>
      </c>
      <c r="K202" s="12" t="str" cm="1">
        <f t="array" ref="K202">_xlfn.TEXTJOIN(CHAR(10),TRUE,_xlfn._xlws.SORT(IF((--($B202=Flowdown_CIC[[URS]:[URS]]))*(--(K$14=Flowdown_CIC[[Source.Name]:[Source.Name]])),Flowdown_CIC[[SyRS]:[SyRS]],"")))</f>
        <v/>
      </c>
      <c r="L202" s="16" t="b" cm="1">
        <f t="array" ref="L202">OR(LEN(C202:K202)&gt;0)</f>
        <v>1</v>
      </c>
    </row>
    <row r="203" spans="2:12" ht="27" x14ac:dyDescent="0.2">
      <c r="B203" s="11" t="str">
        <v>MASTER-6459</v>
      </c>
      <c r="C203" s="12" t="str" cm="1">
        <f t="array" ref="C203">_xlfn.TEXTJOIN(CHAR(10),TRUE,_xlfn._xlws.SORT(IF((--($B203=Flowdown_CIC[[URS]:[URS]]))*(--(C$14=Flowdown_CIC[[Source.Name]:[Source.Name]])),Flowdown_CIC[[SyRS]:[SyRS]],"")))</f>
        <v/>
      </c>
      <c r="D203" s="12" t="str" cm="1">
        <f t="array" ref="D203">_xlfn.TEXTJOIN(CHAR(10),TRUE,_xlfn._xlws.SORT(IF((--($B203=Flowdown_CIC[[URS]:[URS]]))*(--(D$14=Flowdown_CIC[[Source.Name]:[Source.Name]])),Flowdown_CIC[[SyRS]:[SyRS]],"")))</f>
        <v/>
      </c>
      <c r="E203" s="12" t="str" cm="1">
        <f t="array" ref="E203">_xlfn.TEXTJOIN(CHAR(10),TRUE,_xlfn._xlws.SORT(IF((--($B203=Flowdown_CIC[[URS]:[URS]]))*(--(E$14=Flowdown_CIC[[Source.Name]:[Source.Name]])),Flowdown_CIC[[SyRS]:[SyRS]],"")))</f>
        <v/>
      </c>
      <c r="F203" s="12" t="str" cm="1">
        <f t="array" ref="F203">_xlfn.TEXTJOIN(CHAR(10),TRUE,_xlfn._xlws.SORT(IF((--($B203=Flowdown_CIC[[URS]:[URS]]))*(--(F$14=Flowdown_CIC[[Source.Name]:[Source.Name]])),Flowdown_CIC[[SyRS]:[SyRS]],"")))</f>
        <v/>
      </c>
      <c r="G203" s="12" t="str" cm="1">
        <f t="array" ref="G203">_xlfn.TEXTJOIN(CHAR(10),TRUE,_xlfn._xlws.SORT(IF((--($B203=Flowdown_CIC[[URS]:[URS]]))*(--(G$14=Flowdown_CIC[[Source.Name]:[Source.Name]])),Flowdown_CIC[[SyRS]:[SyRS]],"")))</f>
        <v/>
      </c>
      <c r="H203" s="12" t="str" cm="1">
        <f t="array" ref="H203">_xlfn.TEXTJOIN(CHAR(10),TRUE,_xlfn._xlws.SORT(IF((--($B203=Flowdown_CIC[[URS]:[URS]]))*(--(H$14=Flowdown_CIC[[Source.Name]:[Source.Name]])),Flowdown_CIC[[SyRS]:[SyRS]],"")))</f>
        <v>MASTER-53025
MASTER-53026</v>
      </c>
      <c r="I203" s="12" t="str" cm="1">
        <f t="array" ref="I203">_xlfn.TEXTJOIN(CHAR(10),TRUE,_xlfn._xlws.SORT(IF((--($B203=Flowdown_CIC[[URS]:[URS]]))*(--(I$14=Flowdown_CIC[[Source.Name]:[Source.Name]])),Flowdown_CIC[[SyRS]:[SyRS]],"")))</f>
        <v/>
      </c>
      <c r="J203" s="12" t="str" cm="1">
        <f t="array" ref="J203">_xlfn.TEXTJOIN(CHAR(10),TRUE,_xlfn._xlws.SORT(IF((--($B203=Flowdown_CIC[[URS]:[URS]]))*(--(J$14=Flowdown_CIC[[Source.Name]:[Source.Name]])),Flowdown_CIC[[SyRS]:[SyRS]],"")))</f>
        <v/>
      </c>
      <c r="K203" s="12" t="str" cm="1">
        <f t="array" ref="K203">_xlfn.TEXTJOIN(CHAR(10),TRUE,_xlfn._xlws.SORT(IF((--($B203=Flowdown_CIC[[URS]:[URS]]))*(--(K$14=Flowdown_CIC[[Source.Name]:[Source.Name]])),Flowdown_CIC[[SyRS]:[SyRS]],"")))</f>
        <v/>
      </c>
      <c r="L203" s="16" t="b" cm="1">
        <f t="array" ref="L203">OR(LEN(C203:K203)&gt;0)</f>
        <v>1</v>
      </c>
    </row>
    <row r="204" spans="2:12" ht="135" x14ac:dyDescent="0.2">
      <c r="B204" s="11" t="str">
        <v>MASTER-6460</v>
      </c>
      <c r="C204" s="12" t="str" cm="1">
        <f t="array" ref="C204">_xlfn.TEXTJOIN(CHAR(10),TRUE,_xlfn._xlws.SORT(IF((--($B204=Flowdown_CIC[[URS]:[URS]]))*(--(C$14=Flowdown_CIC[[Source.Name]:[Source.Name]])),Flowdown_CIC[[SyRS]:[SyRS]],"")))</f>
        <v/>
      </c>
      <c r="D204" s="12" t="str" cm="1">
        <f t="array" ref="D204">_xlfn.TEXTJOIN(CHAR(10),TRUE,_xlfn._xlws.SORT(IF((--($B204=Flowdown_CIC[[URS]:[URS]]))*(--(D$14=Flowdown_CIC[[Source.Name]:[Source.Name]])),Flowdown_CIC[[SyRS]:[SyRS]],"")))</f>
        <v/>
      </c>
      <c r="E204" s="12" t="str" cm="1">
        <f t="array" ref="E204">_xlfn.TEXTJOIN(CHAR(10),TRUE,_xlfn._xlws.SORT(IF((--($B204=Flowdown_CIC[[URS]:[URS]]))*(--(E$14=Flowdown_CIC[[Source.Name]:[Source.Name]])),Flowdown_CIC[[SyRS]:[SyRS]],"")))</f>
        <v/>
      </c>
      <c r="F204" s="12" t="str" cm="1">
        <f t="array" ref="F204">_xlfn.TEXTJOIN(CHAR(10),TRUE,_xlfn._xlws.SORT(IF((--($B204=Flowdown_CIC[[URS]:[URS]]))*(--(F$14=Flowdown_CIC[[Source.Name]:[Source.Name]])),Flowdown_CIC[[SyRS]:[SyRS]],"")))</f>
        <v/>
      </c>
      <c r="G204" s="12" t="str" cm="1">
        <f t="array" ref="G204">_xlfn.TEXTJOIN(CHAR(10),TRUE,_xlfn._xlws.SORT(IF((--($B204=Flowdown_CIC[[URS]:[URS]]))*(--(G$14=Flowdown_CIC[[Source.Name]:[Source.Name]])),Flowdown_CIC[[SyRS]:[SyRS]],"")))</f>
        <v/>
      </c>
      <c r="H204" s="12" t="str" cm="1">
        <f t="array" ref="H204">_xlfn.TEXTJOIN(CHAR(10),TRUE,_xlfn._xlws.SORT(IF((--($B204=Flowdown_CIC[[URS]:[URS]]))*(--(H$14=Flowdown_CIC[[Source.Name]:[Source.Name]])),Flowdown_CIC[[SyRS]:[SyRS]],"")))</f>
        <v>MASTER-53015
MASTER-53019
MASTER-53020
MASTER-53021
MASTER-53022
MASTER-53023
MASTER-53024
MASTER-53025
MASTER-53027
MASTER-53029</v>
      </c>
      <c r="I204" s="12" t="str" cm="1">
        <f t="array" ref="I204">_xlfn.TEXTJOIN(CHAR(10),TRUE,_xlfn._xlws.SORT(IF((--($B204=Flowdown_CIC[[URS]:[URS]]))*(--(I$14=Flowdown_CIC[[Source.Name]:[Source.Name]])),Flowdown_CIC[[SyRS]:[SyRS]],"")))</f>
        <v/>
      </c>
      <c r="J204" s="12" t="str" cm="1">
        <f t="array" ref="J204">_xlfn.TEXTJOIN(CHAR(10),TRUE,_xlfn._xlws.SORT(IF((--($B204=Flowdown_CIC[[URS]:[URS]]))*(--(J$14=Flowdown_CIC[[Source.Name]:[Source.Name]])),Flowdown_CIC[[SyRS]:[SyRS]],"")))</f>
        <v/>
      </c>
      <c r="K204" s="12" t="str" cm="1">
        <f t="array" ref="K204">_xlfn.TEXTJOIN(CHAR(10),TRUE,_xlfn._xlws.SORT(IF((--($B204=Flowdown_CIC[[URS]:[URS]]))*(--(K$14=Flowdown_CIC[[Source.Name]:[Source.Name]])),Flowdown_CIC[[SyRS]:[SyRS]],"")))</f>
        <v/>
      </c>
      <c r="L204" s="16" t="b" cm="1">
        <f t="array" ref="L204">OR(LEN(C204:K204)&gt;0)</f>
        <v>1</v>
      </c>
    </row>
    <row r="205" spans="2:12" ht="13.5" x14ac:dyDescent="0.2">
      <c r="B205" s="11" t="str">
        <v>MASTER-6461</v>
      </c>
      <c r="C205" s="12" t="str" cm="1">
        <f t="array" ref="C205">_xlfn.TEXTJOIN(CHAR(10),TRUE,_xlfn._xlws.SORT(IF((--($B205=Flowdown_CIC[[URS]:[URS]]))*(--(C$14=Flowdown_CIC[[Source.Name]:[Source.Name]])),Flowdown_CIC[[SyRS]:[SyRS]],"")))</f>
        <v/>
      </c>
      <c r="D205" s="12" t="str" cm="1">
        <f t="array" ref="D205">_xlfn.TEXTJOIN(CHAR(10),TRUE,_xlfn._xlws.SORT(IF((--($B205=Flowdown_CIC[[URS]:[URS]]))*(--(D$14=Flowdown_CIC[[Source.Name]:[Source.Name]])),Flowdown_CIC[[SyRS]:[SyRS]],"")))</f>
        <v/>
      </c>
      <c r="E205" s="12" t="str" cm="1">
        <f t="array" ref="E205">_xlfn.TEXTJOIN(CHAR(10),TRUE,_xlfn._xlws.SORT(IF((--($B205=Flowdown_CIC[[URS]:[URS]]))*(--(E$14=Flowdown_CIC[[Source.Name]:[Source.Name]])),Flowdown_CIC[[SyRS]:[SyRS]],"")))</f>
        <v/>
      </c>
      <c r="F205" s="12" t="str" cm="1">
        <f t="array" ref="F205">_xlfn.TEXTJOIN(CHAR(10),TRUE,_xlfn._xlws.SORT(IF((--($B205=Flowdown_CIC[[URS]:[URS]]))*(--(F$14=Flowdown_CIC[[Source.Name]:[Source.Name]])),Flowdown_CIC[[SyRS]:[SyRS]],"")))</f>
        <v/>
      </c>
      <c r="G205" s="12" t="str" cm="1">
        <f t="array" ref="G205">_xlfn.TEXTJOIN(CHAR(10),TRUE,_xlfn._xlws.SORT(IF((--($B205=Flowdown_CIC[[URS]:[URS]]))*(--(G$14=Flowdown_CIC[[Source.Name]:[Source.Name]])),Flowdown_CIC[[SyRS]:[SyRS]],"")))</f>
        <v/>
      </c>
      <c r="H205" s="12" t="str" cm="1">
        <f t="array" ref="H205">_xlfn.TEXTJOIN(CHAR(10),TRUE,_xlfn._xlws.SORT(IF((--($B205=Flowdown_CIC[[URS]:[URS]]))*(--(H$14=Flowdown_CIC[[Source.Name]:[Source.Name]])),Flowdown_CIC[[SyRS]:[SyRS]],"")))</f>
        <v>MASTER-53028</v>
      </c>
      <c r="I205" s="12" t="str" cm="1">
        <f t="array" ref="I205">_xlfn.TEXTJOIN(CHAR(10),TRUE,_xlfn._xlws.SORT(IF((--($B205=Flowdown_CIC[[URS]:[URS]]))*(--(I$14=Flowdown_CIC[[Source.Name]:[Source.Name]])),Flowdown_CIC[[SyRS]:[SyRS]],"")))</f>
        <v/>
      </c>
      <c r="J205" s="12" t="str" cm="1">
        <f t="array" ref="J205">_xlfn.TEXTJOIN(CHAR(10),TRUE,_xlfn._xlws.SORT(IF((--($B205=Flowdown_CIC[[URS]:[URS]]))*(--(J$14=Flowdown_CIC[[Source.Name]:[Source.Name]])),Flowdown_CIC[[SyRS]:[SyRS]],"")))</f>
        <v/>
      </c>
      <c r="K205" s="12" t="str" cm="1">
        <f t="array" ref="K205">_xlfn.TEXTJOIN(CHAR(10),TRUE,_xlfn._xlws.SORT(IF((--($B205=Flowdown_CIC[[URS]:[URS]]))*(--(K$14=Flowdown_CIC[[Source.Name]:[Source.Name]])),Flowdown_CIC[[SyRS]:[SyRS]],"")))</f>
        <v/>
      </c>
      <c r="L205" s="16" t="b" cm="1">
        <f t="array" ref="L205">OR(LEN(C205:K205)&gt;0)</f>
        <v>1</v>
      </c>
    </row>
    <row r="206" spans="2:12" ht="229.5" x14ac:dyDescent="0.2">
      <c r="B206" s="11" t="str">
        <v>MASTER-6463</v>
      </c>
      <c r="C206" s="12" t="str" cm="1">
        <f t="array" ref="C206">_xlfn.TEXTJOIN(CHAR(10),TRUE,_xlfn._xlws.SORT(IF((--($B206=Flowdown_CIC[[URS]:[URS]]))*(--(C$14=Flowdown_CIC[[Source.Name]:[Source.Name]])),Flowdown_CIC[[SyRS]:[SyRS]],"")))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06" s="12" t="str" cm="1">
        <f t="array" ref="D206">_xlfn.TEXTJOIN(CHAR(10),TRUE,_xlfn._xlws.SORT(IF((--($B206=Flowdown_CIC[[URS]:[URS]]))*(--(D$14=Flowdown_CIC[[Source.Name]:[Source.Name]])),Flowdown_CIC[[SyRS]:[SyRS]],"")))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06" s="12" t="str" cm="1">
        <f t="array" ref="E206">_xlfn.TEXTJOIN(CHAR(10),TRUE,_xlfn._xlws.SORT(IF((--($B206=Flowdown_CIC[[URS]:[URS]]))*(--(E$14=Flowdown_CIC[[Source.Name]:[Source.Name]])),Flowdown_CIC[[SyRS]:[SyRS]],"")))</f>
        <v>MASTER-18702
MASTER-18704</v>
      </c>
      <c r="F206" s="12" t="str" cm="1">
        <f t="array" ref="F206">_xlfn.TEXTJOIN(CHAR(10),TRUE,_xlfn._xlws.SORT(IF((--($B206=Flowdown_CIC[[URS]:[URS]]))*(--(F$14=Flowdown_CIC[[Source.Name]:[Source.Name]])),Flowdown_CIC[[SyRS]:[SyRS]],"")))</f>
        <v>MASTER-18702
MASTER-18704</v>
      </c>
      <c r="G206" s="12" t="str" cm="1">
        <f t="array" ref="G206">_xlfn.TEXTJOIN(CHAR(10),TRUE,_xlfn._xlws.SORT(IF((--($B206=Flowdown_CIC[[URS]:[URS]]))*(--(G$14=Flowdown_CIC[[Source.Name]:[Source.Name]])),Flowdown_CIC[[SyRS]:[SyRS]],"")))</f>
        <v>MASTER-18702
MASTER-18704</v>
      </c>
      <c r="H206" s="12" t="str" cm="1">
        <f t="array" ref="H206">_xlfn.TEXTJOIN(CHAR(10),TRUE,_xlfn._xlws.SORT(IF((--($B206=Flowdown_CIC[[URS]:[URS]]))*(--(H$14=Flowdown_CIC[[Source.Name]:[Source.Name]])),Flowdown_CIC[[SyRS]:[SyRS]],"")))</f>
        <v/>
      </c>
      <c r="I206" s="12" t="str" cm="1">
        <f t="array" ref="I206">_xlfn.TEXTJOIN(CHAR(10),TRUE,_xlfn._xlws.SORT(IF((--($B206=Flowdown_CIC[[URS]:[URS]]))*(--(I$14=Flowdown_CIC[[Source.Name]:[Source.Name]])),Flowdown_CIC[[SyRS]:[SyRS]],"")))</f>
        <v/>
      </c>
      <c r="J206" s="12" t="str" cm="1">
        <f t="array" ref="J206">_xlfn.TEXTJOIN(CHAR(10),TRUE,_xlfn._xlws.SORT(IF((--($B206=Flowdown_CIC[[URS]:[URS]]))*(--(J$14=Flowdown_CIC[[Source.Name]:[Source.Name]])),Flowdown_CIC[[SyRS]:[SyRS]],"")))</f>
        <v/>
      </c>
      <c r="K206" s="12" t="str" cm="1">
        <f t="array" ref="K206">_xlfn.TEXTJOIN(CHAR(10),TRUE,_xlfn._xlws.SORT(IF((--($B206=Flowdown_CIC[[URS]:[URS]]))*(--(K$14=Flowdown_CIC[[Source.Name]:[Source.Name]])),Flowdown_CIC[[SyRS]:[SyRS]],"")))</f>
        <v/>
      </c>
      <c r="L206" s="16" t="b" cm="1">
        <f t="array" ref="L206">OR(LEN(C206:K206)&gt;0)</f>
        <v>1</v>
      </c>
    </row>
    <row r="207" spans="2:12" ht="54" x14ac:dyDescent="0.2">
      <c r="B207" s="11" t="str">
        <v>MASTER-6464</v>
      </c>
      <c r="C207" s="12" t="str" cm="1">
        <f t="array" ref="C207">_xlfn.TEXTJOIN(CHAR(10),TRUE,_xlfn._xlws.SORT(IF((--($B207=Flowdown_CIC[[URS]:[URS]]))*(--(C$14=Flowdown_CIC[[Source.Name]:[Source.Name]])),Flowdown_CIC[[SyRS]:[SyRS]],"")))</f>
        <v>MASTER-18700
MASTER-18702
MASTER-18704
MASTER-18705</v>
      </c>
      <c r="D207" s="12" t="str" cm="1">
        <f t="array" ref="D207">_xlfn.TEXTJOIN(CHAR(10),TRUE,_xlfn._xlws.SORT(IF((--($B207=Flowdown_CIC[[URS]:[URS]]))*(--(D$14=Flowdown_CIC[[Source.Name]:[Source.Name]])),Flowdown_CIC[[SyRS]:[SyRS]],"")))</f>
        <v>MASTER-18700
MASTER-18702
MASTER-18704
MASTER-18705</v>
      </c>
      <c r="E207" s="12" t="str" cm="1">
        <f t="array" ref="E207">_xlfn.TEXTJOIN(CHAR(10),TRUE,_xlfn._xlws.SORT(IF((--($B207=Flowdown_CIC[[URS]:[URS]]))*(--(E$14=Flowdown_CIC[[Source.Name]:[Source.Name]])),Flowdown_CIC[[SyRS]:[SyRS]],"")))</f>
        <v>MASTER-18700
MASTER-18702
MASTER-18704
MASTER-18705</v>
      </c>
      <c r="F207" s="12" t="str" cm="1">
        <f t="array" ref="F207">_xlfn.TEXTJOIN(CHAR(10),TRUE,_xlfn._xlws.SORT(IF((--($B207=Flowdown_CIC[[URS]:[URS]]))*(--(F$14=Flowdown_CIC[[Source.Name]:[Source.Name]])),Flowdown_CIC[[SyRS]:[SyRS]],"")))</f>
        <v>MASTER-18700
MASTER-18702
MASTER-18704
MASTER-18705</v>
      </c>
      <c r="G207" s="12" t="str" cm="1">
        <f t="array" ref="G207">_xlfn.TEXTJOIN(CHAR(10),TRUE,_xlfn._xlws.SORT(IF((--($B207=Flowdown_CIC[[URS]:[URS]]))*(--(G$14=Flowdown_CIC[[Source.Name]:[Source.Name]])),Flowdown_CIC[[SyRS]:[SyRS]],"")))</f>
        <v>MASTER-18700
MASTER-18702
MASTER-18704
MASTER-18705</v>
      </c>
      <c r="H207" s="12" t="str" cm="1">
        <f t="array" ref="H207">_xlfn.TEXTJOIN(CHAR(10),TRUE,_xlfn._xlws.SORT(IF((--($B207=Flowdown_CIC[[URS]:[URS]]))*(--(H$14=Flowdown_CIC[[Source.Name]:[Source.Name]])),Flowdown_CIC[[SyRS]:[SyRS]],"")))</f>
        <v/>
      </c>
      <c r="I207" s="12" t="str" cm="1">
        <f t="array" ref="I207">_xlfn.TEXTJOIN(CHAR(10),TRUE,_xlfn._xlws.SORT(IF((--($B207=Flowdown_CIC[[URS]:[URS]]))*(--(I$14=Flowdown_CIC[[Source.Name]:[Source.Name]])),Flowdown_CIC[[SyRS]:[SyRS]],"")))</f>
        <v/>
      </c>
      <c r="J207" s="12" t="str" cm="1">
        <f t="array" ref="J207">_xlfn.TEXTJOIN(CHAR(10),TRUE,_xlfn._xlws.SORT(IF((--($B207=Flowdown_CIC[[URS]:[URS]]))*(--(J$14=Flowdown_CIC[[Source.Name]:[Source.Name]])),Flowdown_CIC[[SyRS]:[SyRS]],"")))</f>
        <v/>
      </c>
      <c r="K207" s="12" t="str" cm="1">
        <f t="array" ref="K207">_xlfn.TEXTJOIN(CHAR(10),TRUE,_xlfn._xlws.SORT(IF((--($B207=Flowdown_CIC[[URS]:[URS]]))*(--(K$14=Flowdown_CIC[[Source.Name]:[Source.Name]])),Flowdown_CIC[[SyRS]:[SyRS]],"")))</f>
        <v/>
      </c>
      <c r="L207" s="16" t="b" cm="1">
        <f t="array" ref="L207">OR(LEN(C207:K207)&gt;0)</f>
        <v>1</v>
      </c>
    </row>
    <row r="208" spans="2:12" ht="54" x14ac:dyDescent="0.2">
      <c r="B208" s="11" t="str">
        <v>MASTER-6465</v>
      </c>
      <c r="C208" s="12" t="str" cm="1">
        <f t="array" ref="C208">_xlfn.TEXTJOIN(CHAR(10),TRUE,_xlfn._xlws.SORT(IF((--($B208=Flowdown_CIC[[URS]:[URS]]))*(--(C$14=Flowdown_CIC[[Source.Name]:[Source.Name]])),Flowdown_CIC[[SyRS]:[SyRS]],"")))</f>
        <v>MASTER-18701
MASTER-18704
MASTER-18705
MASTER-18706</v>
      </c>
      <c r="D208" s="12" t="str" cm="1">
        <f t="array" ref="D208">_xlfn.TEXTJOIN(CHAR(10),TRUE,_xlfn._xlws.SORT(IF((--($B208=Flowdown_CIC[[URS]:[URS]]))*(--(D$14=Flowdown_CIC[[Source.Name]:[Source.Name]])),Flowdown_CIC[[SyRS]:[SyRS]],"")))</f>
        <v>MASTER-18701
MASTER-18704
MASTER-18705
MASTER-18706</v>
      </c>
      <c r="E208" s="12" t="str" cm="1">
        <f t="array" ref="E208">_xlfn.TEXTJOIN(CHAR(10),TRUE,_xlfn._xlws.SORT(IF((--($B208=Flowdown_CIC[[URS]:[URS]]))*(--(E$14=Flowdown_CIC[[Source.Name]:[Source.Name]])),Flowdown_CIC[[SyRS]:[SyRS]],"")))</f>
        <v>MASTER-18701
MASTER-18704
MASTER-18705
MASTER-18706</v>
      </c>
      <c r="F208" s="12" t="str" cm="1">
        <f t="array" ref="F208">_xlfn.TEXTJOIN(CHAR(10),TRUE,_xlfn._xlws.SORT(IF((--($B208=Flowdown_CIC[[URS]:[URS]]))*(--(F$14=Flowdown_CIC[[Source.Name]:[Source.Name]])),Flowdown_CIC[[SyRS]:[SyRS]],"")))</f>
        <v>MASTER-18701
MASTER-18704
MASTER-18705
MASTER-18706</v>
      </c>
      <c r="G208" s="12" t="str" cm="1">
        <f t="array" ref="G208">_xlfn.TEXTJOIN(CHAR(10),TRUE,_xlfn._xlws.SORT(IF((--($B208=Flowdown_CIC[[URS]:[URS]]))*(--(G$14=Flowdown_CIC[[Source.Name]:[Source.Name]])),Flowdown_CIC[[SyRS]:[SyRS]],"")))</f>
        <v>MASTER-18701
MASTER-18704
MASTER-18705
MASTER-18706</v>
      </c>
      <c r="H208" s="12" t="str" cm="1">
        <f t="array" ref="H208">_xlfn.TEXTJOIN(CHAR(10),TRUE,_xlfn._xlws.SORT(IF((--($B208=Flowdown_CIC[[URS]:[URS]]))*(--(H$14=Flowdown_CIC[[Source.Name]:[Source.Name]])),Flowdown_CIC[[SyRS]:[SyRS]],"")))</f>
        <v/>
      </c>
      <c r="I208" s="12" t="str" cm="1">
        <f t="array" ref="I208">_xlfn.TEXTJOIN(CHAR(10),TRUE,_xlfn._xlws.SORT(IF((--($B208=Flowdown_CIC[[URS]:[URS]]))*(--(I$14=Flowdown_CIC[[Source.Name]:[Source.Name]])),Flowdown_CIC[[SyRS]:[SyRS]],"")))</f>
        <v/>
      </c>
      <c r="J208" s="12" t="str" cm="1">
        <f t="array" ref="J208">_xlfn.TEXTJOIN(CHAR(10),TRUE,_xlfn._xlws.SORT(IF((--($B208=Flowdown_CIC[[URS]:[URS]]))*(--(J$14=Flowdown_CIC[[Source.Name]:[Source.Name]])),Flowdown_CIC[[SyRS]:[SyRS]],"")))</f>
        <v/>
      </c>
      <c r="K208" s="12" t="str" cm="1">
        <f t="array" ref="K208">_xlfn.TEXTJOIN(CHAR(10),TRUE,_xlfn._xlws.SORT(IF((--($B208=Flowdown_CIC[[URS]:[URS]]))*(--(K$14=Flowdown_CIC[[Source.Name]:[Source.Name]])),Flowdown_CIC[[SyRS]:[SyRS]],"")))</f>
        <v/>
      </c>
      <c r="L208" s="16" t="b" cm="1">
        <f t="array" ref="L208">OR(LEN(C208:K208)&gt;0)</f>
        <v>1</v>
      </c>
    </row>
    <row r="209" spans="2:12" ht="81" x14ac:dyDescent="0.2">
      <c r="B209" s="11" t="str">
        <v>MASTER-6466</v>
      </c>
      <c r="C209" s="12" t="str" cm="1">
        <f t="array" ref="C209">_xlfn.TEXTJOIN(CHAR(10),TRUE,_xlfn._xlws.SORT(IF((--($B209=Flowdown_CIC[[URS]:[URS]]))*(--(C$14=Flowdown_CIC[[Source.Name]:[Source.Name]])),Flowdown_CIC[[SyRS]:[SyRS]],"")))</f>
        <v>MASTER-18713
MASTER-19318
MASTER-19322
MASTER-19328
MASTER-42167
MASTER-50296</v>
      </c>
      <c r="D209" s="12" t="str" cm="1">
        <f t="array" ref="D209">_xlfn.TEXTJOIN(CHAR(10),TRUE,_xlfn._xlws.SORT(IF((--($B209=Flowdown_CIC[[URS]:[URS]]))*(--(D$14=Flowdown_CIC[[Source.Name]:[Source.Name]])),Flowdown_CIC[[SyRS]:[SyRS]],"")))</f>
        <v>MASTER-18713
MASTER-19318
MASTER-19322
MASTER-19328
MASTER-42167
MASTER-50296</v>
      </c>
      <c r="E209" s="12" t="str" cm="1">
        <f t="array" ref="E209">_xlfn.TEXTJOIN(CHAR(10),TRUE,_xlfn._xlws.SORT(IF((--($B209=Flowdown_CIC[[URS]:[URS]]))*(--(E$14=Flowdown_CIC[[Source.Name]:[Source.Name]])),Flowdown_CIC[[SyRS]:[SyRS]],"")))</f>
        <v>MASTER-18713
MASTER-19318
MASTER-19322
MASTER-19328
MASTER-42167
MASTER-50296</v>
      </c>
      <c r="F209" s="12" t="str" cm="1">
        <f t="array" ref="F209">_xlfn.TEXTJOIN(CHAR(10),TRUE,_xlfn._xlws.SORT(IF((--($B209=Flowdown_CIC[[URS]:[URS]]))*(--(F$14=Flowdown_CIC[[Source.Name]:[Source.Name]])),Flowdown_CIC[[SyRS]:[SyRS]],"")))</f>
        <v>MASTER-18713
MASTER-19318
MASTER-19322
MASTER-19328
MASTER-42167
MASTER-50296</v>
      </c>
      <c r="G209" s="12" t="str" cm="1">
        <f t="array" ref="G209">_xlfn.TEXTJOIN(CHAR(10),TRUE,_xlfn._xlws.SORT(IF((--($B209=Flowdown_CIC[[URS]:[URS]]))*(--(G$14=Flowdown_CIC[[Source.Name]:[Source.Name]])),Flowdown_CIC[[SyRS]:[SyRS]],"")))</f>
        <v>MASTER-18713
MASTER-19318
MASTER-19322
MASTER-19328
MASTER-42167
MASTER-50296</v>
      </c>
      <c r="H209" s="12" t="str" cm="1">
        <f t="array" ref="H209">_xlfn.TEXTJOIN(CHAR(10),TRUE,_xlfn._xlws.SORT(IF((--($B209=Flowdown_CIC[[URS]:[URS]]))*(--(H$14=Flowdown_CIC[[Source.Name]:[Source.Name]])),Flowdown_CIC[[SyRS]:[SyRS]],"")))</f>
        <v/>
      </c>
      <c r="I209" s="12" t="str" cm="1">
        <f t="array" ref="I209">_xlfn.TEXTJOIN(CHAR(10),TRUE,_xlfn._xlws.SORT(IF((--($B209=Flowdown_CIC[[URS]:[URS]]))*(--(I$14=Flowdown_CIC[[Source.Name]:[Source.Name]])),Flowdown_CIC[[SyRS]:[SyRS]],"")))</f>
        <v/>
      </c>
      <c r="J209" s="12" t="str" cm="1">
        <f t="array" ref="J209">_xlfn.TEXTJOIN(CHAR(10),TRUE,_xlfn._xlws.SORT(IF((--($B209=Flowdown_CIC[[URS]:[URS]]))*(--(J$14=Flowdown_CIC[[Source.Name]:[Source.Name]])),Flowdown_CIC[[SyRS]:[SyRS]],"")))</f>
        <v/>
      </c>
      <c r="K209" s="12" t="str" cm="1">
        <f t="array" ref="K209">_xlfn.TEXTJOIN(CHAR(10),TRUE,_xlfn._xlws.SORT(IF((--($B209=Flowdown_CIC[[URS]:[URS]]))*(--(K$14=Flowdown_CIC[[Source.Name]:[Source.Name]])),Flowdown_CIC[[SyRS]:[SyRS]],"")))</f>
        <v/>
      </c>
      <c r="L209" s="16" t="b" cm="1">
        <f t="array" ref="L209">OR(LEN(C209:K209)&gt;0)</f>
        <v>1</v>
      </c>
    </row>
    <row r="210" spans="2:12" ht="121.5" x14ac:dyDescent="0.2">
      <c r="B210" s="11" t="str">
        <v>MASTER-6468</v>
      </c>
      <c r="C210" s="12" t="str" cm="1">
        <f t="array" ref="C210">_xlfn.TEXTJOIN(CHAR(10),TRUE,_xlfn._xlws.SORT(IF((--($B210=Flowdown_CIC[[URS]:[URS]]))*(--(C$14=Flowdown_CIC[[Source.Name]:[Source.Name]])),Flowdown_CIC[[SyRS]:[SyRS]],"")))</f>
        <v>MASTER-18740
MASTER-18742</v>
      </c>
      <c r="D210" s="12" t="str" cm="1">
        <f t="array" ref="D210">_xlfn.TEXTJOIN(CHAR(10),TRUE,_xlfn._xlws.SORT(IF((--($B210=Flowdown_CIC[[URS]:[URS]]))*(--(D$14=Flowdown_CIC[[Source.Name]:[Source.Name]])),Flowdown_CIC[[SyRS]:[SyRS]],"")))</f>
        <v>MASTER-18740
MASTER-18742</v>
      </c>
      <c r="E210" s="12" t="str" cm="1">
        <f t="array" ref="E210">_xlfn.TEXTJOIN(CHAR(10),TRUE,_xlfn._xlws.SORT(IF((--($B210=Flowdown_CIC[[URS]:[URS]]))*(--(E$14=Flowdown_CIC[[Source.Name]:[Source.Name]])),Flowdown_CIC[[SyRS]:[SyRS]],"")))</f>
        <v>MASTER-18740
MASTER-18742</v>
      </c>
      <c r="F210" s="12" t="str" cm="1">
        <f t="array" ref="F210">_xlfn.TEXTJOIN(CHAR(10),TRUE,_xlfn._xlws.SORT(IF((--($B210=Flowdown_CIC[[URS]:[URS]]))*(--(F$14=Flowdown_CIC[[Source.Name]:[Source.Name]])),Flowdown_CIC[[SyRS]:[SyRS]],"")))</f>
        <v>MASTER-18740
MASTER-18742</v>
      </c>
      <c r="G210" s="12" t="str" cm="1">
        <f t="array" ref="G210">_xlfn.TEXTJOIN(CHAR(10),TRUE,_xlfn._xlws.SORT(IF((--($B210=Flowdown_CIC[[URS]:[URS]]))*(--(G$14=Flowdown_CIC[[Source.Name]:[Source.Name]])),Flowdown_CIC[[SyRS]:[SyRS]],"")))</f>
        <v>MASTER-18740
MASTER-18742</v>
      </c>
      <c r="H210" s="12" t="str" cm="1">
        <f t="array" ref="H210">_xlfn.TEXTJOIN(CHAR(10),TRUE,_xlfn._xlws.SORT(IF((--($B210=Flowdown_CIC[[URS]:[URS]]))*(--(H$14=Flowdown_CIC[[Source.Name]:[Source.Name]])),Flowdown_CIC[[SyRS]:[SyRS]],"")))</f>
        <v>MASTER-21935
MASTER-21937
MASTER-21939
MASTER-21941
MASTER-21943
MASTER-21945
MASTER-21947
MASTER-22029
MASTER-22031</v>
      </c>
      <c r="I210" s="12" t="str" cm="1">
        <f t="array" ref="I210">_xlfn.TEXTJOIN(CHAR(10),TRUE,_xlfn._xlws.SORT(IF((--($B210=Flowdown_CIC[[URS]:[URS]]))*(--(I$14=Flowdown_CIC[[Source.Name]:[Source.Name]])),Flowdown_CIC[[SyRS]:[SyRS]],"")))</f>
        <v/>
      </c>
      <c r="J210" s="12" t="str" cm="1">
        <f t="array" ref="J210">_xlfn.TEXTJOIN(CHAR(10),TRUE,_xlfn._xlws.SORT(IF((--($B210=Flowdown_CIC[[URS]:[URS]]))*(--(J$14=Flowdown_CIC[[Source.Name]:[Source.Name]])),Flowdown_CIC[[SyRS]:[SyRS]],"")))</f>
        <v/>
      </c>
      <c r="K210" s="12" t="str" cm="1">
        <f t="array" ref="K210">_xlfn.TEXTJOIN(CHAR(10),TRUE,_xlfn._xlws.SORT(IF((--($B210=Flowdown_CIC[[URS]:[URS]]))*(--(K$14=Flowdown_CIC[[Source.Name]:[Source.Name]])),Flowdown_CIC[[SyRS]:[SyRS]],"")))</f>
        <v/>
      </c>
      <c r="L210" s="16" t="b" cm="1">
        <f t="array" ref="L210">OR(LEN(C210:K210)&gt;0)</f>
        <v>1</v>
      </c>
    </row>
    <row r="211" spans="2:12" ht="135" x14ac:dyDescent="0.2">
      <c r="B211" s="11" t="str">
        <v>MASTER-6470</v>
      </c>
      <c r="C211" s="12" t="str" cm="1">
        <f t="array" ref="C211">_xlfn.TEXTJOIN(CHAR(10),TRUE,_xlfn._xlws.SORT(IF((--($B211=Flowdown_CIC[[URS]:[URS]]))*(--(C$14=Flowdown_CIC[[Source.Name]:[Source.Name]])),Flowdown_CIC[[SyRS]:[SyRS]],"")))</f>
        <v>MASTER-19352</v>
      </c>
      <c r="D211" s="12" t="str" cm="1">
        <f t="array" ref="D211">_xlfn.TEXTJOIN(CHAR(10),TRUE,_xlfn._xlws.SORT(IF((--($B211=Flowdown_CIC[[URS]:[URS]]))*(--(D$14=Flowdown_CIC[[Source.Name]:[Source.Name]])),Flowdown_CIC[[SyRS]:[SyRS]],"")))</f>
        <v>MASTER-19352</v>
      </c>
      <c r="E211" s="12" t="str" cm="1">
        <f t="array" ref="E211">_xlfn.TEXTJOIN(CHAR(10),TRUE,_xlfn._xlws.SORT(IF((--($B211=Flowdown_CIC[[URS]:[URS]]))*(--(E$14=Flowdown_CIC[[Source.Name]:[Source.Name]])),Flowdown_CIC[[SyRS]:[SyRS]],"")))</f>
        <v/>
      </c>
      <c r="F211" s="12" t="str" cm="1">
        <f t="array" ref="F211">_xlfn.TEXTJOIN(CHAR(10),TRUE,_xlfn._xlws.SORT(IF((--($B211=Flowdown_CIC[[URS]:[URS]]))*(--(F$14=Flowdown_CIC[[Source.Name]:[Source.Name]])),Flowdown_CIC[[SyRS]:[SyRS]],"")))</f>
        <v/>
      </c>
      <c r="G211" s="12" t="str" cm="1">
        <f t="array" ref="G211">_xlfn.TEXTJOIN(CHAR(10),TRUE,_xlfn._xlws.SORT(IF((--($B211=Flowdown_CIC[[URS]:[URS]]))*(--(G$14=Flowdown_CIC[[Source.Name]:[Source.Name]])),Flowdown_CIC[[SyRS]:[SyRS]],"")))</f>
        <v/>
      </c>
      <c r="H211" s="12" t="str" cm="1">
        <f t="array" ref="H211">_xlfn.TEXTJOIN(CHAR(10),TRUE,_xlfn._xlws.SORT(IF((--($B211=Flowdown_CIC[[URS]:[URS]]))*(--(H$14=Flowdown_CIC[[Source.Name]:[Source.Name]])),Flowdown_CIC[[SyRS]:[SyRS]],"")))</f>
        <v>MASTER-21949
MASTER-22196
MASTER-22197
MASTER-22198
MASTER-22200
MASTER-22201
MASTER-22202
MASTER-22204
MASTER-22205
MASTER-42077</v>
      </c>
      <c r="I211" s="12" t="str" cm="1">
        <f t="array" ref="I211">_xlfn.TEXTJOIN(CHAR(10),TRUE,_xlfn._xlws.SORT(IF((--($B211=Flowdown_CIC[[URS]:[URS]]))*(--(I$14=Flowdown_CIC[[Source.Name]:[Source.Name]])),Flowdown_CIC[[SyRS]:[SyRS]],"")))</f>
        <v/>
      </c>
      <c r="J211" s="12" t="str" cm="1">
        <f t="array" ref="J211">_xlfn.TEXTJOIN(CHAR(10),TRUE,_xlfn._xlws.SORT(IF((--($B211=Flowdown_CIC[[URS]:[URS]]))*(--(J$14=Flowdown_CIC[[Source.Name]:[Source.Name]])),Flowdown_CIC[[SyRS]:[SyRS]],"")))</f>
        <v/>
      </c>
      <c r="K211" s="12" t="str" cm="1">
        <f t="array" ref="K211">_xlfn.TEXTJOIN(CHAR(10),TRUE,_xlfn._xlws.SORT(IF((--($B211=Flowdown_CIC[[URS]:[URS]]))*(--(K$14=Flowdown_CIC[[Source.Name]:[Source.Name]])),Flowdown_CIC[[SyRS]:[SyRS]],"")))</f>
        <v/>
      </c>
      <c r="L211" s="16" t="b" cm="1">
        <f t="array" ref="L211">OR(LEN(C211:K211)&gt;0)</f>
        <v>1</v>
      </c>
    </row>
    <row r="212" spans="2:12" ht="40.5" x14ac:dyDescent="0.2">
      <c r="B212" s="11" t="str">
        <v>MASTER-6471</v>
      </c>
      <c r="C212" s="12" t="str" cm="1">
        <f t="array" ref="C212">_xlfn.TEXTJOIN(CHAR(10),TRUE,_xlfn._xlws.SORT(IF((--($B212=Flowdown_CIC[[URS]:[URS]]))*(--(C$14=Flowdown_CIC[[Source.Name]:[Source.Name]])),Flowdown_CIC[[SyRS]:[SyRS]],"")))</f>
        <v>MASTER-18705
MASTER-19249</v>
      </c>
      <c r="D212" s="12" t="str" cm="1">
        <f t="array" ref="D212">_xlfn.TEXTJOIN(CHAR(10),TRUE,_xlfn._xlws.SORT(IF((--($B212=Flowdown_CIC[[URS]:[URS]]))*(--(D$14=Flowdown_CIC[[Source.Name]:[Source.Name]])),Flowdown_CIC[[SyRS]:[SyRS]],"")))</f>
        <v>MASTER-18705
MASTER-19249</v>
      </c>
      <c r="E212" s="12" t="str" cm="1">
        <f t="array" ref="E212">_xlfn.TEXTJOIN(CHAR(10),TRUE,_xlfn._xlws.SORT(IF((--($B212=Flowdown_CIC[[URS]:[URS]]))*(--(E$14=Flowdown_CIC[[Source.Name]:[Source.Name]])),Flowdown_CIC[[SyRS]:[SyRS]],"")))</f>
        <v>MASTER-18705
MASTER-19249</v>
      </c>
      <c r="F212" s="12" t="str" cm="1">
        <f t="array" ref="F212">_xlfn.TEXTJOIN(CHAR(10),TRUE,_xlfn._xlws.SORT(IF((--($B212=Flowdown_CIC[[URS]:[URS]]))*(--(F$14=Flowdown_CIC[[Source.Name]:[Source.Name]])),Flowdown_CIC[[SyRS]:[SyRS]],"")))</f>
        <v>MASTER-18705
MASTER-19249</v>
      </c>
      <c r="G212" s="12" t="str" cm="1">
        <f t="array" ref="G212">_xlfn.TEXTJOIN(CHAR(10),TRUE,_xlfn._xlws.SORT(IF((--($B212=Flowdown_CIC[[URS]:[URS]]))*(--(G$14=Flowdown_CIC[[Source.Name]:[Source.Name]])),Flowdown_CIC[[SyRS]:[SyRS]],"")))</f>
        <v>MASTER-18705
MASTER-19249</v>
      </c>
      <c r="H212" s="12" t="str" cm="1">
        <f t="array" ref="H212">_xlfn.TEXTJOIN(CHAR(10),TRUE,_xlfn._xlws.SORT(IF((--($B212=Flowdown_CIC[[URS]:[URS]]))*(--(H$14=Flowdown_CIC[[Source.Name]:[Source.Name]])),Flowdown_CIC[[SyRS]:[SyRS]],"")))</f>
        <v/>
      </c>
      <c r="I212" s="12" t="str" cm="1">
        <f t="array" ref="I212">_xlfn.TEXTJOIN(CHAR(10),TRUE,_xlfn._xlws.SORT(IF((--($B212=Flowdown_CIC[[URS]:[URS]]))*(--(I$14=Flowdown_CIC[[Source.Name]:[Source.Name]])),Flowdown_CIC[[SyRS]:[SyRS]],"")))</f>
        <v>MASTER-20021
MASTER-64822
UTICA-209</v>
      </c>
      <c r="J212" s="12" t="str" cm="1">
        <f t="array" ref="J212">_xlfn.TEXTJOIN(CHAR(10),TRUE,_xlfn._xlws.SORT(IF((--($B212=Flowdown_CIC[[URS]:[URS]]))*(--(J$14=Flowdown_CIC[[Source.Name]:[Source.Name]])),Flowdown_CIC[[SyRS]:[SyRS]],"")))</f>
        <v/>
      </c>
      <c r="K212" s="12" t="str" cm="1">
        <f t="array" ref="K212">_xlfn.TEXTJOIN(CHAR(10),TRUE,_xlfn._xlws.SORT(IF((--($B212=Flowdown_CIC[[URS]:[URS]]))*(--(K$14=Flowdown_CIC[[Source.Name]:[Source.Name]])),Flowdown_CIC[[SyRS]:[SyRS]],"")))</f>
        <v/>
      </c>
      <c r="L212" s="16" t="b" cm="1">
        <f t="array" ref="L212">OR(LEN(C212:K212)&gt;0)</f>
        <v>1</v>
      </c>
    </row>
    <row r="213" spans="2:12" ht="40.5" x14ac:dyDescent="0.2">
      <c r="B213" s="11" t="str">
        <v>MASTER-6472</v>
      </c>
      <c r="C213" s="12" t="str" cm="1">
        <f t="array" ref="C213">_xlfn.TEXTJOIN(CHAR(10),TRUE,_xlfn._xlws.SORT(IF((--($B213=Flowdown_CIC[[URS]:[URS]]))*(--(C$14=Flowdown_CIC[[Source.Name]:[Source.Name]])),Flowdown_CIC[[SyRS]:[SyRS]],"")))</f>
        <v>MASTER-42199</v>
      </c>
      <c r="D213" s="12" t="str" cm="1">
        <f t="array" ref="D213">_xlfn.TEXTJOIN(CHAR(10),TRUE,_xlfn._xlws.SORT(IF((--($B213=Flowdown_CIC[[URS]:[URS]]))*(--(D$14=Flowdown_CIC[[Source.Name]:[Source.Name]])),Flowdown_CIC[[SyRS]:[SyRS]],"")))</f>
        <v>MASTER-42199</v>
      </c>
      <c r="E213" s="12" t="str" cm="1">
        <f t="array" ref="E213">_xlfn.TEXTJOIN(CHAR(10),TRUE,_xlfn._xlws.SORT(IF((--($B213=Flowdown_CIC[[URS]:[URS]]))*(--(E$14=Flowdown_CIC[[Source.Name]:[Source.Name]])),Flowdown_CIC[[SyRS]:[SyRS]],"")))</f>
        <v/>
      </c>
      <c r="F213" s="12" t="str" cm="1">
        <f t="array" ref="F213">_xlfn.TEXTJOIN(CHAR(10),TRUE,_xlfn._xlws.SORT(IF((--($B213=Flowdown_CIC[[URS]:[URS]]))*(--(F$14=Flowdown_CIC[[Source.Name]:[Source.Name]])),Flowdown_CIC[[SyRS]:[SyRS]],"")))</f>
        <v/>
      </c>
      <c r="G213" s="12" t="str" cm="1">
        <f t="array" ref="G213">_xlfn.TEXTJOIN(CHAR(10),TRUE,_xlfn._xlws.SORT(IF((--($B213=Flowdown_CIC[[URS]:[URS]]))*(--(G$14=Flowdown_CIC[[Source.Name]:[Source.Name]])),Flowdown_CIC[[SyRS]:[SyRS]],"")))</f>
        <v/>
      </c>
      <c r="H213" s="12" t="str" cm="1">
        <f t="array" ref="H213">_xlfn.TEXTJOIN(CHAR(10),TRUE,_xlfn._xlws.SORT(IF((--($B213=Flowdown_CIC[[URS]:[URS]]))*(--(H$14=Flowdown_CIC[[Source.Name]:[Source.Name]])),Flowdown_CIC[[SyRS]:[SyRS]],"")))</f>
        <v/>
      </c>
      <c r="I213" s="12" t="str" cm="1">
        <f t="array" ref="I213">_xlfn.TEXTJOIN(CHAR(10),TRUE,_xlfn._xlws.SORT(IF((--($B213=Flowdown_CIC[[URS]:[URS]]))*(--(I$14=Flowdown_CIC[[Source.Name]:[Source.Name]])),Flowdown_CIC[[SyRS]:[SyRS]],"")))</f>
        <v>MASTER-20021
MASTER-64822
UTICA-209</v>
      </c>
      <c r="J213" s="12" t="str" cm="1">
        <f t="array" ref="J213">_xlfn.TEXTJOIN(CHAR(10),TRUE,_xlfn._xlws.SORT(IF((--($B213=Flowdown_CIC[[URS]:[URS]]))*(--(J$14=Flowdown_CIC[[Source.Name]:[Source.Name]])),Flowdown_CIC[[SyRS]:[SyRS]],"")))</f>
        <v/>
      </c>
      <c r="K213" s="12" t="str" cm="1">
        <f t="array" ref="K213">_xlfn.TEXTJOIN(CHAR(10),TRUE,_xlfn._xlws.SORT(IF((--($B213=Flowdown_CIC[[URS]:[URS]]))*(--(K$14=Flowdown_CIC[[Source.Name]:[Source.Name]])),Flowdown_CIC[[SyRS]:[SyRS]],"")))</f>
        <v/>
      </c>
      <c r="L213" s="16" t="b" cm="1">
        <f t="array" ref="L213">OR(LEN(C213:K213)&gt;0)</f>
        <v>1</v>
      </c>
    </row>
    <row r="214" spans="2:12" ht="27" x14ac:dyDescent="0.2">
      <c r="B214" s="11" t="str">
        <v>MASTER-6473</v>
      </c>
      <c r="C214" s="12" t="str" cm="1">
        <f t="array" ref="C214">_xlfn.TEXTJOIN(CHAR(10),TRUE,_xlfn._xlws.SORT(IF((--($B214=Flowdown_CIC[[URS]:[URS]]))*(--(C$14=Flowdown_CIC[[Source.Name]:[Source.Name]])),Flowdown_CIC[[SyRS]:[SyRS]],"")))</f>
        <v>MASTER-19370
MASTER-19372</v>
      </c>
      <c r="D214" s="12" t="str" cm="1">
        <f t="array" ref="D214">_xlfn.TEXTJOIN(CHAR(10),TRUE,_xlfn._xlws.SORT(IF((--($B214=Flowdown_CIC[[URS]:[URS]]))*(--(D$14=Flowdown_CIC[[Source.Name]:[Source.Name]])),Flowdown_CIC[[SyRS]:[SyRS]],"")))</f>
        <v>MASTER-19370
MASTER-19372</v>
      </c>
      <c r="E214" s="12" t="str" cm="1">
        <f t="array" ref="E214">_xlfn.TEXTJOIN(CHAR(10),TRUE,_xlfn._xlws.SORT(IF((--($B214=Flowdown_CIC[[URS]:[URS]]))*(--(E$14=Flowdown_CIC[[Source.Name]:[Source.Name]])),Flowdown_CIC[[SyRS]:[SyRS]],"")))</f>
        <v/>
      </c>
      <c r="F214" s="12" t="str" cm="1">
        <f t="array" ref="F214">_xlfn.TEXTJOIN(CHAR(10),TRUE,_xlfn._xlws.SORT(IF((--($B214=Flowdown_CIC[[URS]:[URS]]))*(--(F$14=Flowdown_CIC[[Source.Name]:[Source.Name]])),Flowdown_CIC[[SyRS]:[SyRS]],"")))</f>
        <v/>
      </c>
      <c r="G214" s="12" t="str" cm="1">
        <f t="array" ref="G214">_xlfn.TEXTJOIN(CHAR(10),TRUE,_xlfn._xlws.SORT(IF((--($B214=Flowdown_CIC[[URS]:[URS]]))*(--(G$14=Flowdown_CIC[[Source.Name]:[Source.Name]])),Flowdown_CIC[[SyRS]:[SyRS]],"")))</f>
        <v/>
      </c>
      <c r="H214" s="12" t="str" cm="1">
        <f t="array" ref="H214">_xlfn.TEXTJOIN(CHAR(10),TRUE,_xlfn._xlws.SORT(IF((--($B214=Flowdown_CIC[[URS]:[URS]]))*(--(H$14=Flowdown_CIC[[Source.Name]:[Source.Name]])),Flowdown_CIC[[SyRS]:[SyRS]],"")))</f>
        <v/>
      </c>
      <c r="I214" s="12" t="str" cm="1">
        <f t="array" ref="I214">_xlfn.TEXTJOIN(CHAR(10),TRUE,_xlfn._xlws.SORT(IF((--($B214=Flowdown_CIC[[URS]:[URS]]))*(--(I$14=Flowdown_CIC[[Source.Name]:[Source.Name]])),Flowdown_CIC[[SyRS]:[SyRS]],"")))</f>
        <v>MASTER-20021
UTICA-209</v>
      </c>
      <c r="J214" s="12" t="str" cm="1">
        <f t="array" ref="J214">_xlfn.TEXTJOIN(CHAR(10),TRUE,_xlfn._xlws.SORT(IF((--($B214=Flowdown_CIC[[URS]:[URS]]))*(--(J$14=Flowdown_CIC[[Source.Name]:[Source.Name]])),Flowdown_CIC[[SyRS]:[SyRS]],"")))</f>
        <v/>
      </c>
      <c r="K214" s="12" t="str" cm="1">
        <f t="array" ref="K214">_xlfn.TEXTJOIN(CHAR(10),TRUE,_xlfn._xlws.SORT(IF((--($B214=Flowdown_CIC[[URS]:[URS]]))*(--(K$14=Flowdown_CIC[[Source.Name]:[Source.Name]])),Flowdown_CIC[[SyRS]:[SyRS]],"")))</f>
        <v/>
      </c>
      <c r="L214" s="16" t="b" cm="1">
        <f t="array" ref="L214">OR(LEN(C214:K214)&gt;0)</f>
        <v>1</v>
      </c>
    </row>
    <row r="215" spans="2:12" ht="27" x14ac:dyDescent="0.2">
      <c r="B215" s="11" t="str">
        <v>MASTER-6475</v>
      </c>
      <c r="C215" s="12" t="str" cm="1">
        <f t="array" ref="C215">_xlfn.TEXTJOIN(CHAR(10),TRUE,_xlfn._xlws.SORT(IF((--($B215=Flowdown_CIC[[URS]:[URS]]))*(--(C$14=Flowdown_CIC[[Source.Name]:[Source.Name]])),Flowdown_CIC[[SyRS]:[SyRS]],"")))</f>
        <v>MASTER-18758
MASTER-50860</v>
      </c>
      <c r="D215" s="12" t="str" cm="1">
        <f t="array" ref="D215">_xlfn.TEXTJOIN(CHAR(10),TRUE,_xlfn._xlws.SORT(IF((--($B215=Flowdown_CIC[[URS]:[URS]]))*(--(D$14=Flowdown_CIC[[Source.Name]:[Source.Name]])),Flowdown_CIC[[SyRS]:[SyRS]],"")))</f>
        <v>MASTER-18758
MASTER-50860</v>
      </c>
      <c r="E215" s="12" t="str" cm="1">
        <f t="array" ref="E215">_xlfn.TEXTJOIN(CHAR(10),TRUE,_xlfn._xlws.SORT(IF((--($B215=Flowdown_CIC[[URS]:[URS]]))*(--(E$14=Flowdown_CIC[[Source.Name]:[Source.Name]])),Flowdown_CIC[[SyRS]:[SyRS]],"")))</f>
        <v>MASTER-18758
MASTER-50860</v>
      </c>
      <c r="F215" s="12" t="str" cm="1">
        <f t="array" ref="F215">_xlfn.TEXTJOIN(CHAR(10),TRUE,_xlfn._xlws.SORT(IF((--($B215=Flowdown_CIC[[URS]:[URS]]))*(--(F$14=Flowdown_CIC[[Source.Name]:[Source.Name]])),Flowdown_CIC[[SyRS]:[SyRS]],"")))</f>
        <v>MASTER-18758
MASTER-50860</v>
      </c>
      <c r="G215" s="12" t="str" cm="1">
        <f t="array" ref="G215">_xlfn.TEXTJOIN(CHAR(10),TRUE,_xlfn._xlws.SORT(IF((--($B215=Flowdown_CIC[[URS]:[URS]]))*(--(G$14=Flowdown_CIC[[Source.Name]:[Source.Name]])),Flowdown_CIC[[SyRS]:[SyRS]],"")))</f>
        <v>MASTER-18758
MASTER-50860</v>
      </c>
      <c r="H215" s="12" t="str" cm="1">
        <f t="array" ref="H215">_xlfn.TEXTJOIN(CHAR(10),TRUE,_xlfn._xlws.SORT(IF((--($B215=Flowdown_CIC[[URS]:[URS]]))*(--(H$14=Flowdown_CIC[[Source.Name]:[Source.Name]])),Flowdown_CIC[[SyRS]:[SyRS]],"")))</f>
        <v/>
      </c>
      <c r="I215" s="12" t="str" cm="1">
        <f t="array" ref="I215">_xlfn.TEXTJOIN(CHAR(10),TRUE,_xlfn._xlws.SORT(IF((--($B215=Flowdown_CIC[[URS]:[URS]]))*(--(I$14=Flowdown_CIC[[Source.Name]:[Source.Name]])),Flowdown_CIC[[SyRS]:[SyRS]],"")))</f>
        <v/>
      </c>
      <c r="J215" s="12" t="str" cm="1">
        <f t="array" ref="J215">_xlfn.TEXTJOIN(CHAR(10),TRUE,_xlfn._xlws.SORT(IF((--($B215=Flowdown_CIC[[URS]:[URS]]))*(--(J$14=Flowdown_CIC[[Source.Name]:[Source.Name]])),Flowdown_CIC[[SyRS]:[SyRS]],"")))</f>
        <v/>
      </c>
      <c r="K215" s="12" t="str" cm="1">
        <f t="array" ref="K215">_xlfn.TEXTJOIN(CHAR(10),TRUE,_xlfn._xlws.SORT(IF((--($B215=Flowdown_CIC[[URS]:[URS]]))*(--(K$14=Flowdown_CIC[[Source.Name]:[Source.Name]])),Flowdown_CIC[[SyRS]:[SyRS]],"")))</f>
        <v/>
      </c>
      <c r="L215" s="16" t="b" cm="1">
        <f t="array" ref="L215">OR(LEN(C215:K215)&gt;0)</f>
        <v>1</v>
      </c>
    </row>
    <row r="216" spans="2:12" ht="40.5" x14ac:dyDescent="0.2">
      <c r="B216" s="11" t="str">
        <v>MASTER-6476</v>
      </c>
      <c r="C216" s="12" t="str" cm="1">
        <f t="array" ref="C216">_xlfn.TEXTJOIN(CHAR(10),TRUE,_xlfn._xlws.SORT(IF((--($B216=Flowdown_CIC[[URS]:[URS]]))*(--(C$14=Flowdown_CIC[[Source.Name]:[Source.Name]])),Flowdown_CIC[[SyRS]:[SyRS]],"")))</f>
        <v>MASTER-18749
MASTER-18758</v>
      </c>
      <c r="D216" s="12" t="str" cm="1">
        <f t="array" ref="D216">_xlfn.TEXTJOIN(CHAR(10),TRUE,_xlfn._xlws.SORT(IF((--($B216=Flowdown_CIC[[URS]:[URS]]))*(--(D$14=Flowdown_CIC[[Source.Name]:[Source.Name]])),Flowdown_CIC[[SyRS]:[SyRS]],"")))</f>
        <v>MASTER-18749
MASTER-18758</v>
      </c>
      <c r="E216" s="12" t="str" cm="1">
        <f t="array" ref="E216">_xlfn.TEXTJOIN(CHAR(10),TRUE,_xlfn._xlws.SORT(IF((--($B216=Flowdown_CIC[[URS]:[URS]]))*(--(E$14=Flowdown_CIC[[Source.Name]:[Source.Name]])),Flowdown_CIC[[SyRS]:[SyRS]],"")))</f>
        <v>MASTER-18749
MASTER-18758</v>
      </c>
      <c r="F216" s="12" t="str" cm="1">
        <f t="array" ref="F216">_xlfn.TEXTJOIN(CHAR(10),TRUE,_xlfn._xlws.SORT(IF((--($B216=Flowdown_CIC[[URS]:[URS]]))*(--(F$14=Flowdown_CIC[[Source.Name]:[Source.Name]])),Flowdown_CIC[[SyRS]:[SyRS]],"")))</f>
        <v>MASTER-18749
MASTER-18758</v>
      </c>
      <c r="G216" s="12" t="str" cm="1">
        <f t="array" ref="G216">_xlfn.TEXTJOIN(CHAR(10),TRUE,_xlfn._xlws.SORT(IF((--($B216=Flowdown_CIC[[URS]:[URS]]))*(--(G$14=Flowdown_CIC[[Source.Name]:[Source.Name]])),Flowdown_CIC[[SyRS]:[SyRS]],"")))</f>
        <v>MASTER-18749
MASTER-18758</v>
      </c>
      <c r="H216" s="12" t="str" cm="1">
        <f t="array" ref="H216">_xlfn.TEXTJOIN(CHAR(10),TRUE,_xlfn._xlws.SORT(IF((--($B216=Flowdown_CIC[[URS]:[URS]]))*(--(H$14=Flowdown_CIC[[Source.Name]:[Source.Name]])),Flowdown_CIC[[SyRS]:[SyRS]],"")))</f>
        <v>MASTER-60896
MASTER-60897
MASTER-60900</v>
      </c>
      <c r="I216" s="12" t="str" cm="1">
        <f t="array" ref="I216">_xlfn.TEXTJOIN(CHAR(10),TRUE,_xlfn._xlws.SORT(IF((--($B216=Flowdown_CIC[[URS]:[URS]]))*(--(I$14=Flowdown_CIC[[Source.Name]:[Source.Name]])),Flowdown_CIC[[SyRS]:[SyRS]],"")))</f>
        <v/>
      </c>
      <c r="J216" s="12" t="str" cm="1">
        <f t="array" ref="J216">_xlfn.TEXTJOIN(CHAR(10),TRUE,_xlfn._xlws.SORT(IF((--($B216=Flowdown_CIC[[URS]:[URS]]))*(--(J$14=Flowdown_CIC[[Source.Name]:[Source.Name]])),Flowdown_CIC[[SyRS]:[SyRS]],"")))</f>
        <v/>
      </c>
      <c r="K216" s="12" t="str" cm="1">
        <f t="array" ref="K216">_xlfn.TEXTJOIN(CHAR(10),TRUE,_xlfn._xlws.SORT(IF((--($B216=Flowdown_CIC[[URS]:[URS]]))*(--(K$14=Flowdown_CIC[[Source.Name]:[Source.Name]])),Flowdown_CIC[[SyRS]:[SyRS]],"")))</f>
        <v>MASTER-60920</v>
      </c>
      <c r="L216" s="16" t="b" cm="1">
        <f t="array" ref="L216">OR(LEN(C216:K216)&gt;0)</f>
        <v>1</v>
      </c>
    </row>
    <row r="217" spans="2:12" ht="283.5" x14ac:dyDescent="0.2">
      <c r="B217" s="11" t="str">
        <v>MASTER-6479</v>
      </c>
      <c r="C217" s="12" t="str" cm="1">
        <f t="array" ref="C217">_xlfn.TEXTJOIN(CHAR(10),TRUE,_xlfn._xlws.SORT(IF((--($B217=Flowdown_CIC[[URS]:[URS]]))*(--(C$14=Flowdown_CIC[[Source.Name]:[Source.Name]])),Flowdown_CIC[[SyRS]:[SyRS]],"")))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D217" s="12" t="str" cm="1">
        <f t="array" ref="D217">_xlfn.TEXTJOIN(CHAR(10),TRUE,_xlfn._xlws.SORT(IF((--($B217=Flowdown_CIC[[URS]:[URS]]))*(--(D$14=Flowdown_CIC[[Source.Name]:[Source.Name]])),Flowdown_CIC[[SyRS]:[SyRS]],"")))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E217" s="12" t="str" cm="1">
        <f t="array" ref="E217">_xlfn.TEXTJOIN(CHAR(10),TRUE,_xlfn._xlws.SORT(IF((--($B217=Flowdown_CIC[[URS]:[URS]]))*(--(E$14=Flowdown_CIC[[Source.Name]:[Source.Name]])),Flowdown_CIC[[SyRS]:[SyRS]],"")))</f>
        <v>MASTER-18040
MASTER-18041
MASTER-18042
MASTER-18068
MASTER-18069
MASTER-18070
MASTER-18321
MASTER-18322
MASTER-18324
MASTER-18333
MASTER-42116</v>
      </c>
      <c r="F217" s="12" t="str" cm="1">
        <f t="array" ref="F217">_xlfn.TEXTJOIN(CHAR(10),TRUE,_xlfn._xlws.SORT(IF((--($B217=Flowdown_CIC[[URS]:[URS]]))*(--(F$14=Flowdown_CIC[[Source.Name]:[Source.Name]])),Flowdown_CIC[[SyRS]:[SyRS]],"")))</f>
        <v>MASTER-18040
MASTER-18041
MASTER-18042
MASTER-18068
MASTER-18069
MASTER-18070
MASTER-18321
MASTER-18322
MASTER-18324
MASTER-18333
MASTER-42116</v>
      </c>
      <c r="G217" s="12" t="str" cm="1">
        <f t="array" ref="G217">_xlfn.TEXTJOIN(CHAR(10),TRUE,_xlfn._xlws.SORT(IF((--($B217=Flowdown_CIC[[URS]:[URS]]))*(--(G$14=Flowdown_CIC[[Source.Name]:[Source.Name]])),Flowdown_CIC[[SyRS]:[SyRS]],"")))</f>
        <v>MASTER-18040
MASTER-18041
MASTER-18042
MASTER-18068
MASTER-18069
MASTER-18070
MASTER-18321
MASTER-18322
MASTER-18324
MASTER-18333
MASTER-42116</v>
      </c>
      <c r="H217" s="12" t="str" cm="1">
        <f t="array" ref="H217">_xlfn.TEXTJOIN(CHAR(10),TRUE,_xlfn._xlws.SORT(IF((--($B217=Flowdown_CIC[[URS]:[URS]]))*(--(H$14=Flowdown_CIC[[Source.Name]:[Source.Name]])),Flowdown_CIC[[SyRS]:[SyRS]],"")))</f>
        <v/>
      </c>
      <c r="I217" s="12" t="str" cm="1">
        <f t="array" ref="I217">_xlfn.TEXTJOIN(CHAR(10),TRUE,_xlfn._xlws.SORT(IF((--($B217=Flowdown_CIC[[URS]:[URS]]))*(--(I$14=Flowdown_CIC[[Source.Name]:[Source.Name]])),Flowdown_CIC[[SyRS]:[SyRS]],"")))</f>
        <v/>
      </c>
      <c r="J217" s="12" t="str" cm="1">
        <f t="array" ref="J217">_xlfn.TEXTJOIN(CHAR(10),TRUE,_xlfn._xlws.SORT(IF((--($B217=Flowdown_CIC[[URS]:[URS]]))*(--(J$14=Flowdown_CIC[[Source.Name]:[Source.Name]])),Flowdown_CIC[[SyRS]:[SyRS]],"")))</f>
        <v/>
      </c>
      <c r="K217" s="12" t="str" cm="1">
        <f t="array" ref="K217">_xlfn.TEXTJOIN(CHAR(10),TRUE,_xlfn._xlws.SORT(IF((--($B217=Flowdown_CIC[[URS]:[URS]]))*(--(K$14=Flowdown_CIC[[Source.Name]:[Source.Name]])),Flowdown_CIC[[SyRS]:[SyRS]],"")))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17" s="16" t="b" cm="1">
        <f t="array" ref="L217">OR(LEN(C217:K217)&gt;0)</f>
        <v>1</v>
      </c>
    </row>
    <row r="218" spans="2:12" ht="40.5" x14ac:dyDescent="0.2">
      <c r="B218" s="11" t="str">
        <v>MASTER-6481</v>
      </c>
      <c r="C218" s="12" t="str" cm="1">
        <f t="array" ref="C218">_xlfn.TEXTJOIN(CHAR(10),TRUE,_xlfn._xlws.SORT(IF((--($B218=Flowdown_CIC[[URS]:[URS]]))*(--(C$14=Flowdown_CIC[[Source.Name]:[Source.Name]])),Flowdown_CIC[[SyRS]:[SyRS]],"")))</f>
        <v>MASTER-60681</v>
      </c>
      <c r="D218" s="12" t="str" cm="1">
        <f t="array" ref="D218">_xlfn.TEXTJOIN(CHAR(10),TRUE,_xlfn._xlws.SORT(IF((--($B218=Flowdown_CIC[[URS]:[URS]]))*(--(D$14=Flowdown_CIC[[Source.Name]:[Source.Name]])),Flowdown_CIC[[SyRS]:[SyRS]],"")))</f>
        <v>MASTER-60675
MASTER-60681</v>
      </c>
      <c r="E218" s="12" t="str" cm="1">
        <f t="array" ref="E218">_xlfn.TEXTJOIN(CHAR(10),TRUE,_xlfn._xlws.SORT(IF((--($B218=Flowdown_CIC[[URS]:[URS]]))*(--(E$14=Flowdown_CIC[[Source.Name]:[Source.Name]])),Flowdown_CIC[[SyRS]:[SyRS]],"")))</f>
        <v>MASTER-60675</v>
      </c>
      <c r="F218" s="12" t="str" cm="1">
        <f t="array" ref="F218">_xlfn.TEXTJOIN(CHAR(10),TRUE,_xlfn._xlws.SORT(IF((--($B218=Flowdown_CIC[[URS]:[URS]]))*(--(F$14=Flowdown_CIC[[Source.Name]:[Source.Name]])),Flowdown_CIC[[SyRS]:[SyRS]],"")))</f>
        <v>MASTER-60675
MASTER-60681</v>
      </c>
      <c r="G218" s="12" t="str" cm="1">
        <f t="array" ref="G218">_xlfn.TEXTJOIN(CHAR(10),TRUE,_xlfn._xlws.SORT(IF((--($B218=Flowdown_CIC[[URS]:[URS]]))*(--(G$14=Flowdown_CIC[[Source.Name]:[Source.Name]])),Flowdown_CIC[[SyRS]:[SyRS]],"")))</f>
        <v>MASTER-60675
MASTER-60681</v>
      </c>
      <c r="H218" s="12" t="str" cm="1">
        <f t="array" ref="H218">_xlfn.TEXTJOIN(CHAR(10),TRUE,_xlfn._xlws.SORT(IF((--($B218=Flowdown_CIC[[URS]:[URS]]))*(--(H$14=Flowdown_CIC[[Source.Name]:[Source.Name]])),Flowdown_CIC[[SyRS]:[SyRS]],"")))</f>
        <v>MASTER-21931</v>
      </c>
      <c r="I218" s="12" t="str" cm="1">
        <f t="array" ref="I218">_xlfn.TEXTJOIN(CHAR(10),TRUE,_xlfn._xlws.SORT(IF((--($B218=Flowdown_CIC[[URS]:[URS]]))*(--(I$14=Flowdown_CIC[[Source.Name]:[Source.Name]])),Flowdown_CIC[[SyRS]:[SyRS]],"")))</f>
        <v/>
      </c>
      <c r="J218" s="12" t="str" cm="1">
        <f t="array" ref="J218">_xlfn.TEXTJOIN(CHAR(10),TRUE,_xlfn._xlws.SORT(IF((--($B218=Flowdown_CIC[[URS]:[URS]]))*(--(J$14=Flowdown_CIC[[Source.Name]:[Source.Name]])),Flowdown_CIC[[SyRS]:[SyRS]],"")))</f>
        <v/>
      </c>
      <c r="K218" s="12" t="str" cm="1">
        <f t="array" ref="K218">_xlfn.TEXTJOIN(CHAR(10),TRUE,_xlfn._xlws.SORT(IF((--($B218=Flowdown_CIC[[URS]:[URS]]))*(--(K$14=Flowdown_CIC[[Source.Name]:[Source.Name]])),Flowdown_CIC[[SyRS]:[SyRS]],"")))</f>
        <v>MASTER-16494
MASTER-16495
MASTER-51247</v>
      </c>
      <c r="L218" s="16" t="b" cm="1">
        <f t="array" ref="L218">OR(LEN(C218:K218)&gt;0)</f>
        <v>1</v>
      </c>
    </row>
    <row r="219" spans="2:12" ht="40.5" x14ac:dyDescent="0.2">
      <c r="B219" s="11" t="str">
        <v>MASTER-6484</v>
      </c>
      <c r="C219" s="12" t="str" cm="1">
        <f t="array" ref="C219">_xlfn.TEXTJOIN(CHAR(10),TRUE,_xlfn._xlws.SORT(IF((--($B219=Flowdown_CIC[[URS]:[URS]]))*(--(C$14=Flowdown_CIC[[Source.Name]:[Source.Name]])),Flowdown_CIC[[SyRS]:[SyRS]],"")))</f>
        <v>MASTER-18334
MASTER-19473
MASTER-19474</v>
      </c>
      <c r="D219" s="12" t="str" cm="1">
        <f t="array" ref="D219">_xlfn.TEXTJOIN(CHAR(10),TRUE,_xlfn._xlws.SORT(IF((--($B219=Flowdown_CIC[[URS]:[URS]]))*(--(D$14=Flowdown_CIC[[Source.Name]:[Source.Name]])),Flowdown_CIC[[SyRS]:[SyRS]],"")))</f>
        <v>MASTER-18334
MASTER-19473
MASTER-19474</v>
      </c>
      <c r="E219" s="12" t="str" cm="1">
        <f t="array" ref="E219">_xlfn.TEXTJOIN(CHAR(10),TRUE,_xlfn._xlws.SORT(IF((--($B219=Flowdown_CIC[[URS]:[URS]]))*(--(E$14=Flowdown_CIC[[Source.Name]:[Source.Name]])),Flowdown_CIC[[SyRS]:[SyRS]],"")))</f>
        <v>MASTER-18334</v>
      </c>
      <c r="F219" s="12" t="str" cm="1">
        <f t="array" ref="F219">_xlfn.TEXTJOIN(CHAR(10),TRUE,_xlfn._xlws.SORT(IF((--($B219=Flowdown_CIC[[URS]:[URS]]))*(--(F$14=Flowdown_CIC[[Source.Name]:[Source.Name]])),Flowdown_CIC[[SyRS]:[SyRS]],"")))</f>
        <v>MASTER-18334</v>
      </c>
      <c r="G219" s="12" t="str" cm="1">
        <f t="array" ref="G219">_xlfn.TEXTJOIN(CHAR(10),TRUE,_xlfn._xlws.SORT(IF((--($B219=Flowdown_CIC[[URS]:[URS]]))*(--(G$14=Flowdown_CIC[[Source.Name]:[Source.Name]])),Flowdown_CIC[[SyRS]:[SyRS]],"")))</f>
        <v>MASTER-18334</v>
      </c>
      <c r="H219" s="12" t="str" cm="1">
        <f t="array" ref="H219">_xlfn.TEXTJOIN(CHAR(10),TRUE,_xlfn._xlws.SORT(IF((--($B219=Flowdown_CIC[[URS]:[URS]]))*(--(H$14=Flowdown_CIC[[Source.Name]:[Source.Name]])),Flowdown_CIC[[SyRS]:[SyRS]],"")))</f>
        <v/>
      </c>
      <c r="I219" s="12" t="str" cm="1">
        <f t="array" ref="I219">_xlfn.TEXTJOIN(CHAR(10),TRUE,_xlfn._xlws.SORT(IF((--($B219=Flowdown_CIC[[URS]:[URS]]))*(--(I$14=Flowdown_CIC[[Source.Name]:[Source.Name]])),Flowdown_CIC[[SyRS]:[SyRS]],"")))</f>
        <v/>
      </c>
      <c r="J219" s="12" t="str" cm="1">
        <f t="array" ref="J219">_xlfn.TEXTJOIN(CHAR(10),TRUE,_xlfn._xlws.SORT(IF((--($B219=Flowdown_CIC[[URS]:[URS]]))*(--(J$14=Flowdown_CIC[[Source.Name]:[Source.Name]])),Flowdown_CIC[[SyRS]:[SyRS]],"")))</f>
        <v/>
      </c>
      <c r="K219" s="12" t="str" cm="1">
        <f t="array" ref="K219">_xlfn.TEXTJOIN(CHAR(10),TRUE,_xlfn._xlws.SORT(IF((--($B219=Flowdown_CIC[[URS]:[URS]]))*(--(K$14=Flowdown_CIC[[Source.Name]:[Source.Name]])),Flowdown_CIC[[SyRS]:[SyRS]],"")))</f>
        <v/>
      </c>
      <c r="L219" s="16" t="b" cm="1">
        <f t="array" ref="L219">OR(LEN(C219:K219)&gt;0)</f>
        <v>1</v>
      </c>
    </row>
    <row r="220" spans="2:12" ht="67.5" x14ac:dyDescent="0.2">
      <c r="B220" s="11" t="str">
        <v>MASTER-6485</v>
      </c>
      <c r="C220" s="12" t="str" cm="1">
        <f t="array" ref="C220">_xlfn.TEXTJOIN(CHAR(10),TRUE,_xlfn._xlws.SORT(IF((--($B220=Flowdown_CIC[[URS]:[URS]]))*(--(C$14=Flowdown_CIC[[Source.Name]:[Source.Name]])),Flowdown_CIC[[SyRS]:[SyRS]],"")))</f>
        <v>MASTER-18225
MASTER-18227
MASTER-18282
MASTER-18334
MASTER-19473</v>
      </c>
      <c r="D220" s="12" t="str" cm="1">
        <f t="array" ref="D220">_xlfn.TEXTJOIN(CHAR(10),TRUE,_xlfn._xlws.SORT(IF((--($B220=Flowdown_CIC[[URS]:[URS]]))*(--(D$14=Flowdown_CIC[[Source.Name]:[Source.Name]])),Flowdown_CIC[[SyRS]:[SyRS]],"")))</f>
        <v>MASTER-18225
MASTER-18227
MASTER-18282
MASTER-18334
MASTER-19473</v>
      </c>
      <c r="E220" s="12" t="str" cm="1">
        <f t="array" ref="E220">_xlfn.TEXTJOIN(CHAR(10),TRUE,_xlfn._xlws.SORT(IF((--($B220=Flowdown_CIC[[URS]:[URS]]))*(--(E$14=Flowdown_CIC[[Source.Name]:[Source.Name]])),Flowdown_CIC[[SyRS]:[SyRS]],"")))</f>
        <v>MASTER-18225
MASTER-18227
MASTER-18282
MASTER-18334</v>
      </c>
      <c r="F220" s="12" t="str" cm="1">
        <f t="array" ref="F220">_xlfn.TEXTJOIN(CHAR(10),TRUE,_xlfn._xlws.SORT(IF((--($B220=Flowdown_CIC[[URS]:[URS]]))*(--(F$14=Flowdown_CIC[[Source.Name]:[Source.Name]])),Flowdown_CIC[[SyRS]:[SyRS]],"")))</f>
        <v>MASTER-18225
MASTER-18227
MASTER-18282
MASTER-18334</v>
      </c>
      <c r="G220" s="12" t="str" cm="1">
        <f t="array" ref="G220">_xlfn.TEXTJOIN(CHAR(10),TRUE,_xlfn._xlws.SORT(IF((--($B220=Flowdown_CIC[[URS]:[URS]]))*(--(G$14=Flowdown_CIC[[Source.Name]:[Source.Name]])),Flowdown_CIC[[SyRS]:[SyRS]],"")))</f>
        <v>MASTER-18225
MASTER-18227
MASTER-18282
MASTER-18334</v>
      </c>
      <c r="H220" s="12" t="str" cm="1">
        <f t="array" ref="H220">_xlfn.TEXTJOIN(CHAR(10),TRUE,_xlfn._xlws.SORT(IF((--($B220=Flowdown_CIC[[URS]:[URS]]))*(--(H$14=Flowdown_CIC[[Source.Name]:[Source.Name]])),Flowdown_CIC[[SyRS]:[SyRS]],"")))</f>
        <v/>
      </c>
      <c r="I220" s="12" t="str" cm="1">
        <f t="array" ref="I220">_xlfn.TEXTJOIN(CHAR(10),TRUE,_xlfn._xlws.SORT(IF((--($B220=Flowdown_CIC[[URS]:[URS]]))*(--(I$14=Flowdown_CIC[[Source.Name]:[Source.Name]])),Flowdown_CIC[[SyRS]:[SyRS]],"")))</f>
        <v/>
      </c>
      <c r="J220" s="12" t="str" cm="1">
        <f t="array" ref="J220">_xlfn.TEXTJOIN(CHAR(10),TRUE,_xlfn._xlws.SORT(IF((--($B220=Flowdown_CIC[[URS]:[URS]]))*(--(J$14=Flowdown_CIC[[Source.Name]:[Source.Name]])),Flowdown_CIC[[SyRS]:[SyRS]],"")))</f>
        <v/>
      </c>
      <c r="K220" s="12" t="str" cm="1">
        <f t="array" ref="K220">_xlfn.TEXTJOIN(CHAR(10),TRUE,_xlfn._xlws.SORT(IF((--($B220=Flowdown_CIC[[URS]:[URS]]))*(--(K$14=Flowdown_CIC[[Source.Name]:[Source.Name]])),Flowdown_CIC[[SyRS]:[SyRS]],"")))</f>
        <v/>
      </c>
      <c r="L220" s="16" t="b" cm="1">
        <f t="array" ref="L220">OR(LEN(C220:K220)&gt;0)</f>
        <v>1</v>
      </c>
    </row>
    <row r="221" spans="2:12" ht="13.5" x14ac:dyDescent="0.2">
      <c r="B221" s="11" t="str">
        <v>MASTER-6486</v>
      </c>
      <c r="C221" s="12" t="str" cm="1">
        <f t="array" ref="C221">_xlfn.TEXTJOIN(CHAR(10),TRUE,_xlfn._xlws.SORT(IF((--($B221=Flowdown_CIC[[URS]:[URS]]))*(--(C$14=Flowdown_CIC[[Source.Name]:[Source.Name]])),Flowdown_CIC[[SyRS]:[SyRS]],"")))</f>
        <v>MASTER-19473</v>
      </c>
      <c r="D221" s="12" t="str" cm="1">
        <f t="array" ref="D221">_xlfn.TEXTJOIN(CHAR(10),TRUE,_xlfn._xlws.SORT(IF((--($B221=Flowdown_CIC[[URS]:[URS]]))*(--(D$14=Flowdown_CIC[[Source.Name]:[Source.Name]])),Flowdown_CIC[[SyRS]:[SyRS]],"")))</f>
        <v>MASTER-19473</v>
      </c>
      <c r="E221" s="12" t="str" cm="1">
        <f t="array" ref="E221">_xlfn.TEXTJOIN(CHAR(10),TRUE,_xlfn._xlws.SORT(IF((--($B221=Flowdown_CIC[[URS]:[URS]]))*(--(E$14=Flowdown_CIC[[Source.Name]:[Source.Name]])),Flowdown_CIC[[SyRS]:[SyRS]],"")))</f>
        <v/>
      </c>
      <c r="F221" s="12" t="str" cm="1">
        <f t="array" ref="F221">_xlfn.TEXTJOIN(CHAR(10),TRUE,_xlfn._xlws.SORT(IF((--($B221=Flowdown_CIC[[URS]:[URS]]))*(--(F$14=Flowdown_CIC[[Source.Name]:[Source.Name]])),Flowdown_CIC[[SyRS]:[SyRS]],"")))</f>
        <v/>
      </c>
      <c r="G221" s="12" t="str" cm="1">
        <f t="array" ref="G221">_xlfn.TEXTJOIN(CHAR(10),TRUE,_xlfn._xlws.SORT(IF((--($B221=Flowdown_CIC[[URS]:[URS]]))*(--(G$14=Flowdown_CIC[[Source.Name]:[Source.Name]])),Flowdown_CIC[[SyRS]:[SyRS]],"")))</f>
        <v/>
      </c>
      <c r="H221" s="12" t="str" cm="1">
        <f t="array" ref="H221">_xlfn.TEXTJOIN(CHAR(10),TRUE,_xlfn._xlws.SORT(IF((--($B221=Flowdown_CIC[[URS]:[URS]]))*(--(H$14=Flowdown_CIC[[Source.Name]:[Source.Name]])),Flowdown_CIC[[SyRS]:[SyRS]],"")))</f>
        <v/>
      </c>
      <c r="I221" s="12" t="str" cm="1">
        <f t="array" ref="I221">_xlfn.TEXTJOIN(CHAR(10),TRUE,_xlfn._xlws.SORT(IF((--($B221=Flowdown_CIC[[URS]:[URS]]))*(--(I$14=Flowdown_CIC[[Source.Name]:[Source.Name]])),Flowdown_CIC[[SyRS]:[SyRS]],"")))</f>
        <v/>
      </c>
      <c r="J221" s="12" t="str" cm="1">
        <f t="array" ref="J221">_xlfn.TEXTJOIN(CHAR(10),TRUE,_xlfn._xlws.SORT(IF((--($B221=Flowdown_CIC[[URS]:[URS]]))*(--(J$14=Flowdown_CIC[[Source.Name]:[Source.Name]])),Flowdown_CIC[[SyRS]:[SyRS]],"")))</f>
        <v/>
      </c>
      <c r="K221" s="12" t="str" cm="1">
        <f t="array" ref="K221">_xlfn.TEXTJOIN(CHAR(10),TRUE,_xlfn._xlws.SORT(IF((--($B221=Flowdown_CIC[[URS]:[URS]]))*(--(K$14=Flowdown_CIC[[Source.Name]:[Source.Name]])),Flowdown_CIC[[SyRS]:[SyRS]],"")))</f>
        <v/>
      </c>
      <c r="L221" s="16" t="b" cm="1">
        <f t="array" ref="L221">OR(LEN(C221:K221)&gt;0)</f>
        <v>1</v>
      </c>
    </row>
    <row r="222" spans="2:12" ht="256.5" x14ac:dyDescent="0.2">
      <c r="B222" s="11" t="str">
        <v>MASTER-6488</v>
      </c>
      <c r="C222" s="12" t="str" cm="1">
        <f t="array" ref="C222">_xlfn.TEXTJOIN(CHAR(10),TRUE,_xlfn._xlws.SORT(IF((--($B222=Flowdown_CIC[[URS]:[URS]]))*(--(C$14=Flowdown_CIC[[Source.Name]:[Source.Name]])),Flowdown_CIC[[SyRS]:[SyRS]],"")))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22" s="12" t="str" cm="1">
        <f t="array" ref="D222">_xlfn.TEXTJOIN(CHAR(10),TRUE,_xlfn._xlws.SORT(IF((--($B222=Flowdown_CIC[[URS]:[URS]]))*(--(D$14=Flowdown_CIC[[Source.Name]:[Source.Name]])),Flowdown_CIC[[SyRS]:[SyRS]],"")))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22" s="12" t="str" cm="1">
        <f t="array" ref="E222">_xlfn.TEXTJOIN(CHAR(10),TRUE,_xlfn._xlws.SORT(IF((--($B222=Flowdown_CIC[[URS]:[URS]]))*(--(E$14=Flowdown_CIC[[Source.Name]:[Source.Name]])),Flowdown_CIC[[SyRS]:[SyRS]],"")))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22" s="12" t="str" cm="1">
        <f t="array" ref="F222">_xlfn.TEXTJOIN(CHAR(10),TRUE,_xlfn._xlws.SORT(IF((--($B222=Flowdown_CIC[[URS]:[URS]]))*(--(F$14=Flowdown_CIC[[Source.Name]:[Source.Name]])),Flowdown_CIC[[SyRS]:[SyRS]],"")))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22" s="12" t="str" cm="1">
        <f t="array" ref="G222">_xlfn.TEXTJOIN(CHAR(10),TRUE,_xlfn._xlws.SORT(IF((--($B222=Flowdown_CIC[[URS]:[URS]]))*(--(G$14=Flowdown_CIC[[Source.Name]:[Source.Name]])),Flowdown_CIC[[SyRS]:[SyRS]],"")))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22" s="12" t="str" cm="1">
        <f t="array" ref="H222">_xlfn.TEXTJOIN(CHAR(10),TRUE,_xlfn._xlws.SORT(IF((--($B222=Flowdown_CIC[[URS]:[URS]]))*(--(H$14=Flowdown_CIC[[Source.Name]:[Source.Name]])),Flowdown_CIC[[SyRS]:[SyRS]],"")))</f>
        <v>MASTER-22138
MASTER-60812</v>
      </c>
      <c r="I222" s="12" t="str" cm="1">
        <f t="array" ref="I222">_xlfn.TEXTJOIN(CHAR(10),TRUE,_xlfn._xlws.SORT(IF((--($B222=Flowdown_CIC[[URS]:[URS]]))*(--(I$14=Flowdown_CIC[[Source.Name]:[Source.Name]])),Flowdown_CIC[[SyRS]:[SyRS]],"")))</f>
        <v/>
      </c>
      <c r="J222" s="12" t="str" cm="1">
        <f t="array" ref="J222">_xlfn.TEXTJOIN(CHAR(10),TRUE,_xlfn._xlws.SORT(IF((--($B222=Flowdown_CIC[[URS]:[URS]]))*(--(J$14=Flowdown_CIC[[Source.Name]:[Source.Name]])),Flowdown_CIC[[SyRS]:[SyRS]],"")))</f>
        <v/>
      </c>
      <c r="K222" s="12" t="str" cm="1">
        <f t="array" ref="K222">_xlfn.TEXTJOIN(CHAR(10),TRUE,_xlfn._xlws.SORT(IF((--($B222=Flowdown_CIC[[URS]:[URS]]))*(--(K$14=Flowdown_CIC[[Source.Name]:[Source.Name]])),Flowdown_CIC[[SyRS]:[SyRS]],"")))</f>
        <v/>
      </c>
      <c r="L222" s="16" t="b" cm="1">
        <f t="array" ref="L222">OR(LEN(C222:K222)&gt;0)</f>
        <v>1</v>
      </c>
    </row>
    <row r="223" spans="2:12" ht="27" x14ac:dyDescent="0.2">
      <c r="B223" s="11" t="str">
        <v>MASTER-6489</v>
      </c>
      <c r="C223" s="12" t="str" cm="1">
        <f t="array" ref="C223">_xlfn.TEXTJOIN(CHAR(10),TRUE,_xlfn._xlws.SORT(IF((--($B223=Flowdown_CIC[[URS]:[URS]]))*(--(C$14=Flowdown_CIC[[Source.Name]:[Source.Name]])),Flowdown_CIC[[SyRS]:[SyRS]],"")))</f>
        <v>MASTER-19493</v>
      </c>
      <c r="D223" s="12" t="str" cm="1">
        <f t="array" ref="D223">_xlfn.TEXTJOIN(CHAR(10),TRUE,_xlfn._xlws.SORT(IF((--($B223=Flowdown_CIC[[URS]:[URS]]))*(--(D$14=Flowdown_CIC[[Source.Name]:[Source.Name]])),Flowdown_CIC[[SyRS]:[SyRS]],"")))</f>
        <v>MASTER-19493</v>
      </c>
      <c r="E223" s="12" t="str" cm="1">
        <f t="array" ref="E223">_xlfn.TEXTJOIN(CHAR(10),TRUE,_xlfn._xlws.SORT(IF((--($B223=Flowdown_CIC[[URS]:[URS]]))*(--(E$14=Flowdown_CIC[[Source.Name]:[Source.Name]])),Flowdown_CIC[[SyRS]:[SyRS]],"")))</f>
        <v/>
      </c>
      <c r="F223" s="12" t="str" cm="1">
        <f t="array" ref="F223">_xlfn.TEXTJOIN(CHAR(10),TRUE,_xlfn._xlws.SORT(IF((--($B223=Flowdown_CIC[[URS]:[URS]]))*(--(F$14=Flowdown_CIC[[Source.Name]:[Source.Name]])),Flowdown_CIC[[SyRS]:[SyRS]],"")))</f>
        <v/>
      </c>
      <c r="G223" s="12" t="str" cm="1">
        <f t="array" ref="G223">_xlfn.TEXTJOIN(CHAR(10),TRUE,_xlfn._xlws.SORT(IF((--($B223=Flowdown_CIC[[URS]:[URS]]))*(--(G$14=Flowdown_CIC[[Source.Name]:[Source.Name]])),Flowdown_CIC[[SyRS]:[SyRS]],"")))</f>
        <v/>
      </c>
      <c r="H223" s="12" t="str" cm="1">
        <f t="array" ref="H223">_xlfn.TEXTJOIN(CHAR(10),TRUE,_xlfn._xlws.SORT(IF((--($B223=Flowdown_CIC[[URS]:[URS]]))*(--(H$14=Flowdown_CIC[[Source.Name]:[Source.Name]])),Flowdown_CIC[[SyRS]:[SyRS]],"")))</f>
        <v>MASTER-22090
MASTER-22115</v>
      </c>
      <c r="I223" s="12" t="str" cm="1">
        <f t="array" ref="I223">_xlfn.TEXTJOIN(CHAR(10),TRUE,_xlfn._xlws.SORT(IF((--($B223=Flowdown_CIC[[URS]:[URS]]))*(--(I$14=Flowdown_CIC[[Source.Name]:[Source.Name]])),Flowdown_CIC[[SyRS]:[SyRS]],"")))</f>
        <v/>
      </c>
      <c r="J223" s="12" t="str" cm="1">
        <f t="array" ref="J223">_xlfn.TEXTJOIN(CHAR(10),TRUE,_xlfn._xlws.SORT(IF((--($B223=Flowdown_CIC[[URS]:[URS]]))*(--(J$14=Flowdown_CIC[[Source.Name]:[Source.Name]])),Flowdown_CIC[[SyRS]:[SyRS]],"")))</f>
        <v/>
      </c>
      <c r="K223" s="12" t="str" cm="1">
        <f t="array" ref="K223">_xlfn.TEXTJOIN(CHAR(10),TRUE,_xlfn._xlws.SORT(IF((--($B223=Flowdown_CIC[[URS]:[URS]]))*(--(K$14=Flowdown_CIC[[Source.Name]:[Source.Name]])),Flowdown_CIC[[SyRS]:[SyRS]],"")))</f>
        <v/>
      </c>
      <c r="L223" s="16" t="b" cm="1">
        <f t="array" ref="L223">OR(LEN(C223:K223)&gt;0)</f>
        <v>1</v>
      </c>
    </row>
    <row r="224" spans="2:12" ht="162" x14ac:dyDescent="0.2">
      <c r="B224" s="11" t="str">
        <v>MASTER-6490</v>
      </c>
      <c r="C224" s="12" t="str" cm="1">
        <f t="array" ref="C224">_xlfn.TEXTJOIN(CHAR(10),TRUE,_xlfn._xlws.SORT(IF((--($B224=Flowdown_CIC[[URS]:[URS]]))*(--(C$14=Flowdown_CIC[[Source.Name]:[Source.Name]])),Flowdown_CIC[[SyRS]:[SyRS]],"")))</f>
        <v>MASTER-60742
MASTER-60743
MASTER-60745
MASTER-60749</v>
      </c>
      <c r="D224" s="12" t="str" cm="1">
        <f t="array" ref="D224">_xlfn.TEXTJOIN(CHAR(10),TRUE,_xlfn._xlws.SORT(IF((--($B224=Flowdown_CIC[[URS]:[URS]]))*(--(D$14=Flowdown_CIC[[Source.Name]:[Source.Name]])),Flowdown_CIC[[SyRS]:[SyRS]],"")))</f>
        <v>MASTER-60742
MASTER-60743
MASTER-60745
MASTER-60749</v>
      </c>
      <c r="E224" s="12" t="str" cm="1">
        <f t="array" ref="E224">_xlfn.TEXTJOIN(CHAR(10),TRUE,_xlfn._xlws.SORT(IF((--($B224=Flowdown_CIC[[URS]:[URS]]))*(--(E$14=Flowdown_CIC[[Source.Name]:[Source.Name]])),Flowdown_CIC[[SyRS]:[SyRS]],"")))</f>
        <v>MASTER-60742
MASTER-60743
MASTER-60745
MASTER-60749</v>
      </c>
      <c r="F224" s="12" t="str" cm="1">
        <f t="array" ref="F224">_xlfn.TEXTJOIN(CHAR(10),TRUE,_xlfn._xlws.SORT(IF((--($B224=Flowdown_CIC[[URS]:[URS]]))*(--(F$14=Flowdown_CIC[[Source.Name]:[Source.Name]])),Flowdown_CIC[[SyRS]:[SyRS]],"")))</f>
        <v>MASTER-60742
MASTER-60743
MASTER-60745
MASTER-60749</v>
      </c>
      <c r="G224" s="12" t="str" cm="1">
        <f t="array" ref="G224">_xlfn.TEXTJOIN(CHAR(10),TRUE,_xlfn._xlws.SORT(IF((--($B224=Flowdown_CIC[[URS]:[URS]]))*(--(G$14=Flowdown_CIC[[Source.Name]:[Source.Name]])),Flowdown_CIC[[SyRS]:[SyRS]],"")))</f>
        <v>MASTER-60742
MASTER-60743
MASTER-60745
MASTER-60749</v>
      </c>
      <c r="H224" s="12" t="str" cm="1">
        <f t="array" ref="H224">_xlfn.TEXTJOIN(CHAR(10),TRUE,_xlfn._xlws.SORT(IF((--($B224=Flowdown_CIC[[URS]:[URS]]))*(--(H$14=Flowdown_CIC[[Source.Name]:[Source.Name]])),Flowdown_CIC[[SyRS]:[SyRS]],"")))</f>
        <v>MASTER-22593
MASTER-22594
MASTER-22595
MASTER-22596
MASTER-22597
MASTER-22598
MASTER-22600
MASTER-22601
MASTER-60809
MASTER-60815
MASTER-60818
MASTER-60819</v>
      </c>
      <c r="I224" s="12" t="str" cm="1">
        <f t="array" ref="I224">_xlfn.TEXTJOIN(CHAR(10),TRUE,_xlfn._xlws.SORT(IF((--($B224=Flowdown_CIC[[URS]:[URS]]))*(--(I$14=Flowdown_CIC[[Source.Name]:[Source.Name]])),Flowdown_CIC[[SyRS]:[SyRS]],"")))</f>
        <v/>
      </c>
      <c r="J224" s="12" t="str" cm="1">
        <f t="array" ref="J224">_xlfn.TEXTJOIN(CHAR(10),TRUE,_xlfn._xlws.SORT(IF((--($B224=Flowdown_CIC[[URS]:[URS]]))*(--(J$14=Flowdown_CIC[[Source.Name]:[Source.Name]])),Flowdown_CIC[[SyRS]:[SyRS]],"")))</f>
        <v/>
      </c>
      <c r="K224" s="12" t="str" cm="1">
        <f t="array" ref="K224">_xlfn.TEXTJOIN(CHAR(10),TRUE,_xlfn._xlws.SORT(IF((--($B224=Flowdown_CIC[[URS]:[URS]]))*(--(K$14=Flowdown_CIC[[Source.Name]:[Source.Name]])),Flowdown_CIC[[SyRS]:[SyRS]],"")))</f>
        <v/>
      </c>
      <c r="L224" s="16" t="b" cm="1">
        <f t="array" ref="L224">OR(LEN(C224:K224)&gt;0)</f>
        <v>1</v>
      </c>
    </row>
    <row r="225" spans="2:12" ht="13.5" x14ac:dyDescent="0.2">
      <c r="B225" s="11" t="str">
        <v>MASTER-6491</v>
      </c>
      <c r="C225" s="12" t="str" cm="1">
        <f t="array" ref="C225">_xlfn.TEXTJOIN(CHAR(10),TRUE,_xlfn._xlws.SORT(IF((--($B225=Flowdown_CIC[[URS]:[URS]]))*(--(C$14=Flowdown_CIC[[Source.Name]:[Source.Name]])),Flowdown_CIC[[SyRS]:[SyRS]],"")))</f>
        <v>MASTER-60745</v>
      </c>
      <c r="D225" s="12" t="str" cm="1">
        <f t="array" ref="D225">_xlfn.TEXTJOIN(CHAR(10),TRUE,_xlfn._xlws.SORT(IF((--($B225=Flowdown_CIC[[URS]:[URS]]))*(--(D$14=Flowdown_CIC[[Source.Name]:[Source.Name]])),Flowdown_CIC[[SyRS]:[SyRS]],"")))</f>
        <v>MASTER-60745</v>
      </c>
      <c r="E225" s="12" t="str" cm="1">
        <f t="array" ref="E225">_xlfn.TEXTJOIN(CHAR(10),TRUE,_xlfn._xlws.SORT(IF((--($B225=Flowdown_CIC[[URS]:[URS]]))*(--(E$14=Flowdown_CIC[[Source.Name]:[Source.Name]])),Flowdown_CIC[[SyRS]:[SyRS]],"")))</f>
        <v>MASTER-60745</v>
      </c>
      <c r="F225" s="12" t="str" cm="1">
        <f t="array" ref="F225">_xlfn.TEXTJOIN(CHAR(10),TRUE,_xlfn._xlws.SORT(IF((--($B225=Flowdown_CIC[[URS]:[URS]]))*(--(F$14=Flowdown_CIC[[Source.Name]:[Source.Name]])),Flowdown_CIC[[SyRS]:[SyRS]],"")))</f>
        <v>MASTER-60745</v>
      </c>
      <c r="G225" s="12" t="str" cm="1">
        <f t="array" ref="G225">_xlfn.TEXTJOIN(CHAR(10),TRUE,_xlfn._xlws.SORT(IF((--($B225=Flowdown_CIC[[URS]:[URS]]))*(--(G$14=Flowdown_CIC[[Source.Name]:[Source.Name]])),Flowdown_CIC[[SyRS]:[SyRS]],"")))</f>
        <v>MASTER-60745</v>
      </c>
      <c r="H225" s="12" t="str" cm="1">
        <f t="array" ref="H225">_xlfn.TEXTJOIN(CHAR(10),TRUE,_xlfn._xlws.SORT(IF((--($B225=Flowdown_CIC[[URS]:[URS]]))*(--(H$14=Flowdown_CIC[[Source.Name]:[Source.Name]])),Flowdown_CIC[[SyRS]:[SyRS]],"")))</f>
        <v/>
      </c>
      <c r="I225" s="12" t="str" cm="1">
        <f t="array" ref="I225">_xlfn.TEXTJOIN(CHAR(10),TRUE,_xlfn._xlws.SORT(IF((--($B225=Flowdown_CIC[[URS]:[URS]]))*(--(I$14=Flowdown_CIC[[Source.Name]:[Source.Name]])),Flowdown_CIC[[SyRS]:[SyRS]],"")))</f>
        <v/>
      </c>
      <c r="J225" s="12" t="str" cm="1">
        <f t="array" ref="J225">_xlfn.TEXTJOIN(CHAR(10),TRUE,_xlfn._xlws.SORT(IF((--($B225=Flowdown_CIC[[URS]:[URS]]))*(--(J$14=Flowdown_CIC[[Source.Name]:[Source.Name]])),Flowdown_CIC[[SyRS]:[SyRS]],"")))</f>
        <v/>
      </c>
      <c r="K225" s="12" t="str" cm="1">
        <f t="array" ref="K225">_xlfn.TEXTJOIN(CHAR(10),TRUE,_xlfn._xlws.SORT(IF((--($B225=Flowdown_CIC[[URS]:[URS]]))*(--(K$14=Flowdown_CIC[[Source.Name]:[Source.Name]])),Flowdown_CIC[[SyRS]:[SyRS]],"")))</f>
        <v/>
      </c>
      <c r="L225" s="16" t="b" cm="1">
        <f t="array" ref="L225">OR(LEN(C225:K225)&gt;0)</f>
        <v>1</v>
      </c>
    </row>
    <row r="226" spans="2:12" ht="13.5" x14ac:dyDescent="0.2">
      <c r="B226" s="11" t="str">
        <v>MASTER-6492</v>
      </c>
      <c r="C226" s="12" t="str" cm="1">
        <f t="array" ref="C226">_xlfn.TEXTJOIN(CHAR(10),TRUE,_xlfn._xlws.SORT(IF((--($B226=Flowdown_CIC[[URS]:[URS]]))*(--(C$14=Flowdown_CIC[[Source.Name]:[Source.Name]])),Flowdown_CIC[[SyRS]:[SyRS]],"")))</f>
        <v>MASTER-6492</v>
      </c>
      <c r="D226" s="12" t="str" cm="1">
        <f t="array" ref="D226">_xlfn.TEXTJOIN(CHAR(10),TRUE,_xlfn._xlws.SORT(IF((--($B226=Flowdown_CIC[[URS]:[URS]]))*(--(D$14=Flowdown_CIC[[Source.Name]:[Source.Name]])),Flowdown_CIC[[SyRS]:[SyRS]],"")))</f>
        <v>MASTER-6492</v>
      </c>
      <c r="E226" s="12" t="str" cm="1">
        <f t="array" ref="E226">_xlfn.TEXTJOIN(CHAR(10),TRUE,_xlfn._xlws.SORT(IF((--($B226=Flowdown_CIC[[URS]:[URS]]))*(--(E$14=Flowdown_CIC[[Source.Name]:[Source.Name]])),Flowdown_CIC[[SyRS]:[SyRS]],"")))</f>
        <v>MASTER-6492</v>
      </c>
      <c r="F226" s="12" t="str" cm="1">
        <f t="array" ref="F226">_xlfn.TEXTJOIN(CHAR(10),TRUE,_xlfn._xlws.SORT(IF((--($B226=Flowdown_CIC[[URS]:[URS]]))*(--(F$14=Flowdown_CIC[[Source.Name]:[Source.Name]])),Flowdown_CIC[[SyRS]:[SyRS]],"")))</f>
        <v>MASTER-6492</v>
      </c>
      <c r="G226" s="12" t="str" cm="1">
        <f t="array" ref="G226">_xlfn.TEXTJOIN(CHAR(10),TRUE,_xlfn._xlws.SORT(IF((--($B226=Flowdown_CIC[[URS]:[URS]]))*(--(G$14=Flowdown_CIC[[Source.Name]:[Source.Name]])),Flowdown_CIC[[SyRS]:[SyRS]],"")))</f>
        <v>MASTER-6492</v>
      </c>
      <c r="H226" s="12" t="str" cm="1">
        <f t="array" ref="H226">_xlfn.TEXTJOIN(CHAR(10),TRUE,_xlfn._xlws.SORT(IF((--($B226=Flowdown_CIC[[URS]:[URS]]))*(--(H$14=Flowdown_CIC[[Source.Name]:[Source.Name]])),Flowdown_CIC[[SyRS]:[SyRS]],"")))</f>
        <v/>
      </c>
      <c r="I226" s="12" t="str" cm="1">
        <f t="array" ref="I226">_xlfn.TEXTJOIN(CHAR(10),TRUE,_xlfn._xlws.SORT(IF((--($B226=Flowdown_CIC[[URS]:[URS]]))*(--(I$14=Flowdown_CIC[[Source.Name]:[Source.Name]])),Flowdown_CIC[[SyRS]:[SyRS]],"")))</f>
        <v/>
      </c>
      <c r="J226" s="12" t="str" cm="1">
        <f t="array" ref="J226">_xlfn.TEXTJOIN(CHAR(10),TRUE,_xlfn._xlws.SORT(IF((--($B226=Flowdown_CIC[[URS]:[URS]]))*(--(J$14=Flowdown_CIC[[Source.Name]:[Source.Name]])),Flowdown_CIC[[SyRS]:[SyRS]],"")))</f>
        <v/>
      </c>
      <c r="K226" s="12" t="str" cm="1">
        <f t="array" ref="K226">_xlfn.TEXTJOIN(CHAR(10),TRUE,_xlfn._xlws.SORT(IF((--($B226=Flowdown_CIC[[URS]:[URS]]))*(--(K$14=Flowdown_CIC[[Source.Name]:[Source.Name]])),Flowdown_CIC[[SyRS]:[SyRS]],"")))</f>
        <v/>
      </c>
      <c r="L226" s="16" t="b" cm="1">
        <f t="array" ref="L226">OR(LEN(C226:K226)&gt;0)</f>
        <v>1</v>
      </c>
    </row>
    <row r="227" spans="2:12" ht="13.5" x14ac:dyDescent="0.2">
      <c r="B227" s="11" t="str">
        <v>MASTER-6493</v>
      </c>
      <c r="C227" s="12" t="str" cm="1">
        <f t="array" ref="C227">_xlfn.TEXTJOIN(CHAR(10),TRUE,_xlfn._xlws.SORT(IF((--($B227=Flowdown_CIC[[URS]:[URS]]))*(--(C$14=Flowdown_CIC[[Source.Name]:[Source.Name]])),Flowdown_CIC[[SyRS]:[SyRS]],"")))</f>
        <v/>
      </c>
      <c r="D227" s="12" t="str" cm="1">
        <f t="array" ref="D227">_xlfn.TEXTJOIN(CHAR(10),TRUE,_xlfn._xlws.SORT(IF((--($B227=Flowdown_CIC[[URS]:[URS]]))*(--(D$14=Flowdown_CIC[[Source.Name]:[Source.Name]])),Flowdown_CIC[[SyRS]:[SyRS]],"")))</f>
        <v/>
      </c>
      <c r="E227" s="12" t="str" cm="1">
        <f t="array" ref="E227">_xlfn.TEXTJOIN(CHAR(10),TRUE,_xlfn._xlws.SORT(IF((--($B227=Flowdown_CIC[[URS]:[URS]]))*(--(E$14=Flowdown_CIC[[Source.Name]:[Source.Name]])),Flowdown_CIC[[SyRS]:[SyRS]],"")))</f>
        <v/>
      </c>
      <c r="F227" s="12" t="str" cm="1">
        <f t="array" ref="F227">_xlfn.TEXTJOIN(CHAR(10),TRUE,_xlfn._xlws.SORT(IF((--($B227=Flowdown_CIC[[URS]:[URS]]))*(--(F$14=Flowdown_CIC[[Source.Name]:[Source.Name]])),Flowdown_CIC[[SyRS]:[SyRS]],"")))</f>
        <v/>
      </c>
      <c r="G227" s="12" t="str" cm="1">
        <f t="array" ref="G227">_xlfn.TEXTJOIN(CHAR(10),TRUE,_xlfn._xlws.SORT(IF((--($B227=Flowdown_CIC[[URS]:[URS]]))*(--(G$14=Flowdown_CIC[[Source.Name]:[Source.Name]])),Flowdown_CIC[[SyRS]:[SyRS]],"")))</f>
        <v/>
      </c>
      <c r="H227" s="12" t="str" cm="1">
        <f t="array" ref="H227">_xlfn.TEXTJOIN(CHAR(10),TRUE,_xlfn._xlws.SORT(IF((--($B227=Flowdown_CIC[[URS]:[URS]]))*(--(H$14=Flowdown_CIC[[Source.Name]:[Source.Name]])),Flowdown_CIC[[SyRS]:[SyRS]],"")))</f>
        <v>MASTER-22145</v>
      </c>
      <c r="I227" s="12" t="str" cm="1">
        <f t="array" ref="I227">_xlfn.TEXTJOIN(CHAR(10),TRUE,_xlfn._xlws.SORT(IF((--($B227=Flowdown_CIC[[URS]:[URS]]))*(--(I$14=Flowdown_CIC[[Source.Name]:[Source.Name]])),Flowdown_CIC[[SyRS]:[SyRS]],"")))</f>
        <v/>
      </c>
      <c r="J227" s="12" t="str" cm="1">
        <f t="array" ref="J227">_xlfn.TEXTJOIN(CHAR(10),TRUE,_xlfn._xlws.SORT(IF((--($B227=Flowdown_CIC[[URS]:[URS]]))*(--(J$14=Flowdown_CIC[[Source.Name]:[Source.Name]])),Flowdown_CIC[[SyRS]:[SyRS]],"")))</f>
        <v/>
      </c>
      <c r="K227" s="12" t="str" cm="1">
        <f t="array" ref="K227">_xlfn.TEXTJOIN(CHAR(10),TRUE,_xlfn._xlws.SORT(IF((--($B227=Flowdown_CIC[[URS]:[URS]]))*(--(K$14=Flowdown_CIC[[Source.Name]:[Source.Name]])),Flowdown_CIC[[SyRS]:[SyRS]],"")))</f>
        <v/>
      </c>
      <c r="L227" s="16" t="b" cm="1">
        <f t="array" ref="L227">OR(LEN(C227:K227)&gt;0)</f>
        <v>1</v>
      </c>
    </row>
    <row r="228" spans="2:12" ht="94.5" x14ac:dyDescent="0.2">
      <c r="B228" s="11" t="str">
        <v>MASTER-6494</v>
      </c>
      <c r="C228" s="12" t="str" cm="1">
        <f t="array" ref="C228">_xlfn.TEXTJOIN(CHAR(10),TRUE,_xlfn._xlws.SORT(IF((--($B228=Flowdown_CIC[[URS]:[URS]]))*(--(C$14=Flowdown_CIC[[Source.Name]:[Source.Name]])),Flowdown_CIC[[SyRS]:[SyRS]],"")))</f>
        <v>MASTER-60751
MASTER-60752
MASTER-60756</v>
      </c>
      <c r="D228" s="12" t="str" cm="1">
        <f t="array" ref="D228">_xlfn.TEXTJOIN(CHAR(10),TRUE,_xlfn._xlws.SORT(IF((--($B228=Flowdown_CIC[[URS]:[URS]]))*(--(D$14=Flowdown_CIC[[Source.Name]:[Source.Name]])),Flowdown_CIC[[SyRS]:[SyRS]],"")))</f>
        <v>MASTER-60751
MASTER-60752
MASTER-60756</v>
      </c>
      <c r="E228" s="12" t="str" cm="1">
        <f t="array" ref="E228">_xlfn.TEXTJOIN(CHAR(10),TRUE,_xlfn._xlws.SORT(IF((--($B228=Flowdown_CIC[[URS]:[URS]]))*(--(E$14=Flowdown_CIC[[Source.Name]:[Source.Name]])),Flowdown_CIC[[SyRS]:[SyRS]],"")))</f>
        <v>MASTER-60751
MASTER-60752
MASTER-60756</v>
      </c>
      <c r="F228" s="12" t="str" cm="1">
        <f t="array" ref="F228">_xlfn.TEXTJOIN(CHAR(10),TRUE,_xlfn._xlws.SORT(IF((--($B228=Flowdown_CIC[[URS]:[URS]]))*(--(F$14=Flowdown_CIC[[Source.Name]:[Source.Name]])),Flowdown_CIC[[SyRS]:[SyRS]],"")))</f>
        <v>MASTER-60751
MASTER-60752
MASTER-60756</v>
      </c>
      <c r="G228" s="12" t="str" cm="1">
        <f t="array" ref="G228">_xlfn.TEXTJOIN(CHAR(10),TRUE,_xlfn._xlws.SORT(IF((--($B228=Flowdown_CIC[[URS]:[URS]]))*(--(G$14=Flowdown_CIC[[Source.Name]:[Source.Name]])),Flowdown_CIC[[SyRS]:[SyRS]],"")))</f>
        <v>MASTER-60751
MASTER-60752
MASTER-60756</v>
      </c>
      <c r="H228" s="12" t="str" cm="1">
        <f t="array" ref="H228">_xlfn.TEXTJOIN(CHAR(10),TRUE,_xlfn._xlws.SORT(IF((--($B228=Flowdown_CIC[[URS]:[URS]]))*(--(H$14=Flowdown_CIC[[Source.Name]:[Source.Name]])),Flowdown_CIC[[SyRS]:[SyRS]],"")))</f>
        <v>MASTER-22138
MASTER-60826
MASTER-60829
MASTER-60830
MASTER-60831
MASTER-61647
MASTER-61648</v>
      </c>
      <c r="I228" s="12" t="str" cm="1">
        <f t="array" ref="I228">_xlfn.TEXTJOIN(CHAR(10),TRUE,_xlfn._xlws.SORT(IF((--($B228=Flowdown_CIC[[URS]:[URS]]))*(--(I$14=Flowdown_CIC[[Source.Name]:[Source.Name]])),Flowdown_CIC[[SyRS]:[SyRS]],"")))</f>
        <v/>
      </c>
      <c r="J228" s="12" t="str" cm="1">
        <f t="array" ref="J228">_xlfn.TEXTJOIN(CHAR(10),TRUE,_xlfn._xlws.SORT(IF((--($B228=Flowdown_CIC[[URS]:[URS]]))*(--(J$14=Flowdown_CIC[[Source.Name]:[Source.Name]])),Flowdown_CIC[[SyRS]:[SyRS]],"")))</f>
        <v/>
      </c>
      <c r="K228" s="12" t="str" cm="1">
        <f t="array" ref="K228">_xlfn.TEXTJOIN(CHAR(10),TRUE,_xlfn._xlws.SORT(IF((--($B228=Flowdown_CIC[[URS]:[URS]]))*(--(K$14=Flowdown_CIC[[Source.Name]:[Source.Name]])),Flowdown_CIC[[SyRS]:[SyRS]],"")))</f>
        <v/>
      </c>
      <c r="L228" s="16" t="b" cm="1">
        <f t="array" ref="L228">OR(LEN(C228:K228)&gt;0)</f>
        <v>1</v>
      </c>
    </row>
    <row r="229" spans="2:12" ht="94.5" x14ac:dyDescent="0.2">
      <c r="B229" s="11" t="str">
        <v>MASTER-6496</v>
      </c>
      <c r="C229" s="12" t="str" cm="1">
        <f t="array" ref="C229">_xlfn.TEXTJOIN(CHAR(10),TRUE,_xlfn._xlws.SORT(IF((--($B229=Flowdown_CIC[[URS]:[URS]]))*(--(C$14=Flowdown_CIC[[Source.Name]:[Source.Name]])),Flowdown_CIC[[SyRS]:[SyRS]],"")))</f>
        <v>MASTER-19162
MASTER-19163
MASTER-53067
MASTER-53068</v>
      </c>
      <c r="D229" s="12" t="str" cm="1">
        <f t="array" ref="D229">_xlfn.TEXTJOIN(CHAR(10),TRUE,_xlfn._xlws.SORT(IF((--($B229=Flowdown_CIC[[URS]:[URS]]))*(--(D$14=Flowdown_CIC[[Source.Name]:[Source.Name]])),Flowdown_CIC[[SyRS]:[SyRS]],"")))</f>
        <v>MASTER-19162
MASTER-19163
MASTER-53064
MASTER-53065
MASTER-53066
MASTER-53067
MASTER-53068</v>
      </c>
      <c r="E229" s="12" t="str" cm="1">
        <f t="array" ref="E229">_xlfn.TEXTJOIN(CHAR(10),TRUE,_xlfn._xlws.SORT(IF((--($B229=Flowdown_CIC[[URS]:[URS]]))*(--(E$14=Flowdown_CIC[[Source.Name]:[Source.Name]])),Flowdown_CIC[[SyRS]:[SyRS]],"")))</f>
        <v>MASTER-53064
MASTER-53065</v>
      </c>
      <c r="F229" s="12" t="str" cm="1">
        <f t="array" ref="F229">_xlfn.TEXTJOIN(CHAR(10),TRUE,_xlfn._xlws.SORT(IF((--($B229=Flowdown_CIC[[URS]:[URS]]))*(--(F$14=Flowdown_CIC[[Source.Name]:[Source.Name]])),Flowdown_CIC[[SyRS]:[SyRS]],"")))</f>
        <v>MASTER-53064
MASTER-53065</v>
      </c>
      <c r="G229" s="12" t="str" cm="1">
        <f t="array" ref="G229">_xlfn.TEXTJOIN(CHAR(10),TRUE,_xlfn._xlws.SORT(IF((--($B229=Flowdown_CIC[[URS]:[URS]]))*(--(G$14=Flowdown_CIC[[Source.Name]:[Source.Name]])),Flowdown_CIC[[SyRS]:[SyRS]],"")))</f>
        <v>MASTER-19162
MASTER-19163</v>
      </c>
      <c r="H229" s="12" t="str" cm="1">
        <f t="array" ref="H229">_xlfn.TEXTJOIN(CHAR(10),TRUE,_xlfn._xlws.SORT(IF((--($B229=Flowdown_CIC[[URS]:[URS]]))*(--(H$14=Flowdown_CIC[[Source.Name]:[Source.Name]])),Flowdown_CIC[[SyRS]:[SyRS]],"")))</f>
        <v>MASTER-60800
MASTER-60810</v>
      </c>
      <c r="I229" s="12" t="str" cm="1">
        <f t="array" ref="I229">_xlfn.TEXTJOIN(CHAR(10),TRUE,_xlfn._xlws.SORT(IF((--($B229=Flowdown_CIC[[URS]:[URS]]))*(--(I$14=Flowdown_CIC[[Source.Name]:[Source.Name]])),Flowdown_CIC[[SyRS]:[SyRS]],"")))</f>
        <v/>
      </c>
      <c r="J229" s="12" t="str" cm="1">
        <f t="array" ref="J229">_xlfn.TEXTJOIN(CHAR(10),TRUE,_xlfn._xlws.SORT(IF((--($B229=Flowdown_CIC[[URS]:[URS]]))*(--(J$14=Flowdown_CIC[[Source.Name]:[Source.Name]])),Flowdown_CIC[[SyRS]:[SyRS]],"")))</f>
        <v/>
      </c>
      <c r="K229" s="12" t="str" cm="1">
        <f t="array" ref="K229">_xlfn.TEXTJOIN(CHAR(10),TRUE,_xlfn._xlws.SORT(IF((--($B229=Flowdown_CIC[[URS]:[URS]]))*(--(K$14=Flowdown_CIC[[Source.Name]:[Source.Name]])),Flowdown_CIC[[SyRS]:[SyRS]],"")))</f>
        <v/>
      </c>
      <c r="L229" s="16" t="b" cm="1">
        <f t="array" ref="L229">OR(LEN(C229:K229)&gt;0)</f>
        <v>1</v>
      </c>
    </row>
    <row r="230" spans="2:12" ht="54" x14ac:dyDescent="0.2">
      <c r="B230" s="11" t="str">
        <v>MASTER-6497</v>
      </c>
      <c r="C230" s="12" t="str" cm="1">
        <f t="array" ref="C230">_xlfn.TEXTJOIN(CHAR(10),TRUE,_xlfn._xlws.SORT(IF((--($B230=Flowdown_CIC[[URS]:[URS]]))*(--(C$14=Flowdown_CIC[[Source.Name]:[Source.Name]])),Flowdown_CIC[[SyRS]:[SyRS]],"")))</f>
        <v>MASTER-19164
MASTER-19179
MASTER-58687
MASTER-60743</v>
      </c>
      <c r="D230" s="12" t="str" cm="1">
        <f t="array" ref="D230">_xlfn.TEXTJOIN(CHAR(10),TRUE,_xlfn._xlws.SORT(IF((--($B230=Flowdown_CIC[[URS]:[URS]]))*(--(D$14=Flowdown_CIC[[Source.Name]:[Source.Name]])),Flowdown_CIC[[SyRS]:[SyRS]],"")))</f>
        <v>MASTER-19164
MASTER-19179
MASTER-60743</v>
      </c>
      <c r="E230" s="12" t="str" cm="1">
        <f t="array" ref="E230">_xlfn.TEXTJOIN(CHAR(10),TRUE,_xlfn._xlws.SORT(IF((--($B230=Flowdown_CIC[[URS]:[URS]]))*(--(E$14=Flowdown_CIC[[Source.Name]:[Source.Name]])),Flowdown_CIC[[SyRS]:[SyRS]],"")))</f>
        <v>MASTER-19164
MASTER-19179
MASTER-60743</v>
      </c>
      <c r="F230" s="12" t="str" cm="1">
        <f t="array" ref="F230">_xlfn.TEXTJOIN(CHAR(10),TRUE,_xlfn._xlws.SORT(IF((--($B230=Flowdown_CIC[[URS]:[URS]]))*(--(F$14=Flowdown_CIC[[Source.Name]:[Source.Name]])),Flowdown_CIC[[SyRS]:[SyRS]],"")))</f>
        <v>MASTER-19164
MASTER-19179
MASTER-60743</v>
      </c>
      <c r="G230" s="12" t="str" cm="1">
        <f t="array" ref="G230">_xlfn.TEXTJOIN(CHAR(10),TRUE,_xlfn._xlws.SORT(IF((--($B230=Flowdown_CIC[[URS]:[URS]]))*(--(G$14=Flowdown_CIC[[Source.Name]:[Source.Name]])),Flowdown_CIC[[SyRS]:[SyRS]],"")))</f>
        <v>MASTER-19164
MASTER-19179
MASTER-60743</v>
      </c>
      <c r="H230" s="12" t="str" cm="1">
        <f t="array" ref="H230">_xlfn.TEXTJOIN(CHAR(10),TRUE,_xlfn._xlws.SORT(IF((--($B230=Flowdown_CIC[[URS]:[URS]]))*(--(H$14=Flowdown_CIC[[Source.Name]:[Source.Name]])),Flowdown_CIC[[SyRS]:[SyRS]],"")))</f>
        <v>MASTER-55718</v>
      </c>
      <c r="I230" s="12" t="str" cm="1">
        <f t="array" ref="I230">_xlfn.TEXTJOIN(CHAR(10),TRUE,_xlfn._xlws.SORT(IF((--($B230=Flowdown_CIC[[URS]:[URS]]))*(--(I$14=Flowdown_CIC[[Source.Name]:[Source.Name]])),Flowdown_CIC[[SyRS]:[SyRS]],"")))</f>
        <v/>
      </c>
      <c r="J230" s="12" t="str" cm="1">
        <f t="array" ref="J230">_xlfn.TEXTJOIN(CHAR(10),TRUE,_xlfn._xlws.SORT(IF((--($B230=Flowdown_CIC[[URS]:[URS]]))*(--(J$14=Flowdown_CIC[[Source.Name]:[Source.Name]])),Flowdown_CIC[[SyRS]:[SyRS]],"")))</f>
        <v/>
      </c>
      <c r="K230" s="12" t="str" cm="1">
        <f t="array" ref="K230">_xlfn.TEXTJOIN(CHAR(10),TRUE,_xlfn._xlws.SORT(IF((--($B230=Flowdown_CIC[[URS]:[URS]]))*(--(K$14=Flowdown_CIC[[Source.Name]:[Source.Name]])),Flowdown_CIC[[SyRS]:[SyRS]],"")))</f>
        <v/>
      </c>
      <c r="L230" s="16" t="b" cm="1">
        <f t="array" ref="L230">OR(LEN(C230:K230)&gt;0)</f>
        <v>1</v>
      </c>
    </row>
    <row r="231" spans="2:12" ht="40.5" x14ac:dyDescent="0.2">
      <c r="B231" s="11" t="str">
        <v>MASTER-6499</v>
      </c>
      <c r="C231" s="12" t="str" cm="1">
        <f t="array" ref="C231">_xlfn.TEXTJOIN(CHAR(10),TRUE,_xlfn._xlws.SORT(IF((--($B231=Flowdown_CIC[[URS]:[URS]]))*(--(C$14=Flowdown_CIC[[Source.Name]:[Source.Name]])),Flowdown_CIC[[SyRS]:[SyRS]],"")))</f>
        <v>MASTER-19156</v>
      </c>
      <c r="D231" s="12" t="str" cm="1">
        <f t="array" ref="D231">_xlfn.TEXTJOIN(CHAR(10),TRUE,_xlfn._xlws.SORT(IF((--($B231=Flowdown_CIC[[URS]:[URS]]))*(--(D$14=Flowdown_CIC[[Source.Name]:[Source.Name]])),Flowdown_CIC[[SyRS]:[SyRS]],"")))</f>
        <v>MASTER-19156
MASTER-19728
MASTER-19729</v>
      </c>
      <c r="E231" s="12" t="str" cm="1">
        <f t="array" ref="E231">_xlfn.TEXTJOIN(CHAR(10),TRUE,_xlfn._xlws.SORT(IF((--($B231=Flowdown_CIC[[URS]:[URS]]))*(--(E$14=Flowdown_CIC[[Source.Name]:[Source.Name]])),Flowdown_CIC[[SyRS]:[SyRS]],"")))</f>
        <v>MASTER-19156</v>
      </c>
      <c r="F231" s="12" t="str" cm="1">
        <f t="array" ref="F231">_xlfn.TEXTJOIN(CHAR(10),TRUE,_xlfn._xlws.SORT(IF((--($B231=Flowdown_CIC[[URS]:[URS]]))*(--(F$14=Flowdown_CIC[[Source.Name]:[Source.Name]])),Flowdown_CIC[[SyRS]:[SyRS]],"")))</f>
        <v>MASTER-19156</v>
      </c>
      <c r="G231" s="12" t="str" cm="1">
        <f t="array" ref="G231">_xlfn.TEXTJOIN(CHAR(10),TRUE,_xlfn._xlws.SORT(IF((--($B231=Flowdown_CIC[[URS]:[URS]]))*(--(G$14=Flowdown_CIC[[Source.Name]:[Source.Name]])),Flowdown_CIC[[SyRS]:[SyRS]],"")))</f>
        <v>MASTER-19156</v>
      </c>
      <c r="H231" s="12" t="str" cm="1">
        <f t="array" ref="H231">_xlfn.TEXTJOIN(CHAR(10),TRUE,_xlfn._xlws.SORT(IF((--($B231=Flowdown_CIC[[URS]:[URS]]))*(--(H$14=Flowdown_CIC[[Source.Name]:[Source.Name]])),Flowdown_CIC[[SyRS]:[SyRS]],"")))</f>
        <v>MASTER-60800
MASTER-60810</v>
      </c>
      <c r="I231" s="12" t="str" cm="1">
        <f t="array" ref="I231">_xlfn.TEXTJOIN(CHAR(10),TRUE,_xlfn._xlws.SORT(IF((--($B231=Flowdown_CIC[[URS]:[URS]]))*(--(I$14=Flowdown_CIC[[Source.Name]:[Source.Name]])),Flowdown_CIC[[SyRS]:[SyRS]],"")))</f>
        <v/>
      </c>
      <c r="J231" s="12" t="str" cm="1">
        <f t="array" ref="J231">_xlfn.TEXTJOIN(CHAR(10),TRUE,_xlfn._xlws.SORT(IF((--($B231=Flowdown_CIC[[URS]:[URS]]))*(--(J$14=Flowdown_CIC[[Source.Name]:[Source.Name]])),Flowdown_CIC[[SyRS]:[SyRS]],"")))</f>
        <v/>
      </c>
      <c r="K231" s="12" t="str" cm="1">
        <f t="array" ref="K231">_xlfn.TEXTJOIN(CHAR(10),TRUE,_xlfn._xlws.SORT(IF((--($B231=Flowdown_CIC[[URS]:[URS]]))*(--(K$14=Flowdown_CIC[[Source.Name]:[Source.Name]])),Flowdown_CIC[[SyRS]:[SyRS]],"")))</f>
        <v/>
      </c>
      <c r="L231" s="16" t="b" cm="1">
        <f t="array" ref="L231">OR(LEN(C231:K231)&gt;0)</f>
        <v>1</v>
      </c>
    </row>
    <row r="232" spans="2:12" ht="94.5" x14ac:dyDescent="0.2">
      <c r="B232" s="11" t="str">
        <v>MASTER-6501</v>
      </c>
      <c r="C232" s="12" t="str" cm="1">
        <f t="array" ref="C232">_xlfn.TEXTJOIN(CHAR(10),TRUE,_xlfn._xlws.SORT(IF((--($B232=Flowdown_CIC[[URS]:[URS]]))*(--(C$14=Flowdown_CIC[[Source.Name]:[Source.Name]])),Flowdown_CIC[[SyRS]:[SyRS]],"")))</f>
        <v>MASTER-18222
MASTER-18223
MASTER-19454
MASTER-51078
MASTER-60743
MASTER-60768
UTICA-19406</v>
      </c>
      <c r="D232" s="12" t="str" cm="1">
        <f t="array" ref="D232">_xlfn.TEXTJOIN(CHAR(10),TRUE,_xlfn._xlws.SORT(IF((--($B232=Flowdown_CIC[[URS]:[URS]]))*(--(D$14=Flowdown_CIC[[Source.Name]:[Source.Name]])),Flowdown_CIC[[SyRS]:[SyRS]],"")))</f>
        <v>MASTER-18222
MASTER-18223
MASTER-19454
MASTER-51078
MASTER-60743
MASTER-60768
UTICA-19406</v>
      </c>
      <c r="E232" s="12" t="str" cm="1">
        <f t="array" ref="E232">_xlfn.TEXTJOIN(CHAR(10),TRUE,_xlfn._xlws.SORT(IF((--($B232=Flowdown_CIC[[URS]:[URS]]))*(--(E$14=Flowdown_CIC[[Source.Name]:[Source.Name]])),Flowdown_CIC[[SyRS]:[SyRS]],"")))</f>
        <v>MASTER-18222
MASTER-18223
MASTER-60743
MASTER-60768
UTICA-19406</v>
      </c>
      <c r="F232" s="12" t="str" cm="1">
        <f t="array" ref="F232">_xlfn.TEXTJOIN(CHAR(10),TRUE,_xlfn._xlws.SORT(IF((--($B232=Flowdown_CIC[[URS]:[URS]]))*(--(F$14=Flowdown_CIC[[Source.Name]:[Source.Name]])),Flowdown_CIC[[SyRS]:[SyRS]],"")))</f>
        <v>MASTER-18222
MASTER-18223
MASTER-60743
MASTER-60768
UTICA-19406</v>
      </c>
      <c r="G232" s="12" t="str" cm="1">
        <f t="array" ref="G232">_xlfn.TEXTJOIN(CHAR(10),TRUE,_xlfn._xlws.SORT(IF((--($B232=Flowdown_CIC[[URS]:[URS]]))*(--(G$14=Flowdown_CIC[[Source.Name]:[Source.Name]])),Flowdown_CIC[[SyRS]:[SyRS]],"")))</f>
        <v>MASTER-18222
MASTER-18223
MASTER-60743
MASTER-60768
UTICA-19406</v>
      </c>
      <c r="H232" s="12" t="str" cm="1">
        <f t="array" ref="H232">_xlfn.TEXTJOIN(CHAR(10),TRUE,_xlfn._xlws.SORT(IF((--($B232=Flowdown_CIC[[URS]:[URS]]))*(--(H$14=Flowdown_CIC[[Source.Name]:[Source.Name]])),Flowdown_CIC[[SyRS]:[SyRS]],"")))</f>
        <v>MASTER-60800
MASTER-60810</v>
      </c>
      <c r="I232" s="12" t="str" cm="1">
        <f t="array" ref="I232">_xlfn.TEXTJOIN(CHAR(10),TRUE,_xlfn._xlws.SORT(IF((--($B232=Flowdown_CIC[[URS]:[URS]]))*(--(I$14=Flowdown_CIC[[Source.Name]:[Source.Name]])),Flowdown_CIC[[SyRS]:[SyRS]],"")))</f>
        <v/>
      </c>
      <c r="J232" s="12" t="str" cm="1">
        <f t="array" ref="J232">_xlfn.TEXTJOIN(CHAR(10),TRUE,_xlfn._xlws.SORT(IF((--($B232=Flowdown_CIC[[URS]:[URS]]))*(--(J$14=Flowdown_CIC[[Source.Name]:[Source.Name]])),Flowdown_CIC[[SyRS]:[SyRS]],"")))</f>
        <v/>
      </c>
      <c r="K232" s="12" t="str" cm="1">
        <f t="array" ref="K232">_xlfn.TEXTJOIN(CHAR(10),TRUE,_xlfn._xlws.SORT(IF((--($B232=Flowdown_CIC[[URS]:[URS]]))*(--(K$14=Flowdown_CIC[[Source.Name]:[Source.Name]])),Flowdown_CIC[[SyRS]:[SyRS]],"")))</f>
        <v/>
      </c>
      <c r="L232" s="16" t="b" cm="1">
        <f t="array" ref="L232">OR(LEN(C232:K232)&gt;0)</f>
        <v>1</v>
      </c>
    </row>
    <row r="233" spans="2:12" ht="27" x14ac:dyDescent="0.2">
      <c r="B233" s="11" t="str">
        <v>MASTER-6502</v>
      </c>
      <c r="C233" s="12" t="str" cm="1">
        <f t="array" ref="C233">_xlfn.TEXTJOIN(CHAR(10),TRUE,_xlfn._xlws.SORT(IF((--($B233=Flowdown_CIC[[URS]:[URS]]))*(--(C$14=Flowdown_CIC[[Source.Name]:[Source.Name]])),Flowdown_CIC[[SyRS]:[SyRS]],"")))</f>
        <v>MASTER-60742
MASTER-60743</v>
      </c>
      <c r="D233" s="12" t="str" cm="1">
        <f t="array" ref="D233">_xlfn.TEXTJOIN(CHAR(10),TRUE,_xlfn._xlws.SORT(IF((--($B233=Flowdown_CIC[[URS]:[URS]]))*(--(D$14=Flowdown_CIC[[Source.Name]:[Source.Name]])),Flowdown_CIC[[SyRS]:[SyRS]],"")))</f>
        <v>MASTER-60742
MASTER-60743</v>
      </c>
      <c r="E233" s="12" t="str" cm="1">
        <f t="array" ref="E233">_xlfn.TEXTJOIN(CHAR(10),TRUE,_xlfn._xlws.SORT(IF((--($B233=Flowdown_CIC[[URS]:[URS]]))*(--(E$14=Flowdown_CIC[[Source.Name]:[Source.Name]])),Flowdown_CIC[[SyRS]:[SyRS]],"")))</f>
        <v>MASTER-60742
MASTER-60743</v>
      </c>
      <c r="F233" s="12" t="str" cm="1">
        <f t="array" ref="F233">_xlfn.TEXTJOIN(CHAR(10),TRUE,_xlfn._xlws.SORT(IF((--($B233=Flowdown_CIC[[URS]:[URS]]))*(--(F$14=Flowdown_CIC[[Source.Name]:[Source.Name]])),Flowdown_CIC[[SyRS]:[SyRS]],"")))</f>
        <v>MASTER-60742
MASTER-60743</v>
      </c>
      <c r="G233" s="12" t="str" cm="1">
        <f t="array" ref="G233">_xlfn.TEXTJOIN(CHAR(10),TRUE,_xlfn._xlws.SORT(IF((--($B233=Flowdown_CIC[[URS]:[URS]]))*(--(G$14=Flowdown_CIC[[Source.Name]:[Source.Name]])),Flowdown_CIC[[SyRS]:[SyRS]],"")))</f>
        <v>MASTER-60742
MASTER-60743</v>
      </c>
      <c r="H233" s="12" t="str" cm="1">
        <f t="array" ref="H233">_xlfn.TEXTJOIN(CHAR(10),TRUE,_xlfn._xlws.SORT(IF((--($B233=Flowdown_CIC[[URS]:[URS]]))*(--(H$14=Flowdown_CIC[[Source.Name]:[Source.Name]])),Flowdown_CIC[[SyRS]:[SyRS]],"")))</f>
        <v>MASTER-21034
MASTER-21035</v>
      </c>
      <c r="I233" s="12" t="str" cm="1">
        <f t="array" ref="I233">_xlfn.TEXTJOIN(CHAR(10),TRUE,_xlfn._xlws.SORT(IF((--($B233=Flowdown_CIC[[URS]:[URS]]))*(--(I$14=Flowdown_CIC[[Source.Name]:[Source.Name]])),Flowdown_CIC[[SyRS]:[SyRS]],"")))</f>
        <v/>
      </c>
      <c r="J233" s="12" t="str" cm="1">
        <f t="array" ref="J233">_xlfn.TEXTJOIN(CHAR(10),TRUE,_xlfn._xlws.SORT(IF((--($B233=Flowdown_CIC[[URS]:[URS]]))*(--(J$14=Flowdown_CIC[[Source.Name]:[Source.Name]])),Flowdown_CIC[[SyRS]:[SyRS]],"")))</f>
        <v/>
      </c>
      <c r="K233" s="12" t="str" cm="1">
        <f t="array" ref="K233">_xlfn.TEXTJOIN(CHAR(10),TRUE,_xlfn._xlws.SORT(IF((--($B233=Flowdown_CIC[[URS]:[URS]]))*(--(K$14=Flowdown_CIC[[Source.Name]:[Source.Name]])),Flowdown_CIC[[SyRS]:[SyRS]],"")))</f>
        <v/>
      </c>
      <c r="L233" s="16" t="b" cm="1">
        <f t="array" ref="L233">OR(LEN(C233:K233)&gt;0)</f>
        <v>1</v>
      </c>
    </row>
    <row r="234" spans="2:12" ht="54" x14ac:dyDescent="0.2">
      <c r="B234" s="11" t="str">
        <v>MASTER-6504</v>
      </c>
      <c r="C234" s="12" t="str" cm="1">
        <f t="array" ref="C234">_xlfn.TEXTJOIN(CHAR(10),TRUE,_xlfn._xlws.SORT(IF((--($B234=Flowdown_CIC[[URS]:[URS]]))*(--(C$14=Flowdown_CIC[[Source.Name]:[Source.Name]])),Flowdown_CIC[[SyRS]:[SyRS]],"")))</f>
        <v>MASTER-18171
MASTER-60743</v>
      </c>
      <c r="D234" s="12" t="str" cm="1">
        <f t="array" ref="D234">_xlfn.TEXTJOIN(CHAR(10),TRUE,_xlfn._xlws.SORT(IF((--($B234=Flowdown_CIC[[URS]:[URS]]))*(--(D$14=Flowdown_CIC[[Source.Name]:[Source.Name]])),Flowdown_CIC[[SyRS]:[SyRS]],"")))</f>
        <v>MASTER-18171
MASTER-60743</v>
      </c>
      <c r="E234" s="12" t="str" cm="1">
        <f t="array" ref="E234">_xlfn.TEXTJOIN(CHAR(10),TRUE,_xlfn._xlws.SORT(IF((--($B234=Flowdown_CIC[[URS]:[URS]]))*(--(E$14=Flowdown_CIC[[Source.Name]:[Source.Name]])),Flowdown_CIC[[SyRS]:[SyRS]],"")))</f>
        <v>MASTER-18171
MASTER-60743</v>
      </c>
      <c r="F234" s="12" t="str" cm="1">
        <f t="array" ref="F234">_xlfn.TEXTJOIN(CHAR(10),TRUE,_xlfn._xlws.SORT(IF((--($B234=Flowdown_CIC[[URS]:[URS]]))*(--(F$14=Flowdown_CIC[[Source.Name]:[Source.Name]])),Flowdown_CIC[[SyRS]:[SyRS]],"")))</f>
        <v>MASTER-18171
MASTER-60743</v>
      </c>
      <c r="G234" s="12" t="str" cm="1">
        <f t="array" ref="G234">_xlfn.TEXTJOIN(CHAR(10),TRUE,_xlfn._xlws.SORT(IF((--($B234=Flowdown_CIC[[URS]:[URS]]))*(--(G$14=Flowdown_CIC[[Source.Name]:[Source.Name]])),Flowdown_CIC[[SyRS]:[SyRS]],"")))</f>
        <v>MASTER-18171
MASTER-60743</v>
      </c>
      <c r="H234" s="12" t="str" cm="1">
        <f t="array" ref="H234">_xlfn.TEXTJOIN(CHAR(10),TRUE,_xlfn._xlws.SORT(IF((--($B234=Flowdown_CIC[[URS]:[URS]]))*(--(H$14=Flowdown_CIC[[Source.Name]:[Source.Name]])),Flowdown_CIC[[SyRS]:[SyRS]],"")))</f>
        <v>MASTER-22115
MASTER-60800
MASTER-60810
MASTER-60816</v>
      </c>
      <c r="I234" s="12" t="str" cm="1">
        <f t="array" ref="I234">_xlfn.TEXTJOIN(CHAR(10),TRUE,_xlfn._xlws.SORT(IF((--($B234=Flowdown_CIC[[URS]:[URS]]))*(--(I$14=Flowdown_CIC[[Source.Name]:[Source.Name]])),Flowdown_CIC[[SyRS]:[SyRS]],"")))</f>
        <v/>
      </c>
      <c r="J234" s="12" t="str" cm="1">
        <f t="array" ref="J234">_xlfn.TEXTJOIN(CHAR(10),TRUE,_xlfn._xlws.SORT(IF((--($B234=Flowdown_CIC[[URS]:[URS]]))*(--(J$14=Flowdown_CIC[[Source.Name]:[Source.Name]])),Flowdown_CIC[[SyRS]:[SyRS]],"")))</f>
        <v/>
      </c>
      <c r="K234" s="12" t="str" cm="1">
        <f t="array" ref="K234">_xlfn.TEXTJOIN(CHAR(10),TRUE,_xlfn._xlws.SORT(IF((--($B234=Flowdown_CIC[[URS]:[URS]]))*(--(K$14=Flowdown_CIC[[Source.Name]:[Source.Name]])),Flowdown_CIC[[SyRS]:[SyRS]],"")))</f>
        <v/>
      </c>
      <c r="L234" s="16" t="b" cm="1">
        <f t="array" ref="L234">OR(LEN(C234:K234)&gt;0)</f>
        <v>1</v>
      </c>
    </row>
    <row r="235" spans="2:12" ht="13.5" x14ac:dyDescent="0.2">
      <c r="B235" s="11" t="str">
        <v>MASTER-6505</v>
      </c>
      <c r="C235" s="12" t="str" cm="1">
        <f t="array" ref="C235">_xlfn.TEXTJOIN(CHAR(10),TRUE,_xlfn._xlws.SORT(IF((--($B235=Flowdown_CIC[[URS]:[URS]]))*(--(C$14=Flowdown_CIC[[Source.Name]:[Source.Name]])),Flowdown_CIC[[SyRS]:[SyRS]],"")))</f>
        <v>MASTER-18171</v>
      </c>
      <c r="D235" s="12" t="str" cm="1">
        <f t="array" ref="D235">_xlfn.TEXTJOIN(CHAR(10),TRUE,_xlfn._xlws.SORT(IF((--($B235=Flowdown_CIC[[URS]:[URS]]))*(--(D$14=Flowdown_CIC[[Source.Name]:[Source.Name]])),Flowdown_CIC[[SyRS]:[SyRS]],"")))</f>
        <v>MASTER-18171</v>
      </c>
      <c r="E235" s="12" t="str" cm="1">
        <f t="array" ref="E235">_xlfn.TEXTJOIN(CHAR(10),TRUE,_xlfn._xlws.SORT(IF((--($B235=Flowdown_CIC[[URS]:[URS]]))*(--(E$14=Flowdown_CIC[[Source.Name]:[Source.Name]])),Flowdown_CIC[[SyRS]:[SyRS]],"")))</f>
        <v>MASTER-18171</v>
      </c>
      <c r="F235" s="12" t="str" cm="1">
        <f t="array" ref="F235">_xlfn.TEXTJOIN(CHAR(10),TRUE,_xlfn._xlws.SORT(IF((--($B235=Flowdown_CIC[[URS]:[URS]]))*(--(F$14=Flowdown_CIC[[Source.Name]:[Source.Name]])),Flowdown_CIC[[SyRS]:[SyRS]],"")))</f>
        <v>MASTER-18171</v>
      </c>
      <c r="G235" s="12" t="str" cm="1">
        <f t="array" ref="G235">_xlfn.TEXTJOIN(CHAR(10),TRUE,_xlfn._xlws.SORT(IF((--($B235=Flowdown_CIC[[URS]:[URS]]))*(--(G$14=Flowdown_CIC[[Source.Name]:[Source.Name]])),Flowdown_CIC[[SyRS]:[SyRS]],"")))</f>
        <v>MASTER-18171</v>
      </c>
      <c r="H235" s="12" t="str" cm="1">
        <f t="array" ref="H235">_xlfn.TEXTJOIN(CHAR(10),TRUE,_xlfn._xlws.SORT(IF((--($B235=Flowdown_CIC[[URS]:[URS]]))*(--(H$14=Flowdown_CIC[[Source.Name]:[Source.Name]])),Flowdown_CIC[[SyRS]:[SyRS]],"")))</f>
        <v/>
      </c>
      <c r="I235" s="12" t="str" cm="1">
        <f t="array" ref="I235">_xlfn.TEXTJOIN(CHAR(10),TRUE,_xlfn._xlws.SORT(IF((--($B235=Flowdown_CIC[[URS]:[URS]]))*(--(I$14=Flowdown_CIC[[Source.Name]:[Source.Name]])),Flowdown_CIC[[SyRS]:[SyRS]],"")))</f>
        <v/>
      </c>
      <c r="J235" s="12" t="str" cm="1">
        <f t="array" ref="J235">_xlfn.TEXTJOIN(CHAR(10),TRUE,_xlfn._xlws.SORT(IF((--($B235=Flowdown_CIC[[URS]:[URS]]))*(--(J$14=Flowdown_CIC[[Source.Name]:[Source.Name]])),Flowdown_CIC[[SyRS]:[SyRS]],"")))</f>
        <v/>
      </c>
      <c r="K235" s="12" t="str" cm="1">
        <f t="array" ref="K235">_xlfn.TEXTJOIN(CHAR(10),TRUE,_xlfn._xlws.SORT(IF((--($B235=Flowdown_CIC[[URS]:[URS]]))*(--(K$14=Flowdown_CIC[[Source.Name]:[Source.Name]])),Flowdown_CIC[[SyRS]:[SyRS]],"")))</f>
        <v/>
      </c>
      <c r="L235" s="16" t="b" cm="1">
        <f t="array" ref="L235">OR(LEN(C235:K235)&gt;0)</f>
        <v>1</v>
      </c>
    </row>
    <row r="236" spans="2:12" ht="54" x14ac:dyDescent="0.2">
      <c r="B236" s="11" t="str">
        <v>MASTER-6507</v>
      </c>
      <c r="C236" s="12" t="str" cm="1">
        <f t="array" ref="C236">_xlfn.TEXTJOIN(CHAR(10),TRUE,_xlfn._xlws.SORT(IF((--($B236=Flowdown_CIC[[URS]:[URS]]))*(--(C$14=Flowdown_CIC[[Source.Name]:[Source.Name]])),Flowdown_CIC[[SyRS]:[SyRS]],"")))</f>
        <v>MASTER-18286
MASTER-18287
MASTER-18288
MASTER-60743</v>
      </c>
      <c r="D236" s="12" t="str" cm="1">
        <f t="array" ref="D236">_xlfn.TEXTJOIN(CHAR(10),TRUE,_xlfn._xlws.SORT(IF((--($B236=Flowdown_CIC[[URS]:[URS]]))*(--(D$14=Flowdown_CIC[[Source.Name]:[Source.Name]])),Flowdown_CIC[[SyRS]:[SyRS]],"")))</f>
        <v>MASTER-18286
MASTER-18287
MASTER-18288
MASTER-60743</v>
      </c>
      <c r="E236" s="12" t="str" cm="1">
        <f t="array" ref="E236">_xlfn.TEXTJOIN(CHAR(10),TRUE,_xlfn._xlws.SORT(IF((--($B236=Flowdown_CIC[[URS]:[URS]]))*(--(E$14=Flowdown_CIC[[Source.Name]:[Source.Name]])),Flowdown_CIC[[SyRS]:[SyRS]],"")))</f>
        <v>MASTER-18286
MASTER-18287
MASTER-18288
MASTER-60743</v>
      </c>
      <c r="F236" s="12" t="str" cm="1">
        <f t="array" ref="F236">_xlfn.TEXTJOIN(CHAR(10),TRUE,_xlfn._xlws.SORT(IF((--($B236=Flowdown_CIC[[URS]:[URS]]))*(--(F$14=Flowdown_CIC[[Source.Name]:[Source.Name]])),Flowdown_CIC[[SyRS]:[SyRS]],"")))</f>
        <v>MASTER-18286
MASTER-18287
MASTER-18288
MASTER-60743</v>
      </c>
      <c r="G236" s="12" t="str" cm="1">
        <f t="array" ref="G236">_xlfn.TEXTJOIN(CHAR(10),TRUE,_xlfn._xlws.SORT(IF((--($B236=Flowdown_CIC[[URS]:[URS]]))*(--(G$14=Flowdown_CIC[[Source.Name]:[Source.Name]])),Flowdown_CIC[[SyRS]:[SyRS]],"")))</f>
        <v>MASTER-18286
MASTER-18287
MASTER-18288
MASTER-60743</v>
      </c>
      <c r="H236" s="12" t="str" cm="1">
        <f t="array" ref="H236">_xlfn.TEXTJOIN(CHAR(10),TRUE,_xlfn._xlws.SORT(IF((--($B236=Flowdown_CIC[[URS]:[URS]]))*(--(H$14=Flowdown_CIC[[Source.Name]:[Source.Name]])),Flowdown_CIC[[SyRS]:[SyRS]],"")))</f>
        <v>MASTER-60800
MASTER-60810</v>
      </c>
      <c r="I236" s="12" t="str" cm="1">
        <f t="array" ref="I236">_xlfn.TEXTJOIN(CHAR(10),TRUE,_xlfn._xlws.SORT(IF((--($B236=Flowdown_CIC[[URS]:[URS]]))*(--(I$14=Flowdown_CIC[[Source.Name]:[Source.Name]])),Flowdown_CIC[[SyRS]:[SyRS]],"")))</f>
        <v/>
      </c>
      <c r="J236" s="12" t="str" cm="1">
        <f t="array" ref="J236">_xlfn.TEXTJOIN(CHAR(10),TRUE,_xlfn._xlws.SORT(IF((--($B236=Flowdown_CIC[[URS]:[URS]]))*(--(J$14=Flowdown_CIC[[Source.Name]:[Source.Name]])),Flowdown_CIC[[SyRS]:[SyRS]],"")))</f>
        <v/>
      </c>
      <c r="K236" s="12" t="str" cm="1">
        <f t="array" ref="K236">_xlfn.TEXTJOIN(CHAR(10),TRUE,_xlfn._xlws.SORT(IF((--($B236=Flowdown_CIC[[URS]:[URS]]))*(--(K$14=Flowdown_CIC[[Source.Name]:[Source.Name]])),Flowdown_CIC[[SyRS]:[SyRS]],"")))</f>
        <v/>
      </c>
      <c r="L236" s="16" t="b" cm="1">
        <f t="array" ref="L236">OR(LEN(C236:K236)&gt;0)</f>
        <v>1</v>
      </c>
    </row>
    <row r="237" spans="2:12" ht="81" x14ac:dyDescent="0.2">
      <c r="B237" s="11" t="str">
        <v>MASTER-6509</v>
      </c>
      <c r="C237" s="12" t="str" cm="1">
        <f t="array" ref="C237">_xlfn.TEXTJOIN(CHAR(10),TRUE,_xlfn._xlws.SORT(IF((--($B237=Flowdown_CIC[[URS]:[URS]]))*(--(C$14=Flowdown_CIC[[Source.Name]:[Source.Name]])),Flowdown_CIC[[SyRS]:[SyRS]],"")))</f>
        <v>MASTER-18708
MASTER-18710
MASTER-18711
MASTER-18712
MASTER-18730
MASTER-60743</v>
      </c>
      <c r="D237" s="12" t="str" cm="1">
        <f t="array" ref="D237">_xlfn.TEXTJOIN(CHAR(10),TRUE,_xlfn._xlws.SORT(IF((--($B237=Flowdown_CIC[[URS]:[URS]]))*(--(D$14=Flowdown_CIC[[Source.Name]:[Source.Name]])),Flowdown_CIC[[SyRS]:[SyRS]],"")))</f>
        <v>MASTER-18708
MASTER-18710
MASTER-18711
MASTER-18712
MASTER-18730
MASTER-60743</v>
      </c>
      <c r="E237" s="12" t="str" cm="1">
        <f t="array" ref="E237">_xlfn.TEXTJOIN(CHAR(10),TRUE,_xlfn._xlws.SORT(IF((--($B237=Flowdown_CIC[[URS]:[URS]]))*(--(E$14=Flowdown_CIC[[Source.Name]:[Source.Name]])),Flowdown_CIC[[SyRS]:[SyRS]],"")))</f>
        <v>MASTER-18708
MASTER-18710
MASTER-18711
MASTER-18712
MASTER-18730
MASTER-60743</v>
      </c>
      <c r="F237" s="12" t="str" cm="1">
        <f t="array" ref="F237">_xlfn.TEXTJOIN(CHAR(10),TRUE,_xlfn._xlws.SORT(IF((--($B237=Flowdown_CIC[[URS]:[URS]]))*(--(F$14=Flowdown_CIC[[Source.Name]:[Source.Name]])),Flowdown_CIC[[SyRS]:[SyRS]],"")))</f>
        <v>MASTER-18708
MASTER-18710
MASTER-18711
MASTER-18712
MASTER-18730
MASTER-60743</v>
      </c>
      <c r="G237" s="12" t="str" cm="1">
        <f t="array" ref="G237">_xlfn.TEXTJOIN(CHAR(10),TRUE,_xlfn._xlws.SORT(IF((--($B237=Flowdown_CIC[[URS]:[URS]]))*(--(G$14=Flowdown_CIC[[Source.Name]:[Source.Name]])),Flowdown_CIC[[SyRS]:[SyRS]],"")))</f>
        <v>MASTER-18708
MASTER-18710
MASTER-18711
MASTER-18712
MASTER-18730
MASTER-60743</v>
      </c>
      <c r="H237" s="12" t="str" cm="1">
        <f t="array" ref="H237">_xlfn.TEXTJOIN(CHAR(10),TRUE,_xlfn._xlws.SORT(IF((--($B237=Flowdown_CIC[[URS]:[URS]]))*(--(H$14=Flowdown_CIC[[Source.Name]:[Source.Name]])),Flowdown_CIC[[SyRS]:[SyRS]],"")))</f>
        <v>MASTER-60800
MASTER-60810</v>
      </c>
      <c r="I237" s="12" t="str" cm="1">
        <f t="array" ref="I237">_xlfn.TEXTJOIN(CHAR(10),TRUE,_xlfn._xlws.SORT(IF((--($B237=Flowdown_CIC[[URS]:[URS]]))*(--(I$14=Flowdown_CIC[[Source.Name]:[Source.Name]])),Flowdown_CIC[[SyRS]:[SyRS]],"")))</f>
        <v/>
      </c>
      <c r="J237" s="12" t="str" cm="1">
        <f t="array" ref="J237">_xlfn.TEXTJOIN(CHAR(10),TRUE,_xlfn._xlws.SORT(IF((--($B237=Flowdown_CIC[[URS]:[URS]]))*(--(J$14=Flowdown_CIC[[Source.Name]:[Source.Name]])),Flowdown_CIC[[SyRS]:[SyRS]],"")))</f>
        <v/>
      </c>
      <c r="K237" s="12" t="str" cm="1">
        <f t="array" ref="K237">_xlfn.TEXTJOIN(CHAR(10),TRUE,_xlfn._xlws.SORT(IF((--($B237=Flowdown_CIC[[URS]:[URS]]))*(--(K$14=Flowdown_CIC[[Source.Name]:[Source.Name]])),Flowdown_CIC[[SyRS]:[SyRS]],"")))</f>
        <v/>
      </c>
      <c r="L237" s="16" t="b" cm="1">
        <f t="array" ref="L237">OR(LEN(C237:K237)&gt;0)</f>
        <v>1</v>
      </c>
    </row>
    <row r="238" spans="2:12" ht="54" x14ac:dyDescent="0.2">
      <c r="B238" s="11" t="str">
        <v>MASTER-6513</v>
      </c>
      <c r="C238" s="12" t="str" cm="1">
        <f t="array" ref="C238">_xlfn.TEXTJOIN(CHAR(10),TRUE,_xlfn._xlws.SORT(IF((--($B238=Flowdown_CIC[[URS]:[URS]]))*(--(C$14=Flowdown_CIC[[Source.Name]:[Source.Name]])),Flowdown_CIC[[SyRS]:[SyRS]],"")))</f>
        <v>MASTER-18321
MASTER-18332
MASTER-19469
MASTER-60743</v>
      </c>
      <c r="D238" s="12" t="str" cm="1">
        <f t="array" ref="D238">_xlfn.TEXTJOIN(CHAR(10),TRUE,_xlfn._xlws.SORT(IF((--($B238=Flowdown_CIC[[URS]:[URS]]))*(--(D$14=Flowdown_CIC[[Source.Name]:[Source.Name]])),Flowdown_CIC[[SyRS]:[SyRS]],"")))</f>
        <v>MASTER-18321
MASTER-18332
MASTER-19469
MASTER-60743</v>
      </c>
      <c r="E238" s="12" t="str" cm="1">
        <f t="array" ref="E238">_xlfn.TEXTJOIN(CHAR(10),TRUE,_xlfn._xlws.SORT(IF((--($B238=Flowdown_CIC[[URS]:[URS]]))*(--(E$14=Flowdown_CIC[[Source.Name]:[Source.Name]])),Flowdown_CIC[[SyRS]:[SyRS]],"")))</f>
        <v>MASTER-18321
MASTER-18332
MASTER-60743</v>
      </c>
      <c r="F238" s="12" t="str" cm="1">
        <f t="array" ref="F238">_xlfn.TEXTJOIN(CHAR(10),TRUE,_xlfn._xlws.SORT(IF((--($B238=Flowdown_CIC[[URS]:[URS]]))*(--(F$14=Flowdown_CIC[[Source.Name]:[Source.Name]])),Flowdown_CIC[[SyRS]:[SyRS]],"")))</f>
        <v>MASTER-18321
MASTER-18332
MASTER-60743</v>
      </c>
      <c r="G238" s="12" t="str" cm="1">
        <f t="array" ref="G238">_xlfn.TEXTJOIN(CHAR(10),TRUE,_xlfn._xlws.SORT(IF((--($B238=Flowdown_CIC[[URS]:[URS]]))*(--(G$14=Flowdown_CIC[[Source.Name]:[Source.Name]])),Flowdown_CIC[[SyRS]:[SyRS]],"")))</f>
        <v>MASTER-18321
MASTER-18332
MASTER-60743</v>
      </c>
      <c r="H238" s="12" t="str" cm="1">
        <f t="array" ref="H238">_xlfn.TEXTJOIN(CHAR(10),TRUE,_xlfn._xlws.SORT(IF((--($B238=Flowdown_CIC[[URS]:[URS]]))*(--(H$14=Flowdown_CIC[[Source.Name]:[Source.Name]])),Flowdown_CIC[[SyRS]:[SyRS]],"")))</f>
        <v>MASTER-60800
MASTER-60810</v>
      </c>
      <c r="I238" s="12" t="str" cm="1">
        <f t="array" ref="I238">_xlfn.TEXTJOIN(CHAR(10),TRUE,_xlfn._xlws.SORT(IF((--($B238=Flowdown_CIC[[URS]:[URS]]))*(--(I$14=Flowdown_CIC[[Source.Name]:[Source.Name]])),Flowdown_CIC[[SyRS]:[SyRS]],"")))</f>
        <v/>
      </c>
      <c r="J238" s="12" t="str" cm="1">
        <f t="array" ref="J238">_xlfn.TEXTJOIN(CHAR(10),TRUE,_xlfn._xlws.SORT(IF((--($B238=Flowdown_CIC[[URS]:[URS]]))*(--(J$14=Flowdown_CIC[[Source.Name]:[Source.Name]])),Flowdown_CIC[[SyRS]:[SyRS]],"")))</f>
        <v/>
      </c>
      <c r="K238" s="12" t="str" cm="1">
        <f t="array" ref="K238">_xlfn.TEXTJOIN(CHAR(10),TRUE,_xlfn._xlws.SORT(IF((--($B238=Flowdown_CIC[[URS]:[URS]]))*(--(K$14=Flowdown_CIC[[Source.Name]:[Source.Name]])),Flowdown_CIC[[SyRS]:[SyRS]],"")))</f>
        <v/>
      </c>
      <c r="L238" s="16" t="b" cm="1">
        <f t="array" ref="L238">OR(LEN(C238:K238)&gt;0)</f>
        <v>1</v>
      </c>
    </row>
    <row r="239" spans="2:12" ht="54" x14ac:dyDescent="0.2">
      <c r="B239" s="11" t="str">
        <v>MASTER-6523</v>
      </c>
      <c r="C239" s="12" t="str" cm="1">
        <f t="array" ref="C239">_xlfn.TEXTJOIN(CHAR(10),TRUE,_xlfn._xlws.SORT(IF((--($B239=Flowdown_CIC[[URS]:[URS]]))*(--(C$14=Flowdown_CIC[[Source.Name]:[Source.Name]])),Flowdown_CIC[[SyRS]:[SyRS]],"")))</f>
        <v>MASTER-18107
MASTER-18108
MASTER-18109
MASTER-60743</v>
      </c>
      <c r="D239" s="12" t="str" cm="1">
        <f t="array" ref="D239">_xlfn.TEXTJOIN(CHAR(10),TRUE,_xlfn._xlws.SORT(IF((--($B239=Flowdown_CIC[[URS]:[URS]]))*(--(D$14=Flowdown_CIC[[Source.Name]:[Source.Name]])),Flowdown_CIC[[SyRS]:[SyRS]],"")))</f>
        <v>MASTER-18107
MASTER-18108
MASTER-18109
MASTER-60743</v>
      </c>
      <c r="E239" s="12" t="str" cm="1">
        <f t="array" ref="E239">_xlfn.TEXTJOIN(CHAR(10),TRUE,_xlfn._xlws.SORT(IF((--($B239=Flowdown_CIC[[URS]:[URS]]))*(--(E$14=Flowdown_CIC[[Source.Name]:[Source.Name]])),Flowdown_CIC[[SyRS]:[SyRS]],"")))</f>
        <v>MASTER-18107
MASTER-18108
MASTER-18109
MASTER-60743</v>
      </c>
      <c r="F239" s="12" t="str" cm="1">
        <f t="array" ref="F239">_xlfn.TEXTJOIN(CHAR(10),TRUE,_xlfn._xlws.SORT(IF((--($B239=Flowdown_CIC[[URS]:[URS]]))*(--(F$14=Flowdown_CIC[[Source.Name]:[Source.Name]])),Flowdown_CIC[[SyRS]:[SyRS]],"")))</f>
        <v>MASTER-18107
MASTER-18108
MASTER-18109
MASTER-60743</v>
      </c>
      <c r="G239" s="12" t="str" cm="1">
        <f t="array" ref="G239">_xlfn.TEXTJOIN(CHAR(10),TRUE,_xlfn._xlws.SORT(IF((--($B239=Flowdown_CIC[[URS]:[URS]]))*(--(G$14=Flowdown_CIC[[Source.Name]:[Source.Name]])),Flowdown_CIC[[SyRS]:[SyRS]],"")))</f>
        <v>MASTER-18107
MASTER-18108
MASTER-18109
MASTER-60743</v>
      </c>
      <c r="H239" s="12" t="str" cm="1">
        <f t="array" ref="H239">_xlfn.TEXTJOIN(CHAR(10),TRUE,_xlfn._xlws.SORT(IF((--($B239=Flowdown_CIC[[URS]:[URS]]))*(--(H$14=Flowdown_CIC[[Source.Name]:[Source.Name]])),Flowdown_CIC[[SyRS]:[SyRS]],"")))</f>
        <v/>
      </c>
      <c r="I239" s="12" t="str" cm="1">
        <f t="array" ref="I239">_xlfn.TEXTJOIN(CHAR(10),TRUE,_xlfn._xlws.SORT(IF((--($B239=Flowdown_CIC[[URS]:[URS]]))*(--(I$14=Flowdown_CIC[[Source.Name]:[Source.Name]])),Flowdown_CIC[[SyRS]:[SyRS]],"")))</f>
        <v/>
      </c>
      <c r="J239" s="12" t="str" cm="1">
        <f t="array" ref="J239">_xlfn.TEXTJOIN(CHAR(10),TRUE,_xlfn._xlws.SORT(IF((--($B239=Flowdown_CIC[[URS]:[URS]]))*(--(J$14=Flowdown_CIC[[Source.Name]:[Source.Name]])),Flowdown_CIC[[SyRS]:[SyRS]],"")))</f>
        <v/>
      </c>
      <c r="K239" s="12" t="str" cm="1">
        <f t="array" ref="K239">_xlfn.TEXTJOIN(CHAR(10),TRUE,_xlfn._xlws.SORT(IF((--($B239=Flowdown_CIC[[URS]:[URS]]))*(--(K$14=Flowdown_CIC[[Source.Name]:[Source.Name]])),Flowdown_CIC[[SyRS]:[SyRS]],"")))</f>
        <v/>
      </c>
      <c r="L239" s="16" t="b" cm="1">
        <f t="array" ref="L239">OR(LEN(C239:K239)&gt;0)</f>
        <v>1</v>
      </c>
    </row>
    <row r="240" spans="2:12" ht="67.5" x14ac:dyDescent="0.2">
      <c r="B240" s="11" t="str">
        <v>MASTER-6530</v>
      </c>
      <c r="C240" s="12" t="str" cm="1">
        <f t="array" ref="C240">_xlfn.TEXTJOIN(CHAR(10),TRUE,_xlfn._xlws.SORT(IF((--($B240=Flowdown_CIC[[URS]:[URS]]))*(--(C$14=Flowdown_CIC[[Source.Name]:[Source.Name]])),Flowdown_CIC[[SyRS]:[SyRS]],"")))</f>
        <v>MASTER-60749</v>
      </c>
      <c r="D240" s="12" t="str" cm="1">
        <f t="array" ref="D240">_xlfn.TEXTJOIN(CHAR(10),TRUE,_xlfn._xlws.SORT(IF((--($B240=Flowdown_CIC[[URS]:[URS]]))*(--(D$14=Flowdown_CIC[[Source.Name]:[Source.Name]])),Flowdown_CIC[[SyRS]:[SyRS]],"")))</f>
        <v>MASTER-60749</v>
      </c>
      <c r="E240" s="12" t="str" cm="1">
        <f t="array" ref="E240">_xlfn.TEXTJOIN(CHAR(10),TRUE,_xlfn._xlws.SORT(IF((--($B240=Flowdown_CIC[[URS]:[URS]]))*(--(E$14=Flowdown_CIC[[Source.Name]:[Source.Name]])),Flowdown_CIC[[SyRS]:[SyRS]],"")))</f>
        <v>MASTER-60749</v>
      </c>
      <c r="F240" s="12" t="str" cm="1">
        <f t="array" ref="F240">_xlfn.TEXTJOIN(CHAR(10),TRUE,_xlfn._xlws.SORT(IF((--($B240=Flowdown_CIC[[URS]:[URS]]))*(--(F$14=Flowdown_CIC[[Source.Name]:[Source.Name]])),Flowdown_CIC[[SyRS]:[SyRS]],"")))</f>
        <v>MASTER-60749</v>
      </c>
      <c r="G240" s="12" t="str" cm="1">
        <f t="array" ref="G240">_xlfn.TEXTJOIN(CHAR(10),TRUE,_xlfn._xlws.SORT(IF((--($B240=Flowdown_CIC[[URS]:[URS]]))*(--(G$14=Flowdown_CIC[[Source.Name]:[Source.Name]])),Flowdown_CIC[[SyRS]:[SyRS]],"")))</f>
        <v>MASTER-60749</v>
      </c>
      <c r="H240" s="12" t="str" cm="1">
        <f t="array" ref="H240">_xlfn.TEXTJOIN(CHAR(10),TRUE,_xlfn._xlws.SORT(IF((--($B240=Flowdown_CIC[[URS]:[URS]]))*(--(H$14=Flowdown_CIC[[Source.Name]:[Source.Name]])),Flowdown_CIC[[SyRS]:[SyRS]],"")))</f>
        <v>MASTER-22115
MASTER-60800
MASTER-60810
MASTER-60835
UTICA-24565</v>
      </c>
      <c r="I240" s="12" t="str" cm="1">
        <f t="array" ref="I240">_xlfn.TEXTJOIN(CHAR(10),TRUE,_xlfn._xlws.SORT(IF((--($B240=Flowdown_CIC[[URS]:[URS]]))*(--(I$14=Flowdown_CIC[[Source.Name]:[Source.Name]])),Flowdown_CIC[[SyRS]:[SyRS]],"")))</f>
        <v/>
      </c>
      <c r="J240" s="12" t="str" cm="1">
        <f t="array" ref="J240">_xlfn.TEXTJOIN(CHAR(10),TRUE,_xlfn._xlws.SORT(IF((--($B240=Flowdown_CIC[[URS]:[URS]]))*(--(J$14=Flowdown_CIC[[Source.Name]:[Source.Name]])),Flowdown_CIC[[SyRS]:[SyRS]],"")))</f>
        <v/>
      </c>
      <c r="K240" s="12" t="str" cm="1">
        <f t="array" ref="K240">_xlfn.TEXTJOIN(CHAR(10),TRUE,_xlfn._xlws.SORT(IF((--($B240=Flowdown_CIC[[URS]:[URS]]))*(--(K$14=Flowdown_CIC[[Source.Name]:[Source.Name]])),Flowdown_CIC[[SyRS]:[SyRS]],"")))</f>
        <v/>
      </c>
      <c r="L240" s="16" t="b" cm="1">
        <f t="array" ref="L240">OR(LEN(C240:K240)&gt;0)</f>
        <v>1</v>
      </c>
    </row>
    <row r="241" spans="2:12" ht="40.5" x14ac:dyDescent="0.2">
      <c r="B241" s="11" t="str">
        <v>MASTER-6531</v>
      </c>
      <c r="C241" s="12" t="str" cm="1">
        <f t="array" ref="C241">_xlfn.TEXTJOIN(CHAR(10),TRUE,_xlfn._xlws.SORT(IF((--($B241=Flowdown_CIC[[URS]:[URS]]))*(--(C$14=Flowdown_CIC[[Source.Name]:[Source.Name]])),Flowdown_CIC[[SyRS]:[SyRS]],"")))</f>
        <v/>
      </c>
      <c r="D241" s="12" t="str" cm="1">
        <f t="array" ref="D241">_xlfn.TEXTJOIN(CHAR(10),TRUE,_xlfn._xlws.SORT(IF((--($B241=Flowdown_CIC[[URS]:[URS]]))*(--(D$14=Flowdown_CIC[[Source.Name]:[Source.Name]])),Flowdown_CIC[[SyRS]:[SyRS]],"")))</f>
        <v/>
      </c>
      <c r="E241" s="12" t="str" cm="1">
        <f t="array" ref="E241">_xlfn.TEXTJOIN(CHAR(10),TRUE,_xlfn._xlws.SORT(IF((--($B241=Flowdown_CIC[[URS]:[URS]]))*(--(E$14=Flowdown_CIC[[Source.Name]:[Source.Name]])),Flowdown_CIC[[SyRS]:[SyRS]],"")))</f>
        <v/>
      </c>
      <c r="F241" s="12" t="str" cm="1">
        <f t="array" ref="F241">_xlfn.TEXTJOIN(CHAR(10),TRUE,_xlfn._xlws.SORT(IF((--($B241=Flowdown_CIC[[URS]:[URS]]))*(--(F$14=Flowdown_CIC[[Source.Name]:[Source.Name]])),Flowdown_CIC[[SyRS]:[SyRS]],"")))</f>
        <v/>
      </c>
      <c r="G241" s="12" t="str" cm="1">
        <f t="array" ref="G241">_xlfn.TEXTJOIN(CHAR(10),TRUE,_xlfn._xlws.SORT(IF((--($B241=Flowdown_CIC[[URS]:[URS]]))*(--(G$14=Flowdown_CIC[[Source.Name]:[Source.Name]])),Flowdown_CIC[[SyRS]:[SyRS]],"")))</f>
        <v/>
      </c>
      <c r="H241" s="12" t="str" cm="1">
        <f t="array" ref="H241">_xlfn.TEXTJOIN(CHAR(10),TRUE,_xlfn._xlws.SORT(IF((--($B241=Flowdown_CIC[[URS]:[URS]]))*(--(H$14=Flowdown_CIC[[Source.Name]:[Source.Name]])),Flowdown_CIC[[SyRS]:[SyRS]],"")))</f>
        <v>MASTER-60833
MASTER-60835
UTICA-24845</v>
      </c>
      <c r="I241" s="12" t="str" cm="1">
        <f t="array" ref="I241">_xlfn.TEXTJOIN(CHAR(10),TRUE,_xlfn._xlws.SORT(IF((--($B241=Flowdown_CIC[[URS]:[URS]]))*(--(I$14=Flowdown_CIC[[Source.Name]:[Source.Name]])),Flowdown_CIC[[SyRS]:[SyRS]],"")))</f>
        <v/>
      </c>
      <c r="J241" s="12" t="str" cm="1">
        <f t="array" ref="J241">_xlfn.TEXTJOIN(CHAR(10),TRUE,_xlfn._xlws.SORT(IF((--($B241=Flowdown_CIC[[URS]:[URS]]))*(--(J$14=Flowdown_CIC[[Source.Name]:[Source.Name]])),Flowdown_CIC[[SyRS]:[SyRS]],"")))</f>
        <v/>
      </c>
      <c r="K241" s="12" t="str" cm="1">
        <f t="array" ref="K241">_xlfn.TEXTJOIN(CHAR(10),TRUE,_xlfn._xlws.SORT(IF((--($B241=Flowdown_CIC[[URS]:[URS]]))*(--(K$14=Flowdown_CIC[[Source.Name]:[Source.Name]])),Flowdown_CIC[[SyRS]:[SyRS]],"")))</f>
        <v/>
      </c>
      <c r="L241" s="16" t="b" cm="1">
        <f t="array" ref="L241">OR(LEN(C241:K241)&gt;0)</f>
        <v>1</v>
      </c>
    </row>
    <row r="242" spans="2:12" ht="67.5" x14ac:dyDescent="0.2">
      <c r="B242" s="11" t="str">
        <v>MASTER-6532</v>
      </c>
      <c r="C242" s="12" t="str" cm="1">
        <f t="array" ref="C242">_xlfn.TEXTJOIN(CHAR(10),TRUE,_xlfn._xlws.SORT(IF((--($B242=Flowdown_CIC[[URS]:[URS]]))*(--(C$14=Flowdown_CIC[[Source.Name]:[Source.Name]])),Flowdown_CIC[[SyRS]:[SyRS]],"")))</f>
        <v>MASTER-60749</v>
      </c>
      <c r="D242" s="12" t="str" cm="1">
        <f t="array" ref="D242">_xlfn.TEXTJOIN(CHAR(10),TRUE,_xlfn._xlws.SORT(IF((--($B242=Flowdown_CIC[[URS]:[URS]]))*(--(D$14=Flowdown_CIC[[Source.Name]:[Source.Name]])),Flowdown_CIC[[SyRS]:[SyRS]],"")))</f>
        <v>MASTER-60749</v>
      </c>
      <c r="E242" s="12" t="str" cm="1">
        <f t="array" ref="E242">_xlfn.TEXTJOIN(CHAR(10),TRUE,_xlfn._xlws.SORT(IF((--($B242=Flowdown_CIC[[URS]:[URS]]))*(--(E$14=Flowdown_CIC[[Source.Name]:[Source.Name]])),Flowdown_CIC[[SyRS]:[SyRS]],"")))</f>
        <v>MASTER-60749</v>
      </c>
      <c r="F242" s="12" t="str" cm="1">
        <f t="array" ref="F242">_xlfn.TEXTJOIN(CHAR(10),TRUE,_xlfn._xlws.SORT(IF((--($B242=Flowdown_CIC[[URS]:[URS]]))*(--(F$14=Flowdown_CIC[[Source.Name]:[Source.Name]])),Flowdown_CIC[[SyRS]:[SyRS]],"")))</f>
        <v>MASTER-60749</v>
      </c>
      <c r="G242" s="12" t="str" cm="1">
        <f t="array" ref="G242">_xlfn.TEXTJOIN(CHAR(10),TRUE,_xlfn._xlws.SORT(IF((--($B242=Flowdown_CIC[[URS]:[URS]]))*(--(G$14=Flowdown_CIC[[Source.Name]:[Source.Name]])),Flowdown_CIC[[SyRS]:[SyRS]],"")))</f>
        <v>MASTER-60749</v>
      </c>
      <c r="H242" s="12" t="str" cm="1">
        <f t="array" ref="H242">_xlfn.TEXTJOIN(CHAR(10),TRUE,_xlfn._xlws.SORT(IF((--($B242=Flowdown_CIC[[URS]:[URS]]))*(--(H$14=Flowdown_CIC[[Source.Name]:[Source.Name]])),Flowdown_CIC[[SyRS]:[SyRS]],"")))</f>
        <v>MASTER-60822
MASTER-60825
MASTER-60827
MASTER-60828
MASTER-60830</v>
      </c>
      <c r="I242" s="12" t="str" cm="1">
        <f t="array" ref="I242">_xlfn.TEXTJOIN(CHAR(10),TRUE,_xlfn._xlws.SORT(IF((--($B242=Flowdown_CIC[[URS]:[URS]]))*(--(I$14=Flowdown_CIC[[Source.Name]:[Source.Name]])),Flowdown_CIC[[SyRS]:[SyRS]],"")))</f>
        <v/>
      </c>
      <c r="J242" s="12" t="str" cm="1">
        <f t="array" ref="J242">_xlfn.TEXTJOIN(CHAR(10),TRUE,_xlfn._xlws.SORT(IF((--($B242=Flowdown_CIC[[URS]:[URS]]))*(--(J$14=Flowdown_CIC[[Source.Name]:[Source.Name]])),Flowdown_CIC[[SyRS]:[SyRS]],"")))</f>
        <v/>
      </c>
      <c r="K242" s="12" t="str" cm="1">
        <f t="array" ref="K242">_xlfn.TEXTJOIN(CHAR(10),TRUE,_xlfn._xlws.SORT(IF((--($B242=Flowdown_CIC[[URS]:[URS]]))*(--(K$14=Flowdown_CIC[[Source.Name]:[Source.Name]])),Flowdown_CIC[[SyRS]:[SyRS]],"")))</f>
        <v/>
      </c>
      <c r="L242" s="16" t="b" cm="1">
        <f t="array" ref="L242">OR(LEN(C242:K242)&gt;0)</f>
        <v>1</v>
      </c>
    </row>
    <row r="243" spans="2:12" ht="54" x14ac:dyDescent="0.2">
      <c r="B243" s="11" t="str">
        <v>MASTER-6534</v>
      </c>
      <c r="C243" s="12" t="str" cm="1">
        <f t="array" ref="C243">_xlfn.TEXTJOIN(CHAR(10),TRUE,_xlfn._xlws.SORT(IF((--($B243=Flowdown_CIC[[URS]:[URS]]))*(--(C$14=Flowdown_CIC[[Source.Name]:[Source.Name]])),Flowdown_CIC[[SyRS]:[SyRS]],"")))</f>
        <v>MASTER-60743
MASTER-60770
MASTER-60771
MASTER-60772</v>
      </c>
      <c r="D243" s="12" t="str" cm="1">
        <f t="array" ref="D243">_xlfn.TEXTJOIN(CHAR(10),TRUE,_xlfn._xlws.SORT(IF((--($B243=Flowdown_CIC[[URS]:[URS]]))*(--(D$14=Flowdown_CIC[[Source.Name]:[Source.Name]])),Flowdown_CIC[[SyRS]:[SyRS]],"")))</f>
        <v>MASTER-60743
MASTER-60770
MASTER-60771
MASTER-60772</v>
      </c>
      <c r="E243" s="12" t="str" cm="1">
        <f t="array" ref="E243">_xlfn.TEXTJOIN(CHAR(10),TRUE,_xlfn._xlws.SORT(IF((--($B243=Flowdown_CIC[[URS]:[URS]]))*(--(E$14=Flowdown_CIC[[Source.Name]:[Source.Name]])),Flowdown_CIC[[SyRS]:[SyRS]],"")))</f>
        <v>MASTER-60743
MASTER-60770
MASTER-60771
MASTER-60772</v>
      </c>
      <c r="F243" s="12" t="str" cm="1">
        <f t="array" ref="F243">_xlfn.TEXTJOIN(CHAR(10),TRUE,_xlfn._xlws.SORT(IF((--($B243=Flowdown_CIC[[URS]:[URS]]))*(--(F$14=Flowdown_CIC[[Source.Name]:[Source.Name]])),Flowdown_CIC[[SyRS]:[SyRS]],"")))</f>
        <v>MASTER-60743
MASTER-60770
MASTER-60771
MASTER-60772</v>
      </c>
      <c r="G243" s="12" t="str" cm="1">
        <f t="array" ref="G243">_xlfn.TEXTJOIN(CHAR(10),TRUE,_xlfn._xlws.SORT(IF((--($B243=Flowdown_CIC[[URS]:[URS]]))*(--(G$14=Flowdown_CIC[[Source.Name]:[Source.Name]])),Flowdown_CIC[[SyRS]:[SyRS]],"")))</f>
        <v>MASTER-60743
MASTER-60770
MASTER-60771
MASTER-60772</v>
      </c>
      <c r="H243" s="12" t="str" cm="1">
        <f t="array" ref="H243">_xlfn.TEXTJOIN(CHAR(10),TRUE,_xlfn._xlws.SORT(IF((--($B243=Flowdown_CIC[[URS]:[URS]]))*(--(H$14=Flowdown_CIC[[Source.Name]:[Source.Name]])),Flowdown_CIC[[SyRS]:[SyRS]],"")))</f>
        <v/>
      </c>
      <c r="I243" s="12" t="str" cm="1">
        <f t="array" ref="I243">_xlfn.TEXTJOIN(CHAR(10),TRUE,_xlfn._xlws.SORT(IF((--($B243=Flowdown_CIC[[URS]:[URS]]))*(--(I$14=Flowdown_CIC[[Source.Name]:[Source.Name]])),Flowdown_CIC[[SyRS]:[SyRS]],"")))</f>
        <v/>
      </c>
      <c r="J243" s="12" t="str" cm="1">
        <f t="array" ref="J243">_xlfn.TEXTJOIN(CHAR(10),TRUE,_xlfn._xlws.SORT(IF((--($B243=Flowdown_CIC[[URS]:[URS]]))*(--(J$14=Flowdown_CIC[[Source.Name]:[Source.Name]])),Flowdown_CIC[[SyRS]:[SyRS]],"")))</f>
        <v/>
      </c>
      <c r="K243" s="12" t="str" cm="1">
        <f t="array" ref="K243">_xlfn.TEXTJOIN(CHAR(10),TRUE,_xlfn._xlws.SORT(IF((--($B243=Flowdown_CIC[[URS]:[URS]]))*(--(K$14=Flowdown_CIC[[Source.Name]:[Source.Name]])),Flowdown_CIC[[SyRS]:[SyRS]],"")))</f>
        <v>MASTER-60838</v>
      </c>
      <c r="L243" s="16" t="b" cm="1">
        <f t="array" ref="L243">OR(LEN(C243:K243)&gt;0)</f>
        <v>1</v>
      </c>
    </row>
    <row r="244" spans="2:12" ht="40.5" x14ac:dyDescent="0.2">
      <c r="B244" s="11" t="str">
        <v>MASTER-6535</v>
      </c>
      <c r="C244" s="12" t="str" cm="1">
        <f t="array" ref="C244">_xlfn.TEXTJOIN(CHAR(10),TRUE,_xlfn._xlws.SORT(IF((--($B244=Flowdown_CIC[[URS]:[URS]]))*(--(C$14=Flowdown_CIC[[Source.Name]:[Source.Name]])),Flowdown_CIC[[SyRS]:[SyRS]],"")))</f>
        <v>MASTER-19252
MASTER-19254
MASTER-50080</v>
      </c>
      <c r="D244" s="12" t="str" cm="1">
        <f t="array" ref="D244">_xlfn.TEXTJOIN(CHAR(10),TRUE,_xlfn._xlws.SORT(IF((--($B244=Flowdown_CIC[[URS]:[URS]]))*(--(D$14=Flowdown_CIC[[Source.Name]:[Source.Name]])),Flowdown_CIC[[SyRS]:[SyRS]],"")))</f>
        <v>MASTER-19252
MASTER-19254
MASTER-50080</v>
      </c>
      <c r="E244" s="12" t="str" cm="1">
        <f t="array" ref="E244">_xlfn.TEXTJOIN(CHAR(10),TRUE,_xlfn._xlws.SORT(IF((--($B244=Flowdown_CIC[[URS]:[URS]]))*(--(E$14=Flowdown_CIC[[Source.Name]:[Source.Name]])),Flowdown_CIC[[SyRS]:[SyRS]],"")))</f>
        <v>MASTER-19252
MASTER-19254
MASTER-50080</v>
      </c>
      <c r="F244" s="12" t="str" cm="1">
        <f t="array" ref="F244">_xlfn.TEXTJOIN(CHAR(10),TRUE,_xlfn._xlws.SORT(IF((--($B244=Flowdown_CIC[[URS]:[URS]]))*(--(F$14=Flowdown_CIC[[Source.Name]:[Source.Name]])),Flowdown_CIC[[SyRS]:[SyRS]],"")))</f>
        <v>MASTER-19252
MASTER-19254
MASTER-50080</v>
      </c>
      <c r="G244" s="12" t="str" cm="1">
        <f t="array" ref="G244">_xlfn.TEXTJOIN(CHAR(10),TRUE,_xlfn._xlws.SORT(IF((--($B244=Flowdown_CIC[[URS]:[URS]]))*(--(G$14=Flowdown_CIC[[Source.Name]:[Source.Name]])),Flowdown_CIC[[SyRS]:[SyRS]],"")))</f>
        <v>MASTER-19252
MASTER-19254
MASTER-50080</v>
      </c>
      <c r="H244" s="12" t="str" cm="1">
        <f t="array" ref="H244">_xlfn.TEXTJOIN(CHAR(10),TRUE,_xlfn._xlws.SORT(IF((--($B244=Flowdown_CIC[[URS]:[URS]]))*(--(H$14=Flowdown_CIC[[Source.Name]:[Source.Name]])),Flowdown_CIC[[SyRS]:[SyRS]],"")))</f>
        <v/>
      </c>
      <c r="I244" s="12" t="str" cm="1">
        <f t="array" ref="I244">_xlfn.TEXTJOIN(CHAR(10),TRUE,_xlfn._xlws.SORT(IF((--($B244=Flowdown_CIC[[URS]:[URS]]))*(--(I$14=Flowdown_CIC[[Source.Name]:[Source.Name]])),Flowdown_CIC[[SyRS]:[SyRS]],"")))</f>
        <v/>
      </c>
      <c r="J244" s="12" t="str" cm="1">
        <f t="array" ref="J244">_xlfn.TEXTJOIN(CHAR(10),TRUE,_xlfn._xlws.SORT(IF((--($B244=Flowdown_CIC[[URS]:[URS]]))*(--(J$14=Flowdown_CIC[[Source.Name]:[Source.Name]])),Flowdown_CIC[[SyRS]:[SyRS]],"")))</f>
        <v/>
      </c>
      <c r="K244" s="12" t="str" cm="1">
        <f t="array" ref="K244">_xlfn.TEXTJOIN(CHAR(10),TRUE,_xlfn._xlws.SORT(IF((--($B244=Flowdown_CIC[[URS]:[URS]]))*(--(K$14=Flowdown_CIC[[Source.Name]:[Source.Name]])),Flowdown_CIC[[SyRS]:[SyRS]],"")))</f>
        <v>MASTER-60837
MASTER-60838</v>
      </c>
      <c r="L244" s="16" t="b" cm="1">
        <f t="array" ref="L244">OR(LEN(C244:K244)&gt;0)</f>
        <v>1</v>
      </c>
    </row>
    <row r="245" spans="2:12" ht="40.5" x14ac:dyDescent="0.2">
      <c r="B245" s="11" t="str">
        <v>MASTER-6547</v>
      </c>
      <c r="C245" s="12" t="str" cm="1">
        <f t="array" ref="C245">_xlfn.TEXTJOIN(CHAR(10),TRUE,_xlfn._xlws.SORT(IF((--($B245=Flowdown_CIC[[URS]:[URS]]))*(--(C$14=Flowdown_CIC[[Source.Name]:[Source.Name]])),Flowdown_CIC[[SyRS]:[SyRS]],"")))</f>
        <v>MASTER-19153
MASTER-19155
MASTER-19158</v>
      </c>
      <c r="D245" s="12" t="str" cm="1">
        <f t="array" ref="D245">_xlfn.TEXTJOIN(CHAR(10),TRUE,_xlfn._xlws.SORT(IF((--($B245=Flowdown_CIC[[URS]:[URS]]))*(--(D$14=Flowdown_CIC[[Source.Name]:[Source.Name]])),Flowdown_CIC[[SyRS]:[SyRS]],"")))</f>
        <v>MASTER-19153
MASTER-19155
MASTER-19158</v>
      </c>
      <c r="E245" s="12" t="str" cm="1">
        <f t="array" ref="E245">_xlfn.TEXTJOIN(CHAR(10),TRUE,_xlfn._xlws.SORT(IF((--($B245=Flowdown_CIC[[URS]:[URS]]))*(--(E$14=Flowdown_CIC[[Source.Name]:[Source.Name]])),Flowdown_CIC[[SyRS]:[SyRS]],"")))</f>
        <v>MASTER-19153
MASTER-19155
MASTER-19158</v>
      </c>
      <c r="F245" s="12" t="str" cm="1">
        <f t="array" ref="F245">_xlfn.TEXTJOIN(CHAR(10),TRUE,_xlfn._xlws.SORT(IF((--($B245=Flowdown_CIC[[URS]:[URS]]))*(--(F$14=Flowdown_CIC[[Source.Name]:[Source.Name]])),Flowdown_CIC[[SyRS]:[SyRS]],"")))</f>
        <v>MASTER-19153
MASTER-19155
MASTER-19158</v>
      </c>
      <c r="G245" s="12" t="str" cm="1">
        <f t="array" ref="G245">_xlfn.TEXTJOIN(CHAR(10),TRUE,_xlfn._xlws.SORT(IF((--($B245=Flowdown_CIC[[URS]:[URS]]))*(--(G$14=Flowdown_CIC[[Source.Name]:[Source.Name]])),Flowdown_CIC[[SyRS]:[SyRS]],"")))</f>
        <v>MASTER-19153
MASTER-19155
MASTER-19158</v>
      </c>
      <c r="H245" s="12" t="str" cm="1">
        <f t="array" ref="H245">_xlfn.TEXTJOIN(CHAR(10),TRUE,_xlfn._xlws.SORT(IF((--($B245=Flowdown_CIC[[URS]:[URS]]))*(--(H$14=Flowdown_CIC[[Source.Name]:[Source.Name]])),Flowdown_CIC[[SyRS]:[SyRS]],"")))</f>
        <v>MASTER-22154
MASTER-22155</v>
      </c>
      <c r="I245" s="12" t="str" cm="1">
        <f t="array" ref="I245">_xlfn.TEXTJOIN(CHAR(10),TRUE,_xlfn._xlws.SORT(IF((--($B245=Flowdown_CIC[[URS]:[URS]]))*(--(I$14=Flowdown_CIC[[Source.Name]:[Source.Name]])),Flowdown_CIC[[SyRS]:[SyRS]],"")))</f>
        <v/>
      </c>
      <c r="J245" s="12" t="str" cm="1">
        <f t="array" ref="J245">_xlfn.TEXTJOIN(CHAR(10),TRUE,_xlfn._xlws.SORT(IF((--($B245=Flowdown_CIC[[URS]:[URS]]))*(--(J$14=Flowdown_CIC[[Source.Name]:[Source.Name]])),Flowdown_CIC[[SyRS]:[SyRS]],"")))</f>
        <v/>
      </c>
      <c r="K245" s="12" t="str" cm="1">
        <f t="array" ref="K245">_xlfn.TEXTJOIN(CHAR(10),TRUE,_xlfn._xlws.SORT(IF((--($B245=Flowdown_CIC[[URS]:[URS]]))*(--(K$14=Flowdown_CIC[[Source.Name]:[Source.Name]])),Flowdown_CIC[[SyRS]:[SyRS]],"")))</f>
        <v/>
      </c>
      <c r="L245" s="16" t="b" cm="1">
        <f t="array" ref="L245">OR(LEN(C245:K245)&gt;0)</f>
        <v>1</v>
      </c>
    </row>
    <row r="246" spans="2:12" ht="67.5" x14ac:dyDescent="0.2">
      <c r="B246" s="11" t="str">
        <v>MASTER-6549</v>
      </c>
      <c r="C246" s="12" t="str" cm="1">
        <f t="array" ref="C246">_xlfn.TEXTJOIN(CHAR(10),TRUE,_xlfn._xlws.SORT(IF((--($B246=Flowdown_CIC[[URS]:[URS]]))*(--(C$14=Flowdown_CIC[[Source.Name]:[Source.Name]])),Flowdown_CIC[[SyRS]:[SyRS]],"")))</f>
        <v>MASTER-18073
MASTER-18074
MASTER-50001
MASTER-50019
MASTER-50020</v>
      </c>
      <c r="D246" s="12" t="str" cm="1">
        <f t="array" ref="D246">_xlfn.TEXTJOIN(CHAR(10),TRUE,_xlfn._xlws.SORT(IF((--($B246=Flowdown_CIC[[URS]:[URS]]))*(--(D$14=Flowdown_CIC[[Source.Name]:[Source.Name]])),Flowdown_CIC[[SyRS]:[SyRS]],"")))</f>
        <v>MASTER-18073
MASTER-18074
MASTER-50001
MASTER-50019
MASTER-50020</v>
      </c>
      <c r="E246" s="12" t="str" cm="1">
        <f t="array" ref="E246">_xlfn.TEXTJOIN(CHAR(10),TRUE,_xlfn._xlws.SORT(IF((--($B246=Flowdown_CIC[[URS]:[URS]]))*(--(E$14=Flowdown_CIC[[Source.Name]:[Source.Name]])),Flowdown_CIC[[SyRS]:[SyRS]],"")))</f>
        <v>MASTER-18073
MASTER-18074
MASTER-50001
MASTER-50019
MASTER-50020</v>
      </c>
      <c r="F246" s="12" t="str" cm="1">
        <f t="array" ref="F246">_xlfn.TEXTJOIN(CHAR(10),TRUE,_xlfn._xlws.SORT(IF((--($B246=Flowdown_CIC[[URS]:[URS]]))*(--(F$14=Flowdown_CIC[[Source.Name]:[Source.Name]])),Flowdown_CIC[[SyRS]:[SyRS]],"")))</f>
        <v>MASTER-18073
MASTER-18074
MASTER-50001
MASTER-50019
MASTER-50020</v>
      </c>
      <c r="G246" s="12" t="str" cm="1">
        <f t="array" ref="G246">_xlfn.TEXTJOIN(CHAR(10),TRUE,_xlfn._xlws.SORT(IF((--($B246=Flowdown_CIC[[URS]:[URS]]))*(--(G$14=Flowdown_CIC[[Source.Name]:[Source.Name]])),Flowdown_CIC[[SyRS]:[SyRS]],"")))</f>
        <v>MASTER-18073
MASTER-18074
MASTER-50001
MASTER-50019
MASTER-50020</v>
      </c>
      <c r="H246" s="12" t="str" cm="1">
        <f t="array" ref="H246">_xlfn.TEXTJOIN(CHAR(10),TRUE,_xlfn._xlws.SORT(IF((--($B246=Flowdown_CIC[[URS]:[URS]]))*(--(H$14=Flowdown_CIC[[Source.Name]:[Source.Name]])),Flowdown_CIC[[SyRS]:[SyRS]],"")))</f>
        <v/>
      </c>
      <c r="I246" s="12" t="str" cm="1">
        <f t="array" ref="I246">_xlfn.TEXTJOIN(CHAR(10),TRUE,_xlfn._xlws.SORT(IF((--($B246=Flowdown_CIC[[URS]:[URS]]))*(--(I$14=Flowdown_CIC[[Source.Name]:[Source.Name]])),Flowdown_CIC[[SyRS]:[SyRS]],"")))</f>
        <v/>
      </c>
      <c r="J246" s="12" t="str" cm="1">
        <f t="array" ref="J246">_xlfn.TEXTJOIN(CHAR(10),TRUE,_xlfn._xlws.SORT(IF((--($B246=Flowdown_CIC[[URS]:[URS]]))*(--(J$14=Flowdown_CIC[[Source.Name]:[Source.Name]])),Flowdown_CIC[[SyRS]:[SyRS]],"")))</f>
        <v/>
      </c>
      <c r="K246" s="12" t="str" cm="1">
        <f t="array" ref="K246">_xlfn.TEXTJOIN(CHAR(10),TRUE,_xlfn._xlws.SORT(IF((--($B246=Flowdown_CIC[[URS]:[URS]]))*(--(K$14=Flowdown_CIC[[Source.Name]:[Source.Name]])),Flowdown_CIC[[SyRS]:[SyRS]],"")))</f>
        <v/>
      </c>
      <c r="L246" s="16" t="b" cm="1">
        <f t="array" ref="L246">OR(LEN(C246:K246)&gt;0)</f>
        <v>1</v>
      </c>
    </row>
    <row r="247" spans="2:12" ht="81" x14ac:dyDescent="0.2">
      <c r="B247" s="11" t="str">
        <v>MASTER-6551</v>
      </c>
      <c r="C247" s="12" t="str" cm="1">
        <f t="array" ref="C247">_xlfn.TEXTJOIN(CHAR(10),TRUE,_xlfn._xlws.SORT(IF((--($B247=Flowdown_CIC[[URS]:[URS]]))*(--(C$14=Flowdown_CIC[[Source.Name]:[Source.Name]])),Flowdown_CIC[[SyRS]:[SyRS]],"")))</f>
        <v>MASTER-19278
MASTER-50036
MASTER-50080
MASTER-58670
MASTER-63411
MASTER-63412</v>
      </c>
      <c r="D247" s="12" t="str" cm="1">
        <f t="array" ref="D247">_xlfn.TEXTJOIN(CHAR(10),TRUE,_xlfn._xlws.SORT(IF((--($B247=Flowdown_CIC[[URS]:[URS]]))*(--(D$14=Flowdown_CIC[[Source.Name]:[Source.Name]])),Flowdown_CIC[[SyRS]:[SyRS]],"")))</f>
        <v>MASTER-19278
MASTER-50036
MASTER-50080
MASTER-58670
MASTER-63411
MASTER-63412</v>
      </c>
      <c r="E247" s="12" t="str" cm="1">
        <f t="array" ref="E247">_xlfn.TEXTJOIN(CHAR(10),TRUE,_xlfn._xlws.SORT(IF((--($B247=Flowdown_CIC[[URS]:[URS]]))*(--(E$14=Flowdown_CIC[[Source.Name]:[Source.Name]])),Flowdown_CIC[[SyRS]:[SyRS]],"")))</f>
        <v>MASTER-19278
MASTER-50036
MASTER-50080
MASTER-58670
MASTER-63411
MASTER-63412</v>
      </c>
      <c r="F247" s="12" t="str" cm="1">
        <f t="array" ref="F247">_xlfn.TEXTJOIN(CHAR(10),TRUE,_xlfn._xlws.SORT(IF((--($B247=Flowdown_CIC[[URS]:[URS]]))*(--(F$14=Flowdown_CIC[[Source.Name]:[Source.Name]])),Flowdown_CIC[[SyRS]:[SyRS]],"")))</f>
        <v>MASTER-19278
MASTER-50036
MASTER-50080
MASTER-58670
MASTER-63411
MASTER-63412</v>
      </c>
      <c r="G247" s="12" t="str" cm="1">
        <f t="array" ref="G247">_xlfn.TEXTJOIN(CHAR(10),TRUE,_xlfn._xlws.SORT(IF((--($B247=Flowdown_CIC[[URS]:[URS]]))*(--(G$14=Flowdown_CIC[[Source.Name]:[Source.Name]])),Flowdown_CIC[[SyRS]:[SyRS]],"")))</f>
        <v>MASTER-19278
MASTER-50036
MASTER-50080
MASTER-58670
MASTER-63411
MASTER-63412</v>
      </c>
      <c r="H247" s="12" t="str" cm="1">
        <f t="array" ref="H247">_xlfn.TEXTJOIN(CHAR(10),TRUE,_xlfn._xlws.SORT(IF((--($B247=Flowdown_CIC[[URS]:[URS]]))*(--(H$14=Flowdown_CIC[[Source.Name]:[Source.Name]])),Flowdown_CIC[[SyRS]:[SyRS]],"")))</f>
        <v>UTICA-24846</v>
      </c>
      <c r="I247" s="12" t="str" cm="1">
        <f t="array" ref="I247">_xlfn.TEXTJOIN(CHAR(10),TRUE,_xlfn._xlws.SORT(IF((--($B247=Flowdown_CIC[[URS]:[URS]]))*(--(I$14=Flowdown_CIC[[Source.Name]:[Source.Name]])),Flowdown_CIC[[SyRS]:[SyRS]],"")))</f>
        <v/>
      </c>
      <c r="J247" s="12" t="str" cm="1">
        <f t="array" ref="J247">_xlfn.TEXTJOIN(CHAR(10),TRUE,_xlfn._xlws.SORT(IF((--($B247=Flowdown_CIC[[URS]:[URS]]))*(--(J$14=Flowdown_CIC[[Source.Name]:[Source.Name]])),Flowdown_CIC[[SyRS]:[SyRS]],"")))</f>
        <v/>
      </c>
      <c r="K247" s="12" t="str" cm="1">
        <f t="array" ref="K247">_xlfn.TEXTJOIN(CHAR(10),TRUE,_xlfn._xlws.SORT(IF((--($B247=Flowdown_CIC[[URS]:[URS]]))*(--(K$14=Flowdown_CIC[[Source.Name]:[Source.Name]])),Flowdown_CIC[[SyRS]:[SyRS]],"")))</f>
        <v/>
      </c>
      <c r="L247" s="16" t="b" cm="1">
        <f t="array" ref="L247">OR(LEN(C247:K247)&gt;0)</f>
        <v>1</v>
      </c>
    </row>
    <row r="248" spans="2:12" ht="13.5" x14ac:dyDescent="0.2">
      <c r="B248" s="11" t="str">
        <v>MASTER-6552</v>
      </c>
      <c r="C248" s="12" t="str" cm="1">
        <f t="array" ref="C248">_xlfn.TEXTJOIN(CHAR(10),TRUE,_xlfn._xlws.SORT(IF((--($B248=Flowdown_CIC[[URS]:[URS]]))*(--(C$14=Flowdown_CIC[[Source.Name]:[Source.Name]])),Flowdown_CIC[[SyRS]:[SyRS]],"")))</f>
        <v/>
      </c>
      <c r="D248" s="12" t="str" cm="1">
        <f t="array" ref="D248">_xlfn.TEXTJOIN(CHAR(10),TRUE,_xlfn._xlws.SORT(IF((--($B248=Flowdown_CIC[[URS]:[URS]]))*(--(D$14=Flowdown_CIC[[Source.Name]:[Source.Name]])),Flowdown_CIC[[SyRS]:[SyRS]],"")))</f>
        <v/>
      </c>
      <c r="E248" s="12" t="str" cm="1">
        <f t="array" ref="E248">_xlfn.TEXTJOIN(CHAR(10),TRUE,_xlfn._xlws.SORT(IF((--($B248=Flowdown_CIC[[URS]:[URS]]))*(--(E$14=Flowdown_CIC[[Source.Name]:[Source.Name]])),Flowdown_CIC[[SyRS]:[SyRS]],"")))</f>
        <v/>
      </c>
      <c r="F248" s="12" t="str" cm="1">
        <f t="array" ref="F248">_xlfn.TEXTJOIN(CHAR(10),TRUE,_xlfn._xlws.SORT(IF((--($B248=Flowdown_CIC[[URS]:[URS]]))*(--(F$14=Flowdown_CIC[[Source.Name]:[Source.Name]])),Flowdown_CIC[[SyRS]:[SyRS]],"")))</f>
        <v/>
      </c>
      <c r="G248" s="12" t="str" cm="1">
        <f t="array" ref="G248">_xlfn.TEXTJOIN(CHAR(10),TRUE,_xlfn._xlws.SORT(IF((--($B248=Flowdown_CIC[[URS]:[URS]]))*(--(G$14=Flowdown_CIC[[Source.Name]:[Source.Name]])),Flowdown_CIC[[SyRS]:[SyRS]],"")))</f>
        <v/>
      </c>
      <c r="H248" s="12" t="str" cm="1">
        <f t="array" ref="H248">_xlfn.TEXTJOIN(CHAR(10),TRUE,_xlfn._xlws.SORT(IF((--($B248=Flowdown_CIC[[URS]:[URS]]))*(--(H$14=Flowdown_CIC[[Source.Name]:[Source.Name]])),Flowdown_CIC[[SyRS]:[SyRS]],"")))</f>
        <v/>
      </c>
      <c r="I248" s="12" t="str" cm="1">
        <f t="array" ref="I248">_xlfn.TEXTJOIN(CHAR(10),TRUE,_xlfn._xlws.SORT(IF((--($B248=Flowdown_CIC[[URS]:[URS]]))*(--(I$14=Flowdown_CIC[[Source.Name]:[Source.Name]])),Flowdown_CIC[[SyRS]:[SyRS]],"")))</f>
        <v>MASTER-19866</v>
      </c>
      <c r="J248" s="12" t="str" cm="1">
        <f t="array" ref="J248">_xlfn.TEXTJOIN(CHAR(10),TRUE,_xlfn._xlws.SORT(IF((--($B248=Flowdown_CIC[[URS]:[URS]]))*(--(J$14=Flowdown_CIC[[Source.Name]:[Source.Name]])),Flowdown_CIC[[SyRS]:[SyRS]],"")))</f>
        <v/>
      </c>
      <c r="K248" s="12" t="str" cm="1">
        <f t="array" ref="K248">_xlfn.TEXTJOIN(CHAR(10),TRUE,_xlfn._xlws.SORT(IF((--($B248=Flowdown_CIC[[URS]:[URS]]))*(--(K$14=Flowdown_CIC[[Source.Name]:[Source.Name]])),Flowdown_CIC[[SyRS]:[SyRS]],"")))</f>
        <v/>
      </c>
      <c r="L248" s="16" t="b" cm="1">
        <f t="array" ref="L248">OR(LEN(C248:K248)&gt;0)</f>
        <v>1</v>
      </c>
    </row>
    <row r="249" spans="2:12" ht="13.5" x14ac:dyDescent="0.2">
      <c r="B249" s="11" t="str">
        <v>MASTER-6553</v>
      </c>
      <c r="C249" s="12" t="str" cm="1">
        <f t="array" ref="C249">_xlfn.TEXTJOIN(CHAR(10),TRUE,_xlfn._xlws.SORT(IF((--($B249=Flowdown_CIC[[URS]:[URS]]))*(--(C$14=Flowdown_CIC[[Source.Name]:[Source.Name]])),Flowdown_CIC[[SyRS]:[SyRS]],"")))</f>
        <v/>
      </c>
      <c r="D249" s="12" t="str" cm="1">
        <f t="array" ref="D249">_xlfn.TEXTJOIN(CHAR(10),TRUE,_xlfn._xlws.SORT(IF((--($B249=Flowdown_CIC[[URS]:[URS]]))*(--(D$14=Flowdown_CIC[[Source.Name]:[Source.Name]])),Flowdown_CIC[[SyRS]:[SyRS]],"")))</f>
        <v/>
      </c>
      <c r="E249" s="12" t="str" cm="1">
        <f t="array" ref="E249">_xlfn.TEXTJOIN(CHAR(10),TRUE,_xlfn._xlws.SORT(IF((--($B249=Flowdown_CIC[[URS]:[URS]]))*(--(E$14=Flowdown_CIC[[Source.Name]:[Source.Name]])),Flowdown_CIC[[SyRS]:[SyRS]],"")))</f>
        <v/>
      </c>
      <c r="F249" s="12" t="str" cm="1">
        <f t="array" ref="F249">_xlfn.TEXTJOIN(CHAR(10),TRUE,_xlfn._xlws.SORT(IF((--($B249=Flowdown_CIC[[URS]:[URS]]))*(--(F$14=Flowdown_CIC[[Source.Name]:[Source.Name]])),Flowdown_CIC[[SyRS]:[SyRS]],"")))</f>
        <v/>
      </c>
      <c r="G249" s="12" t="str" cm="1">
        <f t="array" ref="G249">_xlfn.TEXTJOIN(CHAR(10),TRUE,_xlfn._xlws.SORT(IF((--($B249=Flowdown_CIC[[URS]:[URS]]))*(--(G$14=Flowdown_CIC[[Source.Name]:[Source.Name]])),Flowdown_CIC[[SyRS]:[SyRS]],"")))</f>
        <v/>
      </c>
      <c r="H249" s="12" t="str" cm="1">
        <f t="array" ref="H249">_xlfn.TEXTJOIN(CHAR(10),TRUE,_xlfn._xlws.SORT(IF((--($B249=Flowdown_CIC[[URS]:[URS]]))*(--(H$14=Flowdown_CIC[[Source.Name]:[Source.Name]])),Flowdown_CIC[[SyRS]:[SyRS]],"")))</f>
        <v/>
      </c>
      <c r="I249" s="12" t="str" cm="1">
        <f t="array" ref="I249">_xlfn.TEXTJOIN(CHAR(10),TRUE,_xlfn._xlws.SORT(IF((--($B249=Flowdown_CIC[[URS]:[URS]]))*(--(I$14=Flowdown_CIC[[Source.Name]:[Source.Name]])),Flowdown_CIC[[SyRS]:[SyRS]],"")))</f>
        <v>MASTER-19866</v>
      </c>
      <c r="J249" s="12" t="str" cm="1">
        <f t="array" ref="J249">_xlfn.TEXTJOIN(CHAR(10),TRUE,_xlfn._xlws.SORT(IF((--($B249=Flowdown_CIC[[URS]:[URS]]))*(--(J$14=Flowdown_CIC[[Source.Name]:[Source.Name]])),Flowdown_CIC[[SyRS]:[SyRS]],"")))</f>
        <v/>
      </c>
      <c r="K249" s="12" t="str" cm="1">
        <f t="array" ref="K249">_xlfn.TEXTJOIN(CHAR(10),TRUE,_xlfn._xlws.SORT(IF((--($B249=Flowdown_CIC[[URS]:[URS]]))*(--(K$14=Flowdown_CIC[[Source.Name]:[Source.Name]])),Flowdown_CIC[[SyRS]:[SyRS]],"")))</f>
        <v/>
      </c>
      <c r="L249" s="16" t="b" cm="1">
        <f t="array" ref="L249">OR(LEN(C249:K249)&gt;0)</f>
        <v>1</v>
      </c>
    </row>
    <row r="250" spans="2:12" ht="40.5" x14ac:dyDescent="0.2">
      <c r="B250" s="11" t="str">
        <v>MASTER-6555</v>
      </c>
      <c r="C250" s="12" t="str" cm="1">
        <f t="array" ref="C250">_xlfn.TEXTJOIN(CHAR(10),TRUE,_xlfn._xlws.SORT(IF((--($B250=Flowdown_CIC[[URS]:[URS]]))*(--(C$14=Flowdown_CIC[[Source.Name]:[Source.Name]])),Flowdown_CIC[[SyRS]:[SyRS]],"")))</f>
        <v>MASTER-19254
MASTER-19255
MASTER-42194</v>
      </c>
      <c r="D250" s="12" t="str" cm="1">
        <f t="array" ref="D250">_xlfn.TEXTJOIN(CHAR(10),TRUE,_xlfn._xlws.SORT(IF((--($B250=Flowdown_CIC[[URS]:[URS]]))*(--(D$14=Flowdown_CIC[[Source.Name]:[Source.Name]])),Flowdown_CIC[[SyRS]:[SyRS]],"")))</f>
        <v>MASTER-19254
MASTER-19255
MASTER-42194</v>
      </c>
      <c r="E250" s="12" t="str" cm="1">
        <f t="array" ref="E250">_xlfn.TEXTJOIN(CHAR(10),TRUE,_xlfn._xlws.SORT(IF((--($B250=Flowdown_CIC[[URS]:[URS]]))*(--(E$14=Flowdown_CIC[[Source.Name]:[Source.Name]])),Flowdown_CIC[[SyRS]:[SyRS]],"")))</f>
        <v>MASTER-19254
MASTER-19255
MASTER-42194</v>
      </c>
      <c r="F250" s="12" t="str" cm="1">
        <f t="array" ref="F250">_xlfn.TEXTJOIN(CHAR(10),TRUE,_xlfn._xlws.SORT(IF((--($B250=Flowdown_CIC[[URS]:[URS]]))*(--(F$14=Flowdown_CIC[[Source.Name]:[Source.Name]])),Flowdown_CIC[[SyRS]:[SyRS]],"")))</f>
        <v>MASTER-19254
MASTER-19255
MASTER-42194</v>
      </c>
      <c r="G250" s="12" t="str" cm="1">
        <f t="array" ref="G250">_xlfn.TEXTJOIN(CHAR(10),TRUE,_xlfn._xlws.SORT(IF((--($B250=Flowdown_CIC[[URS]:[URS]]))*(--(G$14=Flowdown_CIC[[Source.Name]:[Source.Name]])),Flowdown_CIC[[SyRS]:[SyRS]],"")))</f>
        <v>MASTER-19254
MASTER-19255
MASTER-42194</v>
      </c>
      <c r="H250" s="12" t="str" cm="1">
        <f t="array" ref="H250">_xlfn.TEXTJOIN(CHAR(10),TRUE,_xlfn._xlws.SORT(IF((--($B250=Flowdown_CIC[[URS]:[URS]]))*(--(H$14=Flowdown_CIC[[Source.Name]:[Source.Name]])),Flowdown_CIC[[SyRS]:[SyRS]],"")))</f>
        <v/>
      </c>
      <c r="I250" s="12" t="str" cm="1">
        <f t="array" ref="I250">_xlfn.TEXTJOIN(CHAR(10),TRUE,_xlfn._xlws.SORT(IF((--($B250=Flowdown_CIC[[URS]:[URS]]))*(--(I$14=Flowdown_CIC[[Source.Name]:[Source.Name]])),Flowdown_CIC[[SyRS]:[SyRS]],"")))</f>
        <v>MASTER-48451</v>
      </c>
      <c r="J250" s="12" t="str" cm="1">
        <f t="array" ref="J250">_xlfn.TEXTJOIN(CHAR(10),TRUE,_xlfn._xlws.SORT(IF((--($B250=Flowdown_CIC[[URS]:[URS]]))*(--(J$14=Flowdown_CIC[[Source.Name]:[Source.Name]])),Flowdown_CIC[[SyRS]:[SyRS]],"")))</f>
        <v>MASTER-48451</v>
      </c>
      <c r="K250" s="12" t="str" cm="1">
        <f t="array" ref="K250">_xlfn.TEXTJOIN(CHAR(10),TRUE,_xlfn._xlws.SORT(IF((--($B250=Flowdown_CIC[[URS]:[URS]]))*(--(K$14=Flowdown_CIC[[Source.Name]:[Source.Name]])),Flowdown_CIC[[SyRS]:[SyRS]],"")))</f>
        <v/>
      </c>
      <c r="L250" s="16" t="b" cm="1">
        <f t="array" ref="L250">OR(LEN(C250:K250)&gt;0)</f>
        <v>1</v>
      </c>
    </row>
    <row r="251" spans="2:12" ht="175.5" x14ac:dyDescent="0.2">
      <c r="B251" s="11" t="str">
        <v>MASTER-6557</v>
      </c>
      <c r="C251" s="12" t="str" cm="1">
        <f t="array" ref="C251">_xlfn.TEXTJOIN(CHAR(10),TRUE,_xlfn._xlws.SORT(IF((--($B251=Flowdown_CIC[[URS]:[URS]]))*(--(C$14=Flowdown_CIC[[Source.Name]:[Source.Name]])),Flowdown_CIC[[SyRS]:[SyRS]],"")))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D251" s="12" t="str" cm="1">
        <f t="array" ref="D251">_xlfn.TEXTJOIN(CHAR(10),TRUE,_xlfn._xlws.SORT(IF((--($B251=Flowdown_CIC[[URS]:[URS]]))*(--(D$14=Flowdown_CIC[[Source.Name]:[Source.Name]])),Flowdown_CIC[[SyRS]:[SyRS]],"")))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E251" s="12" t="str" cm="1">
        <f t="array" ref="E251">_xlfn.TEXTJOIN(CHAR(10),TRUE,_xlfn._xlws.SORT(IF((--($B251=Flowdown_CIC[[URS]:[URS]]))*(--(E$14=Flowdown_CIC[[Source.Name]:[Source.Name]])),Flowdown_CIC[[SyRS]:[SyRS]],"")))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F251" s="12" t="str" cm="1">
        <f t="array" ref="F251">_xlfn.TEXTJOIN(CHAR(10),TRUE,_xlfn._xlws.SORT(IF((--($B251=Flowdown_CIC[[URS]:[URS]]))*(--(F$14=Flowdown_CIC[[Source.Name]:[Source.Name]])),Flowdown_CIC[[SyRS]:[SyRS]],"")))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G251" s="12" t="str" cm="1">
        <f t="array" ref="G251">_xlfn.TEXTJOIN(CHAR(10),TRUE,_xlfn._xlws.SORT(IF((--($B251=Flowdown_CIC[[URS]:[URS]]))*(--(G$14=Flowdown_CIC[[Source.Name]:[Source.Name]])),Flowdown_CIC[[SyRS]:[SyRS]],"")))</f>
        <v>MASTER-19252
MASTER-19253
MASTER-19267
MASTER-19268
MASTER-19278
MASTER-42160
MASTER-42167
MASTER-42168
MASTER-50869
MASTER-59912
MASTER-59915
MASTER-59918
MASTER-60080</v>
      </c>
      <c r="H251" s="12" t="str" cm="1">
        <f t="array" ref="H251">_xlfn.TEXTJOIN(CHAR(10),TRUE,_xlfn._xlws.SORT(IF((--($B251=Flowdown_CIC[[URS]:[URS]]))*(--(H$14=Flowdown_CIC[[Source.Name]:[Source.Name]])),Flowdown_CIC[[SyRS]:[SyRS]],"")))</f>
        <v/>
      </c>
      <c r="I251" s="12" t="str" cm="1">
        <f t="array" ref="I251">_xlfn.TEXTJOIN(CHAR(10),TRUE,_xlfn._xlws.SORT(IF((--($B251=Flowdown_CIC[[URS]:[URS]]))*(--(I$14=Flowdown_CIC[[Source.Name]:[Source.Name]])),Flowdown_CIC[[SyRS]:[SyRS]],"")))</f>
        <v/>
      </c>
      <c r="J251" s="12" t="str" cm="1">
        <f t="array" ref="J251">_xlfn.TEXTJOIN(CHAR(10),TRUE,_xlfn._xlws.SORT(IF((--($B251=Flowdown_CIC[[URS]:[URS]]))*(--(J$14=Flowdown_CIC[[Source.Name]:[Source.Name]])),Flowdown_CIC[[SyRS]:[SyRS]],"")))</f>
        <v/>
      </c>
      <c r="K251" s="12" t="str" cm="1">
        <f t="array" ref="K251">_xlfn.TEXTJOIN(CHAR(10),TRUE,_xlfn._xlws.SORT(IF((--($B251=Flowdown_CIC[[URS]:[URS]]))*(--(K$14=Flowdown_CIC[[Source.Name]:[Source.Name]])),Flowdown_CIC[[SyRS]:[SyRS]],"")))</f>
        <v/>
      </c>
      <c r="L251" s="16" t="b" cm="1">
        <f t="array" ref="L251">OR(LEN(C251:K251)&gt;0)</f>
        <v>1</v>
      </c>
    </row>
    <row r="252" spans="2:12" ht="13.5" x14ac:dyDescent="0.2">
      <c r="B252" s="11" t="str">
        <v>MASTER-6558</v>
      </c>
      <c r="C252" s="12" t="str" cm="1">
        <f t="array" ref="C252">_xlfn.TEXTJOIN(CHAR(10),TRUE,_xlfn._xlws.SORT(IF((--($B252=Flowdown_CIC[[URS]:[URS]]))*(--(C$14=Flowdown_CIC[[Source.Name]:[Source.Name]])),Flowdown_CIC[[SyRS]:[SyRS]],"")))</f>
        <v>MASTER-19278</v>
      </c>
      <c r="D252" s="12" t="str" cm="1">
        <f t="array" ref="D252">_xlfn.TEXTJOIN(CHAR(10),TRUE,_xlfn._xlws.SORT(IF((--($B252=Flowdown_CIC[[URS]:[URS]]))*(--(D$14=Flowdown_CIC[[Source.Name]:[Source.Name]])),Flowdown_CIC[[SyRS]:[SyRS]],"")))</f>
        <v>MASTER-19278</v>
      </c>
      <c r="E252" s="12" t="str" cm="1">
        <f t="array" ref="E252">_xlfn.TEXTJOIN(CHAR(10),TRUE,_xlfn._xlws.SORT(IF((--($B252=Flowdown_CIC[[URS]:[URS]]))*(--(E$14=Flowdown_CIC[[Source.Name]:[Source.Name]])),Flowdown_CIC[[SyRS]:[SyRS]],"")))</f>
        <v>MASTER-19278</v>
      </c>
      <c r="F252" s="12" t="str" cm="1">
        <f t="array" ref="F252">_xlfn.TEXTJOIN(CHAR(10),TRUE,_xlfn._xlws.SORT(IF((--($B252=Flowdown_CIC[[URS]:[URS]]))*(--(F$14=Flowdown_CIC[[Source.Name]:[Source.Name]])),Flowdown_CIC[[SyRS]:[SyRS]],"")))</f>
        <v>MASTER-19278</v>
      </c>
      <c r="G252" s="12" t="str" cm="1">
        <f t="array" ref="G252">_xlfn.TEXTJOIN(CHAR(10),TRUE,_xlfn._xlws.SORT(IF((--($B252=Flowdown_CIC[[URS]:[URS]]))*(--(G$14=Flowdown_CIC[[Source.Name]:[Source.Name]])),Flowdown_CIC[[SyRS]:[SyRS]],"")))</f>
        <v>MASTER-19278</v>
      </c>
      <c r="H252" s="12" t="str" cm="1">
        <f t="array" ref="H252">_xlfn.TEXTJOIN(CHAR(10),TRUE,_xlfn._xlws.SORT(IF((--($B252=Flowdown_CIC[[URS]:[URS]]))*(--(H$14=Flowdown_CIC[[Source.Name]:[Source.Name]])),Flowdown_CIC[[SyRS]:[SyRS]],"")))</f>
        <v/>
      </c>
      <c r="I252" s="12" t="str" cm="1">
        <f t="array" ref="I252">_xlfn.TEXTJOIN(CHAR(10),TRUE,_xlfn._xlws.SORT(IF((--($B252=Flowdown_CIC[[URS]:[URS]]))*(--(I$14=Flowdown_CIC[[Source.Name]:[Source.Name]])),Flowdown_CIC[[SyRS]:[SyRS]],"")))</f>
        <v/>
      </c>
      <c r="J252" s="12" t="str" cm="1">
        <f t="array" ref="J252">_xlfn.TEXTJOIN(CHAR(10),TRUE,_xlfn._xlws.SORT(IF((--($B252=Flowdown_CIC[[URS]:[URS]]))*(--(J$14=Flowdown_CIC[[Source.Name]:[Source.Name]])),Flowdown_CIC[[SyRS]:[SyRS]],"")))</f>
        <v/>
      </c>
      <c r="K252" s="12" t="str" cm="1">
        <f t="array" ref="K252">_xlfn.TEXTJOIN(CHAR(10),TRUE,_xlfn._xlws.SORT(IF((--($B252=Flowdown_CIC[[URS]:[URS]]))*(--(K$14=Flowdown_CIC[[Source.Name]:[Source.Name]])),Flowdown_CIC[[SyRS]:[SyRS]],"")))</f>
        <v/>
      </c>
      <c r="L252" s="16" t="b" cm="1">
        <f t="array" ref="L252">OR(LEN(C252:K252)&gt;0)</f>
        <v>1</v>
      </c>
    </row>
    <row r="253" spans="2:12" ht="40.5" x14ac:dyDescent="0.2">
      <c r="B253" s="11" t="str">
        <v>MASTER-6562</v>
      </c>
      <c r="C253" s="12" t="str" cm="1">
        <f t="array" ref="C253">_xlfn.TEXTJOIN(CHAR(10),TRUE,_xlfn._xlws.SORT(IF((--($B253=Flowdown_CIC[[URS]:[URS]]))*(--(C$14=Flowdown_CIC[[Source.Name]:[Source.Name]])),Flowdown_CIC[[SyRS]:[SyRS]],"")))</f>
        <v>MASTER-18190
MASTER-19308
MASTER-58671</v>
      </c>
      <c r="D253" s="12" t="str" cm="1">
        <f t="array" ref="D253">_xlfn.TEXTJOIN(CHAR(10),TRUE,_xlfn._xlws.SORT(IF((--($B253=Flowdown_CIC[[URS]:[URS]]))*(--(D$14=Flowdown_CIC[[Source.Name]:[Source.Name]])),Flowdown_CIC[[SyRS]:[SyRS]],"")))</f>
        <v>MASTER-18190
MASTER-19308
MASTER-58671</v>
      </c>
      <c r="E253" s="12" t="str" cm="1">
        <f t="array" ref="E253">_xlfn.TEXTJOIN(CHAR(10),TRUE,_xlfn._xlws.SORT(IF((--($B253=Flowdown_CIC[[URS]:[URS]]))*(--(E$14=Flowdown_CIC[[Source.Name]:[Source.Name]])),Flowdown_CIC[[SyRS]:[SyRS]],"")))</f>
        <v>MASTER-18190
MASTER-19308
MASTER-58671</v>
      </c>
      <c r="F253" s="12" t="str" cm="1">
        <f t="array" ref="F253">_xlfn.TEXTJOIN(CHAR(10),TRUE,_xlfn._xlws.SORT(IF((--($B253=Flowdown_CIC[[URS]:[URS]]))*(--(F$14=Flowdown_CIC[[Source.Name]:[Source.Name]])),Flowdown_CIC[[SyRS]:[SyRS]],"")))</f>
        <v>MASTER-18190
MASTER-19308
MASTER-58671</v>
      </c>
      <c r="G253" s="12" t="str" cm="1">
        <f t="array" ref="G253">_xlfn.TEXTJOIN(CHAR(10),TRUE,_xlfn._xlws.SORT(IF((--($B253=Flowdown_CIC[[URS]:[URS]]))*(--(G$14=Flowdown_CIC[[Source.Name]:[Source.Name]])),Flowdown_CIC[[SyRS]:[SyRS]],"")))</f>
        <v>MASTER-18190
MASTER-19308
MASTER-58671</v>
      </c>
      <c r="H253" s="12" t="str" cm="1">
        <f t="array" ref="H253">_xlfn.TEXTJOIN(CHAR(10),TRUE,_xlfn._xlws.SORT(IF((--($B253=Flowdown_CIC[[URS]:[URS]]))*(--(H$14=Flowdown_CIC[[Source.Name]:[Source.Name]])),Flowdown_CIC[[SyRS]:[SyRS]],"")))</f>
        <v>MASTER-20651
MASTER-20652
MASTER-22191</v>
      </c>
      <c r="I253" s="12" t="str" cm="1">
        <f t="array" ref="I253">_xlfn.TEXTJOIN(CHAR(10),TRUE,_xlfn._xlws.SORT(IF((--($B253=Flowdown_CIC[[URS]:[URS]]))*(--(I$14=Flowdown_CIC[[Source.Name]:[Source.Name]])),Flowdown_CIC[[SyRS]:[SyRS]],"")))</f>
        <v/>
      </c>
      <c r="J253" s="12" t="str" cm="1">
        <f t="array" ref="J253">_xlfn.TEXTJOIN(CHAR(10),TRUE,_xlfn._xlws.SORT(IF((--($B253=Flowdown_CIC[[URS]:[URS]]))*(--(J$14=Flowdown_CIC[[Source.Name]:[Source.Name]])),Flowdown_CIC[[SyRS]:[SyRS]],"")))</f>
        <v/>
      </c>
      <c r="K253" s="12" t="str" cm="1">
        <f t="array" ref="K253">_xlfn.TEXTJOIN(CHAR(10),TRUE,_xlfn._xlws.SORT(IF((--($B253=Flowdown_CIC[[URS]:[URS]]))*(--(K$14=Flowdown_CIC[[Source.Name]:[Source.Name]])),Flowdown_CIC[[SyRS]:[SyRS]],"")))</f>
        <v/>
      </c>
      <c r="L253" s="16" t="b" cm="1">
        <f t="array" ref="L253">OR(LEN(C253:K253)&gt;0)</f>
        <v>1</v>
      </c>
    </row>
    <row r="254" spans="2:12" ht="27" x14ac:dyDescent="0.2">
      <c r="B254" s="11" t="str">
        <v>MASTER-6563</v>
      </c>
      <c r="C254" s="12" t="str" cm="1">
        <f t="array" ref="C254">_xlfn.TEXTJOIN(CHAR(10),TRUE,_xlfn._xlws.SORT(IF((--($B254=Flowdown_CIC[[URS]:[URS]]))*(--(C$14=Flowdown_CIC[[Source.Name]:[Source.Name]])),Flowdown_CIC[[SyRS]:[SyRS]],"")))</f>
        <v>MASTER-18190</v>
      </c>
      <c r="D254" s="12" t="str" cm="1">
        <f t="array" ref="D254">_xlfn.TEXTJOIN(CHAR(10),TRUE,_xlfn._xlws.SORT(IF((--($B254=Flowdown_CIC[[URS]:[URS]]))*(--(D$14=Flowdown_CIC[[Source.Name]:[Source.Name]])),Flowdown_CIC[[SyRS]:[SyRS]],"")))</f>
        <v>MASTER-18190</v>
      </c>
      <c r="E254" s="12" t="str" cm="1">
        <f t="array" ref="E254">_xlfn.TEXTJOIN(CHAR(10),TRUE,_xlfn._xlws.SORT(IF((--($B254=Flowdown_CIC[[URS]:[URS]]))*(--(E$14=Flowdown_CIC[[Source.Name]:[Source.Name]])),Flowdown_CIC[[SyRS]:[SyRS]],"")))</f>
        <v>MASTER-18190</v>
      </c>
      <c r="F254" s="12" t="str" cm="1">
        <f t="array" ref="F254">_xlfn.TEXTJOIN(CHAR(10),TRUE,_xlfn._xlws.SORT(IF((--($B254=Flowdown_CIC[[URS]:[URS]]))*(--(F$14=Flowdown_CIC[[Source.Name]:[Source.Name]])),Flowdown_CIC[[SyRS]:[SyRS]],"")))</f>
        <v>MASTER-18190</v>
      </c>
      <c r="G254" s="12" t="str" cm="1">
        <f t="array" ref="G254">_xlfn.TEXTJOIN(CHAR(10),TRUE,_xlfn._xlws.SORT(IF((--($B254=Flowdown_CIC[[URS]:[URS]]))*(--(G$14=Flowdown_CIC[[Source.Name]:[Source.Name]])),Flowdown_CIC[[SyRS]:[SyRS]],"")))</f>
        <v>MASTER-18190</v>
      </c>
      <c r="H254" s="12" t="str" cm="1">
        <f t="array" ref="H254">_xlfn.TEXTJOIN(CHAR(10),TRUE,_xlfn._xlws.SORT(IF((--($B254=Flowdown_CIC[[URS]:[URS]]))*(--(H$14=Flowdown_CIC[[Source.Name]:[Source.Name]])),Flowdown_CIC[[SyRS]:[SyRS]],"")))</f>
        <v/>
      </c>
      <c r="I254" s="12" t="str" cm="1">
        <f t="array" ref="I254">_xlfn.TEXTJOIN(CHAR(10),TRUE,_xlfn._xlws.SORT(IF((--($B254=Flowdown_CIC[[URS]:[URS]]))*(--(I$14=Flowdown_CIC[[Source.Name]:[Source.Name]])),Flowdown_CIC[[SyRS]:[SyRS]],"")))</f>
        <v/>
      </c>
      <c r="J254" s="12" t="str" cm="1">
        <f t="array" ref="J254">_xlfn.TEXTJOIN(CHAR(10),TRUE,_xlfn._xlws.SORT(IF((--($B254=Flowdown_CIC[[URS]:[URS]]))*(--(J$14=Flowdown_CIC[[Source.Name]:[Source.Name]])),Flowdown_CIC[[SyRS]:[SyRS]],"")))</f>
        <v/>
      </c>
      <c r="K254" s="12" t="str" cm="1">
        <f t="array" ref="K254">_xlfn.TEXTJOIN(CHAR(10),TRUE,_xlfn._xlws.SORT(IF((--($B254=Flowdown_CIC[[URS]:[URS]]))*(--(K$14=Flowdown_CIC[[Source.Name]:[Source.Name]])),Flowdown_CIC[[SyRS]:[SyRS]],"")))</f>
        <v>MASTER-16679
MASTER-16699</v>
      </c>
      <c r="L254" s="16" t="b" cm="1">
        <f t="array" ref="L254">OR(LEN(C254:K254)&gt;0)</f>
        <v>1</v>
      </c>
    </row>
    <row r="255" spans="2:12" ht="27" x14ac:dyDescent="0.2">
      <c r="B255" s="11" t="str">
        <v>MASTER-6565</v>
      </c>
      <c r="C255" s="12" t="str" cm="1">
        <f t="array" ref="C255">_xlfn.TEXTJOIN(CHAR(10),TRUE,_xlfn._xlws.SORT(IF((--($B255=Flowdown_CIC[[URS]:[URS]]))*(--(C$14=Flowdown_CIC[[Source.Name]:[Source.Name]])),Flowdown_CIC[[SyRS]:[SyRS]],"")))</f>
        <v>MASTER-19326
MASTER-19329</v>
      </c>
      <c r="D255" s="12" t="str" cm="1">
        <f t="array" ref="D255">_xlfn.TEXTJOIN(CHAR(10),TRUE,_xlfn._xlws.SORT(IF((--($B255=Flowdown_CIC[[URS]:[URS]]))*(--(D$14=Flowdown_CIC[[Source.Name]:[Source.Name]])),Flowdown_CIC[[SyRS]:[SyRS]],"")))</f>
        <v>MASTER-19326
MASTER-19329</v>
      </c>
      <c r="E255" s="12" t="str" cm="1">
        <f t="array" ref="E255">_xlfn.TEXTJOIN(CHAR(10),TRUE,_xlfn._xlws.SORT(IF((--($B255=Flowdown_CIC[[URS]:[URS]]))*(--(E$14=Flowdown_CIC[[Source.Name]:[Source.Name]])),Flowdown_CIC[[SyRS]:[SyRS]],"")))</f>
        <v>MASTER-19326
MASTER-19329</v>
      </c>
      <c r="F255" s="12" t="str" cm="1">
        <f t="array" ref="F255">_xlfn.TEXTJOIN(CHAR(10),TRUE,_xlfn._xlws.SORT(IF((--($B255=Flowdown_CIC[[URS]:[URS]]))*(--(F$14=Flowdown_CIC[[Source.Name]:[Source.Name]])),Flowdown_CIC[[SyRS]:[SyRS]],"")))</f>
        <v>MASTER-19326
MASTER-19329</v>
      </c>
      <c r="G255" s="12" t="str" cm="1">
        <f t="array" ref="G255">_xlfn.TEXTJOIN(CHAR(10),TRUE,_xlfn._xlws.SORT(IF((--($B255=Flowdown_CIC[[URS]:[URS]]))*(--(G$14=Flowdown_CIC[[Source.Name]:[Source.Name]])),Flowdown_CIC[[SyRS]:[SyRS]],"")))</f>
        <v>MASTER-19326
MASTER-19329</v>
      </c>
      <c r="H255" s="12" t="str" cm="1">
        <f t="array" ref="H255">_xlfn.TEXTJOIN(CHAR(10),TRUE,_xlfn._xlws.SORT(IF((--($B255=Flowdown_CIC[[URS]:[URS]]))*(--(H$14=Flowdown_CIC[[Source.Name]:[Source.Name]])),Flowdown_CIC[[SyRS]:[SyRS]],"")))</f>
        <v/>
      </c>
      <c r="I255" s="12" t="str" cm="1">
        <f t="array" ref="I255">_xlfn.TEXTJOIN(CHAR(10),TRUE,_xlfn._xlws.SORT(IF((--($B255=Flowdown_CIC[[URS]:[URS]]))*(--(I$14=Flowdown_CIC[[Source.Name]:[Source.Name]])),Flowdown_CIC[[SyRS]:[SyRS]],"")))</f>
        <v/>
      </c>
      <c r="J255" s="12" t="str" cm="1">
        <f t="array" ref="J255">_xlfn.TEXTJOIN(CHAR(10),TRUE,_xlfn._xlws.SORT(IF((--($B255=Flowdown_CIC[[URS]:[URS]]))*(--(J$14=Flowdown_CIC[[Source.Name]:[Source.Name]])),Flowdown_CIC[[SyRS]:[SyRS]],"")))</f>
        <v/>
      </c>
      <c r="K255" s="12" t="str" cm="1">
        <f t="array" ref="K255">_xlfn.TEXTJOIN(CHAR(10),TRUE,_xlfn._xlws.SORT(IF((--($B255=Flowdown_CIC[[URS]:[URS]]))*(--(K$14=Flowdown_CIC[[Source.Name]:[Source.Name]])),Flowdown_CIC[[SyRS]:[SyRS]],"")))</f>
        <v>MASTER-16703</v>
      </c>
      <c r="L255" s="16" t="b" cm="1">
        <f t="array" ref="L255">OR(LEN(C255:K255)&gt;0)</f>
        <v>1</v>
      </c>
    </row>
    <row r="256" spans="2:12" ht="40.5" x14ac:dyDescent="0.2">
      <c r="B256" s="11" t="str">
        <v>MASTER-6566</v>
      </c>
      <c r="C256" s="12" t="str" cm="1">
        <f t="array" ref="C256">_xlfn.TEXTJOIN(CHAR(10),TRUE,_xlfn._xlws.SORT(IF((--($B256=Flowdown_CIC[[URS]:[URS]]))*(--(C$14=Flowdown_CIC[[Source.Name]:[Source.Name]])),Flowdown_CIC[[SyRS]:[SyRS]],"")))</f>
        <v>MASTER-19314
MASTER-19321
MASTER-19327</v>
      </c>
      <c r="D256" s="12" t="str" cm="1">
        <f t="array" ref="D256">_xlfn.TEXTJOIN(CHAR(10),TRUE,_xlfn._xlws.SORT(IF((--($B256=Flowdown_CIC[[URS]:[URS]]))*(--(D$14=Flowdown_CIC[[Source.Name]:[Source.Name]])),Flowdown_CIC[[SyRS]:[SyRS]],"")))</f>
        <v>MASTER-19314
MASTER-19321
MASTER-19327</v>
      </c>
      <c r="E256" s="12" t="str" cm="1">
        <f t="array" ref="E256">_xlfn.TEXTJOIN(CHAR(10),TRUE,_xlfn._xlws.SORT(IF((--($B256=Flowdown_CIC[[URS]:[URS]]))*(--(E$14=Flowdown_CIC[[Source.Name]:[Source.Name]])),Flowdown_CIC[[SyRS]:[SyRS]],"")))</f>
        <v>MASTER-19314
MASTER-19321
MASTER-19327</v>
      </c>
      <c r="F256" s="12" t="str" cm="1">
        <f t="array" ref="F256">_xlfn.TEXTJOIN(CHAR(10),TRUE,_xlfn._xlws.SORT(IF((--($B256=Flowdown_CIC[[URS]:[URS]]))*(--(F$14=Flowdown_CIC[[Source.Name]:[Source.Name]])),Flowdown_CIC[[SyRS]:[SyRS]],"")))</f>
        <v>MASTER-19314
MASTER-19321
MASTER-19327</v>
      </c>
      <c r="G256" s="12" t="str" cm="1">
        <f t="array" ref="G256">_xlfn.TEXTJOIN(CHAR(10),TRUE,_xlfn._xlws.SORT(IF((--($B256=Flowdown_CIC[[URS]:[URS]]))*(--(G$14=Flowdown_CIC[[Source.Name]:[Source.Name]])),Flowdown_CIC[[SyRS]:[SyRS]],"")))</f>
        <v>MASTER-19314
MASTER-19321
MASTER-19327</v>
      </c>
      <c r="H256" s="12" t="str" cm="1">
        <f t="array" ref="H256">_xlfn.TEXTJOIN(CHAR(10),TRUE,_xlfn._xlws.SORT(IF((--($B256=Flowdown_CIC[[URS]:[URS]]))*(--(H$14=Flowdown_CIC[[Source.Name]:[Source.Name]])),Flowdown_CIC[[SyRS]:[SyRS]],"")))</f>
        <v/>
      </c>
      <c r="I256" s="12" t="str" cm="1">
        <f t="array" ref="I256">_xlfn.TEXTJOIN(CHAR(10),TRUE,_xlfn._xlws.SORT(IF((--($B256=Flowdown_CIC[[URS]:[URS]]))*(--(I$14=Flowdown_CIC[[Source.Name]:[Source.Name]])),Flowdown_CIC[[SyRS]:[SyRS]],"")))</f>
        <v/>
      </c>
      <c r="J256" s="12" t="str" cm="1">
        <f t="array" ref="J256">_xlfn.TEXTJOIN(CHAR(10),TRUE,_xlfn._xlws.SORT(IF((--($B256=Flowdown_CIC[[URS]:[URS]]))*(--(J$14=Flowdown_CIC[[Source.Name]:[Source.Name]])),Flowdown_CIC[[SyRS]:[SyRS]],"")))</f>
        <v/>
      </c>
      <c r="K256" s="12" t="str" cm="1">
        <f t="array" ref="K256">_xlfn.TEXTJOIN(CHAR(10),TRUE,_xlfn._xlws.SORT(IF((--($B256=Flowdown_CIC[[URS]:[URS]]))*(--(K$14=Flowdown_CIC[[Source.Name]:[Source.Name]])),Flowdown_CIC[[SyRS]:[SyRS]],"")))</f>
        <v/>
      </c>
      <c r="L256" s="16" t="b" cm="1">
        <f t="array" ref="L256">OR(LEN(C256:K256)&gt;0)</f>
        <v>1</v>
      </c>
    </row>
    <row r="257" spans="2:12" ht="13.5" x14ac:dyDescent="0.2">
      <c r="B257" s="11" t="str">
        <v>MASTER-6567</v>
      </c>
      <c r="C257" s="12" t="str" cm="1">
        <f t="array" ref="C257">_xlfn.TEXTJOIN(CHAR(10),TRUE,_xlfn._xlws.SORT(IF((--($B257=Flowdown_CIC[[URS]:[URS]]))*(--(C$14=Flowdown_CIC[[Source.Name]:[Source.Name]])),Flowdown_CIC[[SyRS]:[SyRS]],"")))</f>
        <v>UTICA-19406</v>
      </c>
      <c r="D257" s="12" t="str" cm="1">
        <f t="array" ref="D257">_xlfn.TEXTJOIN(CHAR(10),TRUE,_xlfn._xlws.SORT(IF((--($B257=Flowdown_CIC[[URS]:[URS]]))*(--(D$14=Flowdown_CIC[[Source.Name]:[Source.Name]])),Flowdown_CIC[[SyRS]:[SyRS]],"")))</f>
        <v>UTICA-19406</v>
      </c>
      <c r="E257" s="12" t="str" cm="1">
        <f t="array" ref="E257">_xlfn.TEXTJOIN(CHAR(10),TRUE,_xlfn._xlws.SORT(IF((--($B257=Flowdown_CIC[[URS]:[URS]]))*(--(E$14=Flowdown_CIC[[Source.Name]:[Source.Name]])),Flowdown_CIC[[SyRS]:[SyRS]],"")))</f>
        <v>UTICA-19406</v>
      </c>
      <c r="F257" s="12" t="str" cm="1">
        <f t="array" ref="F257">_xlfn.TEXTJOIN(CHAR(10),TRUE,_xlfn._xlws.SORT(IF((--($B257=Flowdown_CIC[[URS]:[URS]]))*(--(F$14=Flowdown_CIC[[Source.Name]:[Source.Name]])),Flowdown_CIC[[SyRS]:[SyRS]],"")))</f>
        <v>UTICA-19406</v>
      </c>
      <c r="G257" s="12" t="str" cm="1">
        <f t="array" ref="G257">_xlfn.TEXTJOIN(CHAR(10),TRUE,_xlfn._xlws.SORT(IF((--($B257=Flowdown_CIC[[URS]:[URS]]))*(--(G$14=Flowdown_CIC[[Source.Name]:[Source.Name]])),Flowdown_CIC[[SyRS]:[SyRS]],"")))</f>
        <v>UTICA-19406</v>
      </c>
      <c r="H257" s="12" t="str" cm="1">
        <f t="array" ref="H257">_xlfn.TEXTJOIN(CHAR(10),TRUE,_xlfn._xlws.SORT(IF((--($B257=Flowdown_CIC[[URS]:[URS]]))*(--(H$14=Flowdown_CIC[[Source.Name]:[Source.Name]])),Flowdown_CIC[[SyRS]:[SyRS]],"")))</f>
        <v/>
      </c>
      <c r="I257" s="12" t="str" cm="1">
        <f t="array" ref="I257">_xlfn.TEXTJOIN(CHAR(10),TRUE,_xlfn._xlws.SORT(IF((--($B257=Flowdown_CIC[[URS]:[URS]]))*(--(I$14=Flowdown_CIC[[Source.Name]:[Source.Name]])),Flowdown_CIC[[SyRS]:[SyRS]],"")))</f>
        <v/>
      </c>
      <c r="J257" s="12" t="str" cm="1">
        <f t="array" ref="J257">_xlfn.TEXTJOIN(CHAR(10),TRUE,_xlfn._xlws.SORT(IF((--($B257=Flowdown_CIC[[URS]:[URS]]))*(--(J$14=Flowdown_CIC[[Source.Name]:[Source.Name]])),Flowdown_CIC[[SyRS]:[SyRS]],"")))</f>
        <v/>
      </c>
      <c r="K257" s="12" t="str" cm="1">
        <f t="array" ref="K257">_xlfn.TEXTJOIN(CHAR(10),TRUE,_xlfn._xlws.SORT(IF((--($B257=Flowdown_CIC[[URS]:[URS]]))*(--(K$14=Flowdown_CIC[[Source.Name]:[Source.Name]])),Flowdown_CIC[[SyRS]:[SyRS]],"")))</f>
        <v/>
      </c>
      <c r="L257" s="16" t="b" cm="1">
        <f t="array" ref="L257">OR(LEN(C257:K257)&gt;0)</f>
        <v>1</v>
      </c>
    </row>
    <row r="258" spans="2:12" ht="135" x14ac:dyDescent="0.2">
      <c r="B258" s="11" t="str">
        <v>MASTER-6569</v>
      </c>
      <c r="C258" s="12" t="str" cm="1">
        <f t="array" ref="C258">_xlfn.TEXTJOIN(CHAR(10),TRUE,_xlfn._xlws.SORT(IF((--($B258=Flowdown_CIC[[URS]:[URS]]))*(--(C$14=Flowdown_CIC[[Source.Name]:[Source.Name]])),Flowdown_CIC[[SyRS]:[SyRS]],"")))</f>
        <v>MASTER-19234
MASTER-19235
MASTER-19236
MASTER-19237
MASTER-19240
MASTER-42153
MASTER-42154
MASTER-42158
MASTER-42159</v>
      </c>
      <c r="D258" s="12" t="str" cm="1">
        <f t="array" ref="D258">_xlfn.TEXTJOIN(CHAR(10),TRUE,_xlfn._xlws.SORT(IF((--($B258=Flowdown_CIC[[URS]:[URS]]))*(--(D$14=Flowdown_CIC[[Source.Name]:[Source.Name]])),Flowdown_CIC[[SyRS]:[SyRS]],"")))</f>
        <v>MASTER-19234
MASTER-19235
MASTER-19236
MASTER-19237
MASTER-19240
MASTER-42153
MASTER-42154
MASTER-42158
MASTER-42159</v>
      </c>
      <c r="E258" s="12" t="str" cm="1">
        <f t="array" ref="E258">_xlfn.TEXTJOIN(CHAR(10),TRUE,_xlfn._xlws.SORT(IF((--($B258=Flowdown_CIC[[URS]:[URS]]))*(--(E$14=Flowdown_CIC[[Source.Name]:[Source.Name]])),Flowdown_CIC[[SyRS]:[SyRS]],"")))</f>
        <v>MASTER-19234
MASTER-19235
MASTER-19236
MASTER-19237
MASTER-19240
MASTER-42153
MASTER-42154
MASTER-42158
MASTER-42159</v>
      </c>
      <c r="F258" s="12" t="str" cm="1">
        <f t="array" ref="F258">_xlfn.TEXTJOIN(CHAR(10),TRUE,_xlfn._xlws.SORT(IF((--($B258=Flowdown_CIC[[URS]:[URS]]))*(--(F$14=Flowdown_CIC[[Source.Name]:[Source.Name]])),Flowdown_CIC[[SyRS]:[SyRS]],"")))</f>
        <v>MASTER-19234
MASTER-19235
MASTER-19236
MASTER-19237
MASTER-19240
MASTER-42153
MASTER-42154
MASTER-42158
MASTER-42159</v>
      </c>
      <c r="G258" s="12" t="str" cm="1">
        <f t="array" ref="G258">_xlfn.TEXTJOIN(CHAR(10),TRUE,_xlfn._xlws.SORT(IF((--($B258=Flowdown_CIC[[URS]:[URS]]))*(--(G$14=Flowdown_CIC[[Source.Name]:[Source.Name]])),Flowdown_CIC[[SyRS]:[SyRS]],"")))</f>
        <v>MASTER-19234
MASTER-19235
MASTER-19236
MASTER-19237
MASTER-19240
MASTER-42153
MASTER-42154
MASTER-42158
MASTER-42159</v>
      </c>
      <c r="H258" s="12" t="str" cm="1">
        <f t="array" ref="H258">_xlfn.TEXTJOIN(CHAR(10),TRUE,_xlfn._xlws.SORT(IF((--($B258=Flowdown_CIC[[URS]:[URS]]))*(--(H$14=Flowdown_CIC[[Source.Name]:[Source.Name]])),Flowdown_CIC[[SyRS]:[SyRS]],"")))</f>
        <v/>
      </c>
      <c r="I258" s="12" t="str" cm="1">
        <f t="array" ref="I258">_xlfn.TEXTJOIN(CHAR(10),TRUE,_xlfn._xlws.SORT(IF((--($B258=Flowdown_CIC[[URS]:[URS]]))*(--(I$14=Flowdown_CIC[[Source.Name]:[Source.Name]])),Flowdown_CIC[[SyRS]:[SyRS]],"")))</f>
        <v>MASTER-20000
MASTER-20001
MASTER-20002
MASTER-20011
MASTER-48455
UTICA-204
UTICA-205
UTICA-206
UTICA-207
UTICA-208</v>
      </c>
      <c r="J258" s="12" t="str" cm="1">
        <f t="array" ref="J258">_xlfn.TEXTJOIN(CHAR(10),TRUE,_xlfn._xlws.SORT(IF((--($B258=Flowdown_CIC[[URS]:[URS]]))*(--(J$14=Flowdown_CIC[[Source.Name]:[Source.Name]])),Flowdown_CIC[[SyRS]:[SyRS]],"")))</f>
        <v>MASTER-20000
MASTER-20001
MASTER-20002
MASTER-20011
MASTER-48455
MASTER-61163</v>
      </c>
      <c r="K258" s="12" t="str" cm="1">
        <f t="array" ref="K258">_xlfn.TEXTJOIN(CHAR(10),TRUE,_xlfn._xlws.SORT(IF((--($B258=Flowdown_CIC[[URS]:[URS]]))*(--(K$14=Flowdown_CIC[[Source.Name]:[Source.Name]])),Flowdown_CIC[[SyRS]:[SyRS]],"")))</f>
        <v>MASTER-50685</v>
      </c>
      <c r="L258" s="16" t="b" cm="1">
        <f t="array" ref="L258">OR(LEN(C258:K258)&gt;0)</f>
        <v>1</v>
      </c>
    </row>
    <row r="259" spans="2:12" ht="175.5" x14ac:dyDescent="0.2">
      <c r="B259" s="11" t="str">
        <v>MASTER-6570</v>
      </c>
      <c r="C259" s="12" t="str" cm="1">
        <f t="array" ref="C259">_xlfn.TEXTJOIN(CHAR(10),TRUE,_xlfn._xlws.SORT(IF((--($B259=Flowdown_CIC[[URS]:[URS]]))*(--(C$14=Flowdown_CIC[[Source.Name]:[Source.Name]])),Flowdown_CIC[[SyRS]:[SyRS]],"")))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D259" s="12" t="str" cm="1">
        <f t="array" ref="D259">_xlfn.TEXTJOIN(CHAR(10),TRUE,_xlfn._xlws.SORT(IF((--($B259=Flowdown_CIC[[URS]:[URS]]))*(--(D$14=Flowdown_CIC[[Source.Name]:[Source.Name]])),Flowdown_CIC[[SyRS]:[SyRS]],"")))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E259" s="12" t="str" cm="1">
        <f t="array" ref="E259">_xlfn.TEXTJOIN(CHAR(10),TRUE,_xlfn._xlws.SORT(IF((--($B259=Flowdown_CIC[[URS]:[URS]]))*(--(E$14=Flowdown_CIC[[Source.Name]:[Source.Name]])),Flowdown_CIC[[SyRS]:[SyRS]],"")))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F259" s="12" t="str" cm="1">
        <f t="array" ref="F259">_xlfn.TEXTJOIN(CHAR(10),TRUE,_xlfn._xlws.SORT(IF((--($B259=Flowdown_CIC[[URS]:[URS]]))*(--(F$14=Flowdown_CIC[[Source.Name]:[Source.Name]])),Flowdown_CIC[[SyRS]:[SyRS]],"")))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G259" s="12" t="str" cm="1">
        <f t="array" ref="G259">_xlfn.TEXTJOIN(CHAR(10),TRUE,_xlfn._xlws.SORT(IF((--($B259=Flowdown_CIC[[URS]:[URS]]))*(--(G$14=Flowdown_CIC[[Source.Name]:[Source.Name]])),Flowdown_CIC[[SyRS]:[SyRS]],"")))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H259" s="12" t="str" cm="1">
        <f t="array" ref="H259">_xlfn.TEXTJOIN(CHAR(10),TRUE,_xlfn._xlws.SORT(IF((--($B259=Flowdown_CIC[[URS]:[URS]]))*(--(H$14=Flowdown_CIC[[Source.Name]:[Source.Name]])),Flowdown_CIC[[SyRS]:[SyRS]],"")))</f>
        <v>MASTER-21159
MASTER-22174
MASTER-50674
MASTER-50675
MASTER-50677
MASTER-50678
MASTER-50679
MASTER-50680
MASTER-50681
MASTER-50682
UTICA-8591
UTICA-8592</v>
      </c>
      <c r="I259" s="12" t="str" cm="1">
        <f t="array" ref="I259">_xlfn.TEXTJOIN(CHAR(10),TRUE,_xlfn._xlws.SORT(IF((--($B259=Flowdown_CIC[[URS]:[URS]]))*(--(I$14=Flowdown_CIC[[Source.Name]:[Source.Name]])),Flowdown_CIC[[SyRS]:[SyRS]],"")))</f>
        <v/>
      </c>
      <c r="J259" s="12" t="str" cm="1">
        <f t="array" ref="J259">_xlfn.TEXTJOIN(CHAR(10),TRUE,_xlfn._xlws.SORT(IF((--($B259=Flowdown_CIC[[URS]:[URS]]))*(--(J$14=Flowdown_CIC[[Source.Name]:[Source.Name]])),Flowdown_CIC[[SyRS]:[SyRS]],"")))</f>
        <v/>
      </c>
      <c r="K259" s="12" t="str" cm="1">
        <f t="array" ref="K259">_xlfn.TEXTJOIN(CHAR(10),TRUE,_xlfn._xlws.SORT(IF((--($B259=Flowdown_CIC[[URS]:[URS]]))*(--(K$14=Flowdown_CIC[[Source.Name]:[Source.Name]])),Flowdown_CIC[[SyRS]:[SyRS]],"")))</f>
        <v/>
      </c>
      <c r="L259" s="16" t="b" cm="1">
        <f t="array" ref="L259">OR(LEN(C259:K259)&gt;0)</f>
        <v>1</v>
      </c>
    </row>
    <row r="260" spans="2:12" ht="409.5" x14ac:dyDescent="0.2">
      <c r="B260" s="11" t="str">
        <v>MASTER-6573</v>
      </c>
      <c r="C260" s="12" t="str" cm="1">
        <f t="array" ref="C260">_xlfn.TEXTJOIN(CHAR(10),TRUE,_xlfn._xlws.SORT(IF((--($B260=Flowdown_CIC[[URS]:[URS]]))*(--(C$14=Flowdown_CIC[[Source.Name]:[Source.Name]])),Flowdown_CIC[[SyRS]:[SyRS]],"")))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60" s="12" t="str" cm="1">
        <f t="array" ref="D260">_xlfn.TEXTJOIN(CHAR(10),TRUE,_xlfn._xlws.SORT(IF((--($B260=Flowdown_CIC[[URS]:[URS]]))*(--(D$14=Flowdown_CIC[[Source.Name]:[Source.Name]])),Flowdown_CIC[[SyRS]:[SyRS]],"")))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60" s="12" t="str" cm="1">
        <f t="array" ref="E260">_xlfn.TEXTJOIN(CHAR(10),TRUE,_xlfn._xlws.SORT(IF((--($B260=Flowdown_CIC[[URS]:[URS]]))*(--(E$14=Flowdown_CIC[[Source.Name]:[Source.Name]])),Flowdown_CIC[[SyRS]:[SyRS]],"")))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60" s="12" t="str" cm="1">
        <f t="array" ref="F260">_xlfn.TEXTJOIN(CHAR(10),TRUE,_xlfn._xlws.SORT(IF((--($B260=Flowdown_CIC[[URS]:[URS]]))*(--(F$14=Flowdown_CIC[[Source.Name]:[Source.Name]])),Flowdown_CIC[[SyRS]:[SyRS]],"")))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60" s="12" t="str" cm="1">
        <f t="array" ref="G260">_xlfn.TEXTJOIN(CHAR(10),TRUE,_xlfn._xlws.SORT(IF((--($B260=Flowdown_CIC[[URS]:[URS]]))*(--(G$14=Flowdown_CIC[[Source.Name]:[Source.Name]])),Flowdown_CIC[[SyRS]:[SyRS]],"")))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60" s="12" t="str" cm="1">
        <f t="array" ref="H260">_xlfn.TEXTJOIN(CHAR(10),TRUE,_xlfn._xlws.SORT(IF((--($B260=Flowdown_CIC[[URS]:[URS]]))*(--(H$14=Flowdown_CIC[[Source.Name]:[Source.Name]])),Flowdown_CIC[[SyRS]:[SyRS]],"")))</f>
        <v/>
      </c>
      <c r="I260" s="12" t="str" cm="1">
        <f t="array" ref="I260">_xlfn.TEXTJOIN(CHAR(10),TRUE,_xlfn._xlws.SORT(IF((--($B260=Flowdown_CIC[[URS]:[URS]]))*(--(I$14=Flowdown_CIC[[Source.Name]:[Source.Name]])),Flowdown_CIC[[SyRS]:[SyRS]],"")))</f>
        <v>MASTER-20011</v>
      </c>
      <c r="J260" s="12" t="str" cm="1">
        <f t="array" ref="J260">_xlfn.TEXTJOIN(CHAR(10),TRUE,_xlfn._xlws.SORT(IF((--($B260=Flowdown_CIC[[URS]:[URS]]))*(--(J$14=Flowdown_CIC[[Source.Name]:[Source.Name]])),Flowdown_CIC[[SyRS]:[SyRS]],"")))</f>
        <v>MASTER-20011</v>
      </c>
      <c r="K260" s="12" t="str" cm="1">
        <f t="array" ref="K260">_xlfn.TEXTJOIN(CHAR(10),TRUE,_xlfn._xlws.SORT(IF((--($B260=Flowdown_CIC[[URS]:[URS]]))*(--(K$14=Flowdown_CIC[[Source.Name]:[Source.Name]])),Flowdown_CIC[[SyRS]:[SyRS]],"")))</f>
        <v/>
      </c>
      <c r="L260" s="16" t="b" cm="1">
        <f t="array" ref="L260">OR(LEN(C260:K260)&gt;0)</f>
        <v>1</v>
      </c>
    </row>
    <row r="261" spans="2:12" ht="67.5" x14ac:dyDescent="0.2">
      <c r="B261" s="11" t="str">
        <v>MASTER-6574</v>
      </c>
      <c r="C261" s="12" t="str" cm="1">
        <f t="array" ref="C261">_xlfn.TEXTJOIN(CHAR(10),TRUE,_xlfn._xlws.SORT(IF((--($B261=Flowdown_CIC[[URS]:[URS]]))*(--(C$14=Flowdown_CIC[[Source.Name]:[Source.Name]])),Flowdown_CIC[[SyRS]:[SyRS]],"")))</f>
        <v>MASTER-19239
MASTER-19240
MASTER-19241
MASTER-19242
MASTER-50664</v>
      </c>
      <c r="D261" s="12" t="str" cm="1">
        <f t="array" ref="D261">_xlfn.TEXTJOIN(CHAR(10),TRUE,_xlfn._xlws.SORT(IF((--($B261=Flowdown_CIC[[URS]:[URS]]))*(--(D$14=Flowdown_CIC[[Source.Name]:[Source.Name]])),Flowdown_CIC[[SyRS]:[SyRS]],"")))</f>
        <v>MASTER-19239
MASTER-19240
MASTER-19241
MASTER-19242
MASTER-50664</v>
      </c>
      <c r="E261" s="12" t="str" cm="1">
        <f t="array" ref="E261">_xlfn.TEXTJOIN(CHAR(10),TRUE,_xlfn._xlws.SORT(IF((--($B261=Flowdown_CIC[[URS]:[URS]]))*(--(E$14=Flowdown_CIC[[Source.Name]:[Source.Name]])),Flowdown_CIC[[SyRS]:[SyRS]],"")))</f>
        <v>MASTER-19239
MASTER-19240
MASTER-19241
MASTER-19242
MASTER-50664</v>
      </c>
      <c r="F261" s="12" t="str" cm="1">
        <f t="array" ref="F261">_xlfn.TEXTJOIN(CHAR(10),TRUE,_xlfn._xlws.SORT(IF((--($B261=Flowdown_CIC[[URS]:[URS]]))*(--(F$14=Flowdown_CIC[[Source.Name]:[Source.Name]])),Flowdown_CIC[[SyRS]:[SyRS]],"")))</f>
        <v>MASTER-19239
MASTER-19240
MASTER-19241
MASTER-19242
MASTER-50664</v>
      </c>
      <c r="G261" s="12" t="str" cm="1">
        <f t="array" ref="G261">_xlfn.TEXTJOIN(CHAR(10),TRUE,_xlfn._xlws.SORT(IF((--($B261=Flowdown_CIC[[URS]:[URS]]))*(--(G$14=Flowdown_CIC[[Source.Name]:[Source.Name]])),Flowdown_CIC[[SyRS]:[SyRS]],"")))</f>
        <v>MASTER-19239
MASTER-19240
MASTER-19241
MASTER-19242
MASTER-50664</v>
      </c>
      <c r="H261" s="12" t="str" cm="1">
        <f t="array" ref="H261">_xlfn.TEXTJOIN(CHAR(10),TRUE,_xlfn._xlws.SORT(IF((--($B261=Flowdown_CIC[[URS]:[URS]]))*(--(H$14=Flowdown_CIC[[Source.Name]:[Source.Name]])),Flowdown_CIC[[SyRS]:[SyRS]],"")))</f>
        <v/>
      </c>
      <c r="I261" s="12" t="str" cm="1">
        <f t="array" ref="I261">_xlfn.TEXTJOIN(CHAR(10),TRUE,_xlfn._xlws.SORT(IF((--($B261=Flowdown_CIC[[URS]:[URS]]))*(--(I$14=Flowdown_CIC[[Source.Name]:[Source.Name]])),Flowdown_CIC[[SyRS]:[SyRS]],"")))</f>
        <v/>
      </c>
      <c r="J261" s="12" t="str" cm="1">
        <f t="array" ref="J261">_xlfn.TEXTJOIN(CHAR(10),TRUE,_xlfn._xlws.SORT(IF((--($B261=Flowdown_CIC[[URS]:[URS]]))*(--(J$14=Flowdown_CIC[[Source.Name]:[Source.Name]])),Flowdown_CIC[[SyRS]:[SyRS]],"")))</f>
        <v/>
      </c>
      <c r="K261" s="12" t="str" cm="1">
        <f t="array" ref="K261">_xlfn.TEXTJOIN(CHAR(10),TRUE,_xlfn._xlws.SORT(IF((--($B261=Flowdown_CIC[[URS]:[URS]]))*(--(K$14=Flowdown_CIC[[Source.Name]:[Source.Name]])),Flowdown_CIC[[SyRS]:[SyRS]],"")))</f>
        <v/>
      </c>
      <c r="L261" s="16" t="b" cm="1">
        <f t="array" ref="L261">OR(LEN(C261:K261)&gt;0)</f>
        <v>1</v>
      </c>
    </row>
    <row r="262" spans="2:12" ht="13.5" x14ac:dyDescent="0.2">
      <c r="B262" s="11" t="str">
        <v>MASTER-6577</v>
      </c>
      <c r="C262" s="12" t="str" cm="1">
        <f t="array" ref="C262">_xlfn.TEXTJOIN(CHAR(10),TRUE,_xlfn._xlws.SORT(IF((--($B262=Flowdown_CIC[[URS]:[URS]]))*(--(C$14=Flowdown_CIC[[Source.Name]:[Source.Name]])),Flowdown_CIC[[SyRS]:[SyRS]],"")))</f>
        <v>MASTER-42154</v>
      </c>
      <c r="D262" s="12" t="str" cm="1">
        <f t="array" ref="D262">_xlfn.TEXTJOIN(CHAR(10),TRUE,_xlfn._xlws.SORT(IF((--($B262=Flowdown_CIC[[URS]:[URS]]))*(--(D$14=Flowdown_CIC[[Source.Name]:[Source.Name]])),Flowdown_CIC[[SyRS]:[SyRS]],"")))</f>
        <v>MASTER-42154</v>
      </c>
      <c r="E262" s="12" t="str" cm="1">
        <f t="array" ref="E262">_xlfn.TEXTJOIN(CHAR(10),TRUE,_xlfn._xlws.SORT(IF((--($B262=Flowdown_CIC[[URS]:[URS]]))*(--(E$14=Flowdown_CIC[[Source.Name]:[Source.Name]])),Flowdown_CIC[[SyRS]:[SyRS]],"")))</f>
        <v>MASTER-42154</v>
      </c>
      <c r="F262" s="12" t="str" cm="1">
        <f t="array" ref="F262">_xlfn.TEXTJOIN(CHAR(10),TRUE,_xlfn._xlws.SORT(IF((--($B262=Flowdown_CIC[[URS]:[URS]]))*(--(F$14=Flowdown_CIC[[Source.Name]:[Source.Name]])),Flowdown_CIC[[SyRS]:[SyRS]],"")))</f>
        <v>MASTER-42154</v>
      </c>
      <c r="G262" s="12" t="str" cm="1">
        <f t="array" ref="G262">_xlfn.TEXTJOIN(CHAR(10),TRUE,_xlfn._xlws.SORT(IF((--($B262=Flowdown_CIC[[URS]:[URS]]))*(--(G$14=Flowdown_CIC[[Source.Name]:[Source.Name]])),Flowdown_CIC[[SyRS]:[SyRS]],"")))</f>
        <v>MASTER-42154</v>
      </c>
      <c r="H262" s="12" t="str" cm="1">
        <f t="array" ref="H262">_xlfn.TEXTJOIN(CHAR(10),TRUE,_xlfn._xlws.SORT(IF((--($B262=Flowdown_CIC[[URS]:[URS]]))*(--(H$14=Flowdown_CIC[[Source.Name]:[Source.Name]])),Flowdown_CIC[[SyRS]:[SyRS]],"")))</f>
        <v/>
      </c>
      <c r="I262" s="12" t="str" cm="1">
        <f t="array" ref="I262">_xlfn.TEXTJOIN(CHAR(10),TRUE,_xlfn._xlws.SORT(IF((--($B262=Flowdown_CIC[[URS]:[URS]]))*(--(I$14=Flowdown_CIC[[Source.Name]:[Source.Name]])),Flowdown_CIC[[SyRS]:[SyRS]],"")))</f>
        <v/>
      </c>
      <c r="J262" s="12" t="str" cm="1">
        <f t="array" ref="J262">_xlfn.TEXTJOIN(CHAR(10),TRUE,_xlfn._xlws.SORT(IF((--($B262=Flowdown_CIC[[URS]:[URS]]))*(--(J$14=Flowdown_CIC[[Source.Name]:[Source.Name]])),Flowdown_CIC[[SyRS]:[SyRS]],"")))</f>
        <v/>
      </c>
      <c r="K262" s="12" t="str" cm="1">
        <f t="array" ref="K262">_xlfn.TEXTJOIN(CHAR(10),TRUE,_xlfn._xlws.SORT(IF((--($B262=Flowdown_CIC[[URS]:[URS]]))*(--(K$14=Flowdown_CIC[[Source.Name]:[Source.Name]])),Flowdown_CIC[[SyRS]:[SyRS]],"")))</f>
        <v/>
      </c>
      <c r="L262" s="16" t="b" cm="1">
        <f t="array" ref="L262">OR(LEN(C262:K262)&gt;0)</f>
        <v>1</v>
      </c>
    </row>
    <row r="263" spans="2:12" ht="13.5" x14ac:dyDescent="0.2">
      <c r="B263" s="11" t="str">
        <v>MASTER-6579</v>
      </c>
      <c r="C263" s="12" t="str" cm="1">
        <f t="array" ref="C263">_xlfn.TEXTJOIN(CHAR(10),TRUE,_xlfn._xlws.SORT(IF((--($B263=Flowdown_CIC[[URS]:[URS]]))*(--(C$14=Flowdown_CIC[[Source.Name]:[Source.Name]])),Flowdown_CIC[[SyRS]:[SyRS]],"")))</f>
        <v>MASTER-42160</v>
      </c>
      <c r="D263" s="12" t="str" cm="1">
        <f t="array" ref="D263">_xlfn.TEXTJOIN(CHAR(10),TRUE,_xlfn._xlws.SORT(IF((--($B263=Flowdown_CIC[[URS]:[URS]]))*(--(D$14=Flowdown_CIC[[Source.Name]:[Source.Name]])),Flowdown_CIC[[SyRS]:[SyRS]],"")))</f>
        <v>MASTER-42160</v>
      </c>
      <c r="E263" s="12" t="str" cm="1">
        <f t="array" ref="E263">_xlfn.TEXTJOIN(CHAR(10),TRUE,_xlfn._xlws.SORT(IF((--($B263=Flowdown_CIC[[URS]:[URS]]))*(--(E$14=Flowdown_CIC[[Source.Name]:[Source.Name]])),Flowdown_CIC[[SyRS]:[SyRS]],"")))</f>
        <v>MASTER-42160</v>
      </c>
      <c r="F263" s="12" t="str" cm="1">
        <f t="array" ref="F263">_xlfn.TEXTJOIN(CHAR(10),TRUE,_xlfn._xlws.SORT(IF((--($B263=Flowdown_CIC[[URS]:[URS]]))*(--(F$14=Flowdown_CIC[[Source.Name]:[Source.Name]])),Flowdown_CIC[[SyRS]:[SyRS]],"")))</f>
        <v>MASTER-42160</v>
      </c>
      <c r="G263" s="12" t="str" cm="1">
        <f t="array" ref="G263">_xlfn.TEXTJOIN(CHAR(10),TRUE,_xlfn._xlws.SORT(IF((--($B263=Flowdown_CIC[[URS]:[URS]]))*(--(G$14=Flowdown_CIC[[Source.Name]:[Source.Name]])),Flowdown_CIC[[SyRS]:[SyRS]],"")))</f>
        <v>MASTER-42160</v>
      </c>
      <c r="H263" s="12" t="str" cm="1">
        <f t="array" ref="H263">_xlfn.TEXTJOIN(CHAR(10),TRUE,_xlfn._xlws.SORT(IF((--($B263=Flowdown_CIC[[URS]:[URS]]))*(--(H$14=Flowdown_CIC[[Source.Name]:[Source.Name]])),Flowdown_CIC[[SyRS]:[SyRS]],"")))</f>
        <v/>
      </c>
      <c r="I263" s="12" t="str" cm="1">
        <f t="array" ref="I263">_xlfn.TEXTJOIN(CHAR(10),TRUE,_xlfn._xlws.SORT(IF((--($B263=Flowdown_CIC[[URS]:[URS]]))*(--(I$14=Flowdown_CIC[[Source.Name]:[Source.Name]])),Flowdown_CIC[[SyRS]:[SyRS]],"")))</f>
        <v/>
      </c>
      <c r="J263" s="12" t="str" cm="1">
        <f t="array" ref="J263">_xlfn.TEXTJOIN(CHAR(10),TRUE,_xlfn._xlws.SORT(IF((--($B263=Flowdown_CIC[[URS]:[URS]]))*(--(J$14=Flowdown_CIC[[Source.Name]:[Source.Name]])),Flowdown_CIC[[SyRS]:[SyRS]],"")))</f>
        <v/>
      </c>
      <c r="K263" s="12" t="str" cm="1">
        <f t="array" ref="K263">_xlfn.TEXTJOIN(CHAR(10),TRUE,_xlfn._xlws.SORT(IF((--($B263=Flowdown_CIC[[URS]:[URS]]))*(--(K$14=Flowdown_CIC[[Source.Name]:[Source.Name]])),Flowdown_CIC[[SyRS]:[SyRS]],"")))</f>
        <v/>
      </c>
      <c r="L263" s="16" t="b" cm="1">
        <f t="array" ref="L263">OR(LEN(C263:K263)&gt;0)</f>
        <v>1</v>
      </c>
    </row>
    <row r="264" spans="2:12" ht="27" x14ac:dyDescent="0.2">
      <c r="B264" s="11" t="str">
        <v>MASTER-6585</v>
      </c>
      <c r="C264" s="12" t="str" cm="1">
        <f t="array" ref="C264">_xlfn.TEXTJOIN(CHAR(10),TRUE,_xlfn._xlws.SORT(IF((--($B264=Flowdown_CIC[[URS]:[URS]]))*(--(C$14=Flowdown_CIC[[Source.Name]:[Source.Name]])),Flowdown_CIC[[SyRS]:[SyRS]],"")))</f>
        <v>MASTER-19278</v>
      </c>
      <c r="D264" s="12" t="str" cm="1">
        <f t="array" ref="D264">_xlfn.TEXTJOIN(CHAR(10),TRUE,_xlfn._xlws.SORT(IF((--($B264=Flowdown_CIC[[URS]:[URS]]))*(--(D$14=Flowdown_CIC[[Source.Name]:[Source.Name]])),Flowdown_CIC[[SyRS]:[SyRS]],"")))</f>
        <v>MASTER-19278</v>
      </c>
      <c r="E264" s="12" t="str" cm="1">
        <f t="array" ref="E264">_xlfn.TEXTJOIN(CHAR(10),TRUE,_xlfn._xlws.SORT(IF((--($B264=Flowdown_CIC[[URS]:[URS]]))*(--(E$14=Flowdown_CIC[[Source.Name]:[Source.Name]])),Flowdown_CIC[[SyRS]:[SyRS]],"")))</f>
        <v>MASTER-19278</v>
      </c>
      <c r="F264" s="12" t="str" cm="1">
        <f t="array" ref="F264">_xlfn.TEXTJOIN(CHAR(10),TRUE,_xlfn._xlws.SORT(IF((--($B264=Flowdown_CIC[[URS]:[URS]]))*(--(F$14=Flowdown_CIC[[Source.Name]:[Source.Name]])),Flowdown_CIC[[SyRS]:[SyRS]],"")))</f>
        <v>MASTER-19278</v>
      </c>
      <c r="G264" s="12" t="str" cm="1">
        <f t="array" ref="G264">_xlfn.TEXTJOIN(CHAR(10),TRUE,_xlfn._xlws.SORT(IF((--($B264=Flowdown_CIC[[URS]:[URS]]))*(--(G$14=Flowdown_CIC[[Source.Name]:[Source.Name]])),Flowdown_CIC[[SyRS]:[SyRS]],"")))</f>
        <v>MASTER-19278</v>
      </c>
      <c r="H264" s="12" t="str" cm="1">
        <f t="array" ref="H264">_xlfn.TEXTJOIN(CHAR(10),TRUE,_xlfn._xlws.SORT(IF((--($B264=Flowdown_CIC[[URS]:[URS]]))*(--(H$14=Flowdown_CIC[[Source.Name]:[Source.Name]])),Flowdown_CIC[[SyRS]:[SyRS]],"")))</f>
        <v/>
      </c>
      <c r="I264" s="12" t="str" cm="1">
        <f t="array" ref="I264">_xlfn.TEXTJOIN(CHAR(10),TRUE,_xlfn._xlws.SORT(IF((--($B264=Flowdown_CIC[[URS]:[URS]]))*(--(I$14=Flowdown_CIC[[Source.Name]:[Source.Name]])),Flowdown_CIC[[SyRS]:[SyRS]],"")))</f>
        <v>MASTER-48455
UTICA-205</v>
      </c>
      <c r="J264" s="12" t="str" cm="1">
        <f t="array" ref="J264">_xlfn.TEXTJOIN(CHAR(10),TRUE,_xlfn._xlws.SORT(IF((--($B264=Flowdown_CIC[[URS]:[URS]]))*(--(J$14=Flowdown_CIC[[Source.Name]:[Source.Name]])),Flowdown_CIC[[SyRS]:[SyRS]],"")))</f>
        <v>MASTER-48455</v>
      </c>
      <c r="K264" s="12" t="str" cm="1">
        <f t="array" ref="K264">_xlfn.TEXTJOIN(CHAR(10),TRUE,_xlfn._xlws.SORT(IF((--($B264=Flowdown_CIC[[URS]:[URS]]))*(--(K$14=Flowdown_CIC[[Source.Name]:[Source.Name]])),Flowdown_CIC[[SyRS]:[SyRS]],"")))</f>
        <v/>
      </c>
      <c r="L264" s="16" t="b" cm="1">
        <f t="array" ref="L264">OR(LEN(C264:K264)&gt;0)</f>
        <v>1</v>
      </c>
    </row>
    <row r="265" spans="2:12" ht="409.5" x14ac:dyDescent="0.2">
      <c r="B265" s="11" t="str">
        <v>MASTER-6587</v>
      </c>
      <c r="C265" s="12" t="str" cm="1">
        <f t="array" ref="C265">_xlfn.TEXTJOIN(CHAR(10),TRUE,_xlfn._xlws.SORT(IF((--($B265=Flowdown_CIC[[URS]:[URS]]))*(--(C$14=Flowdown_CIC[[Source.Name]:[Source.Name]])),Flowdown_CIC[[SyRS]:[SyRS]],"")))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65" s="12" t="str" cm="1">
        <f t="array" ref="D265">_xlfn.TEXTJOIN(CHAR(10),TRUE,_xlfn._xlws.SORT(IF((--($B265=Flowdown_CIC[[URS]:[URS]]))*(--(D$14=Flowdown_CIC[[Source.Name]:[Source.Name]])),Flowdown_CIC[[SyRS]:[SyRS]],"")))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65" s="12" t="str" cm="1">
        <f t="array" ref="E265">_xlfn.TEXTJOIN(CHAR(10),TRUE,_xlfn._xlws.SORT(IF((--($B265=Flowdown_CIC[[URS]:[URS]]))*(--(E$14=Flowdown_CIC[[Source.Name]:[Source.Name]])),Flowdown_CIC[[SyRS]:[SyRS]],"")))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65" s="12" t="str" cm="1">
        <f t="array" ref="F265">_xlfn.TEXTJOIN(CHAR(10),TRUE,_xlfn._xlws.SORT(IF((--($B265=Flowdown_CIC[[URS]:[URS]]))*(--(F$14=Flowdown_CIC[[Source.Name]:[Source.Name]])),Flowdown_CIC[[SyRS]:[SyRS]],"")))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65" s="12" t="str" cm="1">
        <f t="array" ref="G265">_xlfn.TEXTJOIN(CHAR(10),TRUE,_xlfn._xlws.SORT(IF((--($B265=Flowdown_CIC[[URS]:[URS]]))*(--(G$14=Flowdown_CIC[[Source.Name]:[Source.Name]])),Flowdown_CIC[[SyRS]:[SyRS]],"")))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65" s="12" t="str" cm="1">
        <f t="array" ref="H265">_xlfn.TEXTJOIN(CHAR(10),TRUE,_xlfn._xlws.SORT(IF((--($B265=Flowdown_CIC[[URS]:[URS]]))*(--(H$14=Flowdown_CIC[[Source.Name]:[Source.Name]])),Flowdown_CIC[[SyRS]:[SyRS]],"")))</f>
        <v/>
      </c>
      <c r="I265" s="12" t="str" cm="1">
        <f t="array" ref="I265">_xlfn.TEXTJOIN(CHAR(10),TRUE,_xlfn._xlws.SORT(IF((--($B265=Flowdown_CIC[[URS]:[URS]]))*(--(I$14=Flowdown_CIC[[Source.Name]:[Source.Name]])),Flowdown_CIC[[SyRS]:[SyRS]],"")))</f>
        <v/>
      </c>
      <c r="J265" s="12" t="str" cm="1">
        <f t="array" ref="J265">_xlfn.TEXTJOIN(CHAR(10),TRUE,_xlfn._xlws.SORT(IF((--($B265=Flowdown_CIC[[URS]:[URS]]))*(--(J$14=Flowdown_CIC[[Source.Name]:[Source.Name]])),Flowdown_CIC[[SyRS]:[SyRS]],"")))</f>
        <v/>
      </c>
      <c r="K265" s="12" t="str" cm="1">
        <f t="array" ref="K265">_xlfn.TEXTJOIN(CHAR(10),TRUE,_xlfn._xlws.SORT(IF((--($B265=Flowdown_CIC[[URS]:[URS]]))*(--(K$14=Flowdown_CIC[[Source.Name]:[Source.Name]])),Flowdown_CIC[[SyRS]:[SyRS]],"")))</f>
        <v>MASTER-16473
MASTER-16726
MASTER-16728
MASTER-16735
MASTER-16736
UTICA-6410</v>
      </c>
      <c r="L265" s="16" t="b" cm="1">
        <f t="array" ref="L265">OR(LEN(C265:K265)&gt;0)</f>
        <v>1</v>
      </c>
    </row>
    <row r="266" spans="2:12" ht="202.5" x14ac:dyDescent="0.2">
      <c r="B266" s="11" t="str">
        <v>MASTER-6591</v>
      </c>
      <c r="C266" s="12" t="str" cm="1">
        <f t="array" ref="C266">_xlfn.TEXTJOIN(CHAR(10),TRUE,_xlfn._xlws.SORT(IF((--($B266=Flowdown_CIC[[URS]:[URS]]))*(--(C$14=Flowdown_CIC[[Source.Name]:[Source.Name]])),Flowdown_CIC[[SyRS]:[SyRS]],"")))</f>
        <v>MASTER-18101
MASTER-18102
MASTER-18104
MASTER-18105
MASTER-18622
MASTER-19593
MASTER-19594
MASTER-19598
MASTER-19599
MASTER-19602
MASTER-42106
UTICA-6854</v>
      </c>
      <c r="D266" s="12" t="str" cm="1">
        <f t="array" ref="D266">_xlfn.TEXTJOIN(CHAR(10),TRUE,_xlfn._xlws.SORT(IF((--($B266=Flowdown_CIC[[URS]:[URS]]))*(--(D$14=Flowdown_CIC[[Source.Name]:[Source.Name]])),Flowdown_CIC[[SyRS]:[SyRS]],"")))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E266" s="12" t="str" cm="1">
        <f t="array" ref="E266">_xlfn.TEXTJOIN(CHAR(10),TRUE,_xlfn._xlws.SORT(IF((--($B266=Flowdown_CIC[[URS]:[URS]]))*(--(E$14=Flowdown_CIC[[Source.Name]:[Source.Name]])),Flowdown_CIC[[SyRS]:[SyRS]],"")))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F266" s="12" t="str" cm="1">
        <f t="array" ref="F266">_xlfn.TEXTJOIN(CHAR(10),TRUE,_xlfn._xlws.SORT(IF((--($B266=Flowdown_CIC[[URS]:[URS]]))*(--(F$14=Flowdown_CIC[[Source.Name]:[Source.Name]])),Flowdown_CIC[[SyRS]:[SyRS]],"")))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G266" s="12" t="str" cm="1">
        <f t="array" ref="G266">_xlfn.TEXTJOIN(CHAR(10),TRUE,_xlfn._xlws.SORT(IF((--($B266=Flowdown_CIC[[URS]:[URS]]))*(--(G$14=Flowdown_CIC[[Source.Name]:[Source.Name]])),Flowdown_CIC[[SyRS]:[SyRS]],"")))</f>
        <v>MASTER-18101
MASTER-18102
MASTER-18104
MASTER-18105
MASTER-18622
MASTER-19593
MASTER-19594
MASTER-19598
MASTER-19599
MASTER-19602
MASTER-42106
UTICA-6854</v>
      </c>
      <c r="H266" s="12" t="str" cm="1">
        <f t="array" ref="H266">_xlfn.TEXTJOIN(CHAR(10),TRUE,_xlfn._xlws.SORT(IF((--($B266=Flowdown_CIC[[URS]:[URS]]))*(--(H$14=Flowdown_CIC[[Source.Name]:[Source.Name]])),Flowdown_CIC[[SyRS]:[SyRS]],"")))</f>
        <v/>
      </c>
      <c r="I266" s="12" t="str" cm="1">
        <f t="array" ref="I266">_xlfn.TEXTJOIN(CHAR(10),TRUE,_xlfn._xlws.SORT(IF((--($B266=Flowdown_CIC[[URS]:[URS]]))*(--(I$14=Flowdown_CIC[[Source.Name]:[Source.Name]])),Flowdown_CIC[[SyRS]:[SyRS]],"")))</f>
        <v/>
      </c>
      <c r="J266" s="12" t="str" cm="1">
        <f t="array" ref="J266">_xlfn.TEXTJOIN(CHAR(10),TRUE,_xlfn._xlws.SORT(IF((--($B266=Flowdown_CIC[[URS]:[URS]]))*(--(J$14=Flowdown_CIC[[Source.Name]:[Source.Name]])),Flowdown_CIC[[SyRS]:[SyRS]],"")))</f>
        <v/>
      </c>
      <c r="K266" s="12" t="str" cm="1">
        <f t="array" ref="K266">_xlfn.TEXTJOIN(CHAR(10),TRUE,_xlfn._xlws.SORT(IF((--($B266=Flowdown_CIC[[URS]:[URS]]))*(--(K$14=Flowdown_CIC[[Source.Name]:[Source.Name]])),Flowdown_CIC[[SyRS]:[SyRS]],"")))</f>
        <v>MASTER-16598
MASTER-16599
MASTER-16600
MASTER-16601
MASTER-16604
MASTER-16605
MASTER-16606
MASTER-16609
MASTER-16611
MASTER-16612
MASTER-16613
MASTER-16615
MASTER-16616
MASTER-50125
UTICA-24698</v>
      </c>
      <c r="L266" s="16" t="b" cm="1">
        <f t="array" ref="L266">OR(LEN(C266:K266)&gt;0)</f>
        <v>1</v>
      </c>
    </row>
    <row r="267" spans="2:12" ht="94.5" x14ac:dyDescent="0.2">
      <c r="B267" s="11" t="str">
        <v>MASTER-6592</v>
      </c>
      <c r="C267" s="12" t="str" cm="1">
        <f t="array" ref="C267">_xlfn.TEXTJOIN(CHAR(10),TRUE,_xlfn._xlws.SORT(IF((--($B267=Flowdown_CIC[[URS]:[URS]]))*(--(C$14=Flowdown_CIC[[Source.Name]:[Source.Name]])),Flowdown_CIC[[SyRS]:[SyRS]],"")))</f>
        <v>MASTER-18101
MASTER-18102
MASTER-18622
MASTER-19596
MASTER-19598
MASTER-19599
MASTER-19602</v>
      </c>
      <c r="D267" s="12" t="str" cm="1">
        <f t="array" ref="D267">_xlfn.TEXTJOIN(CHAR(10),TRUE,_xlfn._xlws.SORT(IF((--($B267=Flowdown_CIC[[URS]:[URS]]))*(--(D$14=Flowdown_CIC[[Source.Name]:[Source.Name]])),Flowdown_CIC[[SyRS]:[SyRS]],"")))</f>
        <v>MASTER-18101
MASTER-18102
MASTER-18622
MASTER-19596
MASTER-19598
MASTER-19599
MASTER-19602</v>
      </c>
      <c r="E267" s="12" t="str" cm="1">
        <f t="array" ref="E267">_xlfn.TEXTJOIN(CHAR(10),TRUE,_xlfn._xlws.SORT(IF((--($B267=Flowdown_CIC[[URS]:[URS]]))*(--(E$14=Flowdown_CIC[[Source.Name]:[Source.Name]])),Flowdown_CIC[[SyRS]:[SyRS]],"")))</f>
        <v>MASTER-18101
MASTER-18102
MASTER-18622
MASTER-19596
MASTER-19598
MASTER-19599
MASTER-19602</v>
      </c>
      <c r="F267" s="12" t="str" cm="1">
        <f t="array" ref="F267">_xlfn.TEXTJOIN(CHAR(10),TRUE,_xlfn._xlws.SORT(IF((--($B267=Flowdown_CIC[[URS]:[URS]]))*(--(F$14=Flowdown_CIC[[Source.Name]:[Source.Name]])),Flowdown_CIC[[SyRS]:[SyRS]],"")))</f>
        <v>MASTER-18101
MASTER-18102
MASTER-18622
MASTER-19596
MASTER-19598
MASTER-19599
MASTER-19602</v>
      </c>
      <c r="G267" s="12" t="str" cm="1">
        <f t="array" ref="G267">_xlfn.TEXTJOIN(CHAR(10),TRUE,_xlfn._xlws.SORT(IF((--($B267=Flowdown_CIC[[URS]:[URS]]))*(--(G$14=Flowdown_CIC[[Source.Name]:[Source.Name]])),Flowdown_CIC[[SyRS]:[SyRS]],"")))</f>
        <v>MASTER-18101
MASTER-18102
MASTER-18622
MASTER-19596
MASTER-19598
MASTER-19599
MASTER-19602</v>
      </c>
      <c r="H267" s="12" t="str" cm="1">
        <f t="array" ref="H267">_xlfn.TEXTJOIN(CHAR(10),TRUE,_xlfn._xlws.SORT(IF((--($B267=Flowdown_CIC[[URS]:[URS]]))*(--(H$14=Flowdown_CIC[[Source.Name]:[Source.Name]])),Flowdown_CIC[[SyRS]:[SyRS]],"")))</f>
        <v/>
      </c>
      <c r="I267" s="12" t="str" cm="1">
        <f t="array" ref="I267">_xlfn.TEXTJOIN(CHAR(10),TRUE,_xlfn._xlws.SORT(IF((--($B267=Flowdown_CIC[[URS]:[URS]]))*(--(I$14=Flowdown_CIC[[Source.Name]:[Source.Name]])),Flowdown_CIC[[SyRS]:[SyRS]],"")))</f>
        <v/>
      </c>
      <c r="J267" s="12" t="str" cm="1">
        <f t="array" ref="J267">_xlfn.TEXTJOIN(CHAR(10),TRUE,_xlfn._xlws.SORT(IF((--($B267=Flowdown_CIC[[URS]:[URS]]))*(--(J$14=Flowdown_CIC[[Source.Name]:[Source.Name]])),Flowdown_CIC[[SyRS]:[SyRS]],"")))</f>
        <v/>
      </c>
      <c r="K267" s="12" t="str" cm="1">
        <f t="array" ref="K267">_xlfn.TEXTJOIN(CHAR(10),TRUE,_xlfn._xlws.SORT(IF((--($B267=Flowdown_CIC[[URS]:[URS]]))*(--(K$14=Flowdown_CIC[[Source.Name]:[Source.Name]])),Flowdown_CIC[[SyRS]:[SyRS]],"")))</f>
        <v/>
      </c>
      <c r="L267" s="16" t="b" cm="1">
        <f t="array" ref="L267">OR(LEN(C267:K267)&gt;0)</f>
        <v>1</v>
      </c>
    </row>
    <row r="268" spans="2:12" ht="13.5" x14ac:dyDescent="0.2">
      <c r="B268" s="11" t="str">
        <v>MASTER-6593</v>
      </c>
      <c r="C268" s="12" t="str" cm="1">
        <f t="array" ref="C268">_xlfn.TEXTJOIN(CHAR(10),TRUE,_xlfn._xlws.SORT(IF((--($B268=Flowdown_CIC[[URS]:[URS]]))*(--(C$14=Flowdown_CIC[[Source.Name]:[Source.Name]])),Flowdown_CIC[[SyRS]:[SyRS]],"")))</f>
        <v>MASTER-18622</v>
      </c>
      <c r="D268" s="12" t="str" cm="1">
        <f t="array" ref="D268">_xlfn.TEXTJOIN(CHAR(10),TRUE,_xlfn._xlws.SORT(IF((--($B268=Flowdown_CIC[[URS]:[URS]]))*(--(D$14=Flowdown_CIC[[Source.Name]:[Source.Name]])),Flowdown_CIC[[SyRS]:[SyRS]],"")))</f>
        <v>MASTER-18622</v>
      </c>
      <c r="E268" s="12" t="str" cm="1">
        <f t="array" ref="E268">_xlfn.TEXTJOIN(CHAR(10),TRUE,_xlfn._xlws.SORT(IF((--($B268=Flowdown_CIC[[URS]:[URS]]))*(--(E$14=Flowdown_CIC[[Source.Name]:[Source.Name]])),Flowdown_CIC[[SyRS]:[SyRS]],"")))</f>
        <v>MASTER-18622</v>
      </c>
      <c r="F268" s="12" t="str" cm="1">
        <f t="array" ref="F268">_xlfn.TEXTJOIN(CHAR(10),TRUE,_xlfn._xlws.SORT(IF((--($B268=Flowdown_CIC[[URS]:[URS]]))*(--(F$14=Flowdown_CIC[[Source.Name]:[Source.Name]])),Flowdown_CIC[[SyRS]:[SyRS]],"")))</f>
        <v>MASTER-18622</v>
      </c>
      <c r="G268" s="12" t="str" cm="1">
        <f t="array" ref="G268">_xlfn.TEXTJOIN(CHAR(10),TRUE,_xlfn._xlws.SORT(IF((--($B268=Flowdown_CIC[[URS]:[URS]]))*(--(G$14=Flowdown_CIC[[Source.Name]:[Source.Name]])),Flowdown_CIC[[SyRS]:[SyRS]],"")))</f>
        <v>MASTER-18622</v>
      </c>
      <c r="H268" s="12" t="str" cm="1">
        <f t="array" ref="H268">_xlfn.TEXTJOIN(CHAR(10),TRUE,_xlfn._xlws.SORT(IF((--($B268=Flowdown_CIC[[URS]:[URS]]))*(--(H$14=Flowdown_CIC[[Source.Name]:[Source.Name]])),Flowdown_CIC[[SyRS]:[SyRS]],"")))</f>
        <v/>
      </c>
      <c r="I268" s="12" t="str" cm="1">
        <f t="array" ref="I268">_xlfn.TEXTJOIN(CHAR(10),TRUE,_xlfn._xlws.SORT(IF((--($B268=Flowdown_CIC[[URS]:[URS]]))*(--(I$14=Flowdown_CIC[[Source.Name]:[Source.Name]])),Flowdown_CIC[[SyRS]:[SyRS]],"")))</f>
        <v/>
      </c>
      <c r="J268" s="12" t="str" cm="1">
        <f t="array" ref="J268">_xlfn.TEXTJOIN(CHAR(10),TRUE,_xlfn._xlws.SORT(IF((--($B268=Flowdown_CIC[[URS]:[URS]]))*(--(J$14=Flowdown_CIC[[Source.Name]:[Source.Name]])),Flowdown_CIC[[SyRS]:[SyRS]],"")))</f>
        <v/>
      </c>
      <c r="K268" s="12" t="str" cm="1">
        <f t="array" ref="K268">_xlfn.TEXTJOIN(CHAR(10),TRUE,_xlfn._xlws.SORT(IF((--($B268=Flowdown_CIC[[URS]:[URS]]))*(--(K$14=Flowdown_CIC[[Source.Name]:[Source.Name]])),Flowdown_CIC[[SyRS]:[SyRS]],"")))</f>
        <v/>
      </c>
      <c r="L268" s="16" t="b" cm="1">
        <f t="array" ref="L268">OR(LEN(C268:K268)&gt;0)</f>
        <v>1</v>
      </c>
    </row>
    <row r="269" spans="2:12" ht="81" x14ac:dyDescent="0.2">
      <c r="B269" s="11" t="str">
        <v>MASTER-6595</v>
      </c>
      <c r="C269" s="12" t="str" cm="1">
        <f t="array" ref="C269">_xlfn.TEXTJOIN(CHAR(10),TRUE,_xlfn._xlws.SORT(IF((--($B269=Flowdown_CIC[[URS]:[URS]]))*(--(C$14=Flowdown_CIC[[Source.Name]:[Source.Name]])),Flowdown_CIC[[SyRS]:[SyRS]],"")))</f>
        <v>MASTER-19615
MASTER-19617
MASTER-19618
MASTER-19619
MASTER-19620
MASTER-19621</v>
      </c>
      <c r="D269" s="12" t="str" cm="1">
        <f t="array" ref="D269">_xlfn.TEXTJOIN(CHAR(10),TRUE,_xlfn._xlws.SORT(IF((--($B269=Flowdown_CIC[[URS]:[URS]]))*(--(D$14=Flowdown_CIC[[Source.Name]:[Source.Name]])),Flowdown_CIC[[SyRS]:[SyRS]],"")))</f>
        <v>MASTER-19615
MASTER-19617
MASTER-19618
MASTER-19619
MASTER-19620
MASTER-19621</v>
      </c>
      <c r="E269" s="12" t="str" cm="1">
        <f t="array" ref="E269">_xlfn.TEXTJOIN(CHAR(10),TRUE,_xlfn._xlws.SORT(IF((--($B269=Flowdown_CIC[[URS]:[URS]]))*(--(E$14=Flowdown_CIC[[Source.Name]:[Source.Name]])),Flowdown_CIC[[SyRS]:[SyRS]],"")))</f>
        <v>MASTER-19615
MASTER-19617
MASTER-19618
MASTER-19619
MASTER-19620
MASTER-19621</v>
      </c>
      <c r="F269" s="12" t="str" cm="1">
        <f t="array" ref="F269">_xlfn.TEXTJOIN(CHAR(10),TRUE,_xlfn._xlws.SORT(IF((--($B269=Flowdown_CIC[[URS]:[URS]]))*(--(F$14=Flowdown_CIC[[Source.Name]:[Source.Name]])),Flowdown_CIC[[SyRS]:[SyRS]],"")))</f>
        <v>MASTER-19615
MASTER-19617
MASTER-19618
MASTER-19619
MASTER-19620
MASTER-19621</v>
      </c>
      <c r="G269" s="12" t="str" cm="1">
        <f t="array" ref="G269">_xlfn.TEXTJOIN(CHAR(10),TRUE,_xlfn._xlws.SORT(IF((--($B269=Flowdown_CIC[[URS]:[URS]]))*(--(G$14=Flowdown_CIC[[Source.Name]:[Source.Name]])),Flowdown_CIC[[SyRS]:[SyRS]],"")))</f>
        <v>MASTER-19615
MASTER-19617
MASTER-19618
MASTER-19619
MASTER-19620
MASTER-19621</v>
      </c>
      <c r="H269" s="12" t="str" cm="1">
        <f t="array" ref="H269">_xlfn.TEXTJOIN(CHAR(10),TRUE,_xlfn._xlws.SORT(IF((--($B269=Flowdown_CIC[[URS]:[URS]]))*(--(H$14=Flowdown_CIC[[Source.Name]:[Source.Name]])),Flowdown_CIC[[SyRS]:[SyRS]],"")))</f>
        <v/>
      </c>
      <c r="I269" s="12" t="str" cm="1">
        <f t="array" ref="I269">_xlfn.TEXTJOIN(CHAR(10),TRUE,_xlfn._xlws.SORT(IF((--($B269=Flowdown_CIC[[URS]:[URS]]))*(--(I$14=Flowdown_CIC[[Source.Name]:[Source.Name]])),Flowdown_CIC[[SyRS]:[SyRS]],"")))</f>
        <v/>
      </c>
      <c r="J269" s="12" t="str" cm="1">
        <f t="array" ref="J269">_xlfn.TEXTJOIN(CHAR(10),TRUE,_xlfn._xlws.SORT(IF((--($B269=Flowdown_CIC[[URS]:[URS]]))*(--(J$14=Flowdown_CIC[[Source.Name]:[Source.Name]])),Flowdown_CIC[[SyRS]:[SyRS]],"")))</f>
        <v/>
      </c>
      <c r="K269" s="12" t="str" cm="1">
        <f t="array" ref="K269">_xlfn.TEXTJOIN(CHAR(10),TRUE,_xlfn._xlws.SORT(IF((--($B269=Flowdown_CIC[[URS]:[URS]]))*(--(K$14=Flowdown_CIC[[Source.Name]:[Source.Name]])),Flowdown_CIC[[SyRS]:[SyRS]],"")))</f>
        <v/>
      </c>
      <c r="L269" s="16" t="b" cm="1">
        <f t="array" ref="L269">OR(LEN(C269:K269)&gt;0)</f>
        <v>1</v>
      </c>
    </row>
    <row r="270" spans="2:12" ht="54" x14ac:dyDescent="0.2">
      <c r="B270" s="11" t="str">
        <v>MASTER-6596</v>
      </c>
      <c r="C270" s="12" t="str" cm="1">
        <f t="array" ref="C270">_xlfn.TEXTJOIN(CHAR(10),TRUE,_xlfn._xlws.SORT(IF((--($B270=Flowdown_CIC[[URS]:[URS]]))*(--(C$14=Flowdown_CIC[[Source.Name]:[Source.Name]])),Flowdown_CIC[[SyRS]:[SyRS]],"")))</f>
        <v/>
      </c>
      <c r="D270" s="12" t="str" cm="1">
        <f t="array" ref="D270">_xlfn.TEXTJOIN(CHAR(10),TRUE,_xlfn._xlws.SORT(IF((--($B270=Flowdown_CIC[[URS]:[URS]]))*(--(D$14=Flowdown_CIC[[Source.Name]:[Source.Name]])),Flowdown_CIC[[SyRS]:[SyRS]],"")))</f>
        <v/>
      </c>
      <c r="E270" s="12" t="str" cm="1">
        <f t="array" ref="E270">_xlfn.TEXTJOIN(CHAR(10),TRUE,_xlfn._xlws.SORT(IF((--($B270=Flowdown_CIC[[URS]:[URS]]))*(--(E$14=Flowdown_CIC[[Source.Name]:[Source.Name]])),Flowdown_CIC[[SyRS]:[SyRS]],"")))</f>
        <v/>
      </c>
      <c r="F270" s="12" t="str" cm="1">
        <f t="array" ref="F270">_xlfn.TEXTJOIN(CHAR(10),TRUE,_xlfn._xlws.SORT(IF((--($B270=Flowdown_CIC[[URS]:[URS]]))*(--(F$14=Flowdown_CIC[[Source.Name]:[Source.Name]])),Flowdown_CIC[[SyRS]:[SyRS]],"")))</f>
        <v/>
      </c>
      <c r="G270" s="12" t="str" cm="1">
        <f t="array" ref="G270">_xlfn.TEXTJOIN(CHAR(10),TRUE,_xlfn._xlws.SORT(IF((--($B270=Flowdown_CIC[[URS]:[URS]]))*(--(G$14=Flowdown_CIC[[Source.Name]:[Source.Name]])),Flowdown_CIC[[SyRS]:[SyRS]],"")))</f>
        <v/>
      </c>
      <c r="H270" s="12" t="str" cm="1">
        <f t="array" ref="H270">_xlfn.TEXTJOIN(CHAR(10),TRUE,_xlfn._xlws.SORT(IF((--($B270=Flowdown_CIC[[URS]:[URS]]))*(--(H$14=Flowdown_CIC[[Source.Name]:[Source.Name]])),Flowdown_CIC[[SyRS]:[SyRS]],"")))</f>
        <v>MASTER-22278
MASTER-22293
MASTER-22294
MASTER-41122</v>
      </c>
      <c r="I270" s="12" t="str" cm="1">
        <f t="array" ref="I270">_xlfn.TEXTJOIN(CHAR(10),TRUE,_xlfn._xlws.SORT(IF((--($B270=Flowdown_CIC[[URS]:[URS]]))*(--(I$14=Flowdown_CIC[[Source.Name]:[Source.Name]])),Flowdown_CIC[[SyRS]:[SyRS]],"")))</f>
        <v/>
      </c>
      <c r="J270" s="12" t="str" cm="1">
        <f t="array" ref="J270">_xlfn.TEXTJOIN(CHAR(10),TRUE,_xlfn._xlws.SORT(IF((--($B270=Flowdown_CIC[[URS]:[URS]]))*(--(J$14=Flowdown_CIC[[Source.Name]:[Source.Name]])),Flowdown_CIC[[SyRS]:[SyRS]],"")))</f>
        <v/>
      </c>
      <c r="K270" s="12" t="str" cm="1">
        <f t="array" ref="K270">_xlfn.TEXTJOIN(CHAR(10),TRUE,_xlfn._xlws.SORT(IF((--($B270=Flowdown_CIC[[URS]:[URS]]))*(--(K$14=Flowdown_CIC[[Source.Name]:[Source.Name]])),Flowdown_CIC[[SyRS]:[SyRS]],"")))</f>
        <v/>
      </c>
      <c r="L270" s="16" t="b" cm="1">
        <f t="array" ref="L270">OR(LEN(C270:K270)&gt;0)</f>
        <v>1</v>
      </c>
    </row>
    <row r="271" spans="2:12" ht="27" x14ac:dyDescent="0.2">
      <c r="B271" s="11" t="str">
        <v>MASTER-6597</v>
      </c>
      <c r="C271" s="12" t="str" cm="1">
        <f t="array" ref="C271">_xlfn.TEXTJOIN(CHAR(10),TRUE,_xlfn._xlws.SORT(IF((--($B271=Flowdown_CIC[[URS]:[URS]]))*(--(C$14=Flowdown_CIC[[Source.Name]:[Source.Name]])),Flowdown_CIC[[SyRS]:[SyRS]],"")))</f>
        <v/>
      </c>
      <c r="D271" s="12" t="str" cm="1">
        <f t="array" ref="D271">_xlfn.TEXTJOIN(CHAR(10),TRUE,_xlfn._xlws.SORT(IF((--($B271=Flowdown_CIC[[URS]:[URS]]))*(--(D$14=Flowdown_CIC[[Source.Name]:[Source.Name]])),Flowdown_CIC[[SyRS]:[SyRS]],"")))</f>
        <v/>
      </c>
      <c r="E271" s="12" t="str" cm="1">
        <f t="array" ref="E271">_xlfn.TEXTJOIN(CHAR(10),TRUE,_xlfn._xlws.SORT(IF((--($B271=Flowdown_CIC[[URS]:[URS]]))*(--(E$14=Flowdown_CIC[[Source.Name]:[Source.Name]])),Flowdown_CIC[[SyRS]:[SyRS]],"")))</f>
        <v/>
      </c>
      <c r="F271" s="12" t="str" cm="1">
        <f t="array" ref="F271">_xlfn.TEXTJOIN(CHAR(10),TRUE,_xlfn._xlws.SORT(IF((--($B271=Flowdown_CIC[[URS]:[URS]]))*(--(F$14=Flowdown_CIC[[Source.Name]:[Source.Name]])),Flowdown_CIC[[SyRS]:[SyRS]],"")))</f>
        <v/>
      </c>
      <c r="G271" s="12" t="str" cm="1">
        <f t="array" ref="G271">_xlfn.TEXTJOIN(CHAR(10),TRUE,_xlfn._xlws.SORT(IF((--($B271=Flowdown_CIC[[URS]:[URS]]))*(--(G$14=Flowdown_CIC[[Source.Name]:[Source.Name]])),Flowdown_CIC[[SyRS]:[SyRS]],"")))</f>
        <v/>
      </c>
      <c r="H271" s="12" t="str" cm="1">
        <f t="array" ref="H271">_xlfn.TEXTJOIN(CHAR(10),TRUE,_xlfn._xlws.SORT(IF((--($B271=Flowdown_CIC[[URS]:[URS]]))*(--(H$14=Flowdown_CIC[[Source.Name]:[Source.Name]])),Flowdown_CIC[[SyRS]:[SyRS]],"")))</f>
        <v>MASTER-22280
MASTER-22292</v>
      </c>
      <c r="I271" s="12" t="str" cm="1">
        <f t="array" ref="I271">_xlfn.TEXTJOIN(CHAR(10),TRUE,_xlfn._xlws.SORT(IF((--($B271=Flowdown_CIC[[URS]:[URS]]))*(--(I$14=Flowdown_CIC[[Source.Name]:[Source.Name]])),Flowdown_CIC[[SyRS]:[SyRS]],"")))</f>
        <v/>
      </c>
      <c r="J271" s="12" t="str" cm="1">
        <f t="array" ref="J271">_xlfn.TEXTJOIN(CHAR(10),TRUE,_xlfn._xlws.SORT(IF((--($B271=Flowdown_CIC[[URS]:[URS]]))*(--(J$14=Flowdown_CIC[[Source.Name]:[Source.Name]])),Flowdown_CIC[[SyRS]:[SyRS]],"")))</f>
        <v/>
      </c>
      <c r="K271" s="12" t="str" cm="1">
        <f t="array" ref="K271">_xlfn.TEXTJOIN(CHAR(10),TRUE,_xlfn._xlws.SORT(IF((--($B271=Flowdown_CIC[[URS]:[URS]]))*(--(K$14=Flowdown_CIC[[Source.Name]:[Source.Name]])),Flowdown_CIC[[SyRS]:[SyRS]],"")))</f>
        <v/>
      </c>
      <c r="L271" s="16" t="b" cm="1">
        <f t="array" ref="L271">OR(LEN(C271:K271)&gt;0)</f>
        <v>1</v>
      </c>
    </row>
    <row r="272" spans="2:12" ht="81" x14ac:dyDescent="0.2">
      <c r="B272" s="11" t="str">
        <v>MASTER-6598</v>
      </c>
      <c r="C272" s="12" t="str" cm="1">
        <f t="array" ref="C272">_xlfn.TEXTJOIN(CHAR(10),TRUE,_xlfn._xlws.SORT(IF((--($B272=Flowdown_CIC[[URS]:[URS]]))*(--(C$14=Flowdown_CIC[[Source.Name]:[Source.Name]])),Flowdown_CIC[[SyRS]:[SyRS]],"")))</f>
        <v/>
      </c>
      <c r="D272" s="12" t="str" cm="1">
        <f t="array" ref="D272">_xlfn.TEXTJOIN(CHAR(10),TRUE,_xlfn._xlws.SORT(IF((--($B272=Flowdown_CIC[[URS]:[URS]]))*(--(D$14=Flowdown_CIC[[Source.Name]:[Source.Name]])),Flowdown_CIC[[SyRS]:[SyRS]],"")))</f>
        <v/>
      </c>
      <c r="E272" s="12" t="str" cm="1">
        <f t="array" ref="E272">_xlfn.TEXTJOIN(CHAR(10),TRUE,_xlfn._xlws.SORT(IF((--($B272=Flowdown_CIC[[URS]:[URS]]))*(--(E$14=Flowdown_CIC[[Source.Name]:[Source.Name]])),Flowdown_CIC[[SyRS]:[SyRS]],"")))</f>
        <v/>
      </c>
      <c r="F272" s="12" t="str" cm="1">
        <f t="array" ref="F272">_xlfn.TEXTJOIN(CHAR(10),TRUE,_xlfn._xlws.SORT(IF((--($B272=Flowdown_CIC[[URS]:[URS]]))*(--(F$14=Flowdown_CIC[[Source.Name]:[Source.Name]])),Flowdown_CIC[[SyRS]:[SyRS]],"")))</f>
        <v/>
      </c>
      <c r="G272" s="12" t="str" cm="1">
        <f t="array" ref="G272">_xlfn.TEXTJOIN(CHAR(10),TRUE,_xlfn._xlws.SORT(IF((--($B272=Flowdown_CIC[[URS]:[URS]]))*(--(G$14=Flowdown_CIC[[Source.Name]:[Source.Name]])),Flowdown_CIC[[SyRS]:[SyRS]],"")))</f>
        <v/>
      </c>
      <c r="H272" s="12" t="str" cm="1">
        <f t="array" ref="H272">_xlfn.TEXTJOIN(CHAR(10),TRUE,_xlfn._xlws.SORT(IF((--($B272=Flowdown_CIC[[URS]:[URS]]))*(--(H$14=Flowdown_CIC[[Source.Name]:[Source.Name]])),Flowdown_CIC[[SyRS]:[SyRS]],"")))</f>
        <v>MASTER-22280
MASTER-22281
MASTER-22282
MASTER-22283
MASTER-22284
MASTER-22285</v>
      </c>
      <c r="I272" s="12" t="str" cm="1">
        <f t="array" ref="I272">_xlfn.TEXTJOIN(CHAR(10),TRUE,_xlfn._xlws.SORT(IF((--($B272=Flowdown_CIC[[URS]:[URS]]))*(--(I$14=Flowdown_CIC[[Source.Name]:[Source.Name]])),Flowdown_CIC[[SyRS]:[SyRS]],"")))</f>
        <v/>
      </c>
      <c r="J272" s="12" t="str" cm="1">
        <f t="array" ref="J272">_xlfn.TEXTJOIN(CHAR(10),TRUE,_xlfn._xlws.SORT(IF((--($B272=Flowdown_CIC[[URS]:[URS]]))*(--(J$14=Flowdown_CIC[[Source.Name]:[Source.Name]])),Flowdown_CIC[[SyRS]:[SyRS]],"")))</f>
        <v/>
      </c>
      <c r="K272" s="12" t="str" cm="1">
        <f t="array" ref="K272">_xlfn.TEXTJOIN(CHAR(10),TRUE,_xlfn._xlws.SORT(IF((--($B272=Flowdown_CIC[[URS]:[URS]]))*(--(K$14=Flowdown_CIC[[Source.Name]:[Source.Name]])),Flowdown_CIC[[SyRS]:[SyRS]],"")))</f>
        <v/>
      </c>
      <c r="L272" s="16" t="b" cm="1">
        <f t="array" ref="L272">OR(LEN(C272:K272)&gt;0)</f>
        <v>1</v>
      </c>
    </row>
    <row r="273" spans="2:12" ht="13.5" x14ac:dyDescent="0.2">
      <c r="B273" s="11" t="str">
        <v>MASTER-6599</v>
      </c>
      <c r="C273" s="12" t="str" cm="1">
        <f t="array" ref="C273">_xlfn.TEXTJOIN(CHAR(10),TRUE,_xlfn._xlws.SORT(IF((--($B273=Flowdown_CIC[[URS]:[URS]]))*(--(C$14=Flowdown_CIC[[Source.Name]:[Source.Name]])),Flowdown_CIC[[SyRS]:[SyRS]],"")))</f>
        <v>MASTER-19609</v>
      </c>
      <c r="D273" s="12" t="str" cm="1">
        <f t="array" ref="D273">_xlfn.TEXTJOIN(CHAR(10),TRUE,_xlfn._xlws.SORT(IF((--($B273=Flowdown_CIC[[URS]:[URS]]))*(--(D$14=Flowdown_CIC[[Source.Name]:[Source.Name]])),Flowdown_CIC[[SyRS]:[SyRS]],"")))</f>
        <v>MASTER-19609</v>
      </c>
      <c r="E273" s="12" t="str" cm="1">
        <f t="array" ref="E273">_xlfn.TEXTJOIN(CHAR(10),TRUE,_xlfn._xlws.SORT(IF((--($B273=Flowdown_CIC[[URS]:[URS]]))*(--(E$14=Flowdown_CIC[[Source.Name]:[Source.Name]])),Flowdown_CIC[[SyRS]:[SyRS]],"")))</f>
        <v>MASTER-19609</v>
      </c>
      <c r="F273" s="12" t="str" cm="1">
        <f t="array" ref="F273">_xlfn.TEXTJOIN(CHAR(10),TRUE,_xlfn._xlws.SORT(IF((--($B273=Flowdown_CIC[[URS]:[URS]]))*(--(F$14=Flowdown_CIC[[Source.Name]:[Source.Name]])),Flowdown_CIC[[SyRS]:[SyRS]],"")))</f>
        <v>MASTER-19609</v>
      </c>
      <c r="G273" s="12" t="str" cm="1">
        <f t="array" ref="G273">_xlfn.TEXTJOIN(CHAR(10),TRUE,_xlfn._xlws.SORT(IF((--($B273=Flowdown_CIC[[URS]:[URS]]))*(--(G$14=Flowdown_CIC[[Source.Name]:[Source.Name]])),Flowdown_CIC[[SyRS]:[SyRS]],"")))</f>
        <v>MASTER-19609</v>
      </c>
      <c r="H273" s="12" t="str" cm="1">
        <f t="array" ref="H273">_xlfn.TEXTJOIN(CHAR(10),TRUE,_xlfn._xlws.SORT(IF((--($B273=Flowdown_CIC[[URS]:[URS]]))*(--(H$14=Flowdown_CIC[[Source.Name]:[Source.Name]])),Flowdown_CIC[[SyRS]:[SyRS]],"")))</f>
        <v>MASTER-22279</v>
      </c>
      <c r="I273" s="12" t="str" cm="1">
        <f t="array" ref="I273">_xlfn.TEXTJOIN(CHAR(10),TRUE,_xlfn._xlws.SORT(IF((--($B273=Flowdown_CIC[[URS]:[URS]]))*(--(I$14=Flowdown_CIC[[Source.Name]:[Source.Name]])),Flowdown_CIC[[SyRS]:[SyRS]],"")))</f>
        <v/>
      </c>
      <c r="J273" s="12" t="str" cm="1">
        <f t="array" ref="J273">_xlfn.TEXTJOIN(CHAR(10),TRUE,_xlfn._xlws.SORT(IF((--($B273=Flowdown_CIC[[URS]:[URS]]))*(--(J$14=Flowdown_CIC[[Source.Name]:[Source.Name]])),Flowdown_CIC[[SyRS]:[SyRS]],"")))</f>
        <v/>
      </c>
      <c r="K273" s="12" t="str" cm="1">
        <f t="array" ref="K273">_xlfn.TEXTJOIN(CHAR(10),TRUE,_xlfn._xlws.SORT(IF((--($B273=Flowdown_CIC[[URS]:[URS]]))*(--(K$14=Flowdown_CIC[[Source.Name]:[Source.Name]])),Flowdown_CIC[[SyRS]:[SyRS]],"")))</f>
        <v/>
      </c>
      <c r="L273" s="16" t="b" cm="1">
        <f t="array" ref="L273">OR(LEN(C273:K273)&gt;0)</f>
        <v>1</v>
      </c>
    </row>
    <row r="274" spans="2:12" ht="27" x14ac:dyDescent="0.2">
      <c r="B274" s="11" t="str">
        <v>MASTER-6600</v>
      </c>
      <c r="C274" s="12" t="str" cm="1">
        <f t="array" ref="C274">_xlfn.TEXTJOIN(CHAR(10),TRUE,_xlfn._xlws.SORT(IF((--($B274=Flowdown_CIC[[URS]:[URS]]))*(--(C$14=Flowdown_CIC[[Source.Name]:[Source.Name]])),Flowdown_CIC[[SyRS]:[SyRS]],"")))</f>
        <v/>
      </c>
      <c r="D274" s="12" t="str" cm="1">
        <f t="array" ref="D274">_xlfn.TEXTJOIN(CHAR(10),TRUE,_xlfn._xlws.SORT(IF((--($B274=Flowdown_CIC[[URS]:[URS]]))*(--(D$14=Flowdown_CIC[[Source.Name]:[Source.Name]])),Flowdown_CIC[[SyRS]:[SyRS]],"")))</f>
        <v/>
      </c>
      <c r="E274" s="12" t="str" cm="1">
        <f t="array" ref="E274">_xlfn.TEXTJOIN(CHAR(10),TRUE,_xlfn._xlws.SORT(IF((--($B274=Flowdown_CIC[[URS]:[URS]]))*(--(E$14=Flowdown_CIC[[Source.Name]:[Source.Name]])),Flowdown_CIC[[SyRS]:[SyRS]],"")))</f>
        <v/>
      </c>
      <c r="F274" s="12" t="str" cm="1">
        <f t="array" ref="F274">_xlfn.TEXTJOIN(CHAR(10),TRUE,_xlfn._xlws.SORT(IF((--($B274=Flowdown_CIC[[URS]:[URS]]))*(--(F$14=Flowdown_CIC[[Source.Name]:[Source.Name]])),Flowdown_CIC[[SyRS]:[SyRS]],"")))</f>
        <v/>
      </c>
      <c r="G274" s="12" t="str" cm="1">
        <f t="array" ref="G274">_xlfn.TEXTJOIN(CHAR(10),TRUE,_xlfn._xlws.SORT(IF((--($B274=Flowdown_CIC[[URS]:[URS]]))*(--(G$14=Flowdown_CIC[[Source.Name]:[Source.Name]])),Flowdown_CIC[[SyRS]:[SyRS]],"")))</f>
        <v/>
      </c>
      <c r="H274" s="12" t="str" cm="1">
        <f t="array" ref="H274">_xlfn.TEXTJOIN(CHAR(10),TRUE,_xlfn._xlws.SORT(IF((--($B274=Flowdown_CIC[[URS]:[URS]]))*(--(H$14=Flowdown_CIC[[Source.Name]:[Source.Name]])),Flowdown_CIC[[SyRS]:[SyRS]],"")))</f>
        <v>MASTER-22290
MASTER-22291</v>
      </c>
      <c r="I274" s="12" t="str" cm="1">
        <f t="array" ref="I274">_xlfn.TEXTJOIN(CHAR(10),TRUE,_xlfn._xlws.SORT(IF((--($B274=Flowdown_CIC[[URS]:[URS]]))*(--(I$14=Flowdown_CIC[[Source.Name]:[Source.Name]])),Flowdown_CIC[[SyRS]:[SyRS]],"")))</f>
        <v/>
      </c>
      <c r="J274" s="12" t="str" cm="1">
        <f t="array" ref="J274">_xlfn.TEXTJOIN(CHAR(10),TRUE,_xlfn._xlws.SORT(IF((--($B274=Flowdown_CIC[[URS]:[URS]]))*(--(J$14=Flowdown_CIC[[Source.Name]:[Source.Name]])),Flowdown_CIC[[SyRS]:[SyRS]],"")))</f>
        <v/>
      </c>
      <c r="K274" s="12" t="str" cm="1">
        <f t="array" ref="K274">_xlfn.TEXTJOIN(CHAR(10),TRUE,_xlfn._xlws.SORT(IF((--($B274=Flowdown_CIC[[URS]:[URS]]))*(--(K$14=Flowdown_CIC[[Source.Name]:[Source.Name]])),Flowdown_CIC[[SyRS]:[SyRS]],"")))</f>
        <v/>
      </c>
      <c r="L274" s="16" t="b" cm="1">
        <f t="array" ref="L274">OR(LEN(C274:K274)&gt;0)</f>
        <v>1</v>
      </c>
    </row>
    <row r="275" spans="2:12" ht="121.5" x14ac:dyDescent="0.2">
      <c r="B275" s="11" t="str">
        <v>MASTER-6601</v>
      </c>
      <c r="C275" s="12" t="str" cm="1">
        <f t="array" ref="C275">_xlfn.TEXTJOIN(CHAR(10),TRUE,_xlfn._xlws.SORT(IF((--($B275=Flowdown_CIC[[URS]:[URS]]))*(--(C$14=Flowdown_CIC[[Source.Name]:[Source.Name]])),Flowdown_CIC[[SyRS]:[SyRS]],"")))</f>
        <v>MASTER-19610
MASTER-19611
MASTER-19612
MASTER-19613
MASTER-19614</v>
      </c>
      <c r="D275" s="12" t="str" cm="1">
        <f t="array" ref="D275">_xlfn.TEXTJOIN(CHAR(10),TRUE,_xlfn._xlws.SORT(IF((--($B275=Flowdown_CIC[[URS]:[URS]]))*(--(D$14=Flowdown_CIC[[Source.Name]:[Source.Name]])),Flowdown_CIC[[SyRS]:[SyRS]],"")))</f>
        <v>MASTER-19610
MASTER-19611
MASTER-19612
MASTER-19613
MASTER-19614</v>
      </c>
      <c r="E275" s="12" t="str" cm="1">
        <f t="array" ref="E275">_xlfn.TEXTJOIN(CHAR(10),TRUE,_xlfn._xlws.SORT(IF((--($B275=Flowdown_CIC[[URS]:[URS]]))*(--(E$14=Flowdown_CIC[[Source.Name]:[Source.Name]])),Flowdown_CIC[[SyRS]:[SyRS]],"")))</f>
        <v>MASTER-19610
MASTER-19611
MASTER-19612
MASTER-19613
MASTER-19614</v>
      </c>
      <c r="F275" s="12" t="str" cm="1">
        <f t="array" ref="F275">_xlfn.TEXTJOIN(CHAR(10),TRUE,_xlfn._xlws.SORT(IF((--($B275=Flowdown_CIC[[URS]:[URS]]))*(--(F$14=Flowdown_CIC[[Source.Name]:[Source.Name]])),Flowdown_CIC[[SyRS]:[SyRS]],"")))</f>
        <v>MASTER-19610
MASTER-19611
MASTER-19612
MASTER-19613
MASTER-19614</v>
      </c>
      <c r="G275" s="12" t="str" cm="1">
        <f t="array" ref="G275">_xlfn.TEXTJOIN(CHAR(10),TRUE,_xlfn._xlws.SORT(IF((--($B275=Flowdown_CIC[[URS]:[URS]]))*(--(G$14=Flowdown_CIC[[Source.Name]:[Source.Name]])),Flowdown_CIC[[SyRS]:[SyRS]],"")))</f>
        <v>MASTER-19610
MASTER-19611
MASTER-19612
MASTER-19613
MASTER-19614</v>
      </c>
      <c r="H275" s="12" t="str" cm="1">
        <f t="array" ref="H275">_xlfn.TEXTJOIN(CHAR(10),TRUE,_xlfn._xlws.SORT(IF((--($B275=Flowdown_CIC[[URS]:[URS]]))*(--(H$14=Flowdown_CIC[[Source.Name]:[Source.Name]])),Flowdown_CIC[[SyRS]:[SyRS]],"")))</f>
        <v>MASTER-22281
MASTER-22282
MASTER-22283
MASTER-22284
MASTER-22285
MASTER-22286
MASTER-22287
MASTER-22288
MASTER-22289</v>
      </c>
      <c r="I275" s="12" t="str" cm="1">
        <f t="array" ref="I275">_xlfn.TEXTJOIN(CHAR(10),TRUE,_xlfn._xlws.SORT(IF((--($B275=Flowdown_CIC[[URS]:[URS]]))*(--(I$14=Flowdown_CIC[[Source.Name]:[Source.Name]])),Flowdown_CIC[[SyRS]:[SyRS]],"")))</f>
        <v/>
      </c>
      <c r="J275" s="12" t="str" cm="1">
        <f t="array" ref="J275">_xlfn.TEXTJOIN(CHAR(10),TRUE,_xlfn._xlws.SORT(IF((--($B275=Flowdown_CIC[[URS]:[URS]]))*(--(J$14=Flowdown_CIC[[Source.Name]:[Source.Name]])),Flowdown_CIC[[SyRS]:[SyRS]],"")))</f>
        <v/>
      </c>
      <c r="K275" s="12" t="str" cm="1">
        <f t="array" ref="K275">_xlfn.TEXTJOIN(CHAR(10),TRUE,_xlfn._xlws.SORT(IF((--($B275=Flowdown_CIC[[URS]:[URS]]))*(--(K$14=Flowdown_CIC[[Source.Name]:[Source.Name]])),Flowdown_CIC[[SyRS]:[SyRS]],"")))</f>
        <v/>
      </c>
      <c r="L275" s="16" t="b" cm="1">
        <f t="array" ref="L275">OR(LEN(C275:K275)&gt;0)</f>
        <v>1</v>
      </c>
    </row>
    <row r="276" spans="2:12" ht="378" x14ac:dyDescent="0.2">
      <c r="B276" s="11" t="str">
        <v>MASTER-6609</v>
      </c>
      <c r="C276" s="12" t="str" cm="1">
        <f t="array" ref="C276">_xlfn.TEXTJOIN(CHAR(10),TRUE,_xlfn._xlws.SORT(IF((--($B276=Flowdown_CIC[[URS]:[URS]]))*(--(C$14=Flowdown_CIC[[Source.Name]:[Source.Name]])),Flowdown_CIC[[SyRS]:[SyRS]],"")))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76" s="12" t="str" cm="1">
        <f t="array" ref="D276">_xlfn.TEXTJOIN(CHAR(10),TRUE,_xlfn._xlws.SORT(IF((--($B276=Flowdown_CIC[[URS]:[URS]]))*(--(D$14=Flowdown_CIC[[Source.Name]:[Source.Name]])),Flowdown_CIC[[SyRS]:[SyRS]],"")))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76" s="12" t="str" cm="1">
        <f t="array" ref="E276">_xlfn.TEXTJOIN(CHAR(10),TRUE,_xlfn._xlws.SORT(IF((--($B276=Flowdown_CIC[[URS]:[URS]]))*(--(E$14=Flowdown_CIC[[Source.Name]:[Source.Name]])),Flowdown_CIC[[SyRS]:[SyRS]],"")))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76" s="12" t="str" cm="1">
        <f t="array" ref="F276">_xlfn.TEXTJOIN(CHAR(10),TRUE,_xlfn._xlws.SORT(IF((--($B276=Flowdown_CIC[[URS]:[URS]]))*(--(F$14=Flowdown_CIC[[Source.Name]:[Source.Name]])),Flowdown_CIC[[SyRS]:[SyRS]],"")))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76" s="12" t="str" cm="1">
        <f t="array" ref="G276">_xlfn.TEXTJOIN(CHAR(10),TRUE,_xlfn._xlws.SORT(IF((--($B276=Flowdown_CIC[[URS]:[URS]]))*(--(G$14=Flowdown_CIC[[Source.Name]:[Source.Name]])),Flowdown_CIC[[SyRS]:[SyRS]],"")))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76" s="12" t="str" cm="1">
        <f t="array" ref="H276">_xlfn.TEXTJOIN(CHAR(10),TRUE,_xlfn._xlws.SORT(IF((--($B276=Flowdown_CIC[[URS]:[URS]]))*(--(H$14=Flowdown_CIC[[Source.Name]:[Source.Name]])),Flowdown_CIC[[SyRS]:[SyRS]],"")))</f>
        <v>MASTER-64686
MASTER-64687
MASTER-64688
MASTER-64689
MASTER-64690
MASTER-64693
MASTER-64694
MASTER-64696
MASTER-64697</v>
      </c>
      <c r="I276" s="12" t="str" cm="1">
        <f t="array" ref="I276">_xlfn.TEXTJOIN(CHAR(10),TRUE,_xlfn._xlws.SORT(IF((--($B276=Flowdown_CIC[[URS]:[URS]]))*(--(I$14=Flowdown_CIC[[Source.Name]:[Source.Name]])),Flowdown_CIC[[SyRS]:[SyRS]],"")))</f>
        <v/>
      </c>
      <c r="J276" s="12" t="str" cm="1">
        <f t="array" ref="J276">_xlfn.TEXTJOIN(CHAR(10),TRUE,_xlfn._xlws.SORT(IF((--($B276=Flowdown_CIC[[URS]:[URS]]))*(--(J$14=Flowdown_CIC[[Source.Name]:[Source.Name]])),Flowdown_CIC[[SyRS]:[SyRS]],"")))</f>
        <v/>
      </c>
      <c r="K276" s="12" t="str" cm="1">
        <f t="array" ref="K276">_xlfn.TEXTJOIN(CHAR(10),TRUE,_xlfn._xlws.SORT(IF((--($B276=Flowdown_CIC[[URS]:[URS]]))*(--(K$14=Flowdown_CIC[[Source.Name]:[Source.Name]])),Flowdown_CIC[[SyRS]:[SyRS]],"")))</f>
        <v>MASTER-16540
MASTER-16557
MASTER-16567
MASTER-16570</v>
      </c>
      <c r="L276" s="16" t="b" cm="1">
        <f t="array" ref="L276">OR(LEN(C276:K276)&gt;0)</f>
        <v>1</v>
      </c>
    </row>
    <row r="277" spans="2:12" ht="94.5" x14ac:dyDescent="0.2">
      <c r="B277" s="11" t="str">
        <v>MASTER-6610</v>
      </c>
      <c r="C277" s="12" t="str" cm="1">
        <f t="array" ref="C277">_xlfn.TEXTJOIN(CHAR(10),TRUE,_xlfn._xlws.SORT(IF((--($B277=Flowdown_CIC[[URS]:[URS]]))*(--(C$14=Flowdown_CIC[[Source.Name]:[Source.Name]])),Flowdown_CIC[[SyRS]:[SyRS]],"")))</f>
        <v>MASTER-18114
MASTER-18242
MASTER-18244
MASTER-18293
MASTER-18294
MASTER-18295
MASTER-18296</v>
      </c>
      <c r="D277" s="12" t="str" cm="1">
        <f t="array" ref="D277">_xlfn.TEXTJOIN(CHAR(10),TRUE,_xlfn._xlws.SORT(IF((--($B277=Flowdown_CIC[[URS]:[URS]]))*(--(D$14=Flowdown_CIC[[Source.Name]:[Source.Name]])),Flowdown_CIC[[SyRS]:[SyRS]],"")))</f>
        <v>MASTER-18114
MASTER-18242
MASTER-18244
MASTER-18293
MASTER-18294
MASTER-18295
MASTER-18296</v>
      </c>
      <c r="E277" s="12" t="str" cm="1">
        <f t="array" ref="E277">_xlfn.TEXTJOIN(CHAR(10),TRUE,_xlfn._xlws.SORT(IF((--($B277=Flowdown_CIC[[URS]:[URS]]))*(--(E$14=Flowdown_CIC[[Source.Name]:[Source.Name]])),Flowdown_CIC[[SyRS]:[SyRS]],"")))</f>
        <v>MASTER-18114
MASTER-18242
MASTER-18244
MASTER-18293
MASTER-18294
MASTER-18295
MASTER-18296</v>
      </c>
      <c r="F277" s="12" t="str" cm="1">
        <f t="array" ref="F277">_xlfn.TEXTJOIN(CHAR(10),TRUE,_xlfn._xlws.SORT(IF((--($B277=Flowdown_CIC[[URS]:[URS]]))*(--(F$14=Flowdown_CIC[[Source.Name]:[Source.Name]])),Flowdown_CIC[[SyRS]:[SyRS]],"")))</f>
        <v>MASTER-18114
MASTER-18242
MASTER-18244
MASTER-18293
MASTER-18294
MASTER-18295
MASTER-18296</v>
      </c>
      <c r="G277" s="12" t="str" cm="1">
        <f t="array" ref="G277">_xlfn.TEXTJOIN(CHAR(10),TRUE,_xlfn._xlws.SORT(IF((--($B277=Flowdown_CIC[[URS]:[URS]]))*(--(G$14=Flowdown_CIC[[Source.Name]:[Source.Name]])),Flowdown_CIC[[SyRS]:[SyRS]],"")))</f>
        <v>MASTER-18114
MASTER-18242
MASTER-18244
MASTER-18293
MASTER-18294
MASTER-18295
MASTER-18296</v>
      </c>
      <c r="H277" s="12" t="str" cm="1">
        <f t="array" ref="H277">_xlfn.TEXTJOIN(CHAR(10),TRUE,_xlfn._xlws.SORT(IF((--($B277=Flowdown_CIC[[URS]:[URS]]))*(--(H$14=Flowdown_CIC[[Source.Name]:[Source.Name]])),Flowdown_CIC[[SyRS]:[SyRS]],"")))</f>
        <v>MASTER-21398
MASTER-22332</v>
      </c>
      <c r="I277" s="12" t="str" cm="1">
        <f t="array" ref="I277">_xlfn.TEXTJOIN(CHAR(10),TRUE,_xlfn._xlws.SORT(IF((--($B277=Flowdown_CIC[[URS]:[URS]]))*(--(I$14=Flowdown_CIC[[Source.Name]:[Source.Name]])),Flowdown_CIC[[SyRS]:[SyRS]],"")))</f>
        <v/>
      </c>
      <c r="J277" s="12" t="str" cm="1">
        <f t="array" ref="J277">_xlfn.TEXTJOIN(CHAR(10),TRUE,_xlfn._xlws.SORT(IF((--($B277=Flowdown_CIC[[URS]:[URS]]))*(--(J$14=Flowdown_CIC[[Source.Name]:[Source.Name]])),Flowdown_CIC[[SyRS]:[SyRS]],"")))</f>
        <v/>
      </c>
      <c r="K277" s="12" t="str" cm="1">
        <f t="array" ref="K277">_xlfn.TEXTJOIN(CHAR(10),TRUE,_xlfn._xlws.SORT(IF((--($B277=Flowdown_CIC[[URS]:[URS]]))*(--(K$14=Flowdown_CIC[[Source.Name]:[Source.Name]])),Flowdown_CIC[[SyRS]:[SyRS]],"")))</f>
        <v/>
      </c>
      <c r="L277" s="16" t="b" cm="1">
        <f t="array" ref="L277">OR(LEN(C277:K277)&gt;0)</f>
        <v>1</v>
      </c>
    </row>
    <row r="278" spans="2:12" ht="148.5" x14ac:dyDescent="0.2">
      <c r="B278" s="11" t="str">
        <v>MASTER-6611</v>
      </c>
      <c r="C278" s="12" t="str" cm="1">
        <f t="array" ref="C278">_xlfn.TEXTJOIN(CHAR(10),TRUE,_xlfn._xlws.SORT(IF((--($B278=Flowdown_CIC[[URS]:[URS]]))*(--(C$14=Flowdown_CIC[[Source.Name]:[Source.Name]])),Flowdown_CIC[[SyRS]:[SyRS]],"")))</f>
        <v>MASTER-18114
MASTER-18229
MASTER-18235
MASTER-18293
MASTER-18294</v>
      </c>
      <c r="D278" s="12" t="str" cm="1">
        <f t="array" ref="D278">_xlfn.TEXTJOIN(CHAR(10),TRUE,_xlfn._xlws.SORT(IF((--($B278=Flowdown_CIC[[URS]:[URS]]))*(--(D$14=Flowdown_CIC[[Source.Name]:[Source.Name]])),Flowdown_CIC[[SyRS]:[SyRS]],"")))</f>
        <v>MASTER-18114
MASTER-18229
MASTER-18235
MASTER-18293
MASTER-18294</v>
      </c>
      <c r="E278" s="12" t="str" cm="1">
        <f t="array" ref="E278">_xlfn.TEXTJOIN(CHAR(10),TRUE,_xlfn._xlws.SORT(IF((--($B278=Flowdown_CIC[[URS]:[URS]]))*(--(E$14=Flowdown_CIC[[Source.Name]:[Source.Name]])),Flowdown_CIC[[SyRS]:[SyRS]],"")))</f>
        <v>MASTER-18114
MASTER-18229
MASTER-18235
MASTER-18293
MASTER-18294</v>
      </c>
      <c r="F278" s="12" t="str" cm="1">
        <f t="array" ref="F278">_xlfn.TEXTJOIN(CHAR(10),TRUE,_xlfn._xlws.SORT(IF((--($B278=Flowdown_CIC[[URS]:[URS]]))*(--(F$14=Flowdown_CIC[[Source.Name]:[Source.Name]])),Flowdown_CIC[[SyRS]:[SyRS]],"")))</f>
        <v>MASTER-18114
MASTER-18229
MASTER-18235
MASTER-18293
MASTER-18294</v>
      </c>
      <c r="G278" s="12" t="str" cm="1">
        <f t="array" ref="G278">_xlfn.TEXTJOIN(CHAR(10),TRUE,_xlfn._xlws.SORT(IF((--($B278=Flowdown_CIC[[URS]:[URS]]))*(--(G$14=Flowdown_CIC[[Source.Name]:[Source.Name]])),Flowdown_CIC[[SyRS]:[SyRS]],"")))</f>
        <v>MASTER-18114
MASTER-18229
MASTER-18235
MASTER-18293
MASTER-18294</v>
      </c>
      <c r="H278" s="12" t="str" cm="1">
        <f t="array" ref="H278">_xlfn.TEXTJOIN(CHAR(10),TRUE,_xlfn._xlws.SORT(IF((--($B278=Flowdown_CIC[[URS]:[URS]]))*(--(H$14=Flowdown_CIC[[Source.Name]:[Source.Name]])),Flowdown_CIC[[SyRS]:[SyRS]],"")))</f>
        <v>MASTER-21367
MASTER-22333
MASTER-22335
MASTER-22336
MASTER-22338
MASTER-22339
MASTER-22340
MASTER-22362
MASTER-22363
MASTER-22364
MASTER-22365</v>
      </c>
      <c r="I278" s="12" t="str" cm="1">
        <f t="array" ref="I278">_xlfn.TEXTJOIN(CHAR(10),TRUE,_xlfn._xlws.SORT(IF((--($B278=Flowdown_CIC[[URS]:[URS]]))*(--(I$14=Flowdown_CIC[[Source.Name]:[Source.Name]])),Flowdown_CIC[[SyRS]:[SyRS]],"")))</f>
        <v/>
      </c>
      <c r="J278" s="12" t="str" cm="1">
        <f t="array" ref="J278">_xlfn.TEXTJOIN(CHAR(10),TRUE,_xlfn._xlws.SORT(IF((--($B278=Flowdown_CIC[[URS]:[URS]]))*(--(J$14=Flowdown_CIC[[Source.Name]:[Source.Name]])),Flowdown_CIC[[SyRS]:[SyRS]],"")))</f>
        <v/>
      </c>
      <c r="K278" s="12" t="str" cm="1">
        <f t="array" ref="K278">_xlfn.TEXTJOIN(CHAR(10),TRUE,_xlfn._xlws.SORT(IF((--($B278=Flowdown_CIC[[URS]:[URS]]))*(--(K$14=Flowdown_CIC[[Source.Name]:[Source.Name]])),Flowdown_CIC[[SyRS]:[SyRS]],"")))</f>
        <v/>
      </c>
      <c r="L278" s="16" t="b" cm="1">
        <f t="array" ref="L278">OR(LEN(C278:K278)&gt;0)</f>
        <v>1</v>
      </c>
    </row>
    <row r="279" spans="2:12" ht="40.5" x14ac:dyDescent="0.2">
      <c r="B279" s="11" t="str">
        <v>MASTER-6612</v>
      </c>
      <c r="C279" s="12" t="str" cm="1">
        <f t="array" ref="C279">_xlfn.TEXTJOIN(CHAR(10),TRUE,_xlfn._xlws.SORT(IF((--($B279=Flowdown_CIC[[URS]:[URS]]))*(--(C$14=Flowdown_CIC[[Source.Name]:[Source.Name]])),Flowdown_CIC[[SyRS]:[SyRS]],"")))</f>
        <v>MASTER-18236
MASTER-18237
MASTER-18238</v>
      </c>
      <c r="D279" s="12" t="str" cm="1">
        <f t="array" ref="D279">_xlfn.TEXTJOIN(CHAR(10),TRUE,_xlfn._xlws.SORT(IF((--($B279=Flowdown_CIC[[URS]:[URS]]))*(--(D$14=Flowdown_CIC[[Source.Name]:[Source.Name]])),Flowdown_CIC[[SyRS]:[SyRS]],"")))</f>
        <v>MASTER-18236
MASTER-18237
MASTER-18238</v>
      </c>
      <c r="E279" s="12" t="str" cm="1">
        <f t="array" ref="E279">_xlfn.TEXTJOIN(CHAR(10),TRUE,_xlfn._xlws.SORT(IF((--($B279=Flowdown_CIC[[URS]:[URS]]))*(--(E$14=Flowdown_CIC[[Source.Name]:[Source.Name]])),Flowdown_CIC[[SyRS]:[SyRS]],"")))</f>
        <v>MASTER-18236
MASTER-18237
MASTER-18238</v>
      </c>
      <c r="F279" s="12" t="str" cm="1">
        <f t="array" ref="F279">_xlfn.TEXTJOIN(CHAR(10),TRUE,_xlfn._xlws.SORT(IF((--($B279=Flowdown_CIC[[URS]:[URS]]))*(--(F$14=Flowdown_CIC[[Source.Name]:[Source.Name]])),Flowdown_CIC[[SyRS]:[SyRS]],"")))</f>
        <v>MASTER-18236
MASTER-18237
MASTER-18238</v>
      </c>
      <c r="G279" s="12" t="str" cm="1">
        <f t="array" ref="G279">_xlfn.TEXTJOIN(CHAR(10),TRUE,_xlfn._xlws.SORT(IF((--($B279=Flowdown_CIC[[URS]:[URS]]))*(--(G$14=Flowdown_CIC[[Source.Name]:[Source.Name]])),Flowdown_CIC[[SyRS]:[SyRS]],"")))</f>
        <v>MASTER-18236
MASTER-18237
MASTER-18238</v>
      </c>
      <c r="H279" s="12" t="str" cm="1">
        <f t="array" ref="H279">_xlfn.TEXTJOIN(CHAR(10),TRUE,_xlfn._xlws.SORT(IF((--($B279=Flowdown_CIC[[URS]:[URS]]))*(--(H$14=Flowdown_CIC[[Source.Name]:[Source.Name]])),Flowdown_CIC[[SyRS]:[SyRS]],"")))</f>
        <v>MASTER-22337
MASTER-64359</v>
      </c>
      <c r="I279" s="12" t="str" cm="1">
        <f t="array" ref="I279">_xlfn.TEXTJOIN(CHAR(10),TRUE,_xlfn._xlws.SORT(IF((--($B279=Flowdown_CIC[[URS]:[URS]]))*(--(I$14=Flowdown_CIC[[Source.Name]:[Source.Name]])),Flowdown_CIC[[SyRS]:[SyRS]],"")))</f>
        <v/>
      </c>
      <c r="J279" s="12" t="str" cm="1">
        <f t="array" ref="J279">_xlfn.TEXTJOIN(CHAR(10),TRUE,_xlfn._xlws.SORT(IF((--($B279=Flowdown_CIC[[URS]:[URS]]))*(--(J$14=Flowdown_CIC[[Source.Name]:[Source.Name]])),Flowdown_CIC[[SyRS]:[SyRS]],"")))</f>
        <v/>
      </c>
      <c r="K279" s="12" t="str" cm="1">
        <f t="array" ref="K279">_xlfn.TEXTJOIN(CHAR(10),TRUE,_xlfn._xlws.SORT(IF((--($B279=Flowdown_CIC[[URS]:[URS]]))*(--(K$14=Flowdown_CIC[[Source.Name]:[Source.Name]])),Flowdown_CIC[[SyRS]:[SyRS]],"")))</f>
        <v/>
      </c>
      <c r="L279" s="16" t="b" cm="1">
        <f t="array" ref="L279">OR(LEN(C279:K279)&gt;0)</f>
        <v>1</v>
      </c>
    </row>
    <row r="280" spans="2:12" ht="40.5" x14ac:dyDescent="0.2">
      <c r="B280" s="11" t="str">
        <v>MASTER-6613</v>
      </c>
      <c r="C280" s="12" t="str" cm="1">
        <f t="array" ref="C280">_xlfn.TEXTJOIN(CHAR(10),TRUE,_xlfn._xlws.SORT(IF((--($B280=Flowdown_CIC[[URS]:[URS]]))*(--(C$14=Flowdown_CIC[[Source.Name]:[Source.Name]])),Flowdown_CIC[[SyRS]:[SyRS]],"")))</f>
        <v>MASTER-18236
MASTER-18237
MASTER-18238</v>
      </c>
      <c r="D280" s="12" t="str" cm="1">
        <f t="array" ref="D280">_xlfn.TEXTJOIN(CHAR(10),TRUE,_xlfn._xlws.SORT(IF((--($B280=Flowdown_CIC[[URS]:[URS]]))*(--(D$14=Flowdown_CIC[[Source.Name]:[Source.Name]])),Flowdown_CIC[[SyRS]:[SyRS]],"")))</f>
        <v>MASTER-18236
MASTER-18237
MASTER-18238</v>
      </c>
      <c r="E280" s="12" t="str" cm="1">
        <f t="array" ref="E280">_xlfn.TEXTJOIN(CHAR(10),TRUE,_xlfn._xlws.SORT(IF((--($B280=Flowdown_CIC[[URS]:[URS]]))*(--(E$14=Flowdown_CIC[[Source.Name]:[Source.Name]])),Flowdown_CIC[[SyRS]:[SyRS]],"")))</f>
        <v>MASTER-18236
MASTER-18237
MASTER-18238</v>
      </c>
      <c r="F280" s="12" t="str" cm="1">
        <f t="array" ref="F280">_xlfn.TEXTJOIN(CHAR(10),TRUE,_xlfn._xlws.SORT(IF((--($B280=Flowdown_CIC[[URS]:[URS]]))*(--(F$14=Flowdown_CIC[[Source.Name]:[Source.Name]])),Flowdown_CIC[[SyRS]:[SyRS]],"")))</f>
        <v>MASTER-18236
MASTER-18237
MASTER-18238</v>
      </c>
      <c r="G280" s="12" t="str" cm="1">
        <f t="array" ref="G280">_xlfn.TEXTJOIN(CHAR(10),TRUE,_xlfn._xlws.SORT(IF((--($B280=Flowdown_CIC[[URS]:[URS]]))*(--(G$14=Flowdown_CIC[[Source.Name]:[Source.Name]])),Flowdown_CIC[[SyRS]:[SyRS]],"")))</f>
        <v>MASTER-18236
MASTER-18237
MASTER-18238</v>
      </c>
      <c r="H280" s="12" t="str" cm="1">
        <f t="array" ref="H280">_xlfn.TEXTJOIN(CHAR(10),TRUE,_xlfn._xlws.SORT(IF((--($B280=Flowdown_CIC[[URS]:[URS]]))*(--(H$14=Flowdown_CIC[[Source.Name]:[Source.Name]])),Flowdown_CIC[[SyRS]:[SyRS]],"")))</f>
        <v/>
      </c>
      <c r="I280" s="12" t="str" cm="1">
        <f t="array" ref="I280">_xlfn.TEXTJOIN(CHAR(10),TRUE,_xlfn._xlws.SORT(IF((--($B280=Flowdown_CIC[[URS]:[URS]]))*(--(I$14=Flowdown_CIC[[Source.Name]:[Source.Name]])),Flowdown_CIC[[SyRS]:[SyRS]],"")))</f>
        <v/>
      </c>
      <c r="J280" s="12" t="str" cm="1">
        <f t="array" ref="J280">_xlfn.TEXTJOIN(CHAR(10),TRUE,_xlfn._xlws.SORT(IF((--($B280=Flowdown_CIC[[URS]:[URS]]))*(--(J$14=Flowdown_CIC[[Source.Name]:[Source.Name]])),Flowdown_CIC[[SyRS]:[SyRS]],"")))</f>
        <v/>
      </c>
      <c r="K280" s="12" t="str" cm="1">
        <f t="array" ref="K280">_xlfn.TEXTJOIN(CHAR(10),TRUE,_xlfn._xlws.SORT(IF((--($B280=Flowdown_CIC[[URS]:[URS]]))*(--(K$14=Flowdown_CIC[[Source.Name]:[Source.Name]])),Flowdown_CIC[[SyRS]:[SyRS]],"")))</f>
        <v/>
      </c>
      <c r="L280" s="16" t="b" cm="1">
        <f t="array" ref="L280">OR(LEN(C280:K280)&gt;0)</f>
        <v>1</v>
      </c>
    </row>
    <row r="281" spans="2:12" ht="94.5" x14ac:dyDescent="0.2">
      <c r="B281" s="11" t="str">
        <v>MASTER-6615</v>
      </c>
      <c r="C281" s="12" t="str" cm="1">
        <f t="array" ref="C281">_xlfn.TEXTJOIN(CHAR(10),TRUE,_xlfn._xlws.SORT(IF((--($B281=Flowdown_CIC[[URS]:[URS]]))*(--(C$14=Flowdown_CIC[[Source.Name]:[Source.Name]])),Flowdown_CIC[[SyRS]:[SyRS]],"")))</f>
        <v>MASTER-19636
MASTER-19638
MASTER-19641
MASTER-19642
MASTER-19643
MASTER-19644
MASTER-19648</v>
      </c>
      <c r="D281" s="12" t="str" cm="1">
        <f t="array" ref="D281">_xlfn.TEXTJOIN(CHAR(10),TRUE,_xlfn._xlws.SORT(IF((--($B281=Flowdown_CIC[[URS]:[URS]]))*(--(D$14=Flowdown_CIC[[Source.Name]:[Source.Name]])),Flowdown_CIC[[SyRS]:[SyRS]],"")))</f>
        <v>MASTER-19636
MASTER-19638
MASTER-19642
MASTER-19643
MASTER-19644
MASTER-19648</v>
      </c>
      <c r="E281" s="12" t="str" cm="1">
        <f t="array" ref="E281">_xlfn.TEXTJOIN(CHAR(10),TRUE,_xlfn._xlws.SORT(IF((--($B281=Flowdown_CIC[[URS]:[URS]]))*(--(E$14=Flowdown_CIC[[Source.Name]:[Source.Name]])),Flowdown_CIC[[SyRS]:[SyRS]],"")))</f>
        <v>MASTER-19636
MASTER-19638
MASTER-19642
MASTER-19643
MASTER-19644
MASTER-19648</v>
      </c>
      <c r="F281" s="12" t="str" cm="1">
        <f t="array" ref="F281">_xlfn.TEXTJOIN(CHAR(10),TRUE,_xlfn._xlws.SORT(IF((--($B281=Flowdown_CIC[[URS]:[URS]]))*(--(F$14=Flowdown_CIC[[Source.Name]:[Source.Name]])),Flowdown_CIC[[SyRS]:[SyRS]],"")))</f>
        <v>MASTER-19636
MASTER-19638
MASTER-19642
MASTER-19643
MASTER-19644
MASTER-19648</v>
      </c>
      <c r="G281" s="12" t="str" cm="1">
        <f t="array" ref="G281">_xlfn.TEXTJOIN(CHAR(10),TRUE,_xlfn._xlws.SORT(IF((--($B281=Flowdown_CIC[[URS]:[URS]]))*(--(G$14=Flowdown_CIC[[Source.Name]:[Source.Name]])),Flowdown_CIC[[SyRS]:[SyRS]],"")))</f>
        <v>MASTER-19636
MASTER-19638
MASTER-19642
MASTER-19643
MASTER-19644
MASTER-19648</v>
      </c>
      <c r="H281" s="12" t="str" cm="1">
        <f t="array" ref="H281">_xlfn.TEXTJOIN(CHAR(10),TRUE,_xlfn._xlws.SORT(IF((--($B281=Flowdown_CIC[[URS]:[URS]]))*(--(H$14=Flowdown_CIC[[Source.Name]:[Source.Name]])),Flowdown_CIC[[SyRS]:[SyRS]],"")))</f>
        <v>MASTER-21909
MASTER-22368
MASTER-22402
MASTER-22411
MASTER-22584
MASTER-22585
MASTER-22586</v>
      </c>
      <c r="I281" s="12" t="str" cm="1">
        <f t="array" ref="I281">_xlfn.TEXTJOIN(CHAR(10),TRUE,_xlfn._xlws.SORT(IF((--($B281=Flowdown_CIC[[URS]:[URS]]))*(--(I$14=Flowdown_CIC[[Source.Name]:[Source.Name]])),Flowdown_CIC[[SyRS]:[SyRS]],"")))</f>
        <v/>
      </c>
      <c r="J281" s="12" t="str" cm="1">
        <f t="array" ref="J281">_xlfn.TEXTJOIN(CHAR(10),TRUE,_xlfn._xlws.SORT(IF((--($B281=Flowdown_CIC[[URS]:[URS]]))*(--(J$14=Flowdown_CIC[[Source.Name]:[Source.Name]])),Flowdown_CIC[[SyRS]:[SyRS]],"")))</f>
        <v/>
      </c>
      <c r="K281" s="12" t="str" cm="1">
        <f t="array" ref="K281">_xlfn.TEXTJOIN(CHAR(10),TRUE,_xlfn._xlws.SORT(IF((--($B281=Flowdown_CIC[[URS]:[URS]]))*(--(K$14=Flowdown_CIC[[Source.Name]:[Source.Name]])),Flowdown_CIC[[SyRS]:[SyRS]],"")))</f>
        <v/>
      </c>
      <c r="L281" s="16" t="b" cm="1">
        <f t="array" ref="L281">OR(LEN(C281:K281)&gt;0)</f>
        <v>1</v>
      </c>
    </row>
    <row r="282" spans="2:12" ht="40.5" x14ac:dyDescent="0.2">
      <c r="B282" s="11" t="str">
        <v>MASTER-6616</v>
      </c>
      <c r="C282" s="12" t="str" cm="1">
        <f t="array" ref="C282">_xlfn.TEXTJOIN(CHAR(10),TRUE,_xlfn._xlws.SORT(IF((--($B282=Flowdown_CIC[[URS]:[URS]]))*(--(C$14=Flowdown_CIC[[Source.Name]:[Source.Name]])),Flowdown_CIC[[SyRS]:[SyRS]],"")))</f>
        <v>MASTER-19638</v>
      </c>
      <c r="D282" s="12" t="str" cm="1">
        <f t="array" ref="D282">_xlfn.TEXTJOIN(CHAR(10),TRUE,_xlfn._xlws.SORT(IF((--($B282=Flowdown_CIC[[URS]:[URS]]))*(--(D$14=Flowdown_CIC[[Source.Name]:[Source.Name]])),Flowdown_CIC[[SyRS]:[SyRS]],"")))</f>
        <v>MASTER-19638</v>
      </c>
      <c r="E282" s="12" t="str" cm="1">
        <f t="array" ref="E282">_xlfn.TEXTJOIN(CHAR(10),TRUE,_xlfn._xlws.SORT(IF((--($B282=Flowdown_CIC[[URS]:[URS]]))*(--(E$14=Flowdown_CIC[[Source.Name]:[Source.Name]])),Flowdown_CIC[[SyRS]:[SyRS]],"")))</f>
        <v>MASTER-19638</v>
      </c>
      <c r="F282" s="12" t="str" cm="1">
        <f t="array" ref="F282">_xlfn.TEXTJOIN(CHAR(10),TRUE,_xlfn._xlws.SORT(IF((--($B282=Flowdown_CIC[[URS]:[URS]]))*(--(F$14=Flowdown_CIC[[Source.Name]:[Source.Name]])),Flowdown_CIC[[SyRS]:[SyRS]],"")))</f>
        <v>MASTER-19638</v>
      </c>
      <c r="G282" s="12" t="str" cm="1">
        <f t="array" ref="G282">_xlfn.TEXTJOIN(CHAR(10),TRUE,_xlfn._xlws.SORT(IF((--($B282=Flowdown_CIC[[URS]:[URS]]))*(--(G$14=Flowdown_CIC[[Source.Name]:[Source.Name]])),Flowdown_CIC[[SyRS]:[SyRS]],"")))</f>
        <v>MASTER-19638</v>
      </c>
      <c r="H282" s="12" t="str" cm="1">
        <f t="array" ref="H282">_xlfn.TEXTJOIN(CHAR(10),TRUE,_xlfn._xlws.SORT(IF((--($B282=Flowdown_CIC[[URS]:[URS]]))*(--(H$14=Flowdown_CIC[[Source.Name]:[Source.Name]])),Flowdown_CIC[[SyRS]:[SyRS]],"")))</f>
        <v>MASTER-22369
MASTER-22370
MASTER-22371</v>
      </c>
      <c r="I282" s="12" t="str" cm="1">
        <f t="array" ref="I282">_xlfn.TEXTJOIN(CHAR(10),TRUE,_xlfn._xlws.SORT(IF((--($B282=Flowdown_CIC[[URS]:[URS]]))*(--(I$14=Flowdown_CIC[[Source.Name]:[Source.Name]])),Flowdown_CIC[[SyRS]:[SyRS]],"")))</f>
        <v/>
      </c>
      <c r="J282" s="12" t="str" cm="1">
        <f t="array" ref="J282">_xlfn.TEXTJOIN(CHAR(10),TRUE,_xlfn._xlws.SORT(IF((--($B282=Flowdown_CIC[[URS]:[URS]]))*(--(J$14=Flowdown_CIC[[Source.Name]:[Source.Name]])),Flowdown_CIC[[SyRS]:[SyRS]],"")))</f>
        <v/>
      </c>
      <c r="K282" s="12" t="str" cm="1">
        <f t="array" ref="K282">_xlfn.TEXTJOIN(CHAR(10),TRUE,_xlfn._xlws.SORT(IF((--($B282=Flowdown_CIC[[URS]:[URS]]))*(--(K$14=Flowdown_CIC[[Source.Name]:[Source.Name]])),Flowdown_CIC[[SyRS]:[SyRS]],"")))</f>
        <v/>
      </c>
      <c r="L282" s="16" t="b" cm="1">
        <f t="array" ref="L282">OR(LEN(C282:K282)&gt;0)</f>
        <v>1</v>
      </c>
    </row>
    <row r="283" spans="2:12" ht="40.5" x14ac:dyDescent="0.2">
      <c r="B283" s="11" t="str">
        <v>MASTER-6617</v>
      </c>
      <c r="C283" s="12" t="str" cm="1">
        <f t="array" ref="C283">_xlfn.TEXTJOIN(CHAR(10),TRUE,_xlfn._xlws.SORT(IF((--($B283=Flowdown_CIC[[URS]:[URS]]))*(--(C$14=Flowdown_CIC[[Source.Name]:[Source.Name]])),Flowdown_CIC[[SyRS]:[SyRS]],"")))</f>
        <v>MASTER-19638
MASTER-19639</v>
      </c>
      <c r="D283" s="12" t="str" cm="1">
        <f t="array" ref="D283">_xlfn.TEXTJOIN(CHAR(10),TRUE,_xlfn._xlws.SORT(IF((--($B283=Flowdown_CIC[[URS]:[URS]]))*(--(D$14=Flowdown_CIC[[Source.Name]:[Source.Name]])),Flowdown_CIC[[SyRS]:[SyRS]],"")))</f>
        <v>MASTER-19638
MASTER-19639</v>
      </c>
      <c r="E283" s="12" t="str" cm="1">
        <f t="array" ref="E283">_xlfn.TEXTJOIN(CHAR(10),TRUE,_xlfn._xlws.SORT(IF((--($B283=Flowdown_CIC[[URS]:[URS]]))*(--(E$14=Flowdown_CIC[[Source.Name]:[Source.Name]])),Flowdown_CIC[[SyRS]:[SyRS]],"")))</f>
        <v>MASTER-19638
MASTER-19639</v>
      </c>
      <c r="F283" s="12" t="str" cm="1">
        <f t="array" ref="F283">_xlfn.TEXTJOIN(CHAR(10),TRUE,_xlfn._xlws.SORT(IF((--($B283=Flowdown_CIC[[URS]:[URS]]))*(--(F$14=Flowdown_CIC[[Source.Name]:[Source.Name]])),Flowdown_CIC[[SyRS]:[SyRS]],"")))</f>
        <v>MASTER-19638
MASTER-19639</v>
      </c>
      <c r="G283" s="12" t="str" cm="1">
        <f t="array" ref="G283">_xlfn.TEXTJOIN(CHAR(10),TRUE,_xlfn._xlws.SORT(IF((--($B283=Flowdown_CIC[[URS]:[URS]]))*(--(G$14=Flowdown_CIC[[Source.Name]:[Source.Name]])),Flowdown_CIC[[SyRS]:[SyRS]],"")))</f>
        <v>MASTER-19638
MASTER-19639</v>
      </c>
      <c r="H283" s="12" t="str" cm="1">
        <f t="array" ref="H283">_xlfn.TEXTJOIN(CHAR(10),TRUE,_xlfn._xlws.SORT(IF((--($B283=Flowdown_CIC[[URS]:[URS]]))*(--(H$14=Flowdown_CIC[[Source.Name]:[Source.Name]])),Flowdown_CIC[[SyRS]:[SyRS]],"")))</f>
        <v>MASTER-22372
MASTER-22381
MASTER-22382</v>
      </c>
      <c r="I283" s="12" t="str" cm="1">
        <f t="array" ref="I283">_xlfn.TEXTJOIN(CHAR(10),TRUE,_xlfn._xlws.SORT(IF((--($B283=Flowdown_CIC[[URS]:[URS]]))*(--(I$14=Flowdown_CIC[[Source.Name]:[Source.Name]])),Flowdown_CIC[[SyRS]:[SyRS]],"")))</f>
        <v/>
      </c>
      <c r="J283" s="12" t="str" cm="1">
        <f t="array" ref="J283">_xlfn.TEXTJOIN(CHAR(10),TRUE,_xlfn._xlws.SORT(IF((--($B283=Flowdown_CIC[[URS]:[URS]]))*(--(J$14=Flowdown_CIC[[Source.Name]:[Source.Name]])),Flowdown_CIC[[SyRS]:[SyRS]],"")))</f>
        <v/>
      </c>
      <c r="K283" s="12" t="str" cm="1">
        <f t="array" ref="K283">_xlfn.TEXTJOIN(CHAR(10),TRUE,_xlfn._xlws.SORT(IF((--($B283=Flowdown_CIC[[URS]:[URS]]))*(--(K$14=Flowdown_CIC[[Source.Name]:[Source.Name]])),Flowdown_CIC[[SyRS]:[SyRS]],"")))</f>
        <v/>
      </c>
      <c r="L283" s="16" t="b" cm="1">
        <f t="array" ref="L283">OR(LEN(C283:K283)&gt;0)</f>
        <v>1</v>
      </c>
    </row>
    <row r="284" spans="2:12" ht="81" x14ac:dyDescent="0.2">
      <c r="B284" s="11" t="str">
        <v>MASTER-6618</v>
      </c>
      <c r="C284" s="12" t="str" cm="1">
        <f t="array" ref="C284">_xlfn.TEXTJOIN(CHAR(10),TRUE,_xlfn._xlws.SORT(IF((--($B284=Flowdown_CIC[[URS]:[URS]]))*(--(C$14=Flowdown_CIC[[Source.Name]:[Source.Name]])),Flowdown_CIC[[SyRS]:[SyRS]],"")))</f>
        <v>MASTER-19649</v>
      </c>
      <c r="D284" s="12" t="str" cm="1">
        <f t="array" ref="D284">_xlfn.TEXTJOIN(CHAR(10),TRUE,_xlfn._xlws.SORT(IF((--($B284=Flowdown_CIC[[URS]:[URS]]))*(--(D$14=Flowdown_CIC[[Source.Name]:[Source.Name]])),Flowdown_CIC[[SyRS]:[SyRS]],"")))</f>
        <v>MASTER-19649</v>
      </c>
      <c r="E284" s="12" t="str" cm="1">
        <f t="array" ref="E284">_xlfn.TEXTJOIN(CHAR(10),TRUE,_xlfn._xlws.SORT(IF((--($B284=Flowdown_CIC[[URS]:[URS]]))*(--(E$14=Flowdown_CIC[[Source.Name]:[Source.Name]])),Flowdown_CIC[[SyRS]:[SyRS]],"")))</f>
        <v>MASTER-19649</v>
      </c>
      <c r="F284" s="12" t="str" cm="1">
        <f t="array" ref="F284">_xlfn.TEXTJOIN(CHAR(10),TRUE,_xlfn._xlws.SORT(IF((--($B284=Flowdown_CIC[[URS]:[URS]]))*(--(F$14=Flowdown_CIC[[Source.Name]:[Source.Name]])),Flowdown_CIC[[SyRS]:[SyRS]],"")))</f>
        <v>MASTER-19649</v>
      </c>
      <c r="G284" s="12" t="str" cm="1">
        <f t="array" ref="G284">_xlfn.TEXTJOIN(CHAR(10),TRUE,_xlfn._xlws.SORT(IF((--($B284=Flowdown_CIC[[URS]:[URS]]))*(--(G$14=Flowdown_CIC[[Source.Name]:[Source.Name]])),Flowdown_CIC[[SyRS]:[SyRS]],"")))</f>
        <v>MASTER-19649</v>
      </c>
      <c r="H284" s="12" t="str" cm="1">
        <f t="array" ref="H284">_xlfn.TEXTJOIN(CHAR(10),TRUE,_xlfn._xlws.SORT(IF((--($B284=Flowdown_CIC[[URS]:[URS]]))*(--(H$14=Flowdown_CIC[[Source.Name]:[Source.Name]])),Flowdown_CIC[[SyRS]:[SyRS]],"")))</f>
        <v>MASTER-22373
MASTER-22374
MASTER-22375
MASTER-22384
MASTER-22385
MASTER-22386</v>
      </c>
      <c r="I284" s="12" t="str" cm="1">
        <f t="array" ref="I284">_xlfn.TEXTJOIN(CHAR(10),TRUE,_xlfn._xlws.SORT(IF((--($B284=Flowdown_CIC[[URS]:[URS]]))*(--(I$14=Flowdown_CIC[[Source.Name]:[Source.Name]])),Flowdown_CIC[[SyRS]:[SyRS]],"")))</f>
        <v/>
      </c>
      <c r="J284" s="12" t="str" cm="1">
        <f t="array" ref="J284">_xlfn.TEXTJOIN(CHAR(10),TRUE,_xlfn._xlws.SORT(IF((--($B284=Flowdown_CIC[[URS]:[URS]]))*(--(J$14=Flowdown_CIC[[Source.Name]:[Source.Name]])),Flowdown_CIC[[SyRS]:[SyRS]],"")))</f>
        <v/>
      </c>
      <c r="K284" s="12" t="str" cm="1">
        <f t="array" ref="K284">_xlfn.TEXTJOIN(CHAR(10),TRUE,_xlfn._xlws.SORT(IF((--($B284=Flowdown_CIC[[URS]:[URS]]))*(--(K$14=Flowdown_CIC[[Source.Name]:[Source.Name]])),Flowdown_CIC[[SyRS]:[SyRS]],"")))</f>
        <v/>
      </c>
      <c r="L284" s="16" t="b" cm="1">
        <f t="array" ref="L284">OR(LEN(C284:K284)&gt;0)</f>
        <v>1</v>
      </c>
    </row>
    <row r="285" spans="2:12" ht="108" x14ac:dyDescent="0.2">
      <c r="B285" s="11" t="str">
        <v>MASTER-6619</v>
      </c>
      <c r="C285" s="12" t="str" cm="1">
        <f t="array" ref="C285">_xlfn.TEXTJOIN(CHAR(10),TRUE,_xlfn._xlws.SORT(IF((--($B285=Flowdown_CIC[[URS]:[URS]]))*(--(C$14=Flowdown_CIC[[Source.Name]:[Source.Name]])),Flowdown_CIC[[SyRS]:[SyRS]],"")))</f>
        <v/>
      </c>
      <c r="D285" s="12" t="str" cm="1">
        <f t="array" ref="D285">_xlfn.TEXTJOIN(CHAR(10),TRUE,_xlfn._xlws.SORT(IF((--($B285=Flowdown_CIC[[URS]:[URS]]))*(--(D$14=Flowdown_CIC[[Source.Name]:[Source.Name]])),Flowdown_CIC[[SyRS]:[SyRS]],"")))</f>
        <v/>
      </c>
      <c r="E285" s="12" t="str" cm="1">
        <f t="array" ref="E285">_xlfn.TEXTJOIN(CHAR(10),TRUE,_xlfn._xlws.SORT(IF((--($B285=Flowdown_CIC[[URS]:[URS]]))*(--(E$14=Flowdown_CIC[[Source.Name]:[Source.Name]])),Flowdown_CIC[[SyRS]:[SyRS]],"")))</f>
        <v/>
      </c>
      <c r="F285" s="12" t="str" cm="1">
        <f t="array" ref="F285">_xlfn.TEXTJOIN(CHAR(10),TRUE,_xlfn._xlws.SORT(IF((--($B285=Flowdown_CIC[[URS]:[URS]]))*(--(F$14=Flowdown_CIC[[Source.Name]:[Source.Name]])),Flowdown_CIC[[SyRS]:[SyRS]],"")))</f>
        <v/>
      </c>
      <c r="G285" s="12" t="str" cm="1">
        <f t="array" ref="G285">_xlfn.TEXTJOIN(CHAR(10),TRUE,_xlfn._xlws.SORT(IF((--($B285=Flowdown_CIC[[URS]:[URS]]))*(--(G$14=Flowdown_CIC[[Source.Name]:[Source.Name]])),Flowdown_CIC[[SyRS]:[SyRS]],"")))</f>
        <v/>
      </c>
      <c r="H285" s="12" t="str" cm="1">
        <f t="array" ref="H285">_xlfn.TEXTJOIN(CHAR(10),TRUE,_xlfn._xlws.SORT(IF((--($B285=Flowdown_CIC[[URS]:[URS]]))*(--(H$14=Flowdown_CIC[[Source.Name]:[Source.Name]])),Flowdown_CIC[[SyRS]:[SyRS]],"")))</f>
        <v>MASTER-22387
MASTER-22389
MASTER-22390
MASTER-22391
MASTER-22392
MASTER-22403
MASTER-22404
MASTER-22405</v>
      </c>
      <c r="I285" s="12" t="str" cm="1">
        <f t="array" ref="I285">_xlfn.TEXTJOIN(CHAR(10),TRUE,_xlfn._xlws.SORT(IF((--($B285=Flowdown_CIC[[URS]:[URS]]))*(--(I$14=Flowdown_CIC[[Source.Name]:[Source.Name]])),Flowdown_CIC[[SyRS]:[SyRS]],"")))</f>
        <v/>
      </c>
      <c r="J285" s="12" t="str" cm="1">
        <f t="array" ref="J285">_xlfn.TEXTJOIN(CHAR(10),TRUE,_xlfn._xlws.SORT(IF((--($B285=Flowdown_CIC[[URS]:[URS]]))*(--(J$14=Flowdown_CIC[[Source.Name]:[Source.Name]])),Flowdown_CIC[[SyRS]:[SyRS]],"")))</f>
        <v/>
      </c>
      <c r="K285" s="12" t="str" cm="1">
        <f t="array" ref="K285">_xlfn.TEXTJOIN(CHAR(10),TRUE,_xlfn._xlws.SORT(IF((--($B285=Flowdown_CIC[[URS]:[URS]]))*(--(K$14=Flowdown_CIC[[Source.Name]:[Source.Name]])),Flowdown_CIC[[SyRS]:[SyRS]],"")))</f>
        <v/>
      </c>
      <c r="L285" s="16" t="b" cm="1">
        <f t="array" ref="L285">OR(LEN(C285:K285)&gt;0)</f>
        <v>1</v>
      </c>
    </row>
    <row r="286" spans="2:12" ht="81" x14ac:dyDescent="0.2">
      <c r="B286" s="11" t="str">
        <v>MASTER-6620</v>
      </c>
      <c r="C286" s="12" t="str" cm="1">
        <f t="array" ref="C286">_xlfn.TEXTJOIN(CHAR(10),TRUE,_xlfn._xlws.SORT(IF((--($B286=Flowdown_CIC[[URS]:[URS]]))*(--(C$14=Flowdown_CIC[[Source.Name]:[Source.Name]])),Flowdown_CIC[[SyRS]:[SyRS]],"")))</f>
        <v/>
      </c>
      <c r="D286" s="12" t="str" cm="1">
        <f t="array" ref="D286">_xlfn.TEXTJOIN(CHAR(10),TRUE,_xlfn._xlws.SORT(IF((--($B286=Flowdown_CIC[[URS]:[URS]]))*(--(D$14=Flowdown_CIC[[Source.Name]:[Source.Name]])),Flowdown_CIC[[SyRS]:[SyRS]],"")))</f>
        <v/>
      </c>
      <c r="E286" s="12" t="str" cm="1">
        <f t="array" ref="E286">_xlfn.TEXTJOIN(CHAR(10),TRUE,_xlfn._xlws.SORT(IF((--($B286=Flowdown_CIC[[URS]:[URS]]))*(--(E$14=Flowdown_CIC[[Source.Name]:[Source.Name]])),Flowdown_CIC[[SyRS]:[SyRS]],"")))</f>
        <v/>
      </c>
      <c r="F286" s="12" t="str" cm="1">
        <f t="array" ref="F286">_xlfn.TEXTJOIN(CHAR(10),TRUE,_xlfn._xlws.SORT(IF((--($B286=Flowdown_CIC[[URS]:[URS]]))*(--(F$14=Flowdown_CIC[[Source.Name]:[Source.Name]])),Flowdown_CIC[[SyRS]:[SyRS]],"")))</f>
        <v/>
      </c>
      <c r="G286" s="12" t="str" cm="1">
        <f t="array" ref="G286">_xlfn.TEXTJOIN(CHAR(10),TRUE,_xlfn._xlws.SORT(IF((--($B286=Flowdown_CIC[[URS]:[URS]]))*(--(G$14=Flowdown_CIC[[Source.Name]:[Source.Name]])),Flowdown_CIC[[SyRS]:[SyRS]],"")))</f>
        <v/>
      </c>
      <c r="H286" s="12" t="str" cm="1">
        <f t="array" ref="H286">_xlfn.TEXTJOIN(CHAR(10),TRUE,_xlfn._xlws.SORT(IF((--($B286=Flowdown_CIC[[URS]:[URS]]))*(--(H$14=Flowdown_CIC[[Source.Name]:[Source.Name]])),Flowdown_CIC[[SyRS]:[SyRS]],"")))</f>
        <v>MASTER-22377
MASTER-22378
MASTER-22387
MASTER-22388
MASTER-22408
MASTER-64400</v>
      </c>
      <c r="I286" s="12" t="str" cm="1">
        <f t="array" ref="I286">_xlfn.TEXTJOIN(CHAR(10),TRUE,_xlfn._xlws.SORT(IF((--($B286=Flowdown_CIC[[URS]:[URS]]))*(--(I$14=Flowdown_CIC[[Source.Name]:[Source.Name]])),Flowdown_CIC[[SyRS]:[SyRS]],"")))</f>
        <v/>
      </c>
      <c r="J286" s="12" t="str" cm="1">
        <f t="array" ref="J286">_xlfn.TEXTJOIN(CHAR(10),TRUE,_xlfn._xlws.SORT(IF((--($B286=Flowdown_CIC[[URS]:[URS]]))*(--(J$14=Flowdown_CIC[[Source.Name]:[Source.Name]])),Flowdown_CIC[[SyRS]:[SyRS]],"")))</f>
        <v/>
      </c>
      <c r="K286" s="12" t="str" cm="1">
        <f t="array" ref="K286">_xlfn.TEXTJOIN(CHAR(10),TRUE,_xlfn._xlws.SORT(IF((--($B286=Flowdown_CIC[[URS]:[URS]]))*(--(K$14=Flowdown_CIC[[Source.Name]:[Source.Name]])),Flowdown_CIC[[SyRS]:[SyRS]],"")))</f>
        <v/>
      </c>
      <c r="L286" s="16" t="b" cm="1">
        <f t="array" ref="L286">OR(LEN(C286:K286)&gt;0)</f>
        <v>1</v>
      </c>
    </row>
    <row r="287" spans="2:12" ht="67.5" x14ac:dyDescent="0.2">
      <c r="B287" s="11" t="str">
        <v>MASTER-6621</v>
      </c>
      <c r="C287" s="12" t="str" cm="1">
        <f t="array" ref="C287">_xlfn.TEXTJOIN(CHAR(10),TRUE,_xlfn._xlws.SORT(IF((--($B287=Flowdown_CIC[[URS]:[URS]]))*(--(C$14=Flowdown_CIC[[Source.Name]:[Source.Name]])),Flowdown_CIC[[SyRS]:[SyRS]],"")))</f>
        <v>MASTER-19645
MASTER-19646
MASTER-19647</v>
      </c>
      <c r="D287" s="12" t="str" cm="1">
        <f t="array" ref="D287">_xlfn.TEXTJOIN(CHAR(10),TRUE,_xlfn._xlws.SORT(IF((--($B287=Flowdown_CIC[[URS]:[URS]]))*(--(D$14=Flowdown_CIC[[Source.Name]:[Source.Name]])),Flowdown_CIC[[SyRS]:[SyRS]],"")))</f>
        <v>MASTER-19645
MASTER-19646
MASTER-19647</v>
      </c>
      <c r="E287" s="12" t="str" cm="1">
        <f t="array" ref="E287">_xlfn.TEXTJOIN(CHAR(10),TRUE,_xlfn._xlws.SORT(IF((--($B287=Flowdown_CIC[[URS]:[URS]]))*(--(E$14=Flowdown_CIC[[Source.Name]:[Source.Name]])),Flowdown_CIC[[SyRS]:[SyRS]],"")))</f>
        <v>MASTER-19645
MASTER-19646
MASTER-19647</v>
      </c>
      <c r="F287" s="12" t="str" cm="1">
        <f t="array" ref="F287">_xlfn.TEXTJOIN(CHAR(10),TRUE,_xlfn._xlws.SORT(IF((--($B287=Flowdown_CIC[[URS]:[URS]]))*(--(F$14=Flowdown_CIC[[Source.Name]:[Source.Name]])),Flowdown_CIC[[SyRS]:[SyRS]],"")))</f>
        <v>MASTER-19645
MASTER-19646
MASTER-19647</v>
      </c>
      <c r="G287" s="12" t="str" cm="1">
        <f t="array" ref="G287">_xlfn.TEXTJOIN(CHAR(10),TRUE,_xlfn._xlws.SORT(IF((--($B287=Flowdown_CIC[[URS]:[URS]]))*(--(G$14=Flowdown_CIC[[Source.Name]:[Source.Name]])),Flowdown_CIC[[SyRS]:[SyRS]],"")))</f>
        <v>MASTER-19645
MASTER-19646
MASTER-19647</v>
      </c>
      <c r="H287" s="12" t="str" cm="1">
        <f t="array" ref="H287">_xlfn.TEXTJOIN(CHAR(10),TRUE,_xlfn._xlws.SORT(IF((--($B287=Flowdown_CIC[[URS]:[URS]]))*(--(H$14=Flowdown_CIC[[Source.Name]:[Source.Name]])),Flowdown_CIC[[SyRS]:[SyRS]],"")))</f>
        <v>MASTER-22393
MASTER-22394
MASTER-22395
MASTER-22396
MASTER-22397</v>
      </c>
      <c r="I287" s="12" t="str" cm="1">
        <f t="array" ref="I287">_xlfn.TEXTJOIN(CHAR(10),TRUE,_xlfn._xlws.SORT(IF((--($B287=Flowdown_CIC[[URS]:[URS]]))*(--(I$14=Flowdown_CIC[[Source.Name]:[Source.Name]])),Flowdown_CIC[[SyRS]:[SyRS]],"")))</f>
        <v/>
      </c>
      <c r="J287" s="12" t="str" cm="1">
        <f t="array" ref="J287">_xlfn.TEXTJOIN(CHAR(10),TRUE,_xlfn._xlws.SORT(IF((--($B287=Flowdown_CIC[[URS]:[URS]]))*(--(J$14=Flowdown_CIC[[Source.Name]:[Source.Name]])),Flowdown_CIC[[SyRS]:[SyRS]],"")))</f>
        <v/>
      </c>
      <c r="K287" s="12" t="str" cm="1">
        <f t="array" ref="K287">_xlfn.TEXTJOIN(CHAR(10),TRUE,_xlfn._xlws.SORT(IF((--($B287=Flowdown_CIC[[URS]:[URS]]))*(--(K$14=Flowdown_CIC[[Source.Name]:[Source.Name]])),Flowdown_CIC[[SyRS]:[SyRS]],"")))</f>
        <v/>
      </c>
      <c r="L287" s="16" t="b" cm="1">
        <f t="array" ref="L287">OR(LEN(C287:K287)&gt;0)</f>
        <v>1</v>
      </c>
    </row>
    <row r="288" spans="2:12" ht="40.5" x14ac:dyDescent="0.2">
      <c r="B288" s="11" t="str">
        <v>MASTER-6622</v>
      </c>
      <c r="C288" s="12" t="str" cm="1">
        <f t="array" ref="C288">_xlfn.TEXTJOIN(CHAR(10),TRUE,_xlfn._xlws.SORT(IF((--($B288=Flowdown_CIC[[URS]:[URS]]))*(--(C$14=Flowdown_CIC[[Source.Name]:[Source.Name]])),Flowdown_CIC[[SyRS]:[SyRS]],"")))</f>
        <v/>
      </c>
      <c r="D288" s="12" t="str" cm="1">
        <f t="array" ref="D288">_xlfn.TEXTJOIN(CHAR(10),TRUE,_xlfn._xlws.SORT(IF((--($B288=Flowdown_CIC[[URS]:[URS]]))*(--(D$14=Flowdown_CIC[[Source.Name]:[Source.Name]])),Flowdown_CIC[[SyRS]:[SyRS]],"")))</f>
        <v/>
      </c>
      <c r="E288" s="12" t="str" cm="1">
        <f t="array" ref="E288">_xlfn.TEXTJOIN(CHAR(10),TRUE,_xlfn._xlws.SORT(IF((--($B288=Flowdown_CIC[[URS]:[URS]]))*(--(E$14=Flowdown_CIC[[Source.Name]:[Source.Name]])),Flowdown_CIC[[SyRS]:[SyRS]],"")))</f>
        <v/>
      </c>
      <c r="F288" s="12" t="str" cm="1">
        <f t="array" ref="F288">_xlfn.TEXTJOIN(CHAR(10),TRUE,_xlfn._xlws.SORT(IF((--($B288=Flowdown_CIC[[URS]:[URS]]))*(--(F$14=Flowdown_CIC[[Source.Name]:[Source.Name]])),Flowdown_CIC[[SyRS]:[SyRS]],"")))</f>
        <v/>
      </c>
      <c r="G288" s="12" t="str" cm="1">
        <f t="array" ref="G288">_xlfn.TEXTJOIN(CHAR(10),TRUE,_xlfn._xlws.SORT(IF((--($B288=Flowdown_CIC[[URS]:[URS]]))*(--(G$14=Flowdown_CIC[[Source.Name]:[Source.Name]])),Flowdown_CIC[[SyRS]:[SyRS]],"")))</f>
        <v/>
      </c>
      <c r="H288" s="12" t="str" cm="1">
        <f t="array" ref="H288">_xlfn.TEXTJOIN(CHAR(10),TRUE,_xlfn._xlws.SORT(IF((--($B288=Flowdown_CIC[[URS]:[URS]]))*(--(H$14=Flowdown_CIC[[Source.Name]:[Source.Name]])),Flowdown_CIC[[SyRS]:[SyRS]],"")))</f>
        <v>MASTER-22398
MASTER-22399
MASTER-22400</v>
      </c>
      <c r="I288" s="12" t="str" cm="1">
        <f t="array" ref="I288">_xlfn.TEXTJOIN(CHAR(10),TRUE,_xlfn._xlws.SORT(IF((--($B288=Flowdown_CIC[[URS]:[URS]]))*(--(I$14=Flowdown_CIC[[Source.Name]:[Source.Name]])),Flowdown_CIC[[SyRS]:[SyRS]],"")))</f>
        <v/>
      </c>
      <c r="J288" s="12" t="str" cm="1">
        <f t="array" ref="J288">_xlfn.TEXTJOIN(CHAR(10),TRUE,_xlfn._xlws.SORT(IF((--($B288=Flowdown_CIC[[URS]:[URS]]))*(--(J$14=Flowdown_CIC[[Source.Name]:[Source.Name]])),Flowdown_CIC[[SyRS]:[SyRS]],"")))</f>
        <v/>
      </c>
      <c r="K288" s="12" t="str" cm="1">
        <f t="array" ref="K288">_xlfn.TEXTJOIN(CHAR(10),TRUE,_xlfn._xlws.SORT(IF((--($B288=Flowdown_CIC[[URS]:[URS]]))*(--(K$14=Flowdown_CIC[[Source.Name]:[Source.Name]])),Flowdown_CIC[[SyRS]:[SyRS]],"")))</f>
        <v/>
      </c>
      <c r="L288" s="16" t="b" cm="1">
        <f t="array" ref="L288">OR(LEN(C288:K288)&gt;0)</f>
        <v>1</v>
      </c>
    </row>
    <row r="289" spans="2:12" ht="13.5" x14ac:dyDescent="0.2">
      <c r="B289" s="11" t="str">
        <v>MASTER-6623</v>
      </c>
      <c r="C289" s="12" t="str" cm="1">
        <f t="array" ref="C289">_xlfn.TEXTJOIN(CHAR(10),TRUE,_xlfn._xlws.SORT(IF((--($B289=Flowdown_CIC[[URS]:[URS]]))*(--(C$14=Flowdown_CIC[[Source.Name]:[Source.Name]])),Flowdown_CIC[[SyRS]:[SyRS]],"")))</f>
        <v>MASTER-19639</v>
      </c>
      <c r="D289" s="12" t="str" cm="1">
        <f t="array" ref="D289">_xlfn.TEXTJOIN(CHAR(10),TRUE,_xlfn._xlws.SORT(IF((--($B289=Flowdown_CIC[[URS]:[URS]]))*(--(D$14=Flowdown_CIC[[Source.Name]:[Source.Name]])),Flowdown_CIC[[SyRS]:[SyRS]],"")))</f>
        <v>MASTER-19639</v>
      </c>
      <c r="E289" s="12" t="str" cm="1">
        <f t="array" ref="E289">_xlfn.TEXTJOIN(CHAR(10),TRUE,_xlfn._xlws.SORT(IF((--($B289=Flowdown_CIC[[URS]:[URS]]))*(--(E$14=Flowdown_CIC[[Source.Name]:[Source.Name]])),Flowdown_CIC[[SyRS]:[SyRS]],"")))</f>
        <v>MASTER-19639</v>
      </c>
      <c r="F289" s="12" t="str" cm="1">
        <f t="array" ref="F289">_xlfn.TEXTJOIN(CHAR(10),TRUE,_xlfn._xlws.SORT(IF((--($B289=Flowdown_CIC[[URS]:[URS]]))*(--(F$14=Flowdown_CIC[[Source.Name]:[Source.Name]])),Flowdown_CIC[[SyRS]:[SyRS]],"")))</f>
        <v>MASTER-19639</v>
      </c>
      <c r="G289" s="12" t="str" cm="1">
        <f t="array" ref="G289">_xlfn.TEXTJOIN(CHAR(10),TRUE,_xlfn._xlws.SORT(IF((--($B289=Flowdown_CIC[[URS]:[URS]]))*(--(G$14=Flowdown_CIC[[Source.Name]:[Source.Name]])),Flowdown_CIC[[SyRS]:[SyRS]],"")))</f>
        <v>MASTER-19639</v>
      </c>
      <c r="H289" s="12" t="str" cm="1">
        <f t="array" ref="H289">_xlfn.TEXTJOIN(CHAR(10),TRUE,_xlfn._xlws.SORT(IF((--($B289=Flowdown_CIC[[URS]:[URS]]))*(--(H$14=Flowdown_CIC[[Source.Name]:[Source.Name]])),Flowdown_CIC[[SyRS]:[SyRS]],"")))</f>
        <v/>
      </c>
      <c r="I289" s="12" t="str" cm="1">
        <f t="array" ref="I289">_xlfn.TEXTJOIN(CHAR(10),TRUE,_xlfn._xlws.SORT(IF((--($B289=Flowdown_CIC[[URS]:[URS]]))*(--(I$14=Flowdown_CIC[[Source.Name]:[Source.Name]])),Flowdown_CIC[[SyRS]:[SyRS]],"")))</f>
        <v/>
      </c>
      <c r="J289" s="12" t="str" cm="1">
        <f t="array" ref="J289">_xlfn.TEXTJOIN(CHAR(10),TRUE,_xlfn._xlws.SORT(IF((--($B289=Flowdown_CIC[[URS]:[URS]]))*(--(J$14=Flowdown_CIC[[Source.Name]:[Source.Name]])),Flowdown_CIC[[SyRS]:[SyRS]],"")))</f>
        <v/>
      </c>
      <c r="K289" s="12" t="str" cm="1">
        <f t="array" ref="K289">_xlfn.TEXTJOIN(CHAR(10),TRUE,_xlfn._xlws.SORT(IF((--($B289=Flowdown_CIC[[URS]:[URS]]))*(--(K$14=Flowdown_CIC[[Source.Name]:[Source.Name]])),Flowdown_CIC[[SyRS]:[SyRS]],"")))</f>
        <v/>
      </c>
      <c r="L289" s="16" t="b" cm="1">
        <f t="array" ref="L289">OR(LEN(C289:K289)&gt;0)</f>
        <v>1</v>
      </c>
    </row>
    <row r="290" spans="2:12" ht="27" x14ac:dyDescent="0.2">
      <c r="B290" s="11" t="str">
        <v>MASTER-6655</v>
      </c>
      <c r="C290" s="12" t="str" cm="1">
        <f t="array" ref="C290">_xlfn.TEXTJOIN(CHAR(10),TRUE,_xlfn._xlws.SORT(IF((--($B290=Flowdown_CIC[[URS]:[URS]]))*(--(C$14=Flowdown_CIC[[Source.Name]:[Source.Name]])),Flowdown_CIC[[SyRS]:[SyRS]],"")))</f>
        <v>MASTER-17676
MASTER-17679</v>
      </c>
      <c r="D290" s="12" t="str" cm="1">
        <f t="array" ref="D290">_xlfn.TEXTJOIN(CHAR(10),TRUE,_xlfn._xlws.SORT(IF((--($B290=Flowdown_CIC[[URS]:[URS]]))*(--(D$14=Flowdown_CIC[[Source.Name]:[Source.Name]])),Flowdown_CIC[[SyRS]:[SyRS]],"")))</f>
        <v>MASTER-17676
MASTER-17679</v>
      </c>
      <c r="E290" s="12" t="str" cm="1">
        <f t="array" ref="E290">_xlfn.TEXTJOIN(CHAR(10),TRUE,_xlfn._xlws.SORT(IF((--($B290=Flowdown_CIC[[URS]:[URS]]))*(--(E$14=Flowdown_CIC[[Source.Name]:[Source.Name]])),Flowdown_CIC[[SyRS]:[SyRS]],"")))</f>
        <v>MASTER-17676
MASTER-17679</v>
      </c>
      <c r="F290" s="12" t="str" cm="1">
        <f t="array" ref="F290">_xlfn.TEXTJOIN(CHAR(10),TRUE,_xlfn._xlws.SORT(IF((--($B290=Flowdown_CIC[[URS]:[URS]]))*(--(F$14=Flowdown_CIC[[Source.Name]:[Source.Name]])),Flowdown_CIC[[SyRS]:[SyRS]],"")))</f>
        <v>MASTER-17676
MASTER-17679</v>
      </c>
      <c r="G290" s="12" t="str" cm="1">
        <f t="array" ref="G290">_xlfn.TEXTJOIN(CHAR(10),TRUE,_xlfn._xlws.SORT(IF((--($B290=Flowdown_CIC[[URS]:[URS]]))*(--(G$14=Flowdown_CIC[[Source.Name]:[Source.Name]])),Flowdown_CIC[[SyRS]:[SyRS]],"")))</f>
        <v>MASTER-17676
MASTER-17679</v>
      </c>
      <c r="H290" s="12" t="str" cm="1">
        <f t="array" ref="H290">_xlfn.TEXTJOIN(CHAR(10),TRUE,_xlfn._xlws.SORT(IF((--($B290=Flowdown_CIC[[URS]:[URS]]))*(--(H$14=Flowdown_CIC[[Source.Name]:[Source.Name]])),Flowdown_CIC[[SyRS]:[SyRS]],"")))</f>
        <v/>
      </c>
      <c r="I290" s="12" t="str" cm="1">
        <f t="array" ref="I290">_xlfn.TEXTJOIN(CHAR(10),TRUE,_xlfn._xlws.SORT(IF((--($B290=Flowdown_CIC[[URS]:[URS]]))*(--(I$14=Flowdown_CIC[[Source.Name]:[Source.Name]])),Flowdown_CIC[[SyRS]:[SyRS]],"")))</f>
        <v>MASTER-19790
UTICA-362</v>
      </c>
      <c r="J290" s="12" t="str" cm="1">
        <f t="array" ref="J290">_xlfn.TEXTJOIN(CHAR(10),TRUE,_xlfn._xlws.SORT(IF((--($B290=Flowdown_CIC[[URS]:[URS]]))*(--(J$14=Flowdown_CIC[[Source.Name]:[Source.Name]])),Flowdown_CIC[[SyRS]:[SyRS]],"")))</f>
        <v/>
      </c>
      <c r="K290" s="12" t="str" cm="1">
        <f t="array" ref="K290">_xlfn.TEXTJOIN(CHAR(10),TRUE,_xlfn._xlws.SORT(IF((--($B290=Flowdown_CIC[[URS]:[URS]]))*(--(K$14=Flowdown_CIC[[Source.Name]:[Source.Name]])),Flowdown_CIC[[SyRS]:[SyRS]],"")))</f>
        <v/>
      </c>
      <c r="L290" s="16" t="b" cm="1">
        <f t="array" ref="L290">OR(LEN(C290:K290)&gt;0)</f>
        <v>1</v>
      </c>
    </row>
    <row r="291" spans="2:12" ht="13.5" x14ac:dyDescent="0.2">
      <c r="B291" s="11" t="str">
        <v>MASTER-6656</v>
      </c>
      <c r="C291" s="12" t="str" cm="1">
        <f t="array" ref="C291">_xlfn.TEXTJOIN(CHAR(10),TRUE,_xlfn._xlws.SORT(IF((--($B291=Flowdown_CIC[[URS]:[URS]]))*(--(C$14=Flowdown_CIC[[Source.Name]:[Source.Name]])),Flowdown_CIC[[SyRS]:[SyRS]],"")))</f>
        <v/>
      </c>
      <c r="D291" s="12" t="str" cm="1">
        <f t="array" ref="D291">_xlfn.TEXTJOIN(CHAR(10),TRUE,_xlfn._xlws.SORT(IF((--($B291=Flowdown_CIC[[URS]:[URS]]))*(--(D$14=Flowdown_CIC[[Source.Name]:[Source.Name]])),Flowdown_CIC[[SyRS]:[SyRS]],"")))</f>
        <v/>
      </c>
      <c r="E291" s="12" t="str" cm="1">
        <f t="array" ref="E291">_xlfn.TEXTJOIN(CHAR(10),TRUE,_xlfn._xlws.SORT(IF((--($B291=Flowdown_CIC[[URS]:[URS]]))*(--(E$14=Flowdown_CIC[[Source.Name]:[Source.Name]])),Flowdown_CIC[[SyRS]:[SyRS]],"")))</f>
        <v/>
      </c>
      <c r="F291" s="12" t="str" cm="1">
        <f t="array" ref="F291">_xlfn.TEXTJOIN(CHAR(10),TRUE,_xlfn._xlws.SORT(IF((--($B291=Flowdown_CIC[[URS]:[URS]]))*(--(F$14=Flowdown_CIC[[Source.Name]:[Source.Name]])),Flowdown_CIC[[SyRS]:[SyRS]],"")))</f>
        <v/>
      </c>
      <c r="G291" s="12" t="str" cm="1">
        <f t="array" ref="G291">_xlfn.TEXTJOIN(CHAR(10),TRUE,_xlfn._xlws.SORT(IF((--($B291=Flowdown_CIC[[URS]:[URS]]))*(--(G$14=Flowdown_CIC[[Source.Name]:[Source.Name]])),Flowdown_CIC[[SyRS]:[SyRS]],"")))</f>
        <v/>
      </c>
      <c r="H291" s="12" t="str" cm="1">
        <f t="array" ref="H291">_xlfn.TEXTJOIN(CHAR(10),TRUE,_xlfn._xlws.SORT(IF((--($B291=Flowdown_CIC[[URS]:[URS]]))*(--(H$14=Flowdown_CIC[[Source.Name]:[Source.Name]])),Flowdown_CIC[[SyRS]:[SyRS]],"")))</f>
        <v/>
      </c>
      <c r="I291" s="12" t="str" cm="1">
        <f t="array" ref="I291">_xlfn.TEXTJOIN(CHAR(10),TRUE,_xlfn._xlws.SORT(IF((--($B291=Flowdown_CIC[[URS]:[URS]]))*(--(I$14=Flowdown_CIC[[Source.Name]:[Source.Name]])),Flowdown_CIC[[SyRS]:[SyRS]],"")))</f>
        <v>MASTER-19808</v>
      </c>
      <c r="J291" s="12" t="str" cm="1">
        <f t="array" ref="J291">_xlfn.TEXTJOIN(CHAR(10),TRUE,_xlfn._xlws.SORT(IF((--($B291=Flowdown_CIC[[URS]:[URS]]))*(--(J$14=Flowdown_CIC[[Source.Name]:[Source.Name]])),Flowdown_CIC[[SyRS]:[SyRS]],"")))</f>
        <v>MASTER-19808</v>
      </c>
      <c r="K291" s="12" t="str" cm="1">
        <f t="array" ref="K291">_xlfn.TEXTJOIN(CHAR(10),TRUE,_xlfn._xlws.SORT(IF((--($B291=Flowdown_CIC[[URS]:[URS]]))*(--(K$14=Flowdown_CIC[[Source.Name]:[Source.Name]])),Flowdown_CIC[[SyRS]:[SyRS]],"")))</f>
        <v/>
      </c>
      <c r="L291" s="16" t="b" cm="1">
        <f t="array" ref="L291">OR(LEN(C291:K291)&gt;0)</f>
        <v>1</v>
      </c>
    </row>
    <row r="292" spans="2:12" ht="67.5" x14ac:dyDescent="0.2">
      <c r="B292" s="11" t="str">
        <v>MASTER-6657</v>
      </c>
      <c r="C292" s="12" t="str" cm="1">
        <f t="array" ref="C292">_xlfn.TEXTJOIN(CHAR(10),TRUE,_xlfn._xlws.SORT(IF((--($B292=Flowdown_CIC[[URS]:[URS]]))*(--(C$14=Flowdown_CIC[[Source.Name]:[Source.Name]])),Flowdown_CIC[[SyRS]:[SyRS]],"")))</f>
        <v/>
      </c>
      <c r="D292" s="12" t="str" cm="1">
        <f t="array" ref="D292">_xlfn.TEXTJOIN(CHAR(10),TRUE,_xlfn._xlws.SORT(IF((--($B292=Flowdown_CIC[[URS]:[URS]]))*(--(D$14=Flowdown_CIC[[Source.Name]:[Source.Name]])),Flowdown_CIC[[SyRS]:[SyRS]],"")))</f>
        <v/>
      </c>
      <c r="E292" s="12" t="str" cm="1">
        <f t="array" ref="E292">_xlfn.TEXTJOIN(CHAR(10),TRUE,_xlfn._xlws.SORT(IF((--($B292=Flowdown_CIC[[URS]:[URS]]))*(--(E$14=Flowdown_CIC[[Source.Name]:[Source.Name]])),Flowdown_CIC[[SyRS]:[SyRS]],"")))</f>
        <v/>
      </c>
      <c r="F292" s="12" t="str" cm="1">
        <f t="array" ref="F292">_xlfn.TEXTJOIN(CHAR(10),TRUE,_xlfn._xlws.SORT(IF((--($B292=Flowdown_CIC[[URS]:[URS]]))*(--(F$14=Flowdown_CIC[[Source.Name]:[Source.Name]])),Flowdown_CIC[[SyRS]:[SyRS]],"")))</f>
        <v/>
      </c>
      <c r="G292" s="12" t="str" cm="1">
        <f t="array" ref="G292">_xlfn.TEXTJOIN(CHAR(10),TRUE,_xlfn._xlws.SORT(IF((--($B292=Flowdown_CIC[[URS]:[URS]]))*(--(G$14=Flowdown_CIC[[Source.Name]:[Source.Name]])),Flowdown_CIC[[SyRS]:[SyRS]],"")))</f>
        <v/>
      </c>
      <c r="H292" s="12" t="str" cm="1">
        <f t="array" ref="H292">_xlfn.TEXTJOIN(CHAR(10),TRUE,_xlfn._xlws.SORT(IF((--($B292=Flowdown_CIC[[URS]:[URS]]))*(--(H$14=Flowdown_CIC[[Source.Name]:[Source.Name]])),Flowdown_CIC[[SyRS]:[SyRS]],"")))</f>
        <v/>
      </c>
      <c r="I292" s="12" t="str" cm="1">
        <f t="array" ref="I292">_xlfn.TEXTJOIN(CHAR(10),TRUE,_xlfn._xlws.SORT(IF((--($B292=Flowdown_CIC[[URS]:[URS]]))*(--(I$14=Flowdown_CIC[[Source.Name]:[Source.Name]])),Flowdown_CIC[[SyRS]:[SyRS]],"")))</f>
        <v>MASTER-20102
MASTER-20104
MASTER-48451
UTICA-202
UTICA-2176</v>
      </c>
      <c r="J292" s="12" t="str" cm="1">
        <f t="array" ref="J292">_xlfn.TEXTJOIN(CHAR(10),TRUE,_xlfn._xlws.SORT(IF((--($B292=Flowdown_CIC[[URS]:[URS]]))*(--(J$14=Flowdown_CIC[[Source.Name]:[Source.Name]])),Flowdown_CIC[[SyRS]:[SyRS]],"")))</f>
        <v>MASTER-20102
MASTER-20104
MASTER-48451
UTICA-2476</v>
      </c>
      <c r="K292" s="12" t="str" cm="1">
        <f t="array" ref="K292">_xlfn.TEXTJOIN(CHAR(10),TRUE,_xlfn._xlws.SORT(IF((--($B292=Flowdown_CIC[[URS]:[URS]]))*(--(K$14=Flowdown_CIC[[Source.Name]:[Source.Name]])),Flowdown_CIC[[SyRS]:[SyRS]],"")))</f>
        <v/>
      </c>
      <c r="L292" s="16" t="b" cm="1">
        <f t="array" ref="L292">OR(LEN(C292:K292)&gt;0)</f>
        <v>1</v>
      </c>
    </row>
    <row r="293" spans="2:12" ht="243" x14ac:dyDescent="0.2">
      <c r="B293" s="11" t="str">
        <v>MASTER-6659</v>
      </c>
      <c r="C293" s="12" t="str" cm="1">
        <f t="array" ref="C293">_xlfn.TEXTJOIN(CHAR(10),TRUE,_xlfn._xlws.SORT(IF((--($B293=Flowdown_CIC[[URS]:[URS]]))*(--(C$14=Flowdown_CIC[[Source.Name]:[Source.Name]])),Flowdown_CIC[[SyRS]:[SyRS]],"")))</f>
        <v/>
      </c>
      <c r="D293" s="12" t="str" cm="1">
        <f t="array" ref="D293">_xlfn.TEXTJOIN(CHAR(10),TRUE,_xlfn._xlws.SORT(IF((--($B293=Flowdown_CIC[[URS]:[URS]]))*(--(D$14=Flowdown_CIC[[Source.Name]:[Source.Name]])),Flowdown_CIC[[SyRS]:[SyRS]],"")))</f>
        <v/>
      </c>
      <c r="E293" s="12" t="str" cm="1">
        <f t="array" ref="E293">_xlfn.TEXTJOIN(CHAR(10),TRUE,_xlfn._xlws.SORT(IF((--($B293=Flowdown_CIC[[URS]:[URS]]))*(--(E$14=Flowdown_CIC[[Source.Name]:[Source.Name]])),Flowdown_CIC[[SyRS]:[SyRS]],"")))</f>
        <v/>
      </c>
      <c r="F293" s="12" t="str" cm="1">
        <f t="array" ref="F293">_xlfn.TEXTJOIN(CHAR(10),TRUE,_xlfn._xlws.SORT(IF((--($B293=Flowdown_CIC[[URS]:[URS]]))*(--(F$14=Flowdown_CIC[[Source.Name]:[Source.Name]])),Flowdown_CIC[[SyRS]:[SyRS]],"")))</f>
        <v/>
      </c>
      <c r="G293" s="12" t="str" cm="1">
        <f t="array" ref="G293">_xlfn.TEXTJOIN(CHAR(10),TRUE,_xlfn._xlws.SORT(IF((--($B293=Flowdown_CIC[[URS]:[URS]]))*(--(G$14=Flowdown_CIC[[Source.Name]:[Source.Name]])),Flowdown_CIC[[SyRS]:[SyRS]],"")))</f>
        <v/>
      </c>
      <c r="H293" s="12" t="str" cm="1">
        <f t="array" ref="H293">_xlfn.TEXTJOIN(CHAR(10),TRUE,_xlfn._xlws.SORT(IF((--($B293=Flowdown_CIC[[URS]:[URS]]))*(--(H$14=Flowdown_CIC[[Source.Name]:[Source.Name]])),Flowdown_CIC[[SyRS]:[SyRS]],"")))</f>
        <v>MASTER-57690</v>
      </c>
      <c r="I293" s="12" t="str" cm="1">
        <f t="array" ref="I293">_xlfn.TEXTJOIN(CHAR(10),TRUE,_xlfn._xlws.SORT(IF((--($B293=Flowdown_CIC[[URS]:[URS]]))*(--(I$14=Flowdown_CIC[[Source.Name]:[Source.Name]])),Flowdown_CIC[[SyRS]:[SyRS]],"")))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293" s="12" t="str" cm="1">
        <f t="array" ref="J293">_xlfn.TEXTJOIN(CHAR(10),TRUE,_xlfn._xlws.SORT(IF((--($B293=Flowdown_CIC[[URS]:[URS]]))*(--(J$14=Flowdown_CIC[[Source.Name]:[Source.Name]])),Flowdown_CIC[[SyRS]:[SyRS]],"")))</f>
        <v>MASTER-19844
MASTER-19880
MASTER-19906
MASTER-19907
MASTER-19909
MASTER-20210
MASTER-46245
UTICA-11615
UTICA-2480
UTICA-2512
UTICA-2515
UTICA-25733
UTICA-2676</v>
      </c>
      <c r="K293" s="12" t="str" cm="1">
        <f t="array" ref="K293">_xlfn.TEXTJOIN(CHAR(10),TRUE,_xlfn._xlws.SORT(IF((--($B293=Flowdown_CIC[[URS]:[URS]]))*(--(K$14=Flowdown_CIC[[Source.Name]:[Source.Name]])),Flowdown_CIC[[SyRS]:[SyRS]],"")))</f>
        <v/>
      </c>
      <c r="L293" s="16" t="b" cm="1">
        <f t="array" ref="L293">OR(LEN(C293:K293)&gt;0)</f>
        <v>1</v>
      </c>
    </row>
    <row r="294" spans="2:12" ht="409.5" x14ac:dyDescent="0.2">
      <c r="B294" s="11" t="str">
        <v>MASTER-6660</v>
      </c>
      <c r="C294" s="12" t="str" cm="1">
        <f t="array" ref="C294">_xlfn.TEXTJOIN(CHAR(10),TRUE,_xlfn._xlws.SORT(IF((--($B294=Flowdown_CIC[[URS]:[URS]]))*(--(C$14=Flowdown_CIC[[Source.Name]:[Source.Name]])),Flowdown_CIC[[SyRS]:[SyRS]],"")))</f>
        <v/>
      </c>
      <c r="D294" s="12" t="str" cm="1">
        <f t="array" ref="D294">_xlfn.TEXTJOIN(CHAR(10),TRUE,_xlfn._xlws.SORT(IF((--($B294=Flowdown_CIC[[URS]:[URS]]))*(--(D$14=Flowdown_CIC[[Source.Name]:[Source.Name]])),Flowdown_CIC[[SyRS]:[SyRS]],"")))</f>
        <v/>
      </c>
      <c r="E294" s="12" t="str" cm="1">
        <f t="array" ref="E294">_xlfn.TEXTJOIN(CHAR(10),TRUE,_xlfn._xlws.SORT(IF((--($B294=Flowdown_CIC[[URS]:[URS]]))*(--(E$14=Flowdown_CIC[[Source.Name]:[Source.Name]])),Flowdown_CIC[[SyRS]:[SyRS]],"")))</f>
        <v/>
      </c>
      <c r="F294" s="12" t="str" cm="1">
        <f t="array" ref="F294">_xlfn.TEXTJOIN(CHAR(10),TRUE,_xlfn._xlws.SORT(IF((--($B294=Flowdown_CIC[[URS]:[URS]]))*(--(F$14=Flowdown_CIC[[Source.Name]:[Source.Name]])),Flowdown_CIC[[SyRS]:[SyRS]],"")))</f>
        <v/>
      </c>
      <c r="G294" s="12" t="str" cm="1">
        <f t="array" ref="G294">_xlfn.TEXTJOIN(CHAR(10),TRUE,_xlfn._xlws.SORT(IF((--($B294=Flowdown_CIC[[URS]:[URS]]))*(--(G$14=Flowdown_CIC[[Source.Name]:[Source.Name]])),Flowdown_CIC[[SyRS]:[SyRS]],"")))</f>
        <v/>
      </c>
      <c r="H294" s="12" t="str" cm="1">
        <f t="array" ref="H294">_xlfn.TEXTJOIN(CHAR(10),TRUE,_xlfn._xlws.SORT(IF((--($B294=Flowdown_CIC[[URS]:[URS]]))*(--(H$14=Flowdown_CIC[[Source.Name]:[Source.Name]])),Flowdown_CIC[[SyRS]:[SyRS]],"")))</f>
        <v/>
      </c>
      <c r="I294" s="12" t="str" cm="1">
        <f t="array" ref="I294">_xlfn.TEXTJOIN(CHAR(10),TRUE,_xlfn._xlws.SORT(IF((--($B294=Flowdown_CIC[[URS]:[URS]]))*(--(I$14=Flowdown_CIC[[Source.Name]:[Source.Name]])),Flowdown_CIC[[SyRS]:[SyRS]],"")))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294" s="12" t="str" cm="1">
        <f t="array" ref="J294">_xlfn.TEXTJOIN(CHAR(10),TRUE,_xlfn._xlws.SORT(IF((--($B294=Flowdown_CIC[[URS]:[URS]]))*(--(J$14=Flowdown_CIC[[Source.Name]:[Source.Name]])),Flowdown_CIC[[SyRS]:[SyRS]],"")))</f>
        <v>MASTER-17425
MASTER-17428
MASTER-19906
MASTER-19907
MASTER-19909
MASTER-19930
MASTER-20210
MASTER-20298
MASTER-23011
MASTER-46245
UTICA-11615
UTICA-2482
UTICA-2483
UTICA-2484
UTICA-2512
UTICA-2515
UTICA-25733</v>
      </c>
      <c r="K294" s="12" t="str" cm="1">
        <f t="array" ref="K294">_xlfn.TEXTJOIN(CHAR(10),TRUE,_xlfn._xlws.SORT(IF((--($B294=Flowdown_CIC[[URS]:[URS]]))*(--(K$14=Flowdown_CIC[[Source.Name]:[Source.Name]])),Flowdown_CIC[[SyRS]:[SyRS]],"")))</f>
        <v/>
      </c>
      <c r="L294" s="16" t="b" cm="1">
        <f t="array" ref="L294">OR(LEN(C294:K294)&gt;0)</f>
        <v>1</v>
      </c>
    </row>
    <row r="295" spans="2:12" ht="13.5" x14ac:dyDescent="0.2">
      <c r="B295" s="11" t="str">
        <v>MASTER-6661</v>
      </c>
      <c r="C295" s="12" t="str" cm="1">
        <f t="array" ref="C295">_xlfn.TEXTJOIN(CHAR(10),TRUE,_xlfn._xlws.SORT(IF((--($B295=Flowdown_CIC[[URS]:[URS]]))*(--(C$14=Flowdown_CIC[[Source.Name]:[Source.Name]])),Flowdown_CIC[[SyRS]:[SyRS]],"")))</f>
        <v/>
      </c>
      <c r="D295" s="12" t="str" cm="1">
        <f t="array" ref="D295">_xlfn.TEXTJOIN(CHAR(10),TRUE,_xlfn._xlws.SORT(IF((--($B295=Flowdown_CIC[[URS]:[URS]]))*(--(D$14=Flowdown_CIC[[Source.Name]:[Source.Name]])),Flowdown_CIC[[SyRS]:[SyRS]],"")))</f>
        <v/>
      </c>
      <c r="E295" s="12" t="str" cm="1">
        <f t="array" ref="E295">_xlfn.TEXTJOIN(CHAR(10),TRUE,_xlfn._xlws.SORT(IF((--($B295=Flowdown_CIC[[URS]:[URS]]))*(--(E$14=Flowdown_CIC[[Source.Name]:[Source.Name]])),Flowdown_CIC[[SyRS]:[SyRS]],"")))</f>
        <v/>
      </c>
      <c r="F295" s="12" t="str" cm="1">
        <f t="array" ref="F295">_xlfn.TEXTJOIN(CHAR(10),TRUE,_xlfn._xlws.SORT(IF((--($B295=Flowdown_CIC[[URS]:[URS]]))*(--(F$14=Flowdown_CIC[[Source.Name]:[Source.Name]])),Flowdown_CIC[[SyRS]:[SyRS]],"")))</f>
        <v/>
      </c>
      <c r="G295" s="12" t="str" cm="1">
        <f t="array" ref="G295">_xlfn.TEXTJOIN(CHAR(10),TRUE,_xlfn._xlws.SORT(IF((--($B295=Flowdown_CIC[[URS]:[URS]]))*(--(G$14=Flowdown_CIC[[Source.Name]:[Source.Name]])),Flowdown_CIC[[SyRS]:[SyRS]],"")))</f>
        <v/>
      </c>
      <c r="H295" s="12" t="str" cm="1">
        <f t="array" ref="H295">_xlfn.TEXTJOIN(CHAR(10),TRUE,_xlfn._xlws.SORT(IF((--($B295=Flowdown_CIC[[URS]:[URS]]))*(--(H$14=Flowdown_CIC[[Source.Name]:[Source.Name]])),Flowdown_CIC[[SyRS]:[SyRS]],"")))</f>
        <v/>
      </c>
      <c r="I295" s="12" t="str" cm="1">
        <f t="array" ref="I295">_xlfn.TEXTJOIN(CHAR(10),TRUE,_xlfn._xlws.SORT(IF((--($B295=Flowdown_CIC[[URS]:[URS]]))*(--(I$14=Flowdown_CIC[[Source.Name]:[Source.Name]])),Flowdown_CIC[[SyRS]:[SyRS]],"")))</f>
        <v>MASTER-19926</v>
      </c>
      <c r="J295" s="12" t="str" cm="1">
        <f t="array" ref="J295">_xlfn.TEXTJOIN(CHAR(10),TRUE,_xlfn._xlws.SORT(IF((--($B295=Flowdown_CIC[[URS]:[URS]]))*(--(J$14=Flowdown_CIC[[Source.Name]:[Source.Name]])),Flowdown_CIC[[SyRS]:[SyRS]],"")))</f>
        <v>MASTER-19926</v>
      </c>
      <c r="K295" s="12" t="str" cm="1">
        <f t="array" ref="K295">_xlfn.TEXTJOIN(CHAR(10),TRUE,_xlfn._xlws.SORT(IF((--($B295=Flowdown_CIC[[URS]:[URS]]))*(--(K$14=Flowdown_CIC[[Source.Name]:[Source.Name]])),Flowdown_CIC[[SyRS]:[SyRS]],"")))</f>
        <v/>
      </c>
      <c r="L295" s="16" t="b" cm="1">
        <f t="array" ref="L295">OR(LEN(C295:K295)&gt;0)</f>
        <v>1</v>
      </c>
    </row>
    <row r="296" spans="2:12" ht="13.5" x14ac:dyDescent="0.2">
      <c r="B296" s="11" t="str">
        <v>MASTER-6666</v>
      </c>
      <c r="C296" s="12" t="str" cm="1">
        <f t="array" ref="C296">_xlfn.TEXTJOIN(CHAR(10),TRUE,_xlfn._xlws.SORT(IF((--($B296=Flowdown_CIC[[URS]:[URS]]))*(--(C$14=Flowdown_CIC[[Source.Name]:[Source.Name]])),Flowdown_CIC[[SyRS]:[SyRS]],"")))</f>
        <v/>
      </c>
      <c r="D296" s="12" t="str" cm="1">
        <f t="array" ref="D296">_xlfn.TEXTJOIN(CHAR(10),TRUE,_xlfn._xlws.SORT(IF((--($B296=Flowdown_CIC[[URS]:[URS]]))*(--(D$14=Flowdown_CIC[[Source.Name]:[Source.Name]])),Flowdown_CIC[[SyRS]:[SyRS]],"")))</f>
        <v/>
      </c>
      <c r="E296" s="12" t="str" cm="1">
        <f t="array" ref="E296">_xlfn.TEXTJOIN(CHAR(10),TRUE,_xlfn._xlws.SORT(IF((--($B296=Flowdown_CIC[[URS]:[URS]]))*(--(E$14=Flowdown_CIC[[Source.Name]:[Source.Name]])),Flowdown_CIC[[SyRS]:[SyRS]],"")))</f>
        <v/>
      </c>
      <c r="F296" s="12" t="str" cm="1">
        <f t="array" ref="F296">_xlfn.TEXTJOIN(CHAR(10),TRUE,_xlfn._xlws.SORT(IF((--($B296=Flowdown_CIC[[URS]:[URS]]))*(--(F$14=Flowdown_CIC[[Source.Name]:[Source.Name]])),Flowdown_CIC[[SyRS]:[SyRS]],"")))</f>
        <v/>
      </c>
      <c r="G296" s="12" t="str" cm="1">
        <f t="array" ref="G296">_xlfn.TEXTJOIN(CHAR(10),TRUE,_xlfn._xlws.SORT(IF((--($B296=Flowdown_CIC[[URS]:[URS]]))*(--(G$14=Flowdown_CIC[[Source.Name]:[Source.Name]])),Flowdown_CIC[[SyRS]:[SyRS]],"")))</f>
        <v/>
      </c>
      <c r="H296" s="12" t="str" cm="1">
        <f t="array" ref="H296">_xlfn.TEXTJOIN(CHAR(10),TRUE,_xlfn._xlws.SORT(IF((--($B296=Flowdown_CIC[[URS]:[URS]]))*(--(H$14=Flowdown_CIC[[Source.Name]:[Source.Name]])),Flowdown_CIC[[SyRS]:[SyRS]],"")))</f>
        <v/>
      </c>
      <c r="I296" s="12" t="str" cm="1">
        <f t="array" ref="I296">_xlfn.TEXTJOIN(CHAR(10),TRUE,_xlfn._xlws.SORT(IF((--($B296=Flowdown_CIC[[URS]:[URS]]))*(--(I$14=Flowdown_CIC[[Source.Name]:[Source.Name]])),Flowdown_CIC[[SyRS]:[SyRS]],"")))</f>
        <v>MASTER-48453</v>
      </c>
      <c r="J296" s="12" t="str" cm="1">
        <f t="array" ref="J296">_xlfn.TEXTJOIN(CHAR(10),TRUE,_xlfn._xlws.SORT(IF((--($B296=Flowdown_CIC[[URS]:[URS]]))*(--(J$14=Flowdown_CIC[[Source.Name]:[Source.Name]])),Flowdown_CIC[[SyRS]:[SyRS]],"")))</f>
        <v>MASTER-48453</v>
      </c>
      <c r="K296" s="12" t="str" cm="1">
        <f t="array" ref="K296">_xlfn.TEXTJOIN(CHAR(10),TRUE,_xlfn._xlws.SORT(IF((--($B296=Flowdown_CIC[[URS]:[URS]]))*(--(K$14=Flowdown_CIC[[Source.Name]:[Source.Name]])),Flowdown_CIC[[SyRS]:[SyRS]],"")))</f>
        <v/>
      </c>
      <c r="L296" s="16" t="b" cm="1">
        <f t="array" ref="L296">OR(LEN(C296:K296)&gt;0)</f>
        <v>1</v>
      </c>
    </row>
    <row r="297" spans="2:12" ht="13.5" x14ac:dyDescent="0.2">
      <c r="B297" s="11" t="str">
        <v>MASTER-6684</v>
      </c>
      <c r="C297" s="12" t="str" cm="1">
        <f t="array" ref="C297">_xlfn.TEXTJOIN(CHAR(10),TRUE,_xlfn._xlws.SORT(IF((--($B297=Flowdown_CIC[[URS]:[URS]]))*(--(C$14=Flowdown_CIC[[Source.Name]:[Source.Name]])),Flowdown_CIC[[SyRS]:[SyRS]],"")))</f>
        <v/>
      </c>
      <c r="D297" s="12" t="str" cm="1">
        <f t="array" ref="D297">_xlfn.TEXTJOIN(CHAR(10),TRUE,_xlfn._xlws.SORT(IF((--($B297=Flowdown_CIC[[URS]:[URS]]))*(--(D$14=Flowdown_CIC[[Source.Name]:[Source.Name]])),Flowdown_CIC[[SyRS]:[SyRS]],"")))</f>
        <v/>
      </c>
      <c r="E297" s="12" t="str" cm="1">
        <f t="array" ref="E297">_xlfn.TEXTJOIN(CHAR(10),TRUE,_xlfn._xlws.SORT(IF((--($B297=Flowdown_CIC[[URS]:[URS]]))*(--(E$14=Flowdown_CIC[[Source.Name]:[Source.Name]])),Flowdown_CIC[[SyRS]:[SyRS]],"")))</f>
        <v/>
      </c>
      <c r="F297" s="12" t="str" cm="1">
        <f t="array" ref="F297">_xlfn.TEXTJOIN(CHAR(10),TRUE,_xlfn._xlws.SORT(IF((--($B297=Flowdown_CIC[[URS]:[URS]]))*(--(F$14=Flowdown_CIC[[Source.Name]:[Source.Name]])),Flowdown_CIC[[SyRS]:[SyRS]],"")))</f>
        <v/>
      </c>
      <c r="G297" s="12" t="str" cm="1">
        <f t="array" ref="G297">_xlfn.TEXTJOIN(CHAR(10),TRUE,_xlfn._xlws.SORT(IF((--($B297=Flowdown_CIC[[URS]:[URS]]))*(--(G$14=Flowdown_CIC[[Source.Name]:[Source.Name]])),Flowdown_CIC[[SyRS]:[SyRS]],"")))</f>
        <v/>
      </c>
      <c r="H297" s="12" t="str" cm="1">
        <f t="array" ref="H297">_xlfn.TEXTJOIN(CHAR(10),TRUE,_xlfn._xlws.SORT(IF((--($B297=Flowdown_CIC[[URS]:[URS]]))*(--(H$14=Flowdown_CIC[[Source.Name]:[Source.Name]])),Flowdown_CIC[[SyRS]:[SyRS]],"")))</f>
        <v/>
      </c>
      <c r="I297" s="12" t="str" cm="1">
        <f t="array" ref="I297">_xlfn.TEXTJOIN(CHAR(10),TRUE,_xlfn._xlws.SORT(IF((--($B297=Flowdown_CIC[[URS]:[URS]]))*(--(I$14=Flowdown_CIC[[Source.Name]:[Source.Name]])),Flowdown_CIC[[SyRS]:[SyRS]],"")))</f>
        <v/>
      </c>
      <c r="J297" s="12" t="str" cm="1">
        <f t="array" ref="J297">_xlfn.TEXTJOIN(CHAR(10),TRUE,_xlfn._xlws.SORT(IF((--($B297=Flowdown_CIC[[URS]:[URS]]))*(--(J$14=Flowdown_CIC[[Source.Name]:[Source.Name]])),Flowdown_CIC[[SyRS]:[SyRS]],"")))</f>
        <v>MASTER-20000</v>
      </c>
      <c r="K297" s="12" t="str" cm="1">
        <f t="array" ref="K297">_xlfn.TEXTJOIN(CHAR(10),TRUE,_xlfn._xlws.SORT(IF((--($B297=Flowdown_CIC[[URS]:[URS]]))*(--(K$14=Flowdown_CIC[[Source.Name]:[Source.Name]])),Flowdown_CIC[[SyRS]:[SyRS]],"")))</f>
        <v/>
      </c>
      <c r="L297" s="16" t="b" cm="1">
        <f t="array" ref="L297">OR(LEN(C297:K297)&gt;0)</f>
        <v>1</v>
      </c>
    </row>
    <row r="298" spans="2:12" ht="94.5" x14ac:dyDescent="0.2">
      <c r="B298" s="11" t="str">
        <v>MASTER-6688</v>
      </c>
      <c r="C298" s="12" t="str" cm="1">
        <f t="array" ref="C298">_xlfn.TEXTJOIN(CHAR(10),TRUE,_xlfn._xlws.SORT(IF((--($B298=Flowdown_CIC[[URS]:[URS]]))*(--(C$14=Flowdown_CIC[[Source.Name]:[Source.Name]])),Flowdown_CIC[[SyRS]:[SyRS]],"")))</f>
        <v>MASTER-19181
MASTER-19204
MASTER-19205
MASTER-19208
MASTER-51113
UTICA-5360</v>
      </c>
      <c r="D298" s="12" t="str" cm="1">
        <f t="array" ref="D298">_xlfn.TEXTJOIN(CHAR(10),TRUE,_xlfn._xlws.SORT(IF((--($B298=Flowdown_CIC[[URS]:[URS]]))*(--(D$14=Flowdown_CIC[[Source.Name]:[Source.Name]])),Flowdown_CIC[[SyRS]:[SyRS]],"")))</f>
        <v>MASTER-19181
MASTER-19204
MASTER-19205
MASTER-19208
MASTER-51113
UTICA-5360</v>
      </c>
      <c r="E298" s="12" t="str" cm="1">
        <f t="array" ref="E298">_xlfn.TEXTJOIN(CHAR(10),TRUE,_xlfn._xlws.SORT(IF((--($B298=Flowdown_CIC[[URS]:[URS]]))*(--(E$14=Flowdown_CIC[[Source.Name]:[Source.Name]])),Flowdown_CIC[[SyRS]:[SyRS]],"")))</f>
        <v>MASTER-19181
MASTER-19204
MASTER-19205
MASTER-19208
MASTER-51113
UTICA-3193
UTICA-4795</v>
      </c>
      <c r="F298" s="12" t="str" cm="1">
        <f t="array" ref="F298">_xlfn.TEXTJOIN(CHAR(10),TRUE,_xlfn._xlws.SORT(IF((--($B298=Flowdown_CIC[[URS]:[URS]]))*(--(F$14=Flowdown_CIC[[Source.Name]:[Source.Name]])),Flowdown_CIC[[SyRS]:[SyRS]],"")))</f>
        <v>MASTER-19181
MASTER-19204
MASTER-19205
MASTER-19208
MASTER-51113
UTICA-4166</v>
      </c>
      <c r="G298" s="12" t="str" cm="1">
        <f t="array" ref="G298">_xlfn.TEXTJOIN(CHAR(10),TRUE,_xlfn._xlws.SORT(IF((--($B298=Flowdown_CIC[[URS]:[URS]]))*(--(G$14=Flowdown_CIC[[Source.Name]:[Source.Name]])),Flowdown_CIC[[SyRS]:[SyRS]],"")))</f>
        <v>MASTER-19181
MASTER-19204
MASTER-19205
MASTER-19208
MASTER-51113
UTICA-3193</v>
      </c>
      <c r="H298" s="12" t="str" cm="1">
        <f t="array" ref="H298">_xlfn.TEXTJOIN(CHAR(10),TRUE,_xlfn._xlws.SORT(IF((--($B298=Flowdown_CIC[[URS]:[URS]]))*(--(H$14=Flowdown_CIC[[Source.Name]:[Source.Name]])),Flowdown_CIC[[SyRS]:[SyRS]],"")))</f>
        <v>MASTER-21278
MASTER-22274</v>
      </c>
      <c r="I298" s="12" t="str" cm="1">
        <f t="array" ref="I298">_xlfn.TEXTJOIN(CHAR(10),TRUE,_xlfn._xlws.SORT(IF((--($B298=Flowdown_CIC[[URS]:[URS]]))*(--(I$14=Flowdown_CIC[[Source.Name]:[Source.Name]])),Flowdown_CIC[[SyRS]:[SyRS]],"")))</f>
        <v>MASTER-20064
MASTER-20065</v>
      </c>
      <c r="J298" s="12" t="str" cm="1">
        <f t="array" ref="J298">_xlfn.TEXTJOIN(CHAR(10),TRUE,_xlfn._xlws.SORT(IF((--($B298=Flowdown_CIC[[URS]:[URS]]))*(--(J$14=Flowdown_CIC[[Source.Name]:[Source.Name]])),Flowdown_CIC[[SyRS]:[SyRS]],"")))</f>
        <v>MASTER-20034
MASTER-20035
MASTER-20064
MASTER-20065</v>
      </c>
      <c r="K298" s="12" t="str" cm="1">
        <f t="array" ref="K298">_xlfn.TEXTJOIN(CHAR(10),TRUE,_xlfn._xlws.SORT(IF((--($B298=Flowdown_CIC[[URS]:[URS]]))*(--(K$14=Flowdown_CIC[[Source.Name]:[Source.Name]])),Flowdown_CIC[[SyRS]:[SyRS]],"")))</f>
        <v/>
      </c>
      <c r="L298" s="16" t="b" cm="1">
        <f t="array" ref="L298">OR(LEN(C298:K298)&gt;0)</f>
        <v>1</v>
      </c>
    </row>
    <row r="299" spans="2:12" ht="13.5" x14ac:dyDescent="0.2">
      <c r="B299" s="11" t="str">
        <v>MASTER-6689</v>
      </c>
      <c r="C299" s="12" t="str" cm="1">
        <f t="array" ref="C299">_xlfn.TEXTJOIN(CHAR(10),TRUE,_xlfn._xlws.SORT(IF((--($B299=Flowdown_CIC[[URS]:[URS]]))*(--(C$14=Flowdown_CIC[[Source.Name]:[Source.Name]])),Flowdown_CIC[[SyRS]:[SyRS]],"")))</f>
        <v/>
      </c>
      <c r="D299" s="12" t="str" cm="1">
        <f t="array" ref="D299">_xlfn.TEXTJOIN(CHAR(10),TRUE,_xlfn._xlws.SORT(IF((--($B299=Flowdown_CIC[[URS]:[URS]]))*(--(D$14=Flowdown_CIC[[Source.Name]:[Source.Name]])),Flowdown_CIC[[SyRS]:[SyRS]],"")))</f>
        <v/>
      </c>
      <c r="E299" s="12" t="str" cm="1">
        <f t="array" ref="E299">_xlfn.TEXTJOIN(CHAR(10),TRUE,_xlfn._xlws.SORT(IF((--($B299=Flowdown_CIC[[URS]:[URS]]))*(--(E$14=Flowdown_CIC[[Source.Name]:[Source.Name]])),Flowdown_CIC[[SyRS]:[SyRS]],"")))</f>
        <v/>
      </c>
      <c r="F299" s="12" t="str" cm="1">
        <f t="array" ref="F299">_xlfn.TEXTJOIN(CHAR(10),TRUE,_xlfn._xlws.SORT(IF((--($B299=Flowdown_CIC[[URS]:[URS]]))*(--(F$14=Flowdown_CIC[[Source.Name]:[Source.Name]])),Flowdown_CIC[[SyRS]:[SyRS]],"")))</f>
        <v/>
      </c>
      <c r="G299" s="12" t="str" cm="1">
        <f t="array" ref="G299">_xlfn.TEXTJOIN(CHAR(10),TRUE,_xlfn._xlws.SORT(IF((--($B299=Flowdown_CIC[[URS]:[URS]]))*(--(G$14=Flowdown_CIC[[Source.Name]:[Source.Name]])),Flowdown_CIC[[SyRS]:[SyRS]],"")))</f>
        <v/>
      </c>
      <c r="H299" s="12" t="str" cm="1">
        <f t="array" ref="H299">_xlfn.TEXTJOIN(CHAR(10),TRUE,_xlfn._xlws.SORT(IF((--($B299=Flowdown_CIC[[URS]:[URS]]))*(--(H$14=Flowdown_CIC[[Source.Name]:[Source.Name]])),Flowdown_CIC[[SyRS]:[SyRS]],"")))</f>
        <v/>
      </c>
      <c r="I299" s="12" t="str" cm="1">
        <f t="array" ref="I299">_xlfn.TEXTJOIN(CHAR(10),TRUE,_xlfn._xlws.SORT(IF((--($B299=Flowdown_CIC[[URS]:[URS]]))*(--(I$14=Flowdown_CIC[[Source.Name]:[Source.Name]])),Flowdown_CIC[[SyRS]:[SyRS]],"")))</f>
        <v>MASTER-20174</v>
      </c>
      <c r="J299" s="12" t="str" cm="1">
        <f t="array" ref="J299">_xlfn.TEXTJOIN(CHAR(10),TRUE,_xlfn._xlws.SORT(IF((--($B299=Flowdown_CIC[[URS]:[URS]]))*(--(J$14=Flowdown_CIC[[Source.Name]:[Source.Name]])),Flowdown_CIC[[SyRS]:[SyRS]],"")))</f>
        <v>MASTER-20174</v>
      </c>
      <c r="K299" s="12" t="str" cm="1">
        <f t="array" ref="K299">_xlfn.TEXTJOIN(CHAR(10),TRUE,_xlfn._xlws.SORT(IF((--($B299=Flowdown_CIC[[URS]:[URS]]))*(--(K$14=Flowdown_CIC[[Source.Name]:[Source.Name]])),Flowdown_CIC[[SyRS]:[SyRS]],"")))</f>
        <v/>
      </c>
      <c r="L299" s="16" t="b" cm="1">
        <f t="array" ref="L299">OR(LEN(C299:K299)&gt;0)</f>
        <v>1</v>
      </c>
    </row>
    <row r="300" spans="2:12" ht="13.5" x14ac:dyDescent="0.2">
      <c r="B300" s="13" t="str">
        <v>MASTER-6690</v>
      </c>
      <c r="C300" s="14" t="str" cm="1">
        <f t="array" ref="C300">_xlfn.TEXTJOIN(CHAR(10),TRUE,_xlfn._xlws.SORT(IF((--($B300=Flowdown_CIC[[URS]:[URS]]))*(--(C$14=Flowdown_CIC[[Source.Name]:[Source.Name]])),Flowdown_CIC[[SyRS]:[SyRS]],"")))</f>
        <v/>
      </c>
      <c r="D300" s="14" t="str" cm="1">
        <f t="array" ref="D300">_xlfn.TEXTJOIN(CHAR(10),TRUE,_xlfn._xlws.SORT(IF((--($B300=Flowdown_CIC[[URS]:[URS]]))*(--(D$14=Flowdown_CIC[[Source.Name]:[Source.Name]])),Flowdown_CIC[[SyRS]:[SyRS]],"")))</f>
        <v/>
      </c>
      <c r="E300" s="14" t="str" cm="1">
        <f t="array" ref="E300">_xlfn.TEXTJOIN(CHAR(10),TRUE,_xlfn._xlws.SORT(IF((--($B300=Flowdown_CIC[[URS]:[URS]]))*(--(E$14=Flowdown_CIC[[Source.Name]:[Source.Name]])),Flowdown_CIC[[SyRS]:[SyRS]],"")))</f>
        <v/>
      </c>
      <c r="F300" s="14" t="str" cm="1">
        <f t="array" ref="F300">_xlfn.TEXTJOIN(CHAR(10),TRUE,_xlfn._xlws.SORT(IF((--($B300=Flowdown_CIC[[URS]:[URS]]))*(--(F$14=Flowdown_CIC[[Source.Name]:[Source.Name]])),Flowdown_CIC[[SyRS]:[SyRS]],"")))</f>
        <v/>
      </c>
      <c r="G300" s="14" t="str" cm="1">
        <f t="array" ref="G300">_xlfn.TEXTJOIN(CHAR(10),TRUE,_xlfn._xlws.SORT(IF((--($B300=Flowdown_CIC[[URS]:[URS]]))*(--(G$14=Flowdown_CIC[[Source.Name]:[Source.Name]])),Flowdown_CIC[[SyRS]:[SyRS]],"")))</f>
        <v/>
      </c>
      <c r="H300" s="14" t="str" cm="1">
        <f t="array" ref="H300">_xlfn.TEXTJOIN(CHAR(10),TRUE,_xlfn._xlws.SORT(IF((--($B300=Flowdown_CIC[[URS]:[URS]]))*(--(H$14=Flowdown_CIC[[Source.Name]:[Source.Name]])),Flowdown_CIC[[SyRS]:[SyRS]],"")))</f>
        <v/>
      </c>
      <c r="I300" s="14" t="str" cm="1">
        <f t="array" ref="I300">_xlfn.TEXTJOIN(CHAR(10),TRUE,_xlfn._xlws.SORT(IF((--($B300=Flowdown_CIC[[URS]:[URS]]))*(--(I$14=Flowdown_CIC[[Source.Name]:[Source.Name]])),Flowdown_CIC[[SyRS]:[SyRS]],"")))</f>
        <v>MASTER-20174</v>
      </c>
      <c r="J300" s="14" t="str" cm="1">
        <f t="array" ref="J300">_xlfn.TEXTJOIN(CHAR(10),TRUE,_xlfn._xlws.SORT(IF((--($B300=Flowdown_CIC[[URS]:[URS]]))*(--(J$14=Flowdown_CIC[[Source.Name]:[Source.Name]])),Flowdown_CIC[[SyRS]:[SyRS]],"")))</f>
        <v>MASTER-20174</v>
      </c>
      <c r="K300" s="14" t="str" cm="1">
        <f t="array" ref="K300">_xlfn.TEXTJOIN(CHAR(10),TRUE,_xlfn._xlws.SORT(IF((--($B300=Flowdown_CIC[[URS]:[URS]]))*(--(K$14=Flowdown_CIC[[Source.Name]:[Source.Name]])),Flowdown_CIC[[SyRS]:[SyRS]],"")))</f>
        <v/>
      </c>
      <c r="L300" s="16" t="b" cm="1">
        <f t="array" ref="L300">OR(LEN(C300:K300)&gt;0)</f>
        <v>1</v>
      </c>
    </row>
    <row r="301" spans="2:12" ht="40.5" x14ac:dyDescent="0.2">
      <c r="B301" s="13" t="str">
        <v>MASTER-6699</v>
      </c>
      <c r="C301" s="14" t="str" cm="1">
        <f t="array" ref="C301">_xlfn.TEXTJOIN(CHAR(10),TRUE,_xlfn._xlws.SORT(IF((--($B301=Flowdown_CIC[[URS]:[URS]]))*(--(C$14=Flowdown_CIC[[Source.Name]:[Source.Name]])),Flowdown_CIC[[SyRS]:[SyRS]],"")))</f>
        <v>MASTER-20052
MASTER-64684</v>
      </c>
      <c r="D301" s="14" t="str" cm="1">
        <f t="array" ref="D301">_xlfn.TEXTJOIN(CHAR(10),TRUE,_xlfn._xlws.SORT(IF((--($B301=Flowdown_CIC[[URS]:[URS]]))*(--(D$14=Flowdown_CIC[[Source.Name]:[Source.Name]])),Flowdown_CIC[[SyRS]:[SyRS]],"")))</f>
        <v>MASTER-20052
MASTER-64684</v>
      </c>
      <c r="E301" s="14" t="str" cm="1">
        <f t="array" ref="E301">_xlfn.TEXTJOIN(CHAR(10),TRUE,_xlfn._xlws.SORT(IF((--($B301=Flowdown_CIC[[URS]:[URS]]))*(--(E$14=Flowdown_CIC[[Source.Name]:[Source.Name]])),Flowdown_CIC[[SyRS]:[SyRS]],"")))</f>
        <v>MASTER-20052
MASTER-64684</v>
      </c>
      <c r="F301" s="14" t="str" cm="1">
        <f t="array" ref="F301">_xlfn.TEXTJOIN(CHAR(10),TRUE,_xlfn._xlws.SORT(IF((--($B301=Flowdown_CIC[[URS]:[URS]]))*(--(F$14=Flowdown_CIC[[Source.Name]:[Source.Name]])),Flowdown_CIC[[SyRS]:[SyRS]],"")))</f>
        <v>MASTER-20052
MASTER-64684</v>
      </c>
      <c r="G301" s="14" t="str" cm="1">
        <f t="array" ref="G301">_xlfn.TEXTJOIN(CHAR(10),TRUE,_xlfn._xlws.SORT(IF((--($B301=Flowdown_CIC[[URS]:[URS]]))*(--(G$14=Flowdown_CIC[[Source.Name]:[Source.Name]])),Flowdown_CIC[[SyRS]:[SyRS]],"")))</f>
        <v>MASTER-20052
MASTER-64684
UTICA-6777</v>
      </c>
      <c r="H301" s="14" t="str" cm="1">
        <f t="array" ref="H301">_xlfn.TEXTJOIN(CHAR(10),TRUE,_xlfn._xlws.SORT(IF((--($B301=Flowdown_CIC[[URS]:[URS]]))*(--(H$14=Flowdown_CIC[[Source.Name]:[Source.Name]])),Flowdown_CIC[[SyRS]:[SyRS]],"")))</f>
        <v/>
      </c>
      <c r="I301" s="14" t="str" cm="1">
        <f t="array" ref="I301">_xlfn.TEXTJOIN(CHAR(10),TRUE,_xlfn._xlws.SORT(IF((--($B301=Flowdown_CIC[[URS]:[URS]]))*(--(I$14=Flowdown_CIC[[Source.Name]:[Source.Name]])),Flowdown_CIC[[SyRS]:[SyRS]],"")))</f>
        <v>MASTER-20049
UTICA-211</v>
      </c>
      <c r="J301" s="14" t="str" cm="1">
        <f t="array" ref="J301">_xlfn.TEXTJOIN(CHAR(10),TRUE,_xlfn._xlws.SORT(IF((--($B301=Flowdown_CIC[[URS]:[URS]]))*(--(J$14=Flowdown_CIC[[Source.Name]:[Source.Name]])),Flowdown_CIC[[SyRS]:[SyRS]],"")))</f>
        <v>MASTER-20034
MASTER-20035
MASTER-20049</v>
      </c>
      <c r="K301" s="14" t="str" cm="1">
        <f t="array" ref="K301">_xlfn.TEXTJOIN(CHAR(10),TRUE,_xlfn._xlws.SORT(IF((--($B301=Flowdown_CIC[[URS]:[URS]]))*(--(K$14=Flowdown_CIC[[Source.Name]:[Source.Name]])),Flowdown_CIC[[SyRS]:[SyRS]],"")))</f>
        <v/>
      </c>
      <c r="L301" s="16" t="b" cm="1">
        <f t="array" ref="L301">OR(LEN(C301:K301)&gt;0)</f>
        <v>1</v>
      </c>
    </row>
    <row r="302" spans="2:12" ht="40.5" x14ac:dyDescent="0.2">
      <c r="B302" s="13" t="str">
        <v>MASTER-6700</v>
      </c>
      <c r="C302" s="14" t="str" cm="1">
        <f t="array" ref="C302">_xlfn.TEXTJOIN(CHAR(10),TRUE,_xlfn._xlws.SORT(IF((--($B302=Flowdown_CIC[[URS]:[URS]]))*(--(C$14=Flowdown_CIC[[Source.Name]:[Source.Name]])),Flowdown_CIC[[SyRS]:[SyRS]],"")))</f>
        <v/>
      </c>
      <c r="D302" s="14" t="str" cm="1">
        <f t="array" ref="D302">_xlfn.TEXTJOIN(CHAR(10),TRUE,_xlfn._xlws.SORT(IF((--($B302=Flowdown_CIC[[URS]:[URS]]))*(--(D$14=Flowdown_CIC[[Source.Name]:[Source.Name]])),Flowdown_CIC[[SyRS]:[SyRS]],"")))</f>
        <v/>
      </c>
      <c r="E302" s="14" t="str" cm="1">
        <f t="array" ref="E302">_xlfn.TEXTJOIN(CHAR(10),TRUE,_xlfn._xlws.SORT(IF((--($B302=Flowdown_CIC[[URS]:[URS]]))*(--(E$14=Flowdown_CIC[[Source.Name]:[Source.Name]])),Flowdown_CIC[[SyRS]:[SyRS]],"")))</f>
        <v/>
      </c>
      <c r="F302" s="14" t="str" cm="1">
        <f t="array" ref="F302">_xlfn.TEXTJOIN(CHAR(10),TRUE,_xlfn._xlws.SORT(IF((--($B302=Flowdown_CIC[[URS]:[URS]]))*(--(F$14=Flowdown_CIC[[Source.Name]:[Source.Name]])),Flowdown_CIC[[SyRS]:[SyRS]],"")))</f>
        <v/>
      </c>
      <c r="G302" s="14" t="str" cm="1">
        <f t="array" ref="G302">_xlfn.TEXTJOIN(CHAR(10),TRUE,_xlfn._xlws.SORT(IF((--($B302=Flowdown_CIC[[URS]:[URS]]))*(--(G$14=Flowdown_CIC[[Source.Name]:[Source.Name]])),Flowdown_CIC[[SyRS]:[SyRS]],"")))</f>
        <v/>
      </c>
      <c r="H302" s="14" t="str" cm="1">
        <f t="array" ref="H302">_xlfn.TEXTJOIN(CHAR(10),TRUE,_xlfn._xlws.SORT(IF((--($B302=Flowdown_CIC[[URS]:[URS]]))*(--(H$14=Flowdown_CIC[[Source.Name]:[Source.Name]])),Flowdown_CIC[[SyRS]:[SyRS]],"")))</f>
        <v/>
      </c>
      <c r="I302" s="14" t="str" cm="1">
        <f t="array" ref="I302">_xlfn.TEXTJOIN(CHAR(10),TRUE,_xlfn._xlws.SORT(IF((--($B302=Flowdown_CIC[[URS]:[URS]]))*(--(I$14=Flowdown_CIC[[Source.Name]:[Source.Name]])),Flowdown_CIC[[SyRS]:[SyRS]],"")))</f>
        <v>MASTER-20049
UTICA-211</v>
      </c>
      <c r="J302" s="14" t="str" cm="1">
        <f t="array" ref="J302">_xlfn.TEXTJOIN(CHAR(10),TRUE,_xlfn._xlws.SORT(IF((--($B302=Flowdown_CIC[[URS]:[URS]]))*(--(J$14=Flowdown_CIC[[Source.Name]:[Source.Name]])),Flowdown_CIC[[SyRS]:[SyRS]],"")))</f>
        <v>MASTER-20034
MASTER-20035
MASTER-20049</v>
      </c>
      <c r="K302" s="14" t="str" cm="1">
        <f t="array" ref="K302">_xlfn.TEXTJOIN(CHAR(10),TRUE,_xlfn._xlws.SORT(IF((--($B302=Flowdown_CIC[[URS]:[URS]]))*(--(K$14=Flowdown_CIC[[Source.Name]:[Source.Name]])),Flowdown_CIC[[SyRS]:[SyRS]],"")))</f>
        <v/>
      </c>
      <c r="L302" s="16" t="b" cm="1">
        <f t="array" ref="L302">OR(LEN(C302:K302)&gt;0)</f>
        <v>1</v>
      </c>
    </row>
    <row r="303" spans="2:12" ht="54" x14ac:dyDescent="0.2">
      <c r="B303" s="13" t="str">
        <v>MASTER-6701</v>
      </c>
      <c r="C303" s="14" t="str" cm="1">
        <f t="array" ref="C303">_xlfn.TEXTJOIN(CHAR(10),TRUE,_xlfn._xlws.SORT(IF((--($B303=Flowdown_CIC[[URS]:[URS]]))*(--(C$14=Flowdown_CIC[[Source.Name]:[Source.Name]])),Flowdown_CIC[[SyRS]:[SyRS]],"")))</f>
        <v>MASTER-18086
MASTER-18107
MASTER-18108
MASTER-18109</v>
      </c>
      <c r="D303" s="14" t="str" cm="1">
        <f t="array" ref="D303">_xlfn.TEXTJOIN(CHAR(10),TRUE,_xlfn._xlws.SORT(IF((--($B303=Flowdown_CIC[[URS]:[URS]]))*(--(D$14=Flowdown_CIC[[Source.Name]:[Source.Name]])),Flowdown_CIC[[SyRS]:[SyRS]],"")))</f>
        <v>MASTER-18086
MASTER-18107
MASTER-18108
MASTER-18109</v>
      </c>
      <c r="E303" s="14" t="str" cm="1">
        <f t="array" ref="E303">_xlfn.TEXTJOIN(CHAR(10),TRUE,_xlfn._xlws.SORT(IF((--($B303=Flowdown_CIC[[URS]:[URS]]))*(--(E$14=Flowdown_CIC[[Source.Name]:[Source.Name]])),Flowdown_CIC[[SyRS]:[SyRS]],"")))</f>
        <v>MASTER-18086
MASTER-18107
MASTER-18108
MASTER-18109</v>
      </c>
      <c r="F303" s="14" t="str" cm="1">
        <f t="array" ref="F303">_xlfn.TEXTJOIN(CHAR(10),TRUE,_xlfn._xlws.SORT(IF((--($B303=Flowdown_CIC[[URS]:[URS]]))*(--(F$14=Flowdown_CIC[[Source.Name]:[Source.Name]])),Flowdown_CIC[[SyRS]:[SyRS]],"")))</f>
        <v>MASTER-18086
MASTER-18107
MASTER-18108
MASTER-18109</v>
      </c>
      <c r="G303" s="14" t="str" cm="1">
        <f t="array" ref="G303">_xlfn.TEXTJOIN(CHAR(10),TRUE,_xlfn._xlws.SORT(IF((--($B303=Flowdown_CIC[[URS]:[URS]]))*(--(G$14=Flowdown_CIC[[Source.Name]:[Source.Name]])),Flowdown_CIC[[SyRS]:[SyRS]],"")))</f>
        <v>MASTER-18086
MASTER-18107
MASTER-18108
MASTER-18109</v>
      </c>
      <c r="H303" s="14" t="str" cm="1">
        <f t="array" ref="H303">_xlfn.TEXTJOIN(CHAR(10),TRUE,_xlfn._xlws.SORT(IF((--($B303=Flowdown_CIC[[URS]:[URS]]))*(--(H$14=Flowdown_CIC[[Source.Name]:[Source.Name]])),Flowdown_CIC[[SyRS]:[SyRS]],"")))</f>
        <v/>
      </c>
      <c r="I303" s="14" t="str" cm="1">
        <f t="array" ref="I303">_xlfn.TEXTJOIN(CHAR(10),TRUE,_xlfn._xlws.SORT(IF((--($B303=Flowdown_CIC[[URS]:[URS]]))*(--(I$14=Flowdown_CIC[[Source.Name]:[Source.Name]])),Flowdown_CIC[[SyRS]:[SyRS]],"")))</f>
        <v/>
      </c>
      <c r="J303" s="14" t="str" cm="1">
        <f t="array" ref="J303">_xlfn.TEXTJOIN(CHAR(10),TRUE,_xlfn._xlws.SORT(IF((--($B303=Flowdown_CIC[[URS]:[URS]]))*(--(J$14=Flowdown_CIC[[Source.Name]:[Source.Name]])),Flowdown_CIC[[SyRS]:[SyRS]],"")))</f>
        <v>MASTER-20034
MASTER-20035</v>
      </c>
      <c r="K303" s="14" t="str" cm="1">
        <f t="array" ref="K303">_xlfn.TEXTJOIN(CHAR(10),TRUE,_xlfn._xlws.SORT(IF((--($B303=Flowdown_CIC[[URS]:[URS]]))*(--(K$14=Flowdown_CIC[[Source.Name]:[Source.Name]])),Flowdown_CIC[[SyRS]:[SyRS]],"")))</f>
        <v/>
      </c>
      <c r="L303" s="16" t="b" cm="1">
        <f t="array" ref="L303">OR(LEN(C303:K303)&gt;0)</f>
        <v>1</v>
      </c>
    </row>
    <row r="304" spans="2:12" ht="27" x14ac:dyDescent="0.2">
      <c r="B304" s="13" t="str">
        <v>MASTER-6702</v>
      </c>
      <c r="C304" s="14" t="str" cm="1">
        <f t="array" ref="C304">_xlfn.TEXTJOIN(CHAR(10),TRUE,_xlfn._xlws.SORT(IF((--($B304=Flowdown_CIC[[URS]:[URS]]))*(--(C$14=Flowdown_CIC[[Source.Name]:[Source.Name]])),Flowdown_CIC[[SyRS]:[SyRS]],"")))</f>
        <v/>
      </c>
      <c r="D304" s="14" t="str" cm="1">
        <f t="array" ref="D304">_xlfn.TEXTJOIN(CHAR(10),TRUE,_xlfn._xlws.SORT(IF((--($B304=Flowdown_CIC[[URS]:[URS]]))*(--(D$14=Flowdown_CIC[[Source.Name]:[Source.Name]])),Flowdown_CIC[[SyRS]:[SyRS]],"")))</f>
        <v/>
      </c>
      <c r="E304" s="14" t="str" cm="1">
        <f t="array" ref="E304">_xlfn.TEXTJOIN(CHAR(10),TRUE,_xlfn._xlws.SORT(IF((--($B304=Flowdown_CIC[[URS]:[URS]]))*(--(E$14=Flowdown_CIC[[Source.Name]:[Source.Name]])),Flowdown_CIC[[SyRS]:[SyRS]],"")))</f>
        <v/>
      </c>
      <c r="F304" s="14" t="str" cm="1">
        <f t="array" ref="F304">_xlfn.TEXTJOIN(CHAR(10),TRUE,_xlfn._xlws.SORT(IF((--($B304=Flowdown_CIC[[URS]:[URS]]))*(--(F$14=Flowdown_CIC[[Source.Name]:[Source.Name]])),Flowdown_CIC[[SyRS]:[SyRS]],"")))</f>
        <v/>
      </c>
      <c r="G304" s="14" t="str" cm="1">
        <f t="array" ref="G304">_xlfn.TEXTJOIN(CHAR(10),TRUE,_xlfn._xlws.SORT(IF((--($B304=Flowdown_CIC[[URS]:[URS]]))*(--(G$14=Flowdown_CIC[[Source.Name]:[Source.Name]])),Flowdown_CIC[[SyRS]:[SyRS]],"")))</f>
        <v/>
      </c>
      <c r="H304" s="14" t="str" cm="1">
        <f t="array" ref="H304">_xlfn.TEXTJOIN(CHAR(10),TRUE,_xlfn._xlws.SORT(IF((--($B304=Flowdown_CIC[[URS]:[URS]]))*(--(H$14=Flowdown_CIC[[Source.Name]:[Source.Name]])),Flowdown_CIC[[SyRS]:[SyRS]],"")))</f>
        <v/>
      </c>
      <c r="I304" s="14" t="str" cm="1">
        <f t="array" ref="I304">_xlfn.TEXTJOIN(CHAR(10),TRUE,_xlfn._xlws.SORT(IF((--($B304=Flowdown_CIC[[URS]:[URS]]))*(--(I$14=Flowdown_CIC[[Source.Name]:[Source.Name]])),Flowdown_CIC[[SyRS]:[SyRS]],"")))</f>
        <v/>
      </c>
      <c r="J304" s="14" t="str" cm="1">
        <f t="array" ref="J304">_xlfn.TEXTJOIN(CHAR(10),TRUE,_xlfn._xlws.SORT(IF((--($B304=Flowdown_CIC[[URS]:[URS]]))*(--(J$14=Flowdown_CIC[[Source.Name]:[Source.Name]])),Flowdown_CIC[[SyRS]:[SyRS]],"")))</f>
        <v>MASTER-20034
MASTER-20035</v>
      </c>
      <c r="K304" s="14" t="str" cm="1">
        <f t="array" ref="K304">_xlfn.TEXTJOIN(CHAR(10),TRUE,_xlfn._xlws.SORT(IF((--($B304=Flowdown_CIC[[URS]:[URS]]))*(--(K$14=Flowdown_CIC[[Source.Name]:[Source.Name]])),Flowdown_CIC[[SyRS]:[SyRS]],"")))</f>
        <v/>
      </c>
      <c r="L304" s="16" t="b" cm="1">
        <f t="array" ref="L304">OR(LEN(C304:K304)&gt;0)</f>
        <v>1</v>
      </c>
    </row>
    <row r="305" spans="2:12" ht="409.5" x14ac:dyDescent="0.2">
      <c r="B305" s="13" t="str">
        <v>MASTER-6704</v>
      </c>
      <c r="C305" s="14" t="str" cm="1">
        <f t="array" ref="C305">_xlfn.TEXTJOIN(CHAR(10),TRUE,_xlfn._xlws.SORT(IF((--($B305=Flowdown_CIC[[URS]:[URS]]))*(--(C$14=Flowdown_CIC[[Source.Name]:[Source.Name]])),Flowdown_CIC[[SyRS]:[SyRS]],"")))</f>
        <v>MASTER-19838
MASTER-19839
MASTER-19840
MASTER-19841
MASTER-19842
MASTER-50186</v>
      </c>
      <c r="D305" s="14" t="str" cm="1">
        <f t="array" ref="D305">_xlfn.TEXTJOIN(CHAR(10),TRUE,_xlfn._xlws.SORT(IF((--($B305=Flowdown_CIC[[URS]:[URS]]))*(--(D$14=Flowdown_CIC[[Source.Name]:[Source.Name]])),Flowdown_CIC[[SyRS]:[SyRS]],"")))</f>
        <v>MASTER-19838
MASTER-19839
MASTER-19840
MASTER-19841
MASTER-19842
MASTER-50186</v>
      </c>
      <c r="E305" s="14" t="str" cm="1">
        <f t="array" ref="E305">_xlfn.TEXTJOIN(CHAR(10),TRUE,_xlfn._xlws.SORT(IF((--($B305=Flowdown_CIC[[URS]:[URS]]))*(--(E$14=Flowdown_CIC[[Source.Name]:[Source.Name]])),Flowdown_CIC[[SyRS]:[SyRS]],"")))</f>
        <v>MASTER-19838
MASTER-19839
MASTER-19840
MASTER-19841
MASTER-19842
MASTER-50186</v>
      </c>
      <c r="F305" s="14" t="str" cm="1">
        <f t="array" ref="F305">_xlfn.TEXTJOIN(CHAR(10),TRUE,_xlfn._xlws.SORT(IF((--($B305=Flowdown_CIC[[URS]:[URS]]))*(--(F$14=Flowdown_CIC[[Source.Name]:[Source.Name]])),Flowdown_CIC[[SyRS]:[SyRS]],"")))</f>
        <v>MASTER-19838
MASTER-19839
MASTER-19840
MASTER-19841
MASTER-19842
MASTER-50186</v>
      </c>
      <c r="G305" s="14" t="str" cm="1">
        <f t="array" ref="G305">_xlfn.TEXTJOIN(CHAR(10),TRUE,_xlfn._xlws.SORT(IF((--($B305=Flowdown_CIC[[URS]:[URS]]))*(--(G$14=Flowdown_CIC[[Source.Name]:[Source.Name]])),Flowdown_CIC[[SyRS]:[SyRS]],"")))</f>
        <v>MASTER-19838
MASTER-19839
MASTER-19840
MASTER-19841
MASTER-19842
MASTER-50186</v>
      </c>
      <c r="H305" s="14" t="str" cm="1">
        <f t="array" ref="H305">_xlfn.TEXTJOIN(CHAR(10),TRUE,_xlfn._xlws.SORT(IF((--($B305=Flowdown_CIC[[URS]:[URS]]))*(--(H$14=Flowdown_CIC[[Source.Name]:[Source.Name]])),Flowdown_CIC[[SyRS]:[SyRS]],"")))</f>
        <v>MASTER-42207
MASTER-42208
MASTER-42209</v>
      </c>
      <c r="I305" s="14" t="str" cm="1">
        <f t="array" ref="I305">_xlfn.TEXTJOIN(CHAR(10),TRUE,_xlfn._xlws.SORT(IF((--($B305=Flowdown_CIC[[URS]:[URS]]))*(--(I$14=Flowdown_CIC[[Source.Name]:[Source.Name]])),Flowdown_CIC[[SyRS]:[SyRS]],"")))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05" s="14" t="str" cm="1">
        <f t="array" ref="J305">_xlfn.TEXTJOIN(CHAR(10),TRUE,_xlfn._xlws.SORT(IF((--($B305=Flowdown_CIC[[URS]:[URS]]))*(--(J$14=Flowdown_CIC[[Source.Name]:[Source.Name]])),Flowdown_CIC[[SyRS]:[SyRS]],"")))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05" s="14" t="str" cm="1">
        <f t="array" ref="K305">_xlfn.TEXTJOIN(CHAR(10),TRUE,_xlfn._xlws.SORT(IF((--($B305=Flowdown_CIC[[URS]:[URS]]))*(--(K$14=Flowdown_CIC[[Source.Name]:[Source.Name]])),Flowdown_CIC[[SyRS]:[SyRS]],"")))</f>
        <v>MASTER-50182
MASTER-62149</v>
      </c>
      <c r="L305" s="16" t="b" cm="1">
        <f t="array" ref="L305">OR(LEN(C305:K305)&gt;0)</f>
        <v>1</v>
      </c>
    </row>
    <row r="306" spans="2:12" ht="13.5" x14ac:dyDescent="0.2">
      <c r="B306" s="13" t="str">
        <v>MASTER-6705</v>
      </c>
      <c r="C306" s="14" t="str" cm="1">
        <f t="array" ref="C306">_xlfn.TEXTJOIN(CHAR(10),TRUE,_xlfn._xlws.SORT(IF((--($B306=Flowdown_CIC[[URS]:[URS]]))*(--(C$14=Flowdown_CIC[[Source.Name]:[Source.Name]])),Flowdown_CIC[[SyRS]:[SyRS]],"")))</f>
        <v/>
      </c>
      <c r="D306" s="14" t="str" cm="1">
        <f t="array" ref="D306">_xlfn.TEXTJOIN(CHAR(10),TRUE,_xlfn._xlws.SORT(IF((--($B306=Flowdown_CIC[[URS]:[URS]]))*(--(D$14=Flowdown_CIC[[Source.Name]:[Source.Name]])),Flowdown_CIC[[SyRS]:[SyRS]],"")))</f>
        <v/>
      </c>
      <c r="E306" s="14" t="str" cm="1">
        <f t="array" ref="E306">_xlfn.TEXTJOIN(CHAR(10),TRUE,_xlfn._xlws.SORT(IF((--($B306=Flowdown_CIC[[URS]:[URS]]))*(--(E$14=Flowdown_CIC[[Source.Name]:[Source.Name]])),Flowdown_CIC[[SyRS]:[SyRS]],"")))</f>
        <v/>
      </c>
      <c r="F306" s="14" t="str" cm="1">
        <f t="array" ref="F306">_xlfn.TEXTJOIN(CHAR(10),TRUE,_xlfn._xlws.SORT(IF((--($B306=Flowdown_CIC[[URS]:[URS]]))*(--(F$14=Flowdown_CIC[[Source.Name]:[Source.Name]])),Flowdown_CIC[[SyRS]:[SyRS]],"")))</f>
        <v/>
      </c>
      <c r="G306" s="14" t="str" cm="1">
        <f t="array" ref="G306">_xlfn.TEXTJOIN(CHAR(10),TRUE,_xlfn._xlws.SORT(IF((--($B306=Flowdown_CIC[[URS]:[URS]]))*(--(G$14=Flowdown_CIC[[Source.Name]:[Source.Name]])),Flowdown_CIC[[SyRS]:[SyRS]],"")))</f>
        <v/>
      </c>
      <c r="H306" s="14" t="str" cm="1">
        <f t="array" ref="H306">_xlfn.TEXTJOIN(CHAR(10),TRUE,_xlfn._xlws.SORT(IF((--($B306=Flowdown_CIC[[URS]:[URS]]))*(--(H$14=Flowdown_CIC[[Source.Name]:[Source.Name]])),Flowdown_CIC[[SyRS]:[SyRS]],"")))</f>
        <v/>
      </c>
      <c r="I306" s="14" t="str" cm="1">
        <f t="array" ref="I306">_xlfn.TEXTJOIN(CHAR(10),TRUE,_xlfn._xlws.SORT(IF((--($B306=Flowdown_CIC[[URS]:[URS]]))*(--(I$14=Flowdown_CIC[[Source.Name]:[Source.Name]])),Flowdown_CIC[[SyRS]:[SyRS]],"")))</f>
        <v>MASTER-50185</v>
      </c>
      <c r="J306" s="14" t="str" cm="1">
        <f t="array" ref="J306">_xlfn.TEXTJOIN(CHAR(10),TRUE,_xlfn._xlws.SORT(IF((--($B306=Flowdown_CIC[[URS]:[URS]]))*(--(J$14=Flowdown_CIC[[Source.Name]:[Source.Name]])),Flowdown_CIC[[SyRS]:[SyRS]],"")))</f>
        <v>MASTER-50185</v>
      </c>
      <c r="K306" s="14" t="str" cm="1">
        <f t="array" ref="K306">_xlfn.TEXTJOIN(CHAR(10),TRUE,_xlfn._xlws.SORT(IF((--($B306=Flowdown_CIC[[URS]:[URS]]))*(--(K$14=Flowdown_CIC[[Source.Name]:[Source.Name]])),Flowdown_CIC[[SyRS]:[SyRS]],"")))</f>
        <v/>
      </c>
      <c r="L306" s="16" t="b" cm="1">
        <f t="array" ref="L306">OR(LEN(C306:K306)&gt;0)</f>
        <v>1</v>
      </c>
    </row>
    <row r="307" spans="2:12" ht="13.5" x14ac:dyDescent="0.2">
      <c r="B307" s="13" t="str">
        <v>MASTER-6706</v>
      </c>
      <c r="C307" s="14" t="str" cm="1">
        <f t="array" ref="C307">_xlfn.TEXTJOIN(CHAR(10),TRUE,_xlfn._xlws.SORT(IF((--($B307=Flowdown_CIC[[URS]:[URS]]))*(--(C$14=Flowdown_CIC[[Source.Name]:[Source.Name]])),Flowdown_CIC[[SyRS]:[SyRS]],"")))</f>
        <v/>
      </c>
      <c r="D307" s="14" t="str" cm="1">
        <f t="array" ref="D307">_xlfn.TEXTJOIN(CHAR(10),TRUE,_xlfn._xlws.SORT(IF((--($B307=Flowdown_CIC[[URS]:[URS]]))*(--(D$14=Flowdown_CIC[[Source.Name]:[Source.Name]])),Flowdown_CIC[[SyRS]:[SyRS]],"")))</f>
        <v/>
      </c>
      <c r="E307" s="14" t="str" cm="1">
        <f t="array" ref="E307">_xlfn.TEXTJOIN(CHAR(10),TRUE,_xlfn._xlws.SORT(IF((--($B307=Flowdown_CIC[[URS]:[URS]]))*(--(E$14=Flowdown_CIC[[Source.Name]:[Source.Name]])),Flowdown_CIC[[SyRS]:[SyRS]],"")))</f>
        <v/>
      </c>
      <c r="F307" s="14" t="str" cm="1">
        <f t="array" ref="F307">_xlfn.TEXTJOIN(CHAR(10),TRUE,_xlfn._xlws.SORT(IF((--($B307=Flowdown_CIC[[URS]:[URS]]))*(--(F$14=Flowdown_CIC[[Source.Name]:[Source.Name]])),Flowdown_CIC[[SyRS]:[SyRS]],"")))</f>
        <v/>
      </c>
      <c r="G307" s="14" t="str" cm="1">
        <f t="array" ref="G307">_xlfn.TEXTJOIN(CHAR(10),TRUE,_xlfn._xlws.SORT(IF((--($B307=Flowdown_CIC[[URS]:[URS]]))*(--(G$14=Flowdown_CIC[[Source.Name]:[Source.Name]])),Flowdown_CIC[[SyRS]:[SyRS]],"")))</f>
        <v/>
      </c>
      <c r="H307" s="14" t="str" cm="1">
        <f t="array" ref="H307">_xlfn.TEXTJOIN(CHAR(10),TRUE,_xlfn._xlws.SORT(IF((--($B307=Flowdown_CIC[[URS]:[URS]]))*(--(H$14=Flowdown_CIC[[Source.Name]:[Source.Name]])),Flowdown_CIC[[SyRS]:[SyRS]],"")))</f>
        <v/>
      </c>
      <c r="I307" s="14" t="str" cm="1">
        <f t="array" ref="I307">_xlfn.TEXTJOIN(CHAR(10),TRUE,_xlfn._xlws.SORT(IF((--($B307=Flowdown_CIC[[URS]:[URS]]))*(--(I$14=Flowdown_CIC[[Source.Name]:[Source.Name]])),Flowdown_CIC[[SyRS]:[SyRS]],"")))</f>
        <v>MASTER-50185</v>
      </c>
      <c r="J307" s="14" t="str" cm="1">
        <f t="array" ref="J307">_xlfn.TEXTJOIN(CHAR(10),TRUE,_xlfn._xlws.SORT(IF((--($B307=Flowdown_CIC[[URS]:[URS]]))*(--(J$14=Flowdown_CIC[[Source.Name]:[Source.Name]])),Flowdown_CIC[[SyRS]:[SyRS]],"")))</f>
        <v>MASTER-50185</v>
      </c>
      <c r="K307" s="14" t="str" cm="1">
        <f t="array" ref="K307">_xlfn.TEXTJOIN(CHAR(10),TRUE,_xlfn._xlws.SORT(IF((--($B307=Flowdown_CIC[[URS]:[URS]]))*(--(K$14=Flowdown_CIC[[Source.Name]:[Source.Name]])),Flowdown_CIC[[SyRS]:[SyRS]],"")))</f>
        <v/>
      </c>
      <c r="L307" s="16" t="b" cm="1">
        <f t="array" ref="L307">OR(LEN(C307:K307)&gt;0)</f>
        <v>1</v>
      </c>
    </row>
    <row r="308" spans="2:12" ht="13.5" x14ac:dyDescent="0.2">
      <c r="B308" s="13" t="str">
        <v>MASTER-6707</v>
      </c>
      <c r="C308" s="14" t="str" cm="1">
        <f t="array" ref="C308">_xlfn.TEXTJOIN(CHAR(10),TRUE,_xlfn._xlws.SORT(IF((--($B308=Flowdown_CIC[[URS]:[URS]]))*(--(C$14=Flowdown_CIC[[Source.Name]:[Source.Name]])),Flowdown_CIC[[SyRS]:[SyRS]],"")))</f>
        <v/>
      </c>
      <c r="D308" s="14" t="str" cm="1">
        <f t="array" ref="D308">_xlfn.TEXTJOIN(CHAR(10),TRUE,_xlfn._xlws.SORT(IF((--($B308=Flowdown_CIC[[URS]:[URS]]))*(--(D$14=Flowdown_CIC[[Source.Name]:[Source.Name]])),Flowdown_CIC[[SyRS]:[SyRS]],"")))</f>
        <v/>
      </c>
      <c r="E308" s="14" t="str" cm="1">
        <f t="array" ref="E308">_xlfn.TEXTJOIN(CHAR(10),TRUE,_xlfn._xlws.SORT(IF((--($B308=Flowdown_CIC[[URS]:[URS]]))*(--(E$14=Flowdown_CIC[[Source.Name]:[Source.Name]])),Flowdown_CIC[[SyRS]:[SyRS]],"")))</f>
        <v/>
      </c>
      <c r="F308" s="14" t="str" cm="1">
        <f t="array" ref="F308">_xlfn.TEXTJOIN(CHAR(10),TRUE,_xlfn._xlws.SORT(IF((--($B308=Flowdown_CIC[[URS]:[URS]]))*(--(F$14=Flowdown_CIC[[Source.Name]:[Source.Name]])),Flowdown_CIC[[SyRS]:[SyRS]],"")))</f>
        <v/>
      </c>
      <c r="G308" s="14" t="str" cm="1">
        <f t="array" ref="G308">_xlfn.TEXTJOIN(CHAR(10),TRUE,_xlfn._xlws.SORT(IF((--($B308=Flowdown_CIC[[URS]:[URS]]))*(--(G$14=Flowdown_CIC[[Source.Name]:[Source.Name]])),Flowdown_CIC[[SyRS]:[SyRS]],"")))</f>
        <v/>
      </c>
      <c r="H308" s="14" t="str" cm="1">
        <f t="array" ref="H308">_xlfn.TEXTJOIN(CHAR(10),TRUE,_xlfn._xlws.SORT(IF((--($B308=Flowdown_CIC[[URS]:[URS]]))*(--(H$14=Flowdown_CIC[[Source.Name]:[Source.Name]])),Flowdown_CIC[[SyRS]:[SyRS]],"")))</f>
        <v/>
      </c>
      <c r="I308" s="14" t="str" cm="1">
        <f t="array" ref="I308">_xlfn.TEXTJOIN(CHAR(10),TRUE,_xlfn._xlws.SORT(IF((--($B308=Flowdown_CIC[[URS]:[URS]]))*(--(I$14=Flowdown_CIC[[Source.Name]:[Source.Name]])),Flowdown_CIC[[SyRS]:[SyRS]],"")))</f>
        <v/>
      </c>
      <c r="J308" s="14" t="str" cm="1">
        <f t="array" ref="J308">_xlfn.TEXTJOIN(CHAR(10),TRUE,_xlfn._xlws.SORT(IF((--($B308=Flowdown_CIC[[URS]:[URS]]))*(--(J$14=Flowdown_CIC[[Source.Name]:[Source.Name]])),Flowdown_CIC[[SyRS]:[SyRS]],"")))</f>
        <v>MASTER-50185</v>
      </c>
      <c r="K308" s="14" t="str" cm="1">
        <f t="array" ref="K308">_xlfn.TEXTJOIN(CHAR(10),TRUE,_xlfn._xlws.SORT(IF((--($B308=Flowdown_CIC[[URS]:[URS]]))*(--(K$14=Flowdown_CIC[[Source.Name]:[Source.Name]])),Flowdown_CIC[[SyRS]:[SyRS]],"")))</f>
        <v/>
      </c>
      <c r="L308" s="16" t="b" cm="1">
        <f t="array" ref="L308">OR(LEN(C308:K308)&gt;0)</f>
        <v>1</v>
      </c>
    </row>
    <row r="309" spans="2:12" ht="94.5" x14ac:dyDescent="0.2">
      <c r="B309" s="13" t="str">
        <v>MASTER-6708</v>
      </c>
      <c r="C309" s="14" t="str" cm="1">
        <f t="array" ref="C309">_xlfn.TEXTJOIN(CHAR(10),TRUE,_xlfn._xlws.SORT(IF((--($B309=Flowdown_CIC[[URS]:[URS]]))*(--(C$14=Flowdown_CIC[[Source.Name]:[Source.Name]])),Flowdown_CIC[[SyRS]:[SyRS]],"")))</f>
        <v/>
      </c>
      <c r="D309" s="14" t="str" cm="1">
        <f t="array" ref="D309">_xlfn.TEXTJOIN(CHAR(10),TRUE,_xlfn._xlws.SORT(IF((--($B309=Flowdown_CIC[[URS]:[URS]]))*(--(D$14=Flowdown_CIC[[Source.Name]:[Source.Name]])),Flowdown_CIC[[SyRS]:[SyRS]],"")))</f>
        <v>MASTER-55160
MASTER-55162
MASTER-55163
MASTER-55165
MASTER-55166
MASTER-55167
MASTER-55169</v>
      </c>
      <c r="E309" s="14" t="str" cm="1">
        <f t="array" ref="E309">_xlfn.TEXTJOIN(CHAR(10),TRUE,_xlfn._xlws.SORT(IF((--($B309=Flowdown_CIC[[URS]:[URS]]))*(--(E$14=Flowdown_CIC[[Source.Name]:[Source.Name]])),Flowdown_CIC[[SyRS]:[SyRS]],"")))</f>
        <v>MASTER-55160
MASTER-55162
MASTER-55163
MASTER-55165
MASTER-55166
MASTER-55167
MASTER-55169</v>
      </c>
      <c r="F309" s="14" t="str" cm="1">
        <f t="array" ref="F309">_xlfn.TEXTJOIN(CHAR(10),TRUE,_xlfn._xlws.SORT(IF((--($B309=Flowdown_CIC[[URS]:[URS]]))*(--(F$14=Flowdown_CIC[[Source.Name]:[Source.Name]])),Flowdown_CIC[[SyRS]:[SyRS]],"")))</f>
        <v>MASTER-55160
MASTER-55162
MASTER-55163
MASTER-55165
MASTER-55166
MASTER-55167
MASTER-55169</v>
      </c>
      <c r="G309" s="14" t="str" cm="1">
        <f t="array" ref="G309">_xlfn.TEXTJOIN(CHAR(10),TRUE,_xlfn._xlws.SORT(IF((--($B309=Flowdown_CIC[[URS]:[URS]]))*(--(G$14=Flowdown_CIC[[Source.Name]:[Source.Name]])),Flowdown_CIC[[SyRS]:[SyRS]],"")))</f>
        <v/>
      </c>
      <c r="H309" s="14" t="str" cm="1">
        <f t="array" ref="H309">_xlfn.TEXTJOIN(CHAR(10),TRUE,_xlfn._xlws.SORT(IF((--($B309=Flowdown_CIC[[URS]:[URS]]))*(--(H$14=Flowdown_CIC[[Source.Name]:[Source.Name]])),Flowdown_CIC[[SyRS]:[SyRS]],"")))</f>
        <v>MASTER-20651
MASTER-20652
MASTER-55171</v>
      </c>
      <c r="I309" s="14" t="str" cm="1">
        <f t="array" ref="I309">_xlfn.TEXTJOIN(CHAR(10),TRUE,_xlfn._xlws.SORT(IF((--($B309=Flowdown_CIC[[URS]:[URS]]))*(--(I$14=Flowdown_CIC[[Source.Name]:[Source.Name]])),Flowdown_CIC[[SyRS]:[SyRS]],"")))</f>
        <v/>
      </c>
      <c r="J309" s="14" t="str" cm="1">
        <f t="array" ref="J309">_xlfn.TEXTJOIN(CHAR(10),TRUE,_xlfn._xlws.SORT(IF((--($B309=Flowdown_CIC[[URS]:[URS]]))*(--(J$14=Flowdown_CIC[[Source.Name]:[Source.Name]])),Flowdown_CIC[[SyRS]:[SyRS]],"")))</f>
        <v/>
      </c>
      <c r="K309" s="14" t="str" cm="1">
        <f t="array" ref="K309">_xlfn.TEXTJOIN(CHAR(10),TRUE,_xlfn._xlws.SORT(IF((--($B309=Flowdown_CIC[[URS]:[URS]]))*(--(K$14=Flowdown_CIC[[Source.Name]:[Source.Name]])),Flowdown_CIC[[SyRS]:[SyRS]],"")))</f>
        <v/>
      </c>
      <c r="L309" s="16" t="b" cm="1">
        <f t="array" ref="L309">OR(LEN(C309:K309)&gt;0)</f>
        <v>1</v>
      </c>
    </row>
    <row r="310" spans="2:12" ht="337.5" x14ac:dyDescent="0.2">
      <c r="B310" s="13" t="str">
        <v>MASTER-73071</v>
      </c>
      <c r="C310" s="14" t="str" cm="1">
        <f t="array" ref="C310">_xlfn.TEXTJOIN(CHAR(10),TRUE,_xlfn._xlws.SORT(IF((--($B310=Flowdown_CIC[[URS]:[URS]]))*(--(C$14=Flowdown_CIC[[Source.Name]:[Source.Name]])),Flowdown_CIC[[SyRS]:[SyRS]],"")))</f>
        <v/>
      </c>
      <c r="D310" s="14" t="str" cm="1">
        <f t="array" ref="D310">_xlfn.TEXTJOIN(CHAR(10),TRUE,_xlfn._xlws.SORT(IF((--($B310=Flowdown_CIC[[URS]:[URS]]))*(--(D$14=Flowdown_CIC[[Source.Name]:[Source.Name]])),Flowdown_CIC[[SyRS]:[SyRS]],"")))</f>
        <v/>
      </c>
      <c r="E310" s="14" t="str" cm="1">
        <f t="array" ref="E310">_xlfn.TEXTJOIN(CHAR(10),TRUE,_xlfn._xlws.SORT(IF((--($B310=Flowdown_CIC[[URS]:[URS]]))*(--(E$14=Flowdown_CIC[[Source.Name]:[Source.Name]])),Flowdown_CIC[[SyRS]:[SyRS]],"")))</f>
        <v/>
      </c>
      <c r="F310" s="14" t="str" cm="1">
        <f t="array" ref="F310">_xlfn.TEXTJOIN(CHAR(10),TRUE,_xlfn._xlws.SORT(IF((--($B310=Flowdown_CIC[[URS]:[URS]]))*(--(F$14=Flowdown_CIC[[Source.Name]:[Source.Name]])),Flowdown_CIC[[SyRS]:[SyRS]],"")))</f>
        <v/>
      </c>
      <c r="G310" s="14" t="str" cm="1">
        <f t="array" ref="G310">_xlfn.TEXTJOIN(CHAR(10),TRUE,_xlfn._xlws.SORT(IF((--($B310=Flowdown_CIC[[URS]:[URS]]))*(--(G$14=Flowdown_CIC[[Source.Name]:[Source.Name]])),Flowdown_CIC[[SyRS]:[SyRS]],"")))</f>
        <v/>
      </c>
      <c r="H310" s="14" t="str" cm="1">
        <f t="array" ref="H310">_xlfn.TEXTJOIN(CHAR(10),TRUE,_xlfn._xlws.SORT(IF((--($B310=Flowdown_CIC[[URS]:[URS]]))*(--(H$14=Flowdown_CIC[[Source.Name]:[Source.Name]])),Flowdown_CIC[[SyRS]:[SyRS]],"")))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10" s="14" t="str" cm="1">
        <f t="array" ref="I310">_xlfn.TEXTJOIN(CHAR(10),TRUE,_xlfn._xlws.SORT(IF((--($B310=Flowdown_CIC[[URS]:[URS]]))*(--(I$14=Flowdown_CIC[[Source.Name]:[Source.Name]])),Flowdown_CIC[[SyRS]:[SyRS]],"")))</f>
        <v/>
      </c>
      <c r="J310" s="14" t="str" cm="1">
        <f t="array" ref="J310">_xlfn.TEXTJOIN(CHAR(10),TRUE,_xlfn._xlws.SORT(IF((--($B310=Flowdown_CIC[[URS]:[URS]]))*(--(J$14=Flowdown_CIC[[Source.Name]:[Source.Name]])),Flowdown_CIC[[SyRS]:[SyRS]],"")))</f>
        <v/>
      </c>
      <c r="K310" s="14" t="str" cm="1">
        <f t="array" ref="K310">_xlfn.TEXTJOIN(CHAR(10),TRUE,_xlfn._xlws.SORT(IF((--($B310=Flowdown_CIC[[URS]:[URS]]))*(--(K$14=Flowdown_CIC[[Source.Name]:[Source.Name]])),Flowdown_CIC[[SyRS]:[SyRS]],"")))</f>
        <v/>
      </c>
      <c r="L310" s="16" t="b" cm="1">
        <f t="array" ref="L310">OR(LEN(C310:K310)&gt;0)</f>
        <v>1</v>
      </c>
    </row>
    <row r="311" spans="2:12" ht="13.5" x14ac:dyDescent="0.2">
      <c r="B311" s="13" t="str">
        <v>MASTER-73072</v>
      </c>
      <c r="C311" s="14" t="str" cm="1">
        <f t="array" ref="C311">_xlfn.TEXTJOIN(CHAR(10),TRUE,_xlfn._xlws.SORT(IF((--($B311=Flowdown_CIC[[URS]:[URS]]))*(--(C$14=Flowdown_CIC[[Source.Name]:[Source.Name]])),Flowdown_CIC[[SyRS]:[SyRS]],"")))</f>
        <v/>
      </c>
      <c r="D311" s="14" t="str" cm="1">
        <f t="array" ref="D311">_xlfn.TEXTJOIN(CHAR(10),TRUE,_xlfn._xlws.SORT(IF((--($B311=Flowdown_CIC[[URS]:[URS]]))*(--(D$14=Flowdown_CIC[[Source.Name]:[Source.Name]])),Flowdown_CIC[[SyRS]:[SyRS]],"")))</f>
        <v/>
      </c>
      <c r="E311" s="14" t="str" cm="1">
        <f t="array" ref="E311">_xlfn.TEXTJOIN(CHAR(10),TRUE,_xlfn._xlws.SORT(IF((--($B311=Flowdown_CIC[[URS]:[URS]]))*(--(E$14=Flowdown_CIC[[Source.Name]:[Source.Name]])),Flowdown_CIC[[SyRS]:[SyRS]],"")))</f>
        <v/>
      </c>
      <c r="F311" s="14" t="str" cm="1">
        <f t="array" ref="F311">_xlfn.TEXTJOIN(CHAR(10),TRUE,_xlfn._xlws.SORT(IF((--($B311=Flowdown_CIC[[URS]:[URS]]))*(--(F$14=Flowdown_CIC[[Source.Name]:[Source.Name]])),Flowdown_CIC[[SyRS]:[SyRS]],"")))</f>
        <v/>
      </c>
      <c r="G311" s="14" t="str" cm="1">
        <f t="array" ref="G311">_xlfn.TEXTJOIN(CHAR(10),TRUE,_xlfn._xlws.SORT(IF((--($B311=Flowdown_CIC[[URS]:[URS]]))*(--(G$14=Flowdown_CIC[[Source.Name]:[Source.Name]])),Flowdown_CIC[[SyRS]:[SyRS]],"")))</f>
        <v/>
      </c>
      <c r="H311" s="14" t="str" cm="1">
        <f t="array" ref="H311">_xlfn.TEXTJOIN(CHAR(10),TRUE,_xlfn._xlws.SORT(IF((--($B311=Flowdown_CIC[[URS]:[URS]]))*(--(H$14=Flowdown_CIC[[Source.Name]:[Source.Name]])),Flowdown_CIC[[SyRS]:[SyRS]],"")))</f>
        <v/>
      </c>
      <c r="I311" s="14" t="str" cm="1">
        <f t="array" ref="I311">_xlfn.TEXTJOIN(CHAR(10),TRUE,_xlfn._xlws.SORT(IF((--($B311=Flowdown_CIC[[URS]:[URS]]))*(--(I$14=Flowdown_CIC[[Source.Name]:[Source.Name]])),Flowdown_CIC[[SyRS]:[SyRS]],"")))</f>
        <v>MASTER-20174</v>
      </c>
      <c r="J311" s="14" t="str" cm="1">
        <f t="array" ref="J311">_xlfn.TEXTJOIN(CHAR(10),TRUE,_xlfn._xlws.SORT(IF((--($B311=Flowdown_CIC[[URS]:[URS]]))*(--(J$14=Flowdown_CIC[[Source.Name]:[Source.Name]])),Flowdown_CIC[[SyRS]:[SyRS]],"")))</f>
        <v>MASTER-20174</v>
      </c>
      <c r="K311" s="14" t="str" cm="1">
        <f t="array" ref="K311">_xlfn.TEXTJOIN(CHAR(10),TRUE,_xlfn._xlws.SORT(IF((--($B311=Flowdown_CIC[[URS]:[URS]]))*(--(K$14=Flowdown_CIC[[Source.Name]:[Source.Name]])),Flowdown_CIC[[SyRS]:[SyRS]],"")))</f>
        <v/>
      </c>
      <c r="L311" s="16" t="b" cm="1">
        <f t="array" ref="L311">OR(LEN(C311:K311)&gt;0)</f>
        <v>1</v>
      </c>
    </row>
    <row r="312" spans="2:12" ht="40.5" x14ac:dyDescent="0.2">
      <c r="B312" s="13" t="str">
        <v>MASTER-73073</v>
      </c>
      <c r="C312" s="14" t="str" cm="1">
        <f t="array" ref="C312">_xlfn.TEXTJOIN(CHAR(10),TRUE,_xlfn._xlws.SORT(IF((--($B312=Flowdown_CIC[[URS]:[URS]]))*(--(C$14=Flowdown_CIC[[Source.Name]:[Source.Name]])),Flowdown_CIC[[SyRS]:[SyRS]],"")))</f>
        <v/>
      </c>
      <c r="D312" s="14" t="str" cm="1">
        <f t="array" ref="D312">_xlfn.TEXTJOIN(CHAR(10),TRUE,_xlfn._xlws.SORT(IF((--($B312=Flowdown_CIC[[URS]:[URS]]))*(--(D$14=Flowdown_CIC[[Source.Name]:[Source.Name]])),Flowdown_CIC[[SyRS]:[SyRS]],"")))</f>
        <v/>
      </c>
      <c r="E312" s="14" t="str" cm="1">
        <f t="array" ref="E312">_xlfn.TEXTJOIN(CHAR(10),TRUE,_xlfn._xlws.SORT(IF((--($B312=Flowdown_CIC[[URS]:[URS]]))*(--(E$14=Flowdown_CIC[[Source.Name]:[Source.Name]])),Flowdown_CIC[[SyRS]:[SyRS]],"")))</f>
        <v/>
      </c>
      <c r="F312" s="14" t="str" cm="1">
        <f t="array" ref="F312">_xlfn.TEXTJOIN(CHAR(10),TRUE,_xlfn._xlws.SORT(IF((--($B312=Flowdown_CIC[[URS]:[URS]]))*(--(F$14=Flowdown_CIC[[Source.Name]:[Source.Name]])),Flowdown_CIC[[SyRS]:[SyRS]],"")))</f>
        <v/>
      </c>
      <c r="G312" s="14" t="str" cm="1">
        <f t="array" ref="G312">_xlfn.TEXTJOIN(CHAR(10),TRUE,_xlfn._xlws.SORT(IF((--($B312=Flowdown_CIC[[URS]:[URS]]))*(--(G$14=Flowdown_CIC[[Source.Name]:[Source.Name]])),Flowdown_CIC[[SyRS]:[SyRS]],"")))</f>
        <v/>
      </c>
      <c r="H312" s="14" t="str" cm="1">
        <f t="array" ref="H312">_xlfn.TEXTJOIN(CHAR(10),TRUE,_xlfn._xlws.SORT(IF((--($B312=Flowdown_CIC[[URS]:[URS]]))*(--(H$14=Flowdown_CIC[[Source.Name]:[Source.Name]])),Flowdown_CIC[[SyRS]:[SyRS]],"")))</f>
        <v>MASTER-75377
MASTER-75378
UTICA-24666</v>
      </c>
      <c r="I312" s="14" t="str" cm="1">
        <f t="array" ref="I312">_xlfn.TEXTJOIN(CHAR(10),TRUE,_xlfn._xlws.SORT(IF((--($B312=Flowdown_CIC[[URS]:[URS]]))*(--(I$14=Flowdown_CIC[[Source.Name]:[Source.Name]])),Flowdown_CIC[[SyRS]:[SyRS]],"")))</f>
        <v/>
      </c>
      <c r="J312" s="14" t="str" cm="1">
        <f t="array" ref="J312">_xlfn.TEXTJOIN(CHAR(10),TRUE,_xlfn._xlws.SORT(IF((--($B312=Flowdown_CIC[[URS]:[URS]]))*(--(J$14=Flowdown_CIC[[Source.Name]:[Source.Name]])),Flowdown_CIC[[SyRS]:[SyRS]],"")))</f>
        <v/>
      </c>
      <c r="K312" s="14" t="str" cm="1">
        <f t="array" ref="K312">_xlfn.TEXTJOIN(CHAR(10),TRUE,_xlfn._xlws.SORT(IF((--($B312=Flowdown_CIC[[URS]:[URS]]))*(--(K$14=Flowdown_CIC[[Source.Name]:[Source.Name]])),Flowdown_CIC[[SyRS]:[SyRS]],"")))</f>
        <v/>
      </c>
      <c r="L312" s="16" t="b" cm="1">
        <f t="array" ref="L312">OR(LEN(C312:K312)&gt;0)</f>
        <v>1</v>
      </c>
    </row>
    <row r="313" spans="2:12" ht="13.5" x14ac:dyDescent="0.2">
      <c r="B313" s="13" t="str">
        <v>UTICA-2310</v>
      </c>
      <c r="C313" s="14" t="str" cm="1">
        <f t="array" ref="C313">_xlfn.TEXTJOIN(CHAR(10),TRUE,_xlfn._xlws.SORT(IF((--($B313=Flowdown_CIC[[URS]:[URS]]))*(--(C$14=Flowdown_CIC[[Source.Name]:[Source.Name]])),Flowdown_CIC[[SyRS]:[SyRS]],"")))</f>
        <v/>
      </c>
      <c r="D313" s="14" t="str" cm="1">
        <f t="array" ref="D313">_xlfn.TEXTJOIN(CHAR(10),TRUE,_xlfn._xlws.SORT(IF((--($B313=Flowdown_CIC[[URS]:[URS]]))*(--(D$14=Flowdown_CIC[[Source.Name]:[Source.Name]])),Flowdown_CIC[[SyRS]:[SyRS]],"")))</f>
        <v/>
      </c>
      <c r="E313" s="14" t="str" cm="1">
        <f t="array" ref="E313">_xlfn.TEXTJOIN(CHAR(10),TRUE,_xlfn._xlws.SORT(IF((--($B313=Flowdown_CIC[[URS]:[URS]]))*(--(E$14=Flowdown_CIC[[Source.Name]:[Source.Name]])),Flowdown_CIC[[SyRS]:[SyRS]],"")))</f>
        <v/>
      </c>
      <c r="F313" s="14" t="str" cm="1">
        <f t="array" ref="F313">_xlfn.TEXTJOIN(CHAR(10),TRUE,_xlfn._xlws.SORT(IF((--($B313=Flowdown_CIC[[URS]:[URS]]))*(--(F$14=Flowdown_CIC[[Source.Name]:[Source.Name]])),Flowdown_CIC[[SyRS]:[SyRS]],"")))</f>
        <v/>
      </c>
      <c r="G313" s="14" t="str" cm="1">
        <f t="array" ref="G313">_xlfn.TEXTJOIN(CHAR(10),TRUE,_xlfn._xlws.SORT(IF((--($B313=Flowdown_CIC[[URS]:[URS]]))*(--(G$14=Flowdown_CIC[[Source.Name]:[Source.Name]])),Flowdown_CIC[[SyRS]:[SyRS]],"")))</f>
        <v/>
      </c>
      <c r="H313" s="14" t="str" cm="1">
        <f t="array" ref="H313">_xlfn.TEXTJOIN(CHAR(10),TRUE,_xlfn._xlws.SORT(IF((--($B313=Flowdown_CIC[[URS]:[URS]]))*(--(H$14=Flowdown_CIC[[Source.Name]:[Source.Name]])),Flowdown_CIC[[SyRS]:[SyRS]],"")))</f>
        <v/>
      </c>
      <c r="I313" s="14" t="str" cm="1">
        <f t="array" ref="I313">_xlfn.TEXTJOIN(CHAR(10),TRUE,_xlfn._xlws.SORT(IF((--($B313=Flowdown_CIC[[URS]:[URS]]))*(--(I$14=Flowdown_CIC[[Source.Name]:[Source.Name]])),Flowdown_CIC[[SyRS]:[SyRS]],"")))</f>
        <v>MASTER-17394</v>
      </c>
      <c r="J313" s="14" t="str" cm="1">
        <f t="array" ref="J313">_xlfn.TEXTJOIN(CHAR(10),TRUE,_xlfn._xlws.SORT(IF((--($B313=Flowdown_CIC[[URS]:[URS]]))*(--(J$14=Flowdown_CIC[[Source.Name]:[Source.Name]])),Flowdown_CIC[[SyRS]:[SyRS]],"")))</f>
        <v>MASTER-17394</v>
      </c>
      <c r="K313" s="14" t="str" cm="1">
        <f t="array" ref="K313">_xlfn.TEXTJOIN(CHAR(10),TRUE,_xlfn._xlws.SORT(IF((--($B313=Flowdown_CIC[[URS]:[URS]]))*(--(K$14=Flowdown_CIC[[Source.Name]:[Source.Name]])),Flowdown_CIC[[SyRS]:[SyRS]],"")))</f>
        <v/>
      </c>
      <c r="L313" s="16" t="b" cm="1">
        <f t="array" ref="L313">OR(LEN(C313:K313)&gt;0)</f>
        <v>1</v>
      </c>
    </row>
    <row r="314" spans="2:12" ht="13.5" x14ac:dyDescent="0.2">
      <c r="B314" s="13" t="str">
        <v>UTICA-6117</v>
      </c>
      <c r="C314" s="14" t="str" cm="1">
        <f t="array" ref="C314">_xlfn.TEXTJOIN(CHAR(10),TRUE,_xlfn._xlws.SORT(IF((--($B314=Flowdown_CIC[[URS]:[URS]]))*(--(C$14=Flowdown_CIC[[Source.Name]:[Source.Name]])),Flowdown_CIC[[SyRS]:[SyRS]],"")))</f>
        <v/>
      </c>
      <c r="D314" s="14" t="str" cm="1">
        <f t="array" ref="D314">_xlfn.TEXTJOIN(CHAR(10),TRUE,_xlfn._xlws.SORT(IF((--($B314=Flowdown_CIC[[URS]:[URS]]))*(--(D$14=Flowdown_CIC[[Source.Name]:[Source.Name]])),Flowdown_CIC[[SyRS]:[SyRS]],"")))</f>
        <v/>
      </c>
      <c r="E314" s="14" t="str" cm="1">
        <f t="array" ref="E314">_xlfn.TEXTJOIN(CHAR(10),TRUE,_xlfn._xlws.SORT(IF((--($B314=Flowdown_CIC[[URS]:[URS]]))*(--(E$14=Flowdown_CIC[[Source.Name]:[Source.Name]])),Flowdown_CIC[[SyRS]:[SyRS]],"")))</f>
        <v/>
      </c>
      <c r="F314" s="14" t="str" cm="1">
        <f t="array" ref="F314">_xlfn.TEXTJOIN(CHAR(10),TRUE,_xlfn._xlws.SORT(IF((--($B314=Flowdown_CIC[[URS]:[URS]]))*(--(F$14=Flowdown_CIC[[Source.Name]:[Source.Name]])),Flowdown_CIC[[SyRS]:[SyRS]],"")))</f>
        <v/>
      </c>
      <c r="G314" s="14" t="str" cm="1">
        <f t="array" ref="G314">_xlfn.TEXTJOIN(CHAR(10),TRUE,_xlfn._xlws.SORT(IF((--($B314=Flowdown_CIC[[URS]:[URS]]))*(--(G$14=Flowdown_CIC[[Source.Name]:[Source.Name]])),Flowdown_CIC[[SyRS]:[SyRS]],"")))</f>
        <v/>
      </c>
      <c r="H314" s="14" t="str" cm="1">
        <f t="array" ref="H314">_xlfn.TEXTJOIN(CHAR(10),TRUE,_xlfn._xlws.SORT(IF((--($B314=Flowdown_CIC[[URS]:[URS]]))*(--(H$14=Flowdown_CIC[[Source.Name]:[Source.Name]])),Flowdown_CIC[[SyRS]:[SyRS]],"")))</f>
        <v/>
      </c>
      <c r="I314" s="14" t="str" cm="1">
        <f t="array" ref="I314">_xlfn.TEXTJOIN(CHAR(10),TRUE,_xlfn._xlws.SORT(IF((--($B314=Flowdown_CIC[[URS]:[URS]]))*(--(I$14=Flowdown_CIC[[Source.Name]:[Source.Name]])),Flowdown_CIC[[SyRS]:[SyRS]],"")))</f>
        <v/>
      </c>
      <c r="J314" s="14" t="str" cm="1">
        <f t="array" ref="J314">_xlfn.TEXTJOIN(CHAR(10),TRUE,_xlfn._xlws.SORT(IF((--($B314=Flowdown_CIC[[URS]:[URS]]))*(--(J$14=Flowdown_CIC[[Source.Name]:[Source.Name]])),Flowdown_CIC[[SyRS]:[SyRS]],"")))</f>
        <v>MASTER-17121</v>
      </c>
      <c r="K314" s="14" t="str" cm="1">
        <f t="array" ref="K314">_xlfn.TEXTJOIN(CHAR(10),TRUE,_xlfn._xlws.SORT(IF((--($B314=Flowdown_CIC[[URS]:[URS]]))*(--(K$14=Flowdown_CIC[[Source.Name]:[Source.Name]])),Flowdown_CIC[[SyRS]:[SyRS]],"")))</f>
        <v/>
      </c>
      <c r="L314" s="16" t="b" cm="1">
        <f t="array" ref="L314">OR(LEN(C314:K314)&gt;0)</f>
        <v>1</v>
      </c>
    </row>
    <row r="315" spans="2:12" ht="13.5" x14ac:dyDescent="0.2">
      <c r="B315" s="13" t="str">
        <v>UTICA-6118</v>
      </c>
      <c r="C315" s="14" t="str" cm="1">
        <f t="array" ref="C315">_xlfn.TEXTJOIN(CHAR(10),TRUE,_xlfn._xlws.SORT(IF((--($B315=Flowdown_CIC[[URS]:[URS]]))*(--(C$14=Flowdown_CIC[[Source.Name]:[Source.Name]])),Flowdown_CIC[[SyRS]:[SyRS]],"")))</f>
        <v/>
      </c>
      <c r="D315" s="14" t="str" cm="1">
        <f t="array" ref="D315">_xlfn.TEXTJOIN(CHAR(10),TRUE,_xlfn._xlws.SORT(IF((--($B315=Flowdown_CIC[[URS]:[URS]]))*(--(D$14=Flowdown_CIC[[Source.Name]:[Source.Name]])),Flowdown_CIC[[SyRS]:[SyRS]],"")))</f>
        <v/>
      </c>
      <c r="E315" s="14" t="str" cm="1">
        <f t="array" ref="E315">_xlfn.TEXTJOIN(CHAR(10),TRUE,_xlfn._xlws.SORT(IF((--($B315=Flowdown_CIC[[URS]:[URS]]))*(--(E$14=Flowdown_CIC[[Source.Name]:[Source.Name]])),Flowdown_CIC[[SyRS]:[SyRS]],"")))</f>
        <v/>
      </c>
      <c r="F315" s="14" t="str" cm="1">
        <f t="array" ref="F315">_xlfn.TEXTJOIN(CHAR(10),TRUE,_xlfn._xlws.SORT(IF((--($B315=Flowdown_CIC[[URS]:[URS]]))*(--(F$14=Flowdown_CIC[[Source.Name]:[Source.Name]])),Flowdown_CIC[[SyRS]:[SyRS]],"")))</f>
        <v/>
      </c>
      <c r="G315" s="14" t="str" cm="1">
        <f t="array" ref="G315">_xlfn.TEXTJOIN(CHAR(10),TRUE,_xlfn._xlws.SORT(IF((--($B315=Flowdown_CIC[[URS]:[URS]]))*(--(G$14=Flowdown_CIC[[Source.Name]:[Source.Name]])),Flowdown_CIC[[SyRS]:[SyRS]],"")))</f>
        <v/>
      </c>
      <c r="H315" s="14" t="str" cm="1">
        <f t="array" ref="H315">_xlfn.TEXTJOIN(CHAR(10),TRUE,_xlfn._xlws.SORT(IF((--($B315=Flowdown_CIC[[URS]:[URS]]))*(--(H$14=Flowdown_CIC[[Source.Name]:[Source.Name]])),Flowdown_CIC[[SyRS]:[SyRS]],"")))</f>
        <v/>
      </c>
      <c r="I315" s="14" t="str" cm="1">
        <f t="array" ref="I315">_xlfn.TEXTJOIN(CHAR(10),TRUE,_xlfn._xlws.SORT(IF((--($B315=Flowdown_CIC[[URS]:[URS]]))*(--(I$14=Flowdown_CIC[[Source.Name]:[Source.Name]])),Flowdown_CIC[[SyRS]:[SyRS]],"")))</f>
        <v/>
      </c>
      <c r="J315" s="14" t="str" cm="1">
        <f t="array" ref="J315">_xlfn.TEXTJOIN(CHAR(10),TRUE,_xlfn._xlws.SORT(IF((--($B315=Flowdown_CIC[[URS]:[URS]]))*(--(J$14=Flowdown_CIC[[Source.Name]:[Source.Name]])),Flowdown_CIC[[SyRS]:[SyRS]],"")))</f>
        <v>MASTER-17121</v>
      </c>
      <c r="K315" s="14" t="str" cm="1">
        <f t="array" ref="K315">_xlfn.TEXTJOIN(CHAR(10),TRUE,_xlfn._xlws.SORT(IF((--($B315=Flowdown_CIC[[URS]:[URS]]))*(--(K$14=Flowdown_CIC[[Source.Name]:[Source.Name]])),Flowdown_CIC[[SyRS]:[SyRS]],"")))</f>
        <v/>
      </c>
      <c r="L315" s="16" t="b" cm="1">
        <f t="array" ref="L315">OR(LEN(C315:K315)&gt;0)</f>
        <v>1</v>
      </c>
    </row>
    <row r="316" spans="2:12" ht="13.5" x14ac:dyDescent="0.2">
      <c r="B316" s="13" t="str">
        <v>UTICA-6378</v>
      </c>
      <c r="C316" s="14" t="str" cm="1">
        <f t="array" ref="C316">_xlfn.TEXTJOIN(CHAR(10),TRUE,_xlfn._xlws.SORT(IF((--($B316=Flowdown_CIC[[URS]:[URS]]))*(--(C$14=Flowdown_CIC[[Source.Name]:[Source.Name]])),Flowdown_CIC[[SyRS]:[SyRS]],"")))</f>
        <v/>
      </c>
      <c r="D316" s="14" t="str" cm="1">
        <f t="array" ref="D316">_xlfn.TEXTJOIN(CHAR(10),TRUE,_xlfn._xlws.SORT(IF((--($B316=Flowdown_CIC[[URS]:[URS]]))*(--(D$14=Flowdown_CIC[[Source.Name]:[Source.Name]])),Flowdown_CIC[[SyRS]:[SyRS]],"")))</f>
        <v/>
      </c>
      <c r="E316" s="14" t="str" cm="1">
        <f t="array" ref="E316">_xlfn.TEXTJOIN(CHAR(10),TRUE,_xlfn._xlws.SORT(IF((--($B316=Flowdown_CIC[[URS]:[URS]]))*(--(E$14=Flowdown_CIC[[Source.Name]:[Source.Name]])),Flowdown_CIC[[SyRS]:[SyRS]],"")))</f>
        <v/>
      </c>
      <c r="F316" s="14" t="str" cm="1">
        <f t="array" ref="F316">_xlfn.TEXTJOIN(CHAR(10),TRUE,_xlfn._xlws.SORT(IF((--($B316=Flowdown_CIC[[URS]:[URS]]))*(--(F$14=Flowdown_CIC[[Source.Name]:[Source.Name]])),Flowdown_CIC[[SyRS]:[SyRS]],"")))</f>
        <v/>
      </c>
      <c r="G316" s="14" t="str" cm="1">
        <f t="array" ref="G316">_xlfn.TEXTJOIN(CHAR(10),TRUE,_xlfn._xlws.SORT(IF((--($B316=Flowdown_CIC[[URS]:[URS]]))*(--(G$14=Flowdown_CIC[[Source.Name]:[Source.Name]])),Flowdown_CIC[[SyRS]:[SyRS]],"")))</f>
        <v/>
      </c>
      <c r="H316" s="14" t="str" cm="1">
        <f t="array" ref="H316">_xlfn.TEXTJOIN(CHAR(10),TRUE,_xlfn._xlws.SORT(IF((--($B316=Flowdown_CIC[[URS]:[URS]]))*(--(H$14=Flowdown_CIC[[Source.Name]:[Source.Name]])),Flowdown_CIC[[SyRS]:[SyRS]],"")))</f>
        <v/>
      </c>
      <c r="I316" s="14" t="str" cm="1">
        <f t="array" ref="I316">_xlfn.TEXTJOIN(CHAR(10),TRUE,_xlfn._xlws.SORT(IF((--($B316=Flowdown_CIC[[URS]:[URS]]))*(--(I$14=Flowdown_CIC[[Source.Name]:[Source.Name]])),Flowdown_CIC[[SyRS]:[SyRS]],"")))</f>
        <v>UTICA-2495</v>
      </c>
      <c r="J316" s="14" t="str" cm="1">
        <f t="array" ref="J316">_xlfn.TEXTJOIN(CHAR(10),TRUE,_xlfn._xlws.SORT(IF((--($B316=Flowdown_CIC[[URS]:[URS]]))*(--(J$14=Flowdown_CIC[[Source.Name]:[Source.Name]])),Flowdown_CIC[[SyRS]:[SyRS]],"")))</f>
        <v>UTICA-2495</v>
      </c>
      <c r="K316" s="14" t="str" cm="1">
        <f t="array" ref="K316">_xlfn.TEXTJOIN(CHAR(10),TRUE,_xlfn._xlws.SORT(IF((--($B316=Flowdown_CIC[[URS]:[URS]]))*(--(K$14=Flowdown_CIC[[Source.Name]:[Source.Name]])),Flowdown_CIC[[SyRS]:[SyRS]],"")))</f>
        <v/>
      </c>
      <c r="L316" s="16" t="b" cm="1">
        <f t="array" ref="L316">OR(LEN(C316:K316)&gt;0)</f>
        <v>1</v>
      </c>
    </row>
    <row r="317" spans="2:12" ht="13.5" x14ac:dyDescent="0.2">
      <c r="B317" s="13" t="str">
        <v>UTICA-6849</v>
      </c>
      <c r="C317" s="14" t="str" cm="1">
        <f t="array" ref="C317">_xlfn.TEXTJOIN(CHAR(10),TRUE,_xlfn._xlws.SORT(IF((--($B317=Flowdown_CIC[[URS]:[URS]]))*(--(C$14=Flowdown_CIC[[Source.Name]:[Source.Name]])),Flowdown_CIC[[SyRS]:[SyRS]],"")))</f>
        <v/>
      </c>
      <c r="D317" s="14" t="str" cm="1">
        <f t="array" ref="D317">_xlfn.TEXTJOIN(CHAR(10),TRUE,_xlfn._xlws.SORT(IF((--($B317=Flowdown_CIC[[URS]:[URS]]))*(--(D$14=Flowdown_CIC[[Source.Name]:[Source.Name]])),Flowdown_CIC[[SyRS]:[SyRS]],"")))</f>
        <v/>
      </c>
      <c r="E317" s="14" t="str" cm="1">
        <f t="array" ref="E317">_xlfn.TEXTJOIN(CHAR(10),TRUE,_xlfn._xlws.SORT(IF((--($B317=Flowdown_CIC[[URS]:[URS]]))*(--(E$14=Flowdown_CIC[[Source.Name]:[Source.Name]])),Flowdown_CIC[[SyRS]:[SyRS]],"")))</f>
        <v/>
      </c>
      <c r="F317" s="14" t="str" cm="1">
        <f t="array" ref="F317">_xlfn.TEXTJOIN(CHAR(10),TRUE,_xlfn._xlws.SORT(IF((--($B317=Flowdown_CIC[[URS]:[URS]]))*(--(F$14=Flowdown_CIC[[Source.Name]:[Source.Name]])),Flowdown_CIC[[SyRS]:[SyRS]],"")))</f>
        <v/>
      </c>
      <c r="G317" s="14" t="str" cm="1">
        <f t="array" ref="G317">_xlfn.TEXTJOIN(CHAR(10),TRUE,_xlfn._xlws.SORT(IF((--($B317=Flowdown_CIC[[URS]:[URS]]))*(--(G$14=Flowdown_CIC[[Source.Name]:[Source.Name]])),Flowdown_CIC[[SyRS]:[SyRS]],"")))</f>
        <v/>
      </c>
      <c r="H317" s="14" t="str" cm="1">
        <f t="array" ref="H317">_xlfn.TEXTJOIN(CHAR(10),TRUE,_xlfn._xlws.SORT(IF((--($B317=Flowdown_CIC[[URS]:[URS]]))*(--(H$14=Flowdown_CIC[[Source.Name]:[Source.Name]])),Flowdown_CIC[[SyRS]:[SyRS]],"")))</f>
        <v/>
      </c>
      <c r="I317" s="14" t="str" cm="1">
        <f t="array" ref="I317">_xlfn.TEXTJOIN(CHAR(10),TRUE,_xlfn._xlws.SORT(IF((--($B317=Flowdown_CIC[[URS]:[URS]]))*(--(I$14=Flowdown_CIC[[Source.Name]:[Source.Name]])),Flowdown_CIC[[SyRS]:[SyRS]],"")))</f>
        <v>UTICA-2495</v>
      </c>
      <c r="J317" s="14" t="str" cm="1">
        <f t="array" ref="J317">_xlfn.TEXTJOIN(CHAR(10),TRUE,_xlfn._xlws.SORT(IF((--($B317=Flowdown_CIC[[URS]:[URS]]))*(--(J$14=Flowdown_CIC[[Source.Name]:[Source.Name]])),Flowdown_CIC[[SyRS]:[SyRS]],"")))</f>
        <v>UTICA-2495</v>
      </c>
      <c r="K317" s="14" t="str" cm="1">
        <f t="array" ref="K317">_xlfn.TEXTJOIN(CHAR(10),TRUE,_xlfn._xlws.SORT(IF((--($B317=Flowdown_CIC[[URS]:[URS]]))*(--(K$14=Flowdown_CIC[[Source.Name]:[Source.Name]])),Flowdown_CIC[[SyRS]:[SyRS]],"")))</f>
        <v/>
      </c>
      <c r="L317" s="16" t="b" cm="1">
        <f t="array" ref="L317">OR(LEN(C317:K317)&gt;0)</f>
        <v>1</v>
      </c>
    </row>
  </sheetData>
  <conditionalFormatting sqref="B15:L300">
    <cfRule type="expression" dxfId="20" priority="2">
      <formula>MOD(ROW(B15)-ROW($B$15),2)</formula>
    </cfRule>
  </conditionalFormatting>
  <conditionalFormatting sqref="B301:L317">
    <cfRule type="expression" dxfId="19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&amp;LCIC Trace Matrix&amp;R&amp;P of &amp;N&amp;CStarkey-Confidential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324E3-9592-46D0-ACED-C6782FED223C}">
  <sheetPr codeName="Sheet3">
    <tabColor rgb="FF92D050"/>
    <pageSetUpPr fitToPage="1"/>
  </sheetPr>
  <dimension ref="A1:L326"/>
  <sheetViews>
    <sheetView workbookViewId="0">
      <selection activeCell="N20" sqref="N20"/>
    </sheetView>
  </sheetViews>
  <sheetFormatPr defaultRowHeight="12.75" x14ac:dyDescent="0.2"/>
  <cols>
    <col min="2" max="2" width="15.140625" customWidth="1"/>
    <col min="3" max="11" width="16.42578125" customWidth="1"/>
    <col min="12" max="12" width="0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 t="s">
        <v>2628</v>
      </c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312</v>
      </c>
    </row>
    <row r="8" spans="1:12" x14ac:dyDescent="0.2">
      <c r="A8" t="s">
        <v>2491</v>
      </c>
      <c r="C8" s="17" t="b">
        <f>AND(L15:L300)</f>
        <v>1</v>
      </c>
    </row>
    <row r="10" spans="1:12" ht="4.9000000000000004" customHeight="1" x14ac:dyDescent="0.2"/>
    <row r="11" spans="1:12" ht="15" x14ac:dyDescent="0.25">
      <c r="A11" s="4" t="s">
        <v>2488</v>
      </c>
    </row>
    <row r="12" spans="1:12" ht="15" x14ac:dyDescent="0.25">
      <c r="A12" s="4"/>
    </row>
    <row r="13" spans="1:12" ht="15" x14ac:dyDescent="0.2">
      <c r="C13" s="6" t="s">
        <v>2568</v>
      </c>
      <c r="D13" s="7"/>
      <c r="E13" s="7"/>
      <c r="F13" s="7"/>
      <c r="G13" s="7"/>
      <c r="H13" s="7"/>
      <c r="I13" s="7"/>
      <c r="J13" s="8"/>
      <c r="K13" s="8"/>
    </row>
    <row r="14" spans="1:12" ht="15.75" thickBot="1" x14ac:dyDescent="0.25">
      <c r="B14" s="15" t="s">
        <v>2594</v>
      </c>
      <c r="C14" s="5" t="str" cm="1">
        <f t="array" ref="C14:K14">TRANSPOSE(_xlfn._xlws.SORT(_xlfn.UNIQUE(Flowdown_BTE[Source.Name])))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14.25" thickTop="1" x14ac:dyDescent="0.2">
      <c r="B15" s="9" t="str" cm="1">
        <f t="array" ref="B15:B326">_xlfn.UNIQUE(_xlfn._xlws.SORT(Flowdown_BTE[URS]))</f>
        <v>GENESIS-8189</v>
      </c>
      <c r="C15" s="10" t="str" cm="1">
        <f t="array" ref="C15">_xlfn.TEXTJOIN(CHAR(10),TRUE,_xlfn._xlws.SORT(IF((--($B15=Flowdown_BTE[[URS]:[URS]]))*(--(C$14=Flowdown_BTE[[Source.Name]:[Source.Name]])),Flowdown_BTE[[SyRS]:[SyRS]],"")))</f>
        <v/>
      </c>
      <c r="D15" s="10" t="str" cm="1">
        <f t="array" ref="D15">_xlfn.TEXTJOIN(CHAR(10),TRUE,_xlfn._xlws.SORT(IF((--($B15=Flowdown_BTE[[URS]:[URS]]))*(--(D$14=Flowdown_BTE[[Source.Name]:[Source.Name]])),Flowdown_BTE[[SyRS]:[SyRS]],"")))</f>
        <v/>
      </c>
      <c r="E15" s="10" t="str" cm="1">
        <f t="array" ref="E15">_xlfn.TEXTJOIN(CHAR(10),TRUE,_xlfn._xlws.SORT(IF((--($B15=Flowdown_BTE[[URS]:[URS]]))*(--(E$14=Flowdown_BTE[[Source.Name]:[Source.Name]])),Flowdown_BTE[[SyRS]:[SyRS]],"")))</f>
        <v/>
      </c>
      <c r="F15" s="10" t="str" cm="1">
        <f t="array" ref="F15">_xlfn.TEXTJOIN(CHAR(10),TRUE,_xlfn._xlws.SORT(IF((--($B15=Flowdown_BTE[[URS]:[URS]]))*(--(F$14=Flowdown_BTE[[Source.Name]:[Source.Name]])),Flowdown_BTE[[SyRS]:[SyRS]],"")))</f>
        <v/>
      </c>
      <c r="G15" s="10" t="str" cm="1">
        <f t="array" ref="G15">_xlfn.TEXTJOIN(CHAR(10),TRUE,_xlfn._xlws.SORT(IF((--($B15=Flowdown_BTE[[URS]:[URS]]))*(--(G$14=Flowdown_BTE[[Source.Name]:[Source.Name]])),Flowdown_BTE[[SyRS]:[SyRS]],"")))</f>
        <v/>
      </c>
      <c r="H15" s="10" t="str" cm="1">
        <f t="array" ref="H15">_xlfn.TEXTJOIN(CHAR(10),TRUE,_xlfn._xlws.SORT(IF((--($B15=Flowdown_BTE[[URS]:[URS]]))*(--(H$14=Flowdown_BTE[[Source.Name]:[Source.Name]])),Flowdown_BTE[[SyRS]:[SyRS]],"")))</f>
        <v/>
      </c>
      <c r="I15" s="10" t="str" cm="1">
        <f t="array" ref="I15">_xlfn.TEXTJOIN(CHAR(10),TRUE,_xlfn._xlws.SORT(IF((--($B15=Flowdown_BTE[[URS]:[URS]]))*(--(I$14=Flowdown_BTE[[Source.Name]:[Source.Name]])),Flowdown_BTE[[SyRS]:[SyRS]],"")))</f>
        <v>MASTER-20065</v>
      </c>
      <c r="J15" s="10" t="str" cm="1">
        <f t="array" ref="J15">_xlfn.TEXTJOIN(CHAR(10),TRUE,_xlfn._xlws.SORT(IF((--($B15=Flowdown_BTE[[URS]:[URS]]))*(--(J$14=Flowdown_BTE[[Source.Name]:[Source.Name]])),Flowdown_BTE[[SyRS]:[SyRS]],"")))</f>
        <v>MASTER-20065</v>
      </c>
      <c r="K15" s="10" t="str" cm="1">
        <f t="array" ref="K15">_xlfn.TEXTJOIN(CHAR(10),TRUE,_xlfn._xlws.SORT(IF((--($B15=Flowdown_BTE[[URS]:[URS]]))*(--(K$14=Flowdown_BTE[[Source.Name]:[Source.Name]])),Flowdown_BTE[[SyRS]:[SyRS]],"")))</f>
        <v/>
      </c>
      <c r="L15" s="16" t="b" cm="1">
        <f t="array" ref="L15">OR(LEN(C15:K15)&gt;0)</f>
        <v>1</v>
      </c>
    </row>
    <row r="16" spans="1:12" ht="40.5" x14ac:dyDescent="0.2">
      <c r="B16" s="11" t="str">
        <v>MASTER-35630</v>
      </c>
      <c r="C16" s="12" t="str" cm="1">
        <f t="array" ref="C16">_xlfn.TEXTJOIN(CHAR(10),TRUE,_xlfn._xlws.SORT(IF((--($B16=Flowdown_BTE[[URS]:[URS]]))*(--(C$14=Flowdown_BTE[[Source.Name]:[Source.Name]])),Flowdown_BTE[[SyRS]:[SyRS]],"")))</f>
        <v>MASTER-49260
MASTER-49262
MASTER-50794</v>
      </c>
      <c r="D16" s="12" t="str" cm="1">
        <f t="array" ref="D16">_xlfn.TEXTJOIN(CHAR(10),TRUE,_xlfn._xlws.SORT(IF((--($B16=Flowdown_BTE[[URS]:[URS]]))*(--(D$14=Flowdown_BTE[[Source.Name]:[Source.Name]])),Flowdown_BTE[[SyRS]:[SyRS]],"")))</f>
        <v>MASTER-49260
MASTER-49262
MASTER-50794</v>
      </c>
      <c r="E16" s="12" t="str" cm="1">
        <f t="array" ref="E16">_xlfn.TEXTJOIN(CHAR(10),TRUE,_xlfn._xlws.SORT(IF((--($B16=Flowdown_BTE[[URS]:[URS]]))*(--(E$14=Flowdown_BTE[[Source.Name]:[Source.Name]])),Flowdown_BTE[[SyRS]:[SyRS]],"")))</f>
        <v>MASTER-49260
MASTER-49262
MASTER-50794</v>
      </c>
      <c r="F16" s="12" t="str" cm="1">
        <f t="array" ref="F16">_xlfn.TEXTJOIN(CHAR(10),TRUE,_xlfn._xlws.SORT(IF((--($B16=Flowdown_BTE[[URS]:[URS]]))*(--(F$14=Flowdown_BTE[[Source.Name]:[Source.Name]])),Flowdown_BTE[[SyRS]:[SyRS]],"")))</f>
        <v>MASTER-49260
MASTER-49262
MASTER-50794</v>
      </c>
      <c r="G16" s="12" t="str" cm="1">
        <f t="array" ref="G16">_xlfn.TEXTJOIN(CHAR(10),TRUE,_xlfn._xlws.SORT(IF((--($B16=Flowdown_BTE[[URS]:[URS]]))*(--(G$14=Flowdown_BTE[[Source.Name]:[Source.Name]])),Flowdown_BTE[[SyRS]:[SyRS]],"")))</f>
        <v>MASTER-49260
MASTER-49262
MASTER-50794</v>
      </c>
      <c r="H16" s="12" t="str" cm="1">
        <f t="array" ref="H16">_xlfn.TEXTJOIN(CHAR(10),TRUE,_xlfn._xlws.SORT(IF((--($B16=Flowdown_BTE[[URS]:[URS]]))*(--(H$14=Flowdown_BTE[[Source.Name]:[Source.Name]])),Flowdown_BTE[[SyRS]:[SyRS]],"")))</f>
        <v/>
      </c>
      <c r="I16" s="12" t="str" cm="1">
        <f t="array" ref="I16">_xlfn.TEXTJOIN(CHAR(10),TRUE,_xlfn._xlws.SORT(IF((--($B16=Flowdown_BTE[[URS]:[URS]]))*(--(I$14=Flowdown_BTE[[Source.Name]:[Source.Name]])),Flowdown_BTE[[SyRS]:[SyRS]],"")))</f>
        <v>MASTER-42254</v>
      </c>
      <c r="J16" s="12" t="str" cm="1">
        <f t="array" ref="J16">_xlfn.TEXTJOIN(CHAR(10),TRUE,_xlfn._xlws.SORT(IF((--($B16=Flowdown_BTE[[URS]:[URS]]))*(--(J$14=Flowdown_BTE[[Source.Name]:[Source.Name]])),Flowdown_BTE[[SyRS]:[SyRS]],"")))</f>
        <v>MASTER-42254</v>
      </c>
      <c r="K16" s="12" t="str" cm="1">
        <f t="array" ref="K16">_xlfn.TEXTJOIN(CHAR(10),TRUE,_xlfn._xlws.SORT(IF((--($B16=Flowdown_BTE[[URS]:[URS]]))*(--(K$14=Flowdown_BTE[[Source.Name]:[Source.Name]])),Flowdown_BTE[[SyRS]:[SyRS]],"")))</f>
        <v/>
      </c>
      <c r="L16" s="16" t="b" cm="1">
        <f t="array" ref="L16">OR(LEN(C16:K16)&gt;0)</f>
        <v>1</v>
      </c>
    </row>
    <row r="17" spans="2:12" ht="202.5" x14ac:dyDescent="0.2">
      <c r="B17" s="11" t="str">
        <v>MASTER-35632</v>
      </c>
      <c r="C17" s="12" t="str" cm="1">
        <f t="array" ref="C17">_xlfn.TEXTJOIN(CHAR(10),TRUE,_xlfn._xlws.SORT(IF((--($B17=Flowdown_BTE[[URS]:[URS]]))*(--(C$14=Flowdown_BTE[[Source.Name]:[Source.Name]])),Flowdown_BTE[[SyRS]:[SyRS]],"")))</f>
        <v>MASTER-47583
MASTER-47585
MASTER-47589
MASTER-47590
MASTER-49276
MASTER-62898</v>
      </c>
      <c r="D17" s="12" t="str" cm="1">
        <f t="array" ref="D17">_xlfn.TEXTJOIN(CHAR(10),TRUE,_xlfn._xlws.SORT(IF((--($B17=Flowdown_BTE[[URS]:[URS]]))*(--(D$14=Flowdown_BTE[[Source.Name]:[Source.Name]])),Flowdown_BTE[[SyRS]:[SyRS]],"")))</f>
        <v>MASTER-47583
MASTER-47585
MASTER-47589
MASTER-47590
MASTER-49276
MASTER-62898</v>
      </c>
      <c r="E17" s="12" t="str" cm="1">
        <f t="array" ref="E17">_xlfn.TEXTJOIN(CHAR(10),TRUE,_xlfn._xlws.SORT(IF((--($B17=Flowdown_BTE[[URS]:[URS]]))*(--(E$14=Flowdown_BTE[[Source.Name]:[Source.Name]])),Flowdown_BTE[[SyRS]:[SyRS]],"")))</f>
        <v>MASTER-47579
MASTER-47583
MASTER-47585
MASTER-47589
MASTER-47590
MASTER-49276
MASTER-62898</v>
      </c>
      <c r="F17" s="12" t="str" cm="1">
        <f t="array" ref="F17">_xlfn.TEXTJOIN(CHAR(10),TRUE,_xlfn._xlws.SORT(IF((--($B17=Flowdown_BTE[[URS]:[URS]]))*(--(F$14=Flowdown_BTE[[Source.Name]:[Source.Name]])),Flowdown_BTE[[SyRS]:[SyRS]],"")))</f>
        <v>MASTER-47583
MASTER-47585
MASTER-47589
MASTER-47590
MASTER-49276
MASTER-62898</v>
      </c>
      <c r="G17" s="12" t="str" cm="1">
        <f t="array" ref="G17">_xlfn.TEXTJOIN(CHAR(10),TRUE,_xlfn._xlws.SORT(IF((--($B17=Flowdown_BTE[[URS]:[URS]]))*(--(G$14=Flowdown_BTE[[Source.Name]:[Source.Name]])),Flowdown_BTE[[SyRS]:[SyRS]],"")))</f>
        <v>MASTER-47579
MASTER-47583
MASTER-47585
MASTER-47589
MASTER-47590
MASTER-49276
MASTER-62898</v>
      </c>
      <c r="H17" s="12" t="str" cm="1">
        <f t="array" ref="H17">_xlfn.TEXTJOIN(CHAR(10),TRUE,_xlfn._xlws.SORT(IF((--($B17=Flowdown_BTE[[URS]:[URS]]))*(--(H$14=Flowdown_BTE[[Source.Name]:[Source.Name]])),Flowdown_BTE[[SyRS]:[SyRS]],"")))</f>
        <v/>
      </c>
      <c r="I17" s="12" t="str" cm="1">
        <f t="array" ref="I17">_xlfn.TEXTJOIN(CHAR(10),TRUE,_xlfn._xlws.SORT(IF((--($B17=Flowdown_BTE[[URS]:[URS]]))*(--(I$14=Flowdown_BTE[[Source.Name]:[Source.Name]])),Flowdown_BTE[[SyRS]:[SyRS]],"")))</f>
        <v/>
      </c>
      <c r="J17" s="12" t="str" cm="1">
        <f t="array" ref="J17">_xlfn.TEXTJOIN(CHAR(10),TRUE,_xlfn._xlws.SORT(IF((--($B17=Flowdown_BTE[[URS]:[URS]]))*(--(J$14=Flowdown_BTE[[Source.Name]:[Source.Name]])),Flowdown_BTE[[SyRS]:[SyRS]],"")))</f>
        <v/>
      </c>
      <c r="K17" s="12" t="str" cm="1">
        <f t="array" ref="K17">_xlfn.TEXTJOIN(CHAR(10),TRUE,_xlfn._xlws.SORT(IF((--($B17=Flowdown_BTE[[URS]:[URS]]))*(--(K$14=Flowdown_BTE[[Source.Name]:[Source.Name]])),Flowdown_BTE[[SyRS]:[SyRS]],"")))</f>
        <v>MASTER-47592
MASTER-47593
MASTER-47596
MASTER-47598
MASTER-47600
MASTER-47602
MASTER-47607
MASTER-47608
MASTER-50195
MASTER-50197
UTICA-24855
UTICA-6403
UTICA-6415
UTICA-6418
UTICA-6419</v>
      </c>
      <c r="L17" s="16" t="b" cm="1">
        <f t="array" ref="L17">OR(LEN(C17:K17)&gt;0)</f>
        <v>1</v>
      </c>
    </row>
    <row r="18" spans="2:12" ht="54" x14ac:dyDescent="0.2">
      <c r="B18" s="11" t="str">
        <v>MASTER-35634</v>
      </c>
      <c r="C18" s="12" t="str" cm="1">
        <f t="array" ref="C18">_xlfn.TEXTJOIN(CHAR(10),TRUE,_xlfn._xlws.SORT(IF((--($B18=Flowdown_BTE[[URS]:[URS]]))*(--(C$14=Flowdown_BTE[[Source.Name]:[Source.Name]])),Flowdown_BTE[[SyRS]:[SyRS]],"")))</f>
        <v>MASTER-42144</v>
      </c>
      <c r="D18" s="12" t="str" cm="1">
        <f t="array" ref="D18">_xlfn.TEXTJOIN(CHAR(10),TRUE,_xlfn._xlws.SORT(IF((--($B18=Flowdown_BTE[[URS]:[URS]]))*(--(D$14=Flowdown_BTE[[Source.Name]:[Source.Name]])),Flowdown_BTE[[SyRS]:[SyRS]],"")))</f>
        <v>MASTER-42144</v>
      </c>
      <c r="E18" s="12" t="str" cm="1">
        <f t="array" ref="E18">_xlfn.TEXTJOIN(CHAR(10),TRUE,_xlfn._xlws.SORT(IF((--($B18=Flowdown_BTE[[URS]:[URS]]))*(--(E$14=Flowdown_BTE[[Source.Name]:[Source.Name]])),Flowdown_BTE[[SyRS]:[SyRS]],"")))</f>
        <v>MASTER-42144</v>
      </c>
      <c r="F18" s="12" t="str" cm="1">
        <f t="array" ref="F18">_xlfn.TEXTJOIN(CHAR(10),TRUE,_xlfn._xlws.SORT(IF((--($B18=Flowdown_BTE[[URS]:[URS]]))*(--(F$14=Flowdown_BTE[[Source.Name]:[Source.Name]])),Flowdown_BTE[[SyRS]:[SyRS]],"")))</f>
        <v>MASTER-42144</v>
      </c>
      <c r="G18" s="12" t="str" cm="1">
        <f t="array" ref="G18">_xlfn.TEXTJOIN(CHAR(10),TRUE,_xlfn._xlws.SORT(IF((--($B18=Flowdown_BTE[[URS]:[URS]]))*(--(G$14=Flowdown_BTE[[Source.Name]:[Source.Name]])),Flowdown_BTE[[SyRS]:[SyRS]],"")))</f>
        <v>MASTER-42144</v>
      </c>
      <c r="H18" s="12" t="str" cm="1">
        <f t="array" ref="H18">_xlfn.TEXTJOIN(CHAR(10),TRUE,_xlfn._xlws.SORT(IF((--($B18=Flowdown_BTE[[URS]:[URS]]))*(--(H$14=Flowdown_BTE[[Source.Name]:[Source.Name]])),Flowdown_BTE[[SyRS]:[SyRS]],"")))</f>
        <v/>
      </c>
      <c r="I18" s="12" t="str" cm="1">
        <f t="array" ref="I18">_xlfn.TEXTJOIN(CHAR(10),TRUE,_xlfn._xlws.SORT(IF((--($B18=Flowdown_BTE[[URS]:[URS]]))*(--(I$14=Flowdown_BTE[[Source.Name]:[Source.Name]])),Flowdown_BTE[[SyRS]:[SyRS]],"")))</f>
        <v/>
      </c>
      <c r="J18" s="12" t="str" cm="1">
        <f t="array" ref="J18">_xlfn.TEXTJOIN(CHAR(10),TRUE,_xlfn._xlws.SORT(IF((--($B18=Flowdown_BTE[[URS]:[URS]]))*(--(J$14=Flowdown_BTE[[Source.Name]:[Source.Name]])),Flowdown_BTE[[SyRS]:[SyRS]],"")))</f>
        <v/>
      </c>
      <c r="K18" s="12" t="str" cm="1">
        <f t="array" ref="K18">_xlfn.TEXTJOIN(CHAR(10),TRUE,_xlfn._xlws.SORT(IF((--($B18=Flowdown_BTE[[URS]:[URS]]))*(--(K$14=Flowdown_BTE[[Source.Name]:[Source.Name]])),Flowdown_BTE[[SyRS]:[SyRS]],"")))</f>
        <v>MASTER-41958
MASTER-41959
MASTER-41960
UTICA-24742</v>
      </c>
      <c r="L18" s="16" t="b" cm="1">
        <f t="array" ref="L18">OR(LEN(C18:K18)&gt;0)</f>
        <v>1</v>
      </c>
    </row>
    <row r="19" spans="2:12" ht="13.5" x14ac:dyDescent="0.2">
      <c r="B19" s="11" t="str">
        <v>MASTER-35638</v>
      </c>
      <c r="C19" s="12" t="str" cm="1">
        <f t="array" ref="C19">_xlfn.TEXTJOIN(CHAR(10),TRUE,_xlfn._xlws.SORT(IF((--($B19=Flowdown_BTE[[URS]:[URS]]))*(--(C$14=Flowdown_BTE[[Source.Name]:[Source.Name]])),Flowdown_BTE[[SyRS]:[SyRS]],"")))</f>
        <v>MASTER-18076</v>
      </c>
      <c r="D19" s="12" t="str" cm="1">
        <f t="array" ref="D19">_xlfn.TEXTJOIN(CHAR(10),TRUE,_xlfn._xlws.SORT(IF((--($B19=Flowdown_BTE[[URS]:[URS]]))*(--(D$14=Flowdown_BTE[[Source.Name]:[Source.Name]])),Flowdown_BTE[[SyRS]:[SyRS]],"")))</f>
        <v>MASTER-18076</v>
      </c>
      <c r="E19" s="12" t="str" cm="1">
        <f t="array" ref="E19">_xlfn.TEXTJOIN(CHAR(10),TRUE,_xlfn._xlws.SORT(IF((--($B19=Flowdown_BTE[[URS]:[URS]]))*(--(E$14=Flowdown_BTE[[Source.Name]:[Source.Name]])),Flowdown_BTE[[SyRS]:[SyRS]],"")))</f>
        <v>MASTER-18076</v>
      </c>
      <c r="F19" s="12" t="str" cm="1">
        <f t="array" ref="F19">_xlfn.TEXTJOIN(CHAR(10),TRUE,_xlfn._xlws.SORT(IF((--($B19=Flowdown_BTE[[URS]:[URS]]))*(--(F$14=Flowdown_BTE[[Source.Name]:[Source.Name]])),Flowdown_BTE[[SyRS]:[SyRS]],"")))</f>
        <v>MASTER-18076</v>
      </c>
      <c r="G19" s="12" t="str" cm="1">
        <f t="array" ref="G19">_xlfn.TEXTJOIN(CHAR(10),TRUE,_xlfn._xlws.SORT(IF((--($B19=Flowdown_BTE[[URS]:[URS]]))*(--(G$14=Flowdown_BTE[[Source.Name]:[Source.Name]])),Flowdown_BTE[[SyRS]:[SyRS]],"")))</f>
        <v>MASTER-18076</v>
      </c>
      <c r="H19" s="12" t="str" cm="1">
        <f t="array" ref="H19">_xlfn.TEXTJOIN(CHAR(10),TRUE,_xlfn._xlws.SORT(IF((--($B19=Flowdown_BTE[[URS]:[URS]]))*(--(H$14=Flowdown_BTE[[Source.Name]:[Source.Name]])),Flowdown_BTE[[SyRS]:[SyRS]],"")))</f>
        <v/>
      </c>
      <c r="I19" s="12" t="str" cm="1">
        <f t="array" ref="I19">_xlfn.TEXTJOIN(CHAR(10),TRUE,_xlfn._xlws.SORT(IF((--($B19=Flowdown_BTE[[URS]:[URS]]))*(--(I$14=Flowdown_BTE[[Source.Name]:[Source.Name]])),Flowdown_BTE[[SyRS]:[SyRS]],"")))</f>
        <v/>
      </c>
      <c r="J19" s="12" t="str" cm="1">
        <f t="array" ref="J19">_xlfn.TEXTJOIN(CHAR(10),TRUE,_xlfn._xlws.SORT(IF((--($B19=Flowdown_BTE[[URS]:[URS]]))*(--(J$14=Flowdown_BTE[[Source.Name]:[Source.Name]])),Flowdown_BTE[[SyRS]:[SyRS]],"")))</f>
        <v/>
      </c>
      <c r="K19" s="12" t="str" cm="1">
        <f t="array" ref="K19">_xlfn.TEXTJOIN(CHAR(10),TRUE,_xlfn._xlws.SORT(IF((--($B19=Flowdown_BTE[[URS]:[URS]]))*(--(K$14=Flowdown_BTE[[Source.Name]:[Source.Name]])),Flowdown_BTE[[SyRS]:[SyRS]],"")))</f>
        <v/>
      </c>
      <c r="L19" s="16" t="b" cm="1">
        <f t="array" ref="L19">OR(LEN(C19:K19)&gt;0)</f>
        <v>1</v>
      </c>
    </row>
    <row r="20" spans="2:12" ht="162" x14ac:dyDescent="0.2">
      <c r="B20" s="11" t="str">
        <v>MASTER-35639</v>
      </c>
      <c r="C20" s="12" t="str" cm="1">
        <f t="array" ref="C20">_xlfn.TEXTJOIN(CHAR(10),TRUE,_xlfn._xlws.SORT(IF((--($B20=Flowdown_BTE[[URS]:[URS]]))*(--(C$14=Flowdown_BTE[[Source.Name]:[Source.Name]])),Flowdown_BTE[[SyRS]:[SyRS]],"")))</f>
        <v/>
      </c>
      <c r="D20" s="12" t="str" cm="1">
        <f t="array" ref="D20">_xlfn.TEXTJOIN(CHAR(10),TRUE,_xlfn._xlws.SORT(IF((--($B20=Flowdown_BTE[[URS]:[URS]]))*(--(D$14=Flowdown_BTE[[Source.Name]:[Source.Name]])),Flowdown_BTE[[SyRS]:[SyRS]],"")))</f>
        <v/>
      </c>
      <c r="E20" s="12" t="str" cm="1">
        <f t="array" ref="E20">_xlfn.TEXTJOIN(CHAR(10),TRUE,_xlfn._xlws.SORT(IF((--($B20=Flowdown_BTE[[URS]:[URS]]))*(--(E$14=Flowdown_BTE[[Source.Name]:[Source.Name]])),Flowdown_BTE[[SyRS]:[SyRS]],"")))</f>
        <v/>
      </c>
      <c r="F20" s="12" t="str" cm="1">
        <f t="array" ref="F20">_xlfn.TEXTJOIN(CHAR(10),TRUE,_xlfn._xlws.SORT(IF((--($B20=Flowdown_BTE[[URS]:[URS]]))*(--(F$14=Flowdown_BTE[[Source.Name]:[Source.Name]])),Flowdown_BTE[[SyRS]:[SyRS]],"")))</f>
        <v/>
      </c>
      <c r="G20" s="12" t="str" cm="1">
        <f t="array" ref="G20">_xlfn.TEXTJOIN(CHAR(10),TRUE,_xlfn._xlws.SORT(IF((--($B20=Flowdown_BTE[[URS]:[URS]]))*(--(G$14=Flowdown_BTE[[Source.Name]:[Source.Name]])),Flowdown_BTE[[SyRS]:[SyRS]],"")))</f>
        <v/>
      </c>
      <c r="H20" s="12" t="str" cm="1">
        <f t="array" ref="H20">_xlfn.TEXTJOIN(CHAR(10),TRUE,_xlfn._xlws.SORT(IF((--($B20=Flowdown_BTE[[URS]:[URS]]))*(--(H$14=Flowdown_BTE[[Source.Name]:[Source.Name]])),Flowdown_BTE[[SyRS]:[SyRS]],"")))</f>
        <v/>
      </c>
      <c r="I20" s="12" t="str" cm="1">
        <f t="array" ref="I20">_xlfn.TEXTJOIN(CHAR(10),TRUE,_xlfn._xlws.SORT(IF((--($B20=Flowdown_BTE[[URS]:[URS]]))*(--(I$14=Flowdown_BTE[[Source.Name]:[Source.Name]])),Flowdown_BTE[[SyRS]:[SyRS]],"")))</f>
        <v/>
      </c>
      <c r="J20" s="12" t="str" cm="1">
        <f t="array" ref="J20">_xlfn.TEXTJOIN(CHAR(10),TRUE,_xlfn._xlws.SORT(IF((--($B20=Flowdown_BTE[[URS]:[URS]]))*(--(J$14=Flowdown_BTE[[Source.Name]:[Source.Name]])),Flowdown_BTE[[SyRS]:[SyRS]],"")))</f>
        <v/>
      </c>
      <c r="K20" s="12" t="str" cm="1">
        <f t="array" ref="K20">_xlfn.TEXTJOIN(CHAR(10),TRUE,_xlfn._xlws.SORT(IF((--($B20=Flowdown_BTE[[URS]:[URS]]))*(--(K$14=Flowdown_BTE[[Source.Name]:[Source.Name]])),Flowdown_BTE[[SyRS]:[SyRS]],"")))</f>
        <v>MASTER-16675
MASTER-16676
MASTER-16680
MASTER-16681
MASTER-16682
MASTER-16690
MASTER-16691
MASTER-16692
MASTER-16700
MASTER-16701
MASTER-16702
MASTER-50181</v>
      </c>
      <c r="L20" s="16" t="b" cm="1">
        <f t="array" ref="L20">OR(LEN(C20:K20)&gt;0)</f>
        <v>1</v>
      </c>
    </row>
    <row r="21" spans="2:12" ht="81" x14ac:dyDescent="0.2">
      <c r="B21" s="11" t="str">
        <v>MASTER-35642</v>
      </c>
      <c r="C21" s="12" t="str" cm="1">
        <f t="array" ref="C21">_xlfn.TEXTJOIN(CHAR(10),TRUE,_xlfn._xlws.SORT(IF((--($B21=Flowdown_BTE[[URS]:[URS]]))*(--(C$14=Flowdown_BTE[[Source.Name]:[Source.Name]])),Flowdown_BTE[[SyRS]:[SyRS]],"")))</f>
        <v>MASTER-19252
MASTER-19253
MASTER-19278
MASTER-42159
MASTER-42168
MASTER-42169</v>
      </c>
      <c r="D21" s="12" t="str" cm="1">
        <f t="array" ref="D21">_xlfn.TEXTJOIN(CHAR(10),TRUE,_xlfn._xlws.SORT(IF((--($B21=Flowdown_BTE[[URS]:[URS]]))*(--(D$14=Flowdown_BTE[[Source.Name]:[Source.Name]])),Flowdown_BTE[[SyRS]:[SyRS]],"")))</f>
        <v>MASTER-19252
MASTER-19253
MASTER-19278
MASTER-42159
MASTER-42168
MASTER-42169</v>
      </c>
      <c r="E21" s="12" t="str" cm="1">
        <f t="array" ref="E21">_xlfn.TEXTJOIN(CHAR(10),TRUE,_xlfn._xlws.SORT(IF((--($B21=Flowdown_BTE[[URS]:[URS]]))*(--(E$14=Flowdown_BTE[[Source.Name]:[Source.Name]])),Flowdown_BTE[[SyRS]:[SyRS]],"")))</f>
        <v>MASTER-19252
MASTER-19253
MASTER-19278
MASTER-42159
MASTER-42168
MASTER-42169</v>
      </c>
      <c r="F21" s="12" t="str" cm="1">
        <f t="array" ref="F21">_xlfn.TEXTJOIN(CHAR(10),TRUE,_xlfn._xlws.SORT(IF((--($B21=Flowdown_BTE[[URS]:[URS]]))*(--(F$14=Flowdown_BTE[[Source.Name]:[Source.Name]])),Flowdown_BTE[[SyRS]:[SyRS]],"")))</f>
        <v>MASTER-19252
MASTER-19253
MASTER-19278
MASTER-42159
MASTER-42168
MASTER-42169</v>
      </c>
      <c r="G21" s="12" t="str" cm="1">
        <f t="array" ref="G21">_xlfn.TEXTJOIN(CHAR(10),TRUE,_xlfn._xlws.SORT(IF((--($B21=Flowdown_BTE[[URS]:[URS]]))*(--(G$14=Flowdown_BTE[[Source.Name]:[Source.Name]])),Flowdown_BTE[[SyRS]:[SyRS]],"")))</f>
        <v>MASTER-19252
MASTER-19253
MASTER-19278
MASTER-42159
MASTER-42168
MASTER-42169</v>
      </c>
      <c r="H21" s="12" t="str" cm="1">
        <f t="array" ref="H21">_xlfn.TEXTJOIN(CHAR(10),TRUE,_xlfn._xlws.SORT(IF((--($B21=Flowdown_BTE[[URS]:[URS]]))*(--(H$14=Flowdown_BTE[[Source.Name]:[Source.Name]])),Flowdown_BTE[[SyRS]:[SyRS]],"")))</f>
        <v/>
      </c>
      <c r="I21" s="12" t="str" cm="1">
        <f t="array" ref="I21">_xlfn.TEXTJOIN(CHAR(10),TRUE,_xlfn._xlws.SORT(IF((--($B21=Flowdown_BTE[[URS]:[URS]]))*(--(I$14=Flowdown_BTE[[Source.Name]:[Source.Name]])),Flowdown_BTE[[SyRS]:[SyRS]],"")))</f>
        <v>MASTER-48455
UTICA-205</v>
      </c>
      <c r="J21" s="12" t="str" cm="1">
        <f t="array" ref="J21">_xlfn.TEXTJOIN(CHAR(10),TRUE,_xlfn._xlws.SORT(IF((--($B21=Flowdown_BTE[[URS]:[URS]]))*(--(J$14=Flowdown_BTE[[Source.Name]:[Source.Name]])),Flowdown_BTE[[SyRS]:[SyRS]],"")))</f>
        <v>MASTER-48455</v>
      </c>
      <c r="K21" s="12" t="str" cm="1">
        <f t="array" ref="K21">_xlfn.TEXTJOIN(CHAR(10),TRUE,_xlfn._xlws.SORT(IF((--($B21=Flowdown_BTE[[URS]:[URS]]))*(--(K$14=Flowdown_BTE[[Source.Name]:[Source.Name]])),Flowdown_BTE[[SyRS]:[SyRS]],"")))</f>
        <v>MASTER-41950</v>
      </c>
      <c r="L21" s="16" t="b" cm="1">
        <f t="array" ref="L21">OR(LEN(C21:K21)&gt;0)</f>
        <v>1</v>
      </c>
    </row>
    <row r="22" spans="2:12" ht="40.5" x14ac:dyDescent="0.2">
      <c r="B22" s="11" t="str">
        <v>MASTER-35643</v>
      </c>
      <c r="C22" s="12" t="str" cm="1">
        <f t="array" ref="C22">_xlfn.TEXTJOIN(CHAR(10),TRUE,_xlfn._xlws.SORT(IF((--($B22=Flowdown_BTE[[URS]:[URS]]))*(--(C$14=Flowdown_BTE[[Source.Name]:[Source.Name]])),Flowdown_BTE[[SyRS]:[SyRS]],"")))</f>
        <v>MASTER-19252
MASTER-19254
MASTER-50080</v>
      </c>
      <c r="D22" s="12" t="str" cm="1">
        <f t="array" ref="D22">_xlfn.TEXTJOIN(CHAR(10),TRUE,_xlfn._xlws.SORT(IF((--($B22=Flowdown_BTE[[URS]:[URS]]))*(--(D$14=Flowdown_BTE[[Source.Name]:[Source.Name]])),Flowdown_BTE[[SyRS]:[SyRS]],"")))</f>
        <v>MASTER-19252
MASTER-19254
MASTER-50080</v>
      </c>
      <c r="E22" s="12" t="str" cm="1">
        <f t="array" ref="E22">_xlfn.TEXTJOIN(CHAR(10),TRUE,_xlfn._xlws.SORT(IF((--($B22=Flowdown_BTE[[URS]:[URS]]))*(--(E$14=Flowdown_BTE[[Source.Name]:[Source.Name]])),Flowdown_BTE[[SyRS]:[SyRS]],"")))</f>
        <v>MASTER-19252
MASTER-19254
MASTER-50080</v>
      </c>
      <c r="F22" s="12" t="str" cm="1">
        <f t="array" ref="F22">_xlfn.TEXTJOIN(CHAR(10),TRUE,_xlfn._xlws.SORT(IF((--($B22=Flowdown_BTE[[URS]:[URS]]))*(--(F$14=Flowdown_BTE[[Source.Name]:[Source.Name]])),Flowdown_BTE[[SyRS]:[SyRS]],"")))</f>
        <v>MASTER-19252
MASTER-19254
MASTER-50080</v>
      </c>
      <c r="G22" s="12" t="str" cm="1">
        <f t="array" ref="G22">_xlfn.TEXTJOIN(CHAR(10),TRUE,_xlfn._xlws.SORT(IF((--($B22=Flowdown_BTE[[URS]:[URS]]))*(--(G$14=Flowdown_BTE[[Source.Name]:[Source.Name]])),Flowdown_BTE[[SyRS]:[SyRS]],"")))</f>
        <v>MASTER-19252
MASTER-19254
MASTER-50080</v>
      </c>
      <c r="H22" s="12" t="str" cm="1">
        <f t="array" ref="H22">_xlfn.TEXTJOIN(CHAR(10),TRUE,_xlfn._xlws.SORT(IF((--($B22=Flowdown_BTE[[URS]:[URS]]))*(--(H$14=Flowdown_BTE[[Source.Name]:[Source.Name]])),Flowdown_BTE[[SyRS]:[SyRS]],"")))</f>
        <v/>
      </c>
      <c r="I22" s="12" t="str" cm="1">
        <f t="array" ref="I22">_xlfn.TEXTJOIN(CHAR(10),TRUE,_xlfn._xlws.SORT(IF((--($B22=Flowdown_BTE[[URS]:[URS]]))*(--(I$14=Flowdown_BTE[[Source.Name]:[Source.Name]])),Flowdown_BTE[[SyRS]:[SyRS]],"")))</f>
        <v/>
      </c>
      <c r="J22" s="12" t="str" cm="1">
        <f t="array" ref="J22">_xlfn.TEXTJOIN(CHAR(10),TRUE,_xlfn._xlws.SORT(IF((--($B22=Flowdown_BTE[[URS]:[URS]]))*(--(J$14=Flowdown_BTE[[Source.Name]:[Source.Name]])),Flowdown_BTE[[SyRS]:[SyRS]],"")))</f>
        <v/>
      </c>
      <c r="K22" s="12" t="str" cm="1">
        <f t="array" ref="K22">_xlfn.TEXTJOIN(CHAR(10),TRUE,_xlfn._xlws.SORT(IF((--($B22=Flowdown_BTE[[URS]:[URS]]))*(--(K$14=Flowdown_BTE[[Source.Name]:[Source.Name]])),Flowdown_BTE[[SyRS]:[SyRS]],"")))</f>
        <v/>
      </c>
      <c r="L22" s="16" t="b" cm="1">
        <f t="array" ref="L22">OR(LEN(C22:K22)&gt;0)</f>
        <v>1</v>
      </c>
    </row>
    <row r="23" spans="2:12" ht="27" x14ac:dyDescent="0.2">
      <c r="B23" s="11" t="str">
        <v>MASTER-35645</v>
      </c>
      <c r="C23" s="12" t="str" cm="1">
        <f t="array" ref="C23">_xlfn.TEXTJOIN(CHAR(10),TRUE,_xlfn._xlws.SORT(IF((--($B23=Flowdown_BTE[[URS]:[URS]]))*(--(C$14=Flowdown_BTE[[Source.Name]:[Source.Name]])),Flowdown_BTE[[SyRS]:[SyRS]],"")))</f>
        <v>MASTER-19252
MASTER-42168</v>
      </c>
      <c r="D23" s="12" t="str" cm="1">
        <f t="array" ref="D23">_xlfn.TEXTJOIN(CHAR(10),TRUE,_xlfn._xlws.SORT(IF((--($B23=Flowdown_BTE[[URS]:[URS]]))*(--(D$14=Flowdown_BTE[[Source.Name]:[Source.Name]])),Flowdown_BTE[[SyRS]:[SyRS]],"")))</f>
        <v>MASTER-19252
MASTER-42168</v>
      </c>
      <c r="E23" s="12" t="str" cm="1">
        <f t="array" ref="E23">_xlfn.TEXTJOIN(CHAR(10),TRUE,_xlfn._xlws.SORT(IF((--($B23=Flowdown_BTE[[URS]:[URS]]))*(--(E$14=Flowdown_BTE[[Source.Name]:[Source.Name]])),Flowdown_BTE[[SyRS]:[SyRS]],"")))</f>
        <v>MASTER-19252
MASTER-42168</v>
      </c>
      <c r="F23" s="12" t="str" cm="1">
        <f t="array" ref="F23">_xlfn.TEXTJOIN(CHAR(10),TRUE,_xlfn._xlws.SORT(IF((--($B23=Flowdown_BTE[[URS]:[URS]]))*(--(F$14=Flowdown_BTE[[Source.Name]:[Source.Name]])),Flowdown_BTE[[SyRS]:[SyRS]],"")))</f>
        <v>MASTER-19252
MASTER-42168</v>
      </c>
      <c r="G23" s="12" t="str" cm="1">
        <f t="array" ref="G23">_xlfn.TEXTJOIN(CHAR(10),TRUE,_xlfn._xlws.SORT(IF((--($B23=Flowdown_BTE[[URS]:[URS]]))*(--(G$14=Flowdown_BTE[[Source.Name]:[Source.Name]])),Flowdown_BTE[[SyRS]:[SyRS]],"")))</f>
        <v>MASTER-19252
MASTER-42168</v>
      </c>
      <c r="H23" s="12" t="str" cm="1">
        <f t="array" ref="H23">_xlfn.TEXTJOIN(CHAR(10),TRUE,_xlfn._xlws.SORT(IF((--($B23=Flowdown_BTE[[URS]:[URS]]))*(--(H$14=Flowdown_BTE[[Source.Name]:[Source.Name]])),Flowdown_BTE[[SyRS]:[SyRS]],"")))</f>
        <v/>
      </c>
      <c r="I23" s="12" t="str" cm="1">
        <f t="array" ref="I23">_xlfn.TEXTJOIN(CHAR(10),TRUE,_xlfn._xlws.SORT(IF((--($B23=Flowdown_BTE[[URS]:[URS]]))*(--(I$14=Flowdown_BTE[[Source.Name]:[Source.Name]])),Flowdown_BTE[[SyRS]:[SyRS]],"")))</f>
        <v/>
      </c>
      <c r="J23" s="12" t="str" cm="1">
        <f t="array" ref="J23">_xlfn.TEXTJOIN(CHAR(10),TRUE,_xlfn._xlws.SORT(IF((--($B23=Flowdown_BTE[[URS]:[URS]]))*(--(J$14=Flowdown_BTE[[Source.Name]:[Source.Name]])),Flowdown_BTE[[SyRS]:[SyRS]],"")))</f>
        <v/>
      </c>
      <c r="K23" s="12" t="str" cm="1">
        <f t="array" ref="K23">_xlfn.TEXTJOIN(CHAR(10),TRUE,_xlfn._xlws.SORT(IF((--($B23=Flowdown_BTE[[URS]:[URS]]))*(--(K$14=Flowdown_BTE[[Source.Name]:[Source.Name]])),Flowdown_BTE[[SyRS]:[SyRS]],"")))</f>
        <v/>
      </c>
      <c r="L23" s="16" t="b" cm="1">
        <f t="array" ref="L23">OR(LEN(C23:K23)&gt;0)</f>
        <v>1</v>
      </c>
    </row>
    <row r="24" spans="2:12" ht="121.5" x14ac:dyDescent="0.2">
      <c r="B24" s="11" t="str">
        <v>MASTER-35646</v>
      </c>
      <c r="C24" s="12" t="str" cm="1">
        <f t="array" ref="C24">_xlfn.TEXTJOIN(CHAR(10),TRUE,_xlfn._xlws.SORT(IF((--($B24=Flowdown_BTE[[URS]:[URS]]))*(--(C$14=Flowdown_BTE[[Source.Name]:[Source.Name]])),Flowdown_BTE[[SyRS]:[SyRS]],"")))</f>
        <v>MASTER-42159</v>
      </c>
      <c r="D24" s="12" t="str" cm="1">
        <f t="array" ref="D24">_xlfn.TEXTJOIN(CHAR(10),TRUE,_xlfn._xlws.SORT(IF((--($B24=Flowdown_BTE[[URS]:[URS]]))*(--(D$14=Flowdown_BTE[[Source.Name]:[Source.Name]])),Flowdown_BTE[[SyRS]:[SyRS]],"")))</f>
        <v>MASTER-42159</v>
      </c>
      <c r="E24" s="12" t="str" cm="1">
        <f t="array" ref="E24">_xlfn.TEXTJOIN(CHAR(10),TRUE,_xlfn._xlws.SORT(IF((--($B24=Flowdown_BTE[[URS]:[URS]]))*(--(E$14=Flowdown_BTE[[Source.Name]:[Source.Name]])),Flowdown_BTE[[SyRS]:[SyRS]],"")))</f>
        <v>MASTER-42159</v>
      </c>
      <c r="F24" s="12" t="str" cm="1">
        <f t="array" ref="F24">_xlfn.TEXTJOIN(CHAR(10),TRUE,_xlfn._xlws.SORT(IF((--($B24=Flowdown_BTE[[URS]:[URS]]))*(--(F$14=Flowdown_BTE[[Source.Name]:[Source.Name]])),Flowdown_BTE[[SyRS]:[SyRS]],"")))</f>
        <v>MASTER-42159</v>
      </c>
      <c r="G24" s="12" t="str" cm="1">
        <f t="array" ref="G24">_xlfn.TEXTJOIN(CHAR(10),TRUE,_xlfn._xlws.SORT(IF((--($B24=Flowdown_BTE[[URS]:[URS]]))*(--(G$14=Flowdown_BTE[[Source.Name]:[Source.Name]])),Flowdown_BTE[[SyRS]:[SyRS]],"")))</f>
        <v>MASTER-42159</v>
      </c>
      <c r="H24" s="12" t="str" cm="1">
        <f t="array" ref="H24">_xlfn.TEXTJOIN(CHAR(10),TRUE,_xlfn._xlws.SORT(IF((--($B24=Flowdown_BTE[[URS]:[URS]]))*(--(H$14=Flowdown_BTE[[Source.Name]:[Source.Name]])),Flowdown_BTE[[SyRS]:[SyRS]],"")))</f>
        <v/>
      </c>
      <c r="I24" s="12" t="str" cm="1">
        <f t="array" ref="I24">_xlfn.TEXTJOIN(CHAR(10),TRUE,_xlfn._xlws.SORT(IF((--($B24=Flowdown_BTE[[URS]:[URS]]))*(--(I$14=Flowdown_BTE[[Source.Name]:[Source.Name]])),Flowdown_BTE[[SyRS]:[SyRS]],"")))</f>
        <v/>
      </c>
      <c r="J24" s="12" t="str" cm="1">
        <f t="array" ref="J24">_xlfn.TEXTJOIN(CHAR(10),TRUE,_xlfn._xlws.SORT(IF((--($B24=Flowdown_BTE[[URS]:[URS]]))*(--(J$14=Flowdown_BTE[[Source.Name]:[Source.Name]])),Flowdown_BTE[[SyRS]:[SyRS]],"")))</f>
        <v/>
      </c>
      <c r="K24" s="12" t="str" cm="1">
        <f t="array" ref="K24">_xlfn.TEXTJOIN(CHAR(10),TRUE,_xlfn._xlws.SORT(IF((--($B24=Flowdown_BTE[[URS]:[URS]]))*(--(K$14=Flowdown_BTE[[Source.Name]:[Source.Name]])),Flowdown_BTE[[SyRS]:[SyRS]],"")))</f>
        <v>MASTER-16474
MASTER-16723
MASTER-16724
MASTER-16726
MASTER-16728
MASTER-16735
MASTER-16736
MASTER-64606
UTICA-6398</v>
      </c>
      <c r="L24" s="16" t="b" cm="1">
        <f t="array" ref="L24">OR(LEN(C24:K24)&gt;0)</f>
        <v>1</v>
      </c>
    </row>
    <row r="25" spans="2:12" ht="27" x14ac:dyDescent="0.2">
      <c r="B25" s="11" t="str">
        <v>MASTER-35649</v>
      </c>
      <c r="C25" s="12" t="str" cm="1">
        <f t="array" ref="C25">_xlfn.TEXTJOIN(CHAR(10),TRUE,_xlfn._xlws.SORT(IF((--($B25=Flowdown_BTE[[URS]:[URS]]))*(--(C$14=Flowdown_BTE[[Source.Name]:[Source.Name]])),Flowdown_BTE[[SyRS]:[SyRS]],"")))</f>
        <v/>
      </c>
      <c r="D25" s="12" t="str" cm="1">
        <f t="array" ref="D25">_xlfn.TEXTJOIN(CHAR(10),TRUE,_xlfn._xlws.SORT(IF((--($B25=Flowdown_BTE[[URS]:[URS]]))*(--(D$14=Flowdown_BTE[[Source.Name]:[Source.Name]])),Flowdown_BTE[[SyRS]:[SyRS]],"")))</f>
        <v/>
      </c>
      <c r="E25" s="12" t="str" cm="1">
        <f t="array" ref="E25">_xlfn.TEXTJOIN(CHAR(10),TRUE,_xlfn._xlws.SORT(IF((--($B25=Flowdown_BTE[[URS]:[URS]]))*(--(E$14=Flowdown_BTE[[Source.Name]:[Source.Name]])),Flowdown_BTE[[SyRS]:[SyRS]],"")))</f>
        <v/>
      </c>
      <c r="F25" s="12" t="str" cm="1">
        <f t="array" ref="F25">_xlfn.TEXTJOIN(CHAR(10),TRUE,_xlfn._xlws.SORT(IF((--($B25=Flowdown_BTE[[URS]:[URS]]))*(--(F$14=Flowdown_BTE[[Source.Name]:[Source.Name]])),Flowdown_BTE[[SyRS]:[SyRS]],"")))</f>
        <v/>
      </c>
      <c r="G25" s="12" t="str" cm="1">
        <f t="array" ref="G25">_xlfn.TEXTJOIN(CHAR(10),TRUE,_xlfn._xlws.SORT(IF((--($B25=Flowdown_BTE[[URS]:[URS]]))*(--(G$14=Flowdown_BTE[[Source.Name]:[Source.Name]])),Flowdown_BTE[[SyRS]:[SyRS]],"")))</f>
        <v/>
      </c>
      <c r="H25" s="12" t="str" cm="1">
        <f t="array" ref="H25">_xlfn.TEXTJOIN(CHAR(10),TRUE,_xlfn._xlws.SORT(IF((--($B25=Flowdown_BTE[[URS]:[URS]]))*(--(H$14=Flowdown_BTE[[Source.Name]:[Source.Name]])),Flowdown_BTE[[SyRS]:[SyRS]],"")))</f>
        <v/>
      </c>
      <c r="I25" s="12" t="str" cm="1">
        <f t="array" ref="I25">_xlfn.TEXTJOIN(CHAR(10),TRUE,_xlfn._xlws.SORT(IF((--($B25=Flowdown_BTE[[URS]:[URS]]))*(--(I$14=Flowdown_BTE[[Source.Name]:[Source.Name]])),Flowdown_BTE[[SyRS]:[SyRS]],"")))</f>
        <v/>
      </c>
      <c r="J25" s="12" t="str" cm="1">
        <f t="array" ref="J25">_xlfn.TEXTJOIN(CHAR(10),TRUE,_xlfn._xlws.SORT(IF((--($B25=Flowdown_BTE[[URS]:[URS]]))*(--(J$14=Flowdown_BTE[[Source.Name]:[Source.Name]])),Flowdown_BTE[[SyRS]:[SyRS]],"")))</f>
        <v>MASTER-20034
MASTER-20035</v>
      </c>
      <c r="K25" s="12" t="str" cm="1">
        <f t="array" ref="K25">_xlfn.TEXTJOIN(CHAR(10),TRUE,_xlfn._xlws.SORT(IF((--($B25=Flowdown_BTE[[URS]:[URS]]))*(--(K$14=Flowdown_BTE[[Source.Name]:[Source.Name]])),Flowdown_BTE[[SyRS]:[SyRS]],"")))</f>
        <v/>
      </c>
      <c r="L25" s="16" t="b" cm="1">
        <f t="array" ref="L25">OR(LEN(C25:K25)&gt;0)</f>
        <v>1</v>
      </c>
    </row>
    <row r="26" spans="2:12" ht="121.5" x14ac:dyDescent="0.2">
      <c r="B26" s="11" t="str">
        <v>MASTER-39835</v>
      </c>
      <c r="C26" s="12" t="str" cm="1">
        <f t="array" ref="C26">_xlfn.TEXTJOIN(CHAR(10),TRUE,_xlfn._xlws.SORT(IF((--($B26=Flowdown_BTE[[URS]:[URS]]))*(--(C$14=Flowdown_BTE[[Source.Name]:[Source.Name]])),Flowdown_BTE[[SyRS]:[SyRS]],"")))</f>
        <v>MASTER-18351
MASTER-18352
MASTER-18354
MASTER-18355
MASTER-18359
MASTER-18360
MASTER-50242
MASTER-51893
MASTER-51894</v>
      </c>
      <c r="D26" s="12" t="str" cm="1">
        <f t="array" ref="D26">_xlfn.TEXTJOIN(CHAR(10),TRUE,_xlfn._xlws.SORT(IF((--($B26=Flowdown_BTE[[URS]:[URS]]))*(--(D$14=Flowdown_BTE[[Source.Name]:[Source.Name]])),Flowdown_BTE[[SyRS]:[SyRS]],"")))</f>
        <v>MASTER-18351
MASTER-18352
MASTER-18354
MASTER-18355
MASTER-18359
MASTER-18360
MASTER-50242
MASTER-51893
MASTER-51894</v>
      </c>
      <c r="E26" s="12" t="str" cm="1">
        <f t="array" ref="E26">_xlfn.TEXTJOIN(CHAR(10),TRUE,_xlfn._xlws.SORT(IF((--($B26=Flowdown_BTE[[URS]:[URS]]))*(--(E$14=Flowdown_BTE[[Source.Name]:[Source.Name]])),Flowdown_BTE[[SyRS]:[SyRS]],"")))</f>
        <v>MASTER-18351
MASTER-18352
MASTER-18354
MASTER-18355
MASTER-18359
MASTER-18360
MASTER-50242
MASTER-51893
MASTER-51894</v>
      </c>
      <c r="F26" s="12" t="str" cm="1">
        <f t="array" ref="F26">_xlfn.TEXTJOIN(CHAR(10),TRUE,_xlfn._xlws.SORT(IF((--($B26=Flowdown_BTE[[URS]:[URS]]))*(--(F$14=Flowdown_BTE[[Source.Name]:[Source.Name]])),Flowdown_BTE[[SyRS]:[SyRS]],"")))</f>
        <v>MASTER-18351
MASTER-18352
MASTER-18354
MASTER-18355
MASTER-18359
MASTER-18360
MASTER-50242
MASTER-51893
MASTER-51894</v>
      </c>
      <c r="G26" s="12" t="str" cm="1">
        <f t="array" ref="G26">_xlfn.TEXTJOIN(CHAR(10),TRUE,_xlfn._xlws.SORT(IF((--($B26=Flowdown_BTE[[URS]:[URS]]))*(--(G$14=Flowdown_BTE[[Source.Name]:[Source.Name]])),Flowdown_BTE[[SyRS]:[SyRS]],"")))</f>
        <v>MASTER-18351
MASTER-18352
MASTER-18354
MASTER-18355
MASTER-18359
MASTER-18360
MASTER-50242
MASTER-51893
MASTER-51894</v>
      </c>
      <c r="H26" s="12" t="str" cm="1">
        <f t="array" ref="H26">_xlfn.TEXTJOIN(CHAR(10),TRUE,_xlfn._xlws.SORT(IF((--($B26=Flowdown_BTE[[URS]:[URS]]))*(--(H$14=Flowdown_BTE[[Source.Name]:[Source.Name]])),Flowdown_BTE[[SyRS]:[SyRS]],"")))</f>
        <v>MASTER-50255
MASTER-50256
MASTER-50257
MASTER-50258</v>
      </c>
      <c r="I26" s="12" t="str" cm="1">
        <f t="array" ref="I26">_xlfn.TEXTJOIN(CHAR(10),TRUE,_xlfn._xlws.SORT(IF((--($B26=Flowdown_BTE[[URS]:[URS]]))*(--(I$14=Flowdown_BTE[[Source.Name]:[Source.Name]])),Flowdown_BTE[[SyRS]:[SyRS]],"")))</f>
        <v/>
      </c>
      <c r="J26" s="12" t="str" cm="1">
        <f t="array" ref="J26">_xlfn.TEXTJOIN(CHAR(10),TRUE,_xlfn._xlws.SORT(IF((--($B26=Flowdown_BTE[[URS]:[URS]]))*(--(J$14=Flowdown_BTE[[Source.Name]:[Source.Name]])),Flowdown_BTE[[SyRS]:[SyRS]],"")))</f>
        <v/>
      </c>
      <c r="K26" s="12" t="str" cm="1">
        <f t="array" ref="K26">_xlfn.TEXTJOIN(CHAR(10),TRUE,_xlfn._xlws.SORT(IF((--($B26=Flowdown_BTE[[URS]:[URS]]))*(--(K$14=Flowdown_BTE[[Source.Name]:[Source.Name]])),Flowdown_BTE[[SyRS]:[SyRS]],"")))</f>
        <v/>
      </c>
      <c r="L26" s="16" t="b" cm="1">
        <f t="array" ref="L26">OR(LEN(C26:K26)&gt;0)</f>
        <v>1</v>
      </c>
    </row>
    <row r="27" spans="2:12" ht="13.5" x14ac:dyDescent="0.2">
      <c r="B27" s="11" t="str">
        <v>MASTER-41911</v>
      </c>
      <c r="C27" s="12" t="str" cm="1">
        <f t="array" ref="C27">_xlfn.TEXTJOIN(CHAR(10),TRUE,_xlfn._xlws.SORT(IF((--($B27=Flowdown_BTE[[URS]:[URS]]))*(--(C$14=Flowdown_BTE[[Source.Name]:[Source.Name]])),Flowdown_BTE[[SyRS]:[SyRS]],"")))</f>
        <v/>
      </c>
      <c r="D27" s="12" t="str" cm="1">
        <f t="array" ref="D27">_xlfn.TEXTJOIN(CHAR(10),TRUE,_xlfn._xlws.SORT(IF((--($B27=Flowdown_BTE[[URS]:[URS]]))*(--(D$14=Flowdown_BTE[[Source.Name]:[Source.Name]])),Flowdown_BTE[[SyRS]:[SyRS]],"")))</f>
        <v/>
      </c>
      <c r="E27" s="12" t="str" cm="1">
        <f t="array" ref="E27">_xlfn.TEXTJOIN(CHAR(10),TRUE,_xlfn._xlws.SORT(IF((--($B27=Flowdown_BTE[[URS]:[URS]]))*(--(E$14=Flowdown_BTE[[Source.Name]:[Source.Name]])),Flowdown_BTE[[SyRS]:[SyRS]],"")))</f>
        <v/>
      </c>
      <c r="F27" s="12" t="str" cm="1">
        <f t="array" ref="F27">_xlfn.TEXTJOIN(CHAR(10),TRUE,_xlfn._xlws.SORT(IF((--($B27=Flowdown_BTE[[URS]:[URS]]))*(--(F$14=Flowdown_BTE[[Source.Name]:[Source.Name]])),Flowdown_BTE[[SyRS]:[SyRS]],"")))</f>
        <v/>
      </c>
      <c r="G27" s="12" t="str" cm="1">
        <f t="array" ref="G27">_xlfn.TEXTJOIN(CHAR(10),TRUE,_xlfn._xlws.SORT(IF((--($B27=Flowdown_BTE[[URS]:[URS]]))*(--(G$14=Flowdown_BTE[[Source.Name]:[Source.Name]])),Flowdown_BTE[[SyRS]:[SyRS]],"")))</f>
        <v/>
      </c>
      <c r="H27" s="12" t="str" cm="1">
        <f t="array" ref="H27">_xlfn.TEXTJOIN(CHAR(10),TRUE,_xlfn._xlws.SORT(IF((--($B27=Flowdown_BTE[[URS]:[URS]]))*(--(H$14=Flowdown_BTE[[Source.Name]:[Source.Name]])),Flowdown_BTE[[SyRS]:[SyRS]],"")))</f>
        <v>MASTER-63165</v>
      </c>
      <c r="I27" s="12" t="str" cm="1">
        <f t="array" ref="I27">_xlfn.TEXTJOIN(CHAR(10),TRUE,_xlfn._xlws.SORT(IF((--($B27=Flowdown_BTE[[URS]:[URS]]))*(--(I$14=Flowdown_BTE[[Source.Name]:[Source.Name]])),Flowdown_BTE[[SyRS]:[SyRS]],"")))</f>
        <v/>
      </c>
      <c r="J27" s="12" t="str" cm="1">
        <f t="array" ref="J27">_xlfn.TEXTJOIN(CHAR(10),TRUE,_xlfn._xlws.SORT(IF((--($B27=Flowdown_BTE[[URS]:[URS]]))*(--(J$14=Flowdown_BTE[[Source.Name]:[Source.Name]])),Flowdown_BTE[[SyRS]:[SyRS]],"")))</f>
        <v/>
      </c>
      <c r="K27" s="12" t="str" cm="1">
        <f t="array" ref="K27">_xlfn.TEXTJOIN(CHAR(10),TRUE,_xlfn._xlws.SORT(IF((--($B27=Flowdown_BTE[[URS]:[URS]]))*(--(K$14=Flowdown_BTE[[Source.Name]:[Source.Name]])),Flowdown_BTE[[SyRS]:[SyRS]],"")))</f>
        <v/>
      </c>
      <c r="L27" s="16" t="b" cm="1">
        <f t="array" ref="L27">OR(LEN(C27:K27)&gt;0)</f>
        <v>1</v>
      </c>
    </row>
    <row r="28" spans="2:12" ht="4.9000000000000004" customHeight="1" x14ac:dyDescent="0.2">
      <c r="B28" s="11" t="str">
        <v>MASTER-41912</v>
      </c>
      <c r="C28" s="12" t="str" cm="1">
        <f t="array" ref="C28">_xlfn.TEXTJOIN(CHAR(10),TRUE,_xlfn._xlws.SORT(IF((--($B28=Flowdown_BTE[[URS]:[URS]]))*(--(C$14=Flowdown_BTE[[Source.Name]:[Source.Name]])),Flowdown_BTE[[SyRS]:[SyRS]],"")))</f>
        <v/>
      </c>
      <c r="D28" s="12" t="str" cm="1">
        <f t="array" ref="D28">_xlfn.TEXTJOIN(CHAR(10),TRUE,_xlfn._xlws.SORT(IF((--($B28=Flowdown_BTE[[URS]:[URS]]))*(--(D$14=Flowdown_BTE[[Source.Name]:[Source.Name]])),Flowdown_BTE[[SyRS]:[SyRS]],"")))</f>
        <v/>
      </c>
      <c r="E28" s="12" t="str" cm="1">
        <f t="array" ref="E28">_xlfn.TEXTJOIN(CHAR(10),TRUE,_xlfn._xlws.SORT(IF((--($B28=Flowdown_BTE[[URS]:[URS]]))*(--(E$14=Flowdown_BTE[[Source.Name]:[Source.Name]])),Flowdown_BTE[[SyRS]:[SyRS]],"")))</f>
        <v/>
      </c>
      <c r="F28" s="12" t="str" cm="1">
        <f t="array" ref="F28">_xlfn.TEXTJOIN(CHAR(10),TRUE,_xlfn._xlws.SORT(IF((--($B28=Flowdown_BTE[[URS]:[URS]]))*(--(F$14=Flowdown_BTE[[Source.Name]:[Source.Name]])),Flowdown_BTE[[SyRS]:[SyRS]],"")))</f>
        <v/>
      </c>
      <c r="G28" s="12" t="str" cm="1">
        <f t="array" ref="G28">_xlfn.TEXTJOIN(CHAR(10),TRUE,_xlfn._xlws.SORT(IF((--($B28=Flowdown_BTE[[URS]:[URS]]))*(--(G$14=Flowdown_BTE[[Source.Name]:[Source.Name]])),Flowdown_BTE[[SyRS]:[SyRS]],"")))</f>
        <v/>
      </c>
      <c r="H28" s="12" t="str" cm="1">
        <f t="array" ref="H28">_xlfn.TEXTJOIN(CHAR(10),TRUE,_xlfn._xlws.SORT(IF((--($B28=Flowdown_BTE[[URS]:[URS]]))*(--(H$14=Flowdown_BTE[[Source.Name]:[Source.Name]])),Flowdown_BTE[[SyRS]:[SyRS]],"")))</f>
        <v>MASTER-21593
MASTER-22238
MASTER-22521
MASTER-22523</v>
      </c>
      <c r="I28" s="12" t="str" cm="1">
        <f t="array" ref="I28">_xlfn.TEXTJOIN(CHAR(10),TRUE,_xlfn._xlws.SORT(IF((--($B28=Flowdown_BTE[[URS]:[URS]]))*(--(I$14=Flowdown_BTE[[Source.Name]:[Source.Name]])),Flowdown_BTE[[SyRS]:[SyRS]],"")))</f>
        <v/>
      </c>
      <c r="J28" s="12" t="str" cm="1">
        <f t="array" ref="J28">_xlfn.TEXTJOIN(CHAR(10),TRUE,_xlfn._xlws.SORT(IF((--($B28=Flowdown_BTE[[URS]:[URS]]))*(--(J$14=Flowdown_BTE[[Source.Name]:[Source.Name]])),Flowdown_BTE[[SyRS]:[SyRS]],"")))</f>
        <v/>
      </c>
      <c r="K28" s="12" t="str" cm="1">
        <f t="array" ref="K28">_xlfn.TEXTJOIN(CHAR(10),TRUE,_xlfn._xlws.SORT(IF((--($B28=Flowdown_BTE[[URS]:[URS]]))*(--(K$14=Flowdown_BTE[[Source.Name]:[Source.Name]])),Flowdown_BTE[[SyRS]:[SyRS]],"")))</f>
        <v/>
      </c>
      <c r="L28" s="16" t="b" cm="1">
        <f t="array" ref="L28">OR(LEN(C28:K28)&gt;0)</f>
        <v>1</v>
      </c>
    </row>
    <row r="29" spans="2:12" ht="283.5" x14ac:dyDescent="0.2">
      <c r="B29" s="11" t="str">
        <v>MASTER-41913</v>
      </c>
      <c r="C29" s="12" t="str" cm="1">
        <f t="array" ref="C29">_xlfn.TEXTJOIN(CHAR(10),TRUE,_xlfn._xlws.SORT(IF((--($B29=Flowdown_BTE[[URS]:[URS]]))*(--(C$14=Flowdown_BTE[[Source.Name]:[Source.Name]])),Flowdown_BTE[[SyRS]:[SyRS]],"")))</f>
        <v/>
      </c>
      <c r="D29" s="12" t="str" cm="1">
        <f t="array" ref="D29">_xlfn.TEXTJOIN(CHAR(10),TRUE,_xlfn._xlws.SORT(IF((--($B29=Flowdown_BTE[[URS]:[URS]]))*(--(D$14=Flowdown_BTE[[Source.Name]:[Source.Name]])),Flowdown_BTE[[SyRS]:[SyRS]],"")))</f>
        <v/>
      </c>
      <c r="E29" s="12" t="str" cm="1">
        <f t="array" ref="E29">_xlfn.TEXTJOIN(CHAR(10),TRUE,_xlfn._xlws.SORT(IF((--($B29=Flowdown_BTE[[URS]:[URS]]))*(--(E$14=Flowdown_BTE[[Source.Name]:[Source.Name]])),Flowdown_BTE[[SyRS]:[SyRS]],"")))</f>
        <v/>
      </c>
      <c r="F29" s="12" t="str" cm="1">
        <f t="array" ref="F29">_xlfn.TEXTJOIN(CHAR(10),TRUE,_xlfn._xlws.SORT(IF((--($B29=Flowdown_BTE[[URS]:[URS]]))*(--(F$14=Flowdown_BTE[[Source.Name]:[Source.Name]])),Flowdown_BTE[[SyRS]:[SyRS]],"")))</f>
        <v/>
      </c>
      <c r="G29" s="12" t="str" cm="1">
        <f t="array" ref="G29">_xlfn.TEXTJOIN(CHAR(10),TRUE,_xlfn._xlws.SORT(IF((--($B29=Flowdown_BTE[[URS]:[URS]]))*(--(G$14=Flowdown_BTE[[Source.Name]:[Source.Name]])),Flowdown_BTE[[SyRS]:[SyRS]],"")))</f>
        <v/>
      </c>
      <c r="H29" s="12" t="str" cm="1">
        <f t="array" ref="H29">_xlfn.TEXTJOIN(CHAR(10),TRUE,_xlfn._xlws.SORT(IF((--($B29=Flowdown_BTE[[URS]:[URS]]))*(--(H$14=Flowdown_BTE[[Source.Name]:[Source.Name]])),Flowdown_BTE[[SyRS]:[SyRS]],"")))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29" s="12" t="str" cm="1">
        <f t="array" ref="I29">_xlfn.TEXTJOIN(CHAR(10),TRUE,_xlfn._xlws.SORT(IF((--($B29=Flowdown_BTE[[URS]:[URS]]))*(--(I$14=Flowdown_BTE[[Source.Name]:[Source.Name]])),Flowdown_BTE[[SyRS]:[SyRS]],"")))</f>
        <v/>
      </c>
      <c r="J29" s="12" t="str" cm="1">
        <f t="array" ref="J29">_xlfn.TEXTJOIN(CHAR(10),TRUE,_xlfn._xlws.SORT(IF((--($B29=Flowdown_BTE[[URS]:[URS]]))*(--(J$14=Flowdown_BTE[[Source.Name]:[Source.Name]])),Flowdown_BTE[[SyRS]:[SyRS]],"")))</f>
        <v/>
      </c>
      <c r="K29" s="12" t="str" cm="1">
        <f t="array" ref="K29">_xlfn.TEXTJOIN(CHAR(10),TRUE,_xlfn._xlws.SORT(IF((--($B29=Flowdown_BTE[[URS]:[URS]]))*(--(K$14=Flowdown_BTE[[Source.Name]:[Source.Name]])),Flowdown_BTE[[SyRS]:[SyRS]],"")))</f>
        <v/>
      </c>
      <c r="L29" s="16" t="b" cm="1">
        <f t="array" ref="L29">OR(LEN(C29:K29)&gt;0)</f>
        <v>1</v>
      </c>
    </row>
    <row r="30" spans="2:12" ht="108" x14ac:dyDescent="0.2">
      <c r="B30" s="11" t="str">
        <v>MASTER-41914</v>
      </c>
      <c r="C30" s="12" t="str" cm="1">
        <f t="array" ref="C30">_xlfn.TEXTJOIN(CHAR(10),TRUE,_xlfn._xlws.SORT(IF((--($B30=Flowdown_BTE[[URS]:[URS]]))*(--(C$14=Flowdown_BTE[[Source.Name]:[Source.Name]])),Flowdown_BTE[[SyRS]:[SyRS]],"")))</f>
        <v/>
      </c>
      <c r="D30" s="12" t="str" cm="1">
        <f t="array" ref="D30">_xlfn.TEXTJOIN(CHAR(10),TRUE,_xlfn._xlws.SORT(IF((--($B30=Flowdown_BTE[[URS]:[URS]]))*(--(D$14=Flowdown_BTE[[Source.Name]:[Source.Name]])),Flowdown_BTE[[SyRS]:[SyRS]],"")))</f>
        <v/>
      </c>
      <c r="E30" s="12" t="str" cm="1">
        <f t="array" ref="E30">_xlfn.TEXTJOIN(CHAR(10),TRUE,_xlfn._xlws.SORT(IF((--($B30=Flowdown_BTE[[URS]:[URS]]))*(--(E$14=Flowdown_BTE[[Source.Name]:[Source.Name]])),Flowdown_BTE[[SyRS]:[SyRS]],"")))</f>
        <v/>
      </c>
      <c r="F30" s="12" t="str" cm="1">
        <f t="array" ref="F30">_xlfn.TEXTJOIN(CHAR(10),TRUE,_xlfn._xlws.SORT(IF((--($B30=Flowdown_BTE[[URS]:[URS]]))*(--(F$14=Flowdown_BTE[[Source.Name]:[Source.Name]])),Flowdown_BTE[[SyRS]:[SyRS]],"")))</f>
        <v/>
      </c>
      <c r="G30" s="12" t="str" cm="1">
        <f t="array" ref="G30">_xlfn.TEXTJOIN(CHAR(10),TRUE,_xlfn._xlws.SORT(IF((--($B30=Flowdown_BTE[[URS]:[URS]]))*(--(G$14=Flowdown_BTE[[Source.Name]:[Source.Name]])),Flowdown_BTE[[SyRS]:[SyRS]],"")))</f>
        <v/>
      </c>
      <c r="H30" s="12" t="str" cm="1">
        <f t="array" ref="H30">_xlfn.TEXTJOIN(CHAR(10),TRUE,_xlfn._xlws.SORT(IF((--($B30=Flowdown_BTE[[URS]:[URS]]))*(--(H$14=Flowdown_BTE[[Source.Name]:[Source.Name]])),Flowdown_BTE[[SyRS]:[SyRS]],"")))</f>
        <v>MASTER-21694
MASTER-21695
MASTER-21696
MASTER-22537
MASTER-22544
MASTER-22545
MASTER-22581
MASTER-51771</v>
      </c>
      <c r="I30" s="12" t="str" cm="1">
        <f t="array" ref="I30">_xlfn.TEXTJOIN(CHAR(10),TRUE,_xlfn._xlws.SORT(IF((--($B30=Flowdown_BTE[[URS]:[URS]]))*(--(I$14=Flowdown_BTE[[Source.Name]:[Source.Name]])),Flowdown_BTE[[SyRS]:[SyRS]],"")))</f>
        <v/>
      </c>
      <c r="J30" s="12" t="str" cm="1">
        <f t="array" ref="J30">_xlfn.TEXTJOIN(CHAR(10),TRUE,_xlfn._xlws.SORT(IF((--($B30=Flowdown_BTE[[URS]:[URS]]))*(--(J$14=Flowdown_BTE[[Source.Name]:[Source.Name]])),Flowdown_BTE[[SyRS]:[SyRS]],"")))</f>
        <v/>
      </c>
      <c r="K30" s="12" t="str" cm="1">
        <f t="array" ref="K30">_xlfn.TEXTJOIN(CHAR(10),TRUE,_xlfn._xlws.SORT(IF((--($B30=Flowdown_BTE[[URS]:[URS]]))*(--(K$14=Flowdown_BTE[[Source.Name]:[Source.Name]])),Flowdown_BTE[[SyRS]:[SyRS]],"")))</f>
        <v/>
      </c>
      <c r="L30" s="16" t="b" cm="1">
        <f t="array" ref="L30">OR(LEN(C30:K30)&gt;0)</f>
        <v>1</v>
      </c>
    </row>
    <row r="31" spans="2:12" ht="4.9000000000000004" customHeight="1" x14ac:dyDescent="0.2">
      <c r="B31" s="11" t="str">
        <v>MASTER-41941</v>
      </c>
      <c r="C31" s="12" t="str" cm="1">
        <f t="array" ref="C31">_xlfn.TEXTJOIN(CHAR(10),TRUE,_xlfn._xlws.SORT(IF((--($B31=Flowdown_BTE[[URS]:[URS]]))*(--(C$14=Flowdown_BTE[[Source.Name]:[Source.Name]])),Flowdown_BTE[[SyRS]:[SyRS]],"")))</f>
        <v/>
      </c>
      <c r="D31" s="12" t="str" cm="1">
        <f t="array" ref="D31">_xlfn.TEXTJOIN(CHAR(10),TRUE,_xlfn._xlws.SORT(IF((--($B31=Flowdown_BTE[[URS]:[URS]]))*(--(D$14=Flowdown_BTE[[Source.Name]:[Source.Name]])),Flowdown_BTE[[SyRS]:[SyRS]],"")))</f>
        <v/>
      </c>
      <c r="E31" s="12" t="str" cm="1">
        <f t="array" ref="E31">_xlfn.TEXTJOIN(CHAR(10),TRUE,_xlfn._xlws.SORT(IF((--($B31=Flowdown_BTE[[URS]:[URS]]))*(--(E$14=Flowdown_BTE[[Source.Name]:[Source.Name]])),Flowdown_BTE[[SyRS]:[SyRS]],"")))</f>
        <v/>
      </c>
      <c r="F31" s="12" t="str" cm="1">
        <f t="array" ref="F31">_xlfn.TEXTJOIN(CHAR(10),TRUE,_xlfn._xlws.SORT(IF((--($B31=Flowdown_BTE[[URS]:[URS]]))*(--(F$14=Flowdown_BTE[[Source.Name]:[Source.Name]])),Flowdown_BTE[[SyRS]:[SyRS]],"")))</f>
        <v/>
      </c>
      <c r="G31" s="12" t="str" cm="1">
        <f t="array" ref="G31">_xlfn.TEXTJOIN(CHAR(10),TRUE,_xlfn._xlws.SORT(IF((--($B31=Flowdown_BTE[[URS]:[URS]]))*(--(G$14=Flowdown_BTE[[Source.Name]:[Source.Name]])),Flowdown_BTE[[SyRS]:[SyRS]],"")))</f>
        <v/>
      </c>
      <c r="H31" s="12" t="str" cm="1">
        <f t="array" ref="H31">_xlfn.TEXTJOIN(CHAR(10),TRUE,_xlfn._xlws.SORT(IF((--($B31=Flowdown_BTE[[URS]:[URS]]))*(--(H$14=Flowdown_BTE[[Source.Name]:[Source.Name]])),Flowdown_BTE[[SyRS]:[SyRS]],"")))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1" s="12" t="str" cm="1">
        <f t="array" ref="I31">_xlfn.TEXTJOIN(CHAR(10),TRUE,_xlfn._xlws.SORT(IF((--($B31=Flowdown_BTE[[URS]:[URS]]))*(--(I$14=Flowdown_BTE[[Source.Name]:[Source.Name]])),Flowdown_BTE[[SyRS]:[SyRS]],"")))</f>
        <v/>
      </c>
      <c r="J31" s="12" t="str" cm="1">
        <f t="array" ref="J31">_xlfn.TEXTJOIN(CHAR(10),TRUE,_xlfn._xlws.SORT(IF((--($B31=Flowdown_BTE[[URS]:[URS]]))*(--(J$14=Flowdown_BTE[[Source.Name]:[Source.Name]])),Flowdown_BTE[[SyRS]:[SyRS]],"")))</f>
        <v/>
      </c>
      <c r="K31" s="12" t="str" cm="1">
        <f t="array" ref="K31">_xlfn.TEXTJOIN(CHAR(10),TRUE,_xlfn._xlws.SORT(IF((--($B31=Flowdown_BTE[[URS]:[URS]]))*(--(K$14=Flowdown_BTE[[Source.Name]:[Source.Name]])),Flowdown_BTE[[SyRS]:[SyRS]],"")))</f>
        <v/>
      </c>
      <c r="L31" s="16" t="b" cm="1">
        <f t="array" ref="L31">OR(LEN(C31:K31)&gt;0)</f>
        <v>1</v>
      </c>
    </row>
    <row r="32" spans="2:12" ht="81" x14ac:dyDescent="0.2">
      <c r="B32" s="11" t="str">
        <v>MASTER-41942</v>
      </c>
      <c r="C32" s="12" t="str" cm="1">
        <f t="array" ref="C32">_xlfn.TEXTJOIN(CHAR(10),TRUE,_xlfn._xlws.SORT(IF((--($B32=Flowdown_BTE[[URS]:[URS]]))*(--(C$14=Flowdown_BTE[[Source.Name]:[Source.Name]])),Flowdown_BTE[[SyRS]:[SyRS]],"")))</f>
        <v/>
      </c>
      <c r="D32" s="12" t="str" cm="1">
        <f t="array" ref="D32">_xlfn.TEXTJOIN(CHAR(10),TRUE,_xlfn._xlws.SORT(IF((--($B32=Flowdown_BTE[[URS]:[URS]]))*(--(D$14=Flowdown_BTE[[Source.Name]:[Source.Name]])),Flowdown_BTE[[SyRS]:[SyRS]],"")))</f>
        <v/>
      </c>
      <c r="E32" s="12" t="str" cm="1">
        <f t="array" ref="E32">_xlfn.TEXTJOIN(CHAR(10),TRUE,_xlfn._xlws.SORT(IF((--($B32=Flowdown_BTE[[URS]:[URS]]))*(--(E$14=Flowdown_BTE[[Source.Name]:[Source.Name]])),Flowdown_BTE[[SyRS]:[SyRS]],"")))</f>
        <v/>
      </c>
      <c r="F32" s="12" t="str" cm="1">
        <f t="array" ref="F32">_xlfn.TEXTJOIN(CHAR(10),TRUE,_xlfn._xlws.SORT(IF((--($B32=Flowdown_BTE[[URS]:[URS]]))*(--(F$14=Flowdown_BTE[[Source.Name]:[Source.Name]])),Flowdown_BTE[[SyRS]:[SyRS]],"")))</f>
        <v/>
      </c>
      <c r="G32" s="12" t="str" cm="1">
        <f t="array" ref="G32">_xlfn.TEXTJOIN(CHAR(10),TRUE,_xlfn._xlws.SORT(IF((--($B32=Flowdown_BTE[[URS]:[URS]]))*(--(G$14=Flowdown_BTE[[Source.Name]:[Source.Name]])),Flowdown_BTE[[SyRS]:[SyRS]],"")))</f>
        <v/>
      </c>
      <c r="H32" s="12" t="str" cm="1">
        <f t="array" ref="H32">_xlfn.TEXTJOIN(CHAR(10),TRUE,_xlfn._xlws.SORT(IF((--($B32=Flowdown_BTE[[URS]:[URS]]))*(--(H$14=Flowdown_BTE[[Source.Name]:[Source.Name]])),Flowdown_BTE[[SyRS]:[SyRS]],"")))</f>
        <v>MASTER-22463
MASTER-22487
MASTER-22488
MASTER-22490
MASTER-22492
MASTER-22494</v>
      </c>
      <c r="I32" s="12" t="str" cm="1">
        <f t="array" ref="I32">_xlfn.TEXTJOIN(CHAR(10),TRUE,_xlfn._xlws.SORT(IF((--($B32=Flowdown_BTE[[URS]:[URS]]))*(--(I$14=Flowdown_BTE[[Source.Name]:[Source.Name]])),Flowdown_BTE[[SyRS]:[SyRS]],"")))</f>
        <v/>
      </c>
      <c r="J32" s="12" t="str" cm="1">
        <f t="array" ref="J32">_xlfn.TEXTJOIN(CHAR(10),TRUE,_xlfn._xlws.SORT(IF((--($B32=Flowdown_BTE[[URS]:[URS]]))*(--(J$14=Flowdown_BTE[[Source.Name]:[Source.Name]])),Flowdown_BTE[[SyRS]:[SyRS]],"")))</f>
        <v/>
      </c>
      <c r="K32" s="12" t="str" cm="1">
        <f t="array" ref="K32">_xlfn.TEXTJOIN(CHAR(10),TRUE,_xlfn._xlws.SORT(IF((--($B32=Flowdown_BTE[[URS]:[URS]]))*(--(K$14=Flowdown_BTE[[Source.Name]:[Source.Name]])),Flowdown_BTE[[SyRS]:[SyRS]],"")))</f>
        <v/>
      </c>
      <c r="L32" s="16" t="b" cm="1">
        <f t="array" ref="L32">OR(LEN(C32:K32)&gt;0)</f>
        <v>1</v>
      </c>
    </row>
    <row r="33" spans="2:12" ht="108" x14ac:dyDescent="0.2">
      <c r="B33" s="11" t="str">
        <v>MASTER-41943</v>
      </c>
      <c r="C33" s="12" t="str" cm="1">
        <f t="array" ref="C33">_xlfn.TEXTJOIN(CHAR(10),TRUE,_xlfn._xlws.SORT(IF((--($B33=Flowdown_BTE[[URS]:[URS]]))*(--(C$14=Flowdown_BTE[[Source.Name]:[Source.Name]])),Flowdown_BTE[[SyRS]:[SyRS]],"")))</f>
        <v/>
      </c>
      <c r="D33" s="12" t="str" cm="1">
        <f t="array" ref="D33">_xlfn.TEXTJOIN(CHAR(10),TRUE,_xlfn._xlws.SORT(IF((--($B33=Flowdown_BTE[[URS]:[URS]]))*(--(D$14=Flowdown_BTE[[Source.Name]:[Source.Name]])),Flowdown_BTE[[SyRS]:[SyRS]],"")))</f>
        <v/>
      </c>
      <c r="E33" s="12" t="str" cm="1">
        <f t="array" ref="E33">_xlfn.TEXTJOIN(CHAR(10),TRUE,_xlfn._xlws.SORT(IF((--($B33=Flowdown_BTE[[URS]:[URS]]))*(--(E$14=Flowdown_BTE[[Source.Name]:[Source.Name]])),Flowdown_BTE[[SyRS]:[SyRS]],"")))</f>
        <v/>
      </c>
      <c r="F33" s="12" t="str" cm="1">
        <f t="array" ref="F33">_xlfn.TEXTJOIN(CHAR(10),TRUE,_xlfn._xlws.SORT(IF((--($B33=Flowdown_BTE[[URS]:[URS]]))*(--(F$14=Flowdown_BTE[[Source.Name]:[Source.Name]])),Flowdown_BTE[[SyRS]:[SyRS]],"")))</f>
        <v/>
      </c>
      <c r="G33" s="12" t="str" cm="1">
        <f t="array" ref="G33">_xlfn.TEXTJOIN(CHAR(10),TRUE,_xlfn._xlws.SORT(IF((--($B33=Flowdown_BTE[[URS]:[URS]]))*(--(G$14=Flowdown_BTE[[Source.Name]:[Source.Name]])),Flowdown_BTE[[SyRS]:[SyRS]],"")))</f>
        <v/>
      </c>
      <c r="H33" s="12" t="str" cm="1">
        <f t="array" ref="H33">_xlfn.TEXTJOIN(CHAR(10),TRUE,_xlfn._xlws.SORT(IF((--($B33=Flowdown_BTE[[URS]:[URS]]))*(--(H$14=Flowdown_BTE[[Source.Name]:[Source.Name]])),Flowdown_BTE[[SyRS]:[SyRS]],"")))</f>
        <v>MASTER-21585
MASTER-21593
MASTER-22463
MASTER-22491
MASTER-22494
MASTER-22517
MASTER-22521
MASTER-22522</v>
      </c>
      <c r="I33" s="12" t="str" cm="1">
        <f t="array" ref="I33">_xlfn.TEXTJOIN(CHAR(10),TRUE,_xlfn._xlws.SORT(IF((--($B33=Flowdown_BTE[[URS]:[URS]]))*(--(I$14=Flowdown_BTE[[Source.Name]:[Source.Name]])),Flowdown_BTE[[SyRS]:[SyRS]],"")))</f>
        <v/>
      </c>
      <c r="J33" s="12" t="str" cm="1">
        <f t="array" ref="J33">_xlfn.TEXTJOIN(CHAR(10),TRUE,_xlfn._xlws.SORT(IF((--($B33=Flowdown_BTE[[URS]:[URS]]))*(--(J$14=Flowdown_BTE[[Source.Name]:[Source.Name]])),Flowdown_BTE[[SyRS]:[SyRS]],"")))</f>
        <v/>
      </c>
      <c r="K33" s="12" t="str" cm="1">
        <f t="array" ref="K33">_xlfn.TEXTJOIN(CHAR(10),TRUE,_xlfn._xlws.SORT(IF((--($B33=Flowdown_BTE[[URS]:[URS]]))*(--(K$14=Flowdown_BTE[[Source.Name]:[Source.Name]])),Flowdown_BTE[[SyRS]:[SyRS]],"")))</f>
        <v/>
      </c>
      <c r="L33" s="16" t="b" cm="1">
        <f t="array" ref="L33">OR(LEN(C33:K33)&gt;0)</f>
        <v>1</v>
      </c>
    </row>
    <row r="34" spans="2:12" ht="270" x14ac:dyDescent="0.2">
      <c r="B34" s="11" t="str">
        <v>MASTER-41944</v>
      </c>
      <c r="C34" s="12" t="str" cm="1">
        <f t="array" ref="C34">_xlfn.TEXTJOIN(CHAR(10),TRUE,_xlfn._xlws.SORT(IF((--($B34=Flowdown_BTE[[URS]:[URS]]))*(--(C$14=Flowdown_BTE[[Source.Name]:[Source.Name]])),Flowdown_BTE[[SyRS]:[SyRS]],"")))</f>
        <v/>
      </c>
      <c r="D34" s="12" t="str" cm="1">
        <f t="array" ref="D34">_xlfn.TEXTJOIN(CHAR(10),TRUE,_xlfn._xlws.SORT(IF((--($B34=Flowdown_BTE[[URS]:[URS]]))*(--(D$14=Flowdown_BTE[[Source.Name]:[Source.Name]])),Flowdown_BTE[[SyRS]:[SyRS]],"")))</f>
        <v/>
      </c>
      <c r="E34" s="12" t="str" cm="1">
        <f t="array" ref="E34">_xlfn.TEXTJOIN(CHAR(10),TRUE,_xlfn._xlws.SORT(IF((--($B34=Flowdown_BTE[[URS]:[URS]]))*(--(E$14=Flowdown_BTE[[Source.Name]:[Source.Name]])),Flowdown_BTE[[SyRS]:[SyRS]],"")))</f>
        <v/>
      </c>
      <c r="F34" s="12" t="str" cm="1">
        <f t="array" ref="F34">_xlfn.TEXTJOIN(CHAR(10),TRUE,_xlfn._xlws.SORT(IF((--($B34=Flowdown_BTE[[URS]:[URS]]))*(--(F$14=Flowdown_BTE[[Source.Name]:[Source.Name]])),Flowdown_BTE[[SyRS]:[SyRS]],"")))</f>
        <v/>
      </c>
      <c r="G34" s="12" t="str" cm="1">
        <f t="array" ref="G34">_xlfn.TEXTJOIN(CHAR(10),TRUE,_xlfn._xlws.SORT(IF((--($B34=Flowdown_BTE[[URS]:[URS]]))*(--(G$14=Flowdown_BTE[[Source.Name]:[Source.Name]])),Flowdown_BTE[[SyRS]:[SyRS]],"")))</f>
        <v/>
      </c>
      <c r="H34" s="12" t="str" cm="1">
        <f t="array" ref="H34">_xlfn.TEXTJOIN(CHAR(10),TRUE,_xlfn._xlws.SORT(IF((--($B34=Flowdown_BTE[[URS]:[URS]]))*(--(H$14=Flowdown_BTE[[Source.Name]:[Source.Name]])),Flowdown_BTE[[SyRS]:[SyRS]],"")))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4" s="12" t="str" cm="1">
        <f t="array" ref="I34">_xlfn.TEXTJOIN(CHAR(10),TRUE,_xlfn._xlws.SORT(IF((--($B34=Flowdown_BTE[[URS]:[URS]]))*(--(I$14=Flowdown_BTE[[Source.Name]:[Source.Name]])),Flowdown_BTE[[SyRS]:[SyRS]],"")))</f>
        <v/>
      </c>
      <c r="J34" s="12" t="str" cm="1">
        <f t="array" ref="J34">_xlfn.TEXTJOIN(CHAR(10),TRUE,_xlfn._xlws.SORT(IF((--($B34=Flowdown_BTE[[URS]:[URS]]))*(--(J$14=Flowdown_BTE[[Source.Name]:[Source.Name]])),Flowdown_BTE[[SyRS]:[SyRS]],"")))</f>
        <v/>
      </c>
      <c r="K34" s="12" t="str" cm="1">
        <f t="array" ref="K34">_xlfn.TEXTJOIN(CHAR(10),TRUE,_xlfn._xlws.SORT(IF((--($B34=Flowdown_BTE[[URS]:[URS]]))*(--(K$14=Flowdown_BTE[[Source.Name]:[Source.Name]])),Flowdown_BTE[[SyRS]:[SyRS]],"")))</f>
        <v/>
      </c>
      <c r="L34" s="16" t="b" cm="1">
        <f t="array" ref="L34">OR(LEN(C34:K34)&gt;0)</f>
        <v>1</v>
      </c>
    </row>
    <row r="35" spans="2:12" ht="243" x14ac:dyDescent="0.2">
      <c r="B35" s="11" t="str">
        <v>MASTER-41945</v>
      </c>
      <c r="C35" s="12" t="str" cm="1">
        <f t="array" ref="C35">_xlfn.TEXTJOIN(CHAR(10),TRUE,_xlfn._xlws.SORT(IF((--($B35=Flowdown_BTE[[URS]:[URS]]))*(--(C$14=Flowdown_BTE[[Source.Name]:[Source.Name]])),Flowdown_BTE[[SyRS]:[SyRS]],"")))</f>
        <v/>
      </c>
      <c r="D35" s="12" t="str" cm="1">
        <f t="array" ref="D35">_xlfn.TEXTJOIN(CHAR(10),TRUE,_xlfn._xlws.SORT(IF((--($B35=Flowdown_BTE[[URS]:[URS]]))*(--(D$14=Flowdown_BTE[[Source.Name]:[Source.Name]])),Flowdown_BTE[[SyRS]:[SyRS]],"")))</f>
        <v/>
      </c>
      <c r="E35" s="12" t="str" cm="1">
        <f t="array" ref="E35">_xlfn.TEXTJOIN(CHAR(10),TRUE,_xlfn._xlws.SORT(IF((--($B35=Flowdown_BTE[[URS]:[URS]]))*(--(E$14=Flowdown_BTE[[Source.Name]:[Source.Name]])),Flowdown_BTE[[SyRS]:[SyRS]],"")))</f>
        <v/>
      </c>
      <c r="F35" s="12" t="str" cm="1">
        <f t="array" ref="F35">_xlfn.TEXTJOIN(CHAR(10),TRUE,_xlfn._xlws.SORT(IF((--($B35=Flowdown_BTE[[URS]:[URS]]))*(--(F$14=Flowdown_BTE[[Source.Name]:[Source.Name]])),Flowdown_BTE[[SyRS]:[SyRS]],"")))</f>
        <v/>
      </c>
      <c r="G35" s="12" t="str" cm="1">
        <f t="array" ref="G35">_xlfn.TEXTJOIN(CHAR(10),TRUE,_xlfn._xlws.SORT(IF((--($B35=Flowdown_BTE[[URS]:[URS]]))*(--(G$14=Flowdown_BTE[[Source.Name]:[Source.Name]])),Flowdown_BTE[[SyRS]:[SyRS]],"")))</f>
        <v/>
      </c>
      <c r="H35" s="12" t="str" cm="1">
        <f t="array" ref="H35">_xlfn.TEXTJOIN(CHAR(10),TRUE,_xlfn._xlws.SORT(IF((--($B35=Flowdown_BTE[[URS]:[URS]]))*(--(H$14=Flowdown_BTE[[Source.Name]:[Source.Name]])),Flowdown_BTE[[SyRS]:[SyRS]],"")))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35" s="12" t="str" cm="1">
        <f t="array" ref="I35">_xlfn.TEXTJOIN(CHAR(10),TRUE,_xlfn._xlws.SORT(IF((--($B35=Flowdown_BTE[[URS]:[URS]]))*(--(I$14=Flowdown_BTE[[Source.Name]:[Source.Name]])),Flowdown_BTE[[SyRS]:[SyRS]],"")))</f>
        <v/>
      </c>
      <c r="J35" s="12" t="str" cm="1">
        <f t="array" ref="J35">_xlfn.TEXTJOIN(CHAR(10),TRUE,_xlfn._xlws.SORT(IF((--($B35=Flowdown_BTE[[URS]:[URS]]))*(--(J$14=Flowdown_BTE[[Source.Name]:[Source.Name]])),Flowdown_BTE[[SyRS]:[SyRS]],"")))</f>
        <v/>
      </c>
      <c r="K35" s="12" t="str" cm="1">
        <f t="array" ref="K35">_xlfn.TEXTJOIN(CHAR(10),TRUE,_xlfn._xlws.SORT(IF((--($B35=Flowdown_BTE[[URS]:[URS]]))*(--(K$14=Flowdown_BTE[[Source.Name]:[Source.Name]])),Flowdown_BTE[[SyRS]:[SyRS]],"")))</f>
        <v/>
      </c>
      <c r="L35" s="16" t="b" cm="1">
        <f t="array" ref="L35">OR(LEN(C35:K35)&gt;0)</f>
        <v>1</v>
      </c>
    </row>
    <row r="36" spans="2:12" ht="202.5" x14ac:dyDescent="0.2">
      <c r="B36" s="11" t="str">
        <v>MASTER-41946</v>
      </c>
      <c r="C36" s="12" t="str" cm="1">
        <f t="array" ref="C36">_xlfn.TEXTJOIN(CHAR(10),TRUE,_xlfn._xlws.SORT(IF((--($B36=Flowdown_BTE[[URS]:[URS]]))*(--(C$14=Flowdown_BTE[[Source.Name]:[Source.Name]])),Flowdown_BTE[[SyRS]:[SyRS]],"")))</f>
        <v/>
      </c>
      <c r="D36" s="12" t="str" cm="1">
        <f t="array" ref="D36">_xlfn.TEXTJOIN(CHAR(10),TRUE,_xlfn._xlws.SORT(IF((--($B36=Flowdown_BTE[[URS]:[URS]]))*(--(D$14=Flowdown_BTE[[Source.Name]:[Source.Name]])),Flowdown_BTE[[SyRS]:[SyRS]],"")))</f>
        <v/>
      </c>
      <c r="E36" s="12" t="str" cm="1">
        <f t="array" ref="E36">_xlfn.TEXTJOIN(CHAR(10),TRUE,_xlfn._xlws.SORT(IF((--($B36=Flowdown_BTE[[URS]:[URS]]))*(--(E$14=Flowdown_BTE[[Source.Name]:[Source.Name]])),Flowdown_BTE[[SyRS]:[SyRS]],"")))</f>
        <v/>
      </c>
      <c r="F36" s="12" t="str" cm="1">
        <f t="array" ref="F36">_xlfn.TEXTJOIN(CHAR(10),TRUE,_xlfn._xlws.SORT(IF((--($B36=Flowdown_BTE[[URS]:[URS]]))*(--(F$14=Flowdown_BTE[[Source.Name]:[Source.Name]])),Flowdown_BTE[[SyRS]:[SyRS]],"")))</f>
        <v/>
      </c>
      <c r="G36" s="12" t="str" cm="1">
        <f t="array" ref="G36">_xlfn.TEXTJOIN(CHAR(10),TRUE,_xlfn._xlws.SORT(IF((--($B36=Flowdown_BTE[[URS]:[URS]]))*(--(G$14=Flowdown_BTE[[Source.Name]:[Source.Name]])),Flowdown_BTE[[SyRS]:[SyRS]],"")))</f>
        <v/>
      </c>
      <c r="H36" s="12" t="str" cm="1">
        <f t="array" ref="H36">_xlfn.TEXTJOIN(CHAR(10),TRUE,_xlfn._xlws.SORT(IF((--($B36=Flowdown_BTE[[URS]:[URS]]))*(--(H$14=Flowdown_BTE[[Source.Name]:[Source.Name]])),Flowdown_BTE[[SyRS]:[SyRS]],"")))</f>
        <v>MASTER-21588
MASTER-21593
MASTER-22463
MASTER-22466
MASTER-22467
MASTER-22472
MASTER-22491
MASTER-22493
MASTER-22497
MASTER-22498
MASTER-22509
MASTER-22511
MASTER-22518
MASTER-22521
MASTER-22522</v>
      </c>
      <c r="I36" s="12" t="str" cm="1">
        <f t="array" ref="I36">_xlfn.TEXTJOIN(CHAR(10),TRUE,_xlfn._xlws.SORT(IF((--($B36=Flowdown_BTE[[URS]:[URS]]))*(--(I$14=Flowdown_BTE[[Source.Name]:[Source.Name]])),Flowdown_BTE[[SyRS]:[SyRS]],"")))</f>
        <v/>
      </c>
      <c r="J36" s="12" t="str" cm="1">
        <f t="array" ref="J36">_xlfn.TEXTJOIN(CHAR(10),TRUE,_xlfn._xlws.SORT(IF((--($B36=Flowdown_BTE[[URS]:[URS]]))*(--(J$14=Flowdown_BTE[[Source.Name]:[Source.Name]])),Flowdown_BTE[[SyRS]:[SyRS]],"")))</f>
        <v/>
      </c>
      <c r="K36" s="12" t="str" cm="1">
        <f t="array" ref="K36">_xlfn.TEXTJOIN(CHAR(10),TRUE,_xlfn._xlws.SORT(IF((--($B36=Flowdown_BTE[[URS]:[URS]]))*(--(K$14=Flowdown_BTE[[Source.Name]:[Source.Name]])),Flowdown_BTE[[SyRS]:[SyRS]],"")))</f>
        <v/>
      </c>
      <c r="L36" s="16" t="b" cm="1">
        <f t="array" ref="L36">OR(LEN(C36:K36)&gt;0)</f>
        <v>1</v>
      </c>
    </row>
    <row r="37" spans="2:12" ht="135" x14ac:dyDescent="0.2">
      <c r="B37" s="11" t="str">
        <v>MASTER-41947</v>
      </c>
      <c r="C37" s="12" t="str" cm="1">
        <f t="array" ref="C37">_xlfn.TEXTJOIN(CHAR(10),TRUE,_xlfn._xlws.SORT(IF((--($B37=Flowdown_BTE[[URS]:[URS]]))*(--(C$14=Flowdown_BTE[[Source.Name]:[Source.Name]])),Flowdown_BTE[[SyRS]:[SyRS]],"")))</f>
        <v/>
      </c>
      <c r="D37" s="12" t="str" cm="1">
        <f t="array" ref="D37">_xlfn.TEXTJOIN(CHAR(10),TRUE,_xlfn._xlws.SORT(IF((--($B37=Flowdown_BTE[[URS]:[URS]]))*(--(D$14=Flowdown_BTE[[Source.Name]:[Source.Name]])),Flowdown_BTE[[SyRS]:[SyRS]],"")))</f>
        <v/>
      </c>
      <c r="E37" s="12" t="str" cm="1">
        <f t="array" ref="E37">_xlfn.TEXTJOIN(CHAR(10),TRUE,_xlfn._xlws.SORT(IF((--($B37=Flowdown_BTE[[URS]:[URS]]))*(--(E$14=Flowdown_BTE[[Source.Name]:[Source.Name]])),Flowdown_BTE[[SyRS]:[SyRS]],"")))</f>
        <v/>
      </c>
      <c r="F37" s="12" t="str" cm="1">
        <f t="array" ref="F37">_xlfn.TEXTJOIN(CHAR(10),TRUE,_xlfn._xlws.SORT(IF((--($B37=Flowdown_BTE[[URS]:[URS]]))*(--(F$14=Flowdown_BTE[[Source.Name]:[Source.Name]])),Flowdown_BTE[[SyRS]:[SyRS]],"")))</f>
        <v/>
      </c>
      <c r="G37" s="12" t="str" cm="1">
        <f t="array" ref="G37">_xlfn.TEXTJOIN(CHAR(10),TRUE,_xlfn._xlws.SORT(IF((--($B37=Flowdown_BTE[[URS]:[URS]]))*(--(G$14=Flowdown_BTE[[Source.Name]:[Source.Name]])),Flowdown_BTE[[SyRS]:[SyRS]],"")))</f>
        <v/>
      </c>
      <c r="H37" s="12" t="str" cm="1">
        <f t="array" ref="H37">_xlfn.TEXTJOIN(CHAR(10),TRUE,_xlfn._xlws.SORT(IF((--($B37=Flowdown_BTE[[URS]:[URS]]))*(--(H$14=Flowdown_BTE[[Source.Name]:[Source.Name]])),Flowdown_BTE[[SyRS]:[SyRS]],"")))</f>
        <v>MASTER-22463
MASTER-22465
MASTER-22466
MASTER-22474
MASTER-22488
MASTER-22489
MASTER-22492
MASTER-22513
MASTER-22514
MASTER-22525</v>
      </c>
      <c r="I37" s="12" t="str" cm="1">
        <f t="array" ref="I37">_xlfn.TEXTJOIN(CHAR(10),TRUE,_xlfn._xlws.SORT(IF((--($B37=Flowdown_BTE[[URS]:[URS]]))*(--(I$14=Flowdown_BTE[[Source.Name]:[Source.Name]])),Flowdown_BTE[[SyRS]:[SyRS]],"")))</f>
        <v/>
      </c>
      <c r="J37" s="12" t="str" cm="1">
        <f t="array" ref="J37">_xlfn.TEXTJOIN(CHAR(10),TRUE,_xlfn._xlws.SORT(IF((--($B37=Flowdown_BTE[[URS]:[URS]]))*(--(J$14=Flowdown_BTE[[Source.Name]:[Source.Name]])),Flowdown_BTE[[SyRS]:[SyRS]],"")))</f>
        <v/>
      </c>
      <c r="K37" s="12" t="str" cm="1">
        <f t="array" ref="K37">_xlfn.TEXTJOIN(CHAR(10),TRUE,_xlfn._xlws.SORT(IF((--($B37=Flowdown_BTE[[URS]:[URS]]))*(--(K$14=Flowdown_BTE[[Source.Name]:[Source.Name]])),Flowdown_BTE[[SyRS]:[SyRS]],"")))</f>
        <v/>
      </c>
      <c r="L37" s="16" t="b" cm="1">
        <f t="array" ref="L37">OR(LEN(C37:K37)&gt;0)</f>
        <v>1</v>
      </c>
    </row>
    <row r="38" spans="2:12" ht="135" x14ac:dyDescent="0.2">
      <c r="B38" s="11" t="str">
        <v>MASTER-46116</v>
      </c>
      <c r="C38" s="12" t="str" cm="1">
        <f t="array" ref="C38">_xlfn.TEXTJOIN(CHAR(10),TRUE,_xlfn._xlws.SORT(IF((--($B38=Flowdown_BTE[[URS]:[URS]]))*(--(C$14=Flowdown_BTE[[Source.Name]:[Source.Name]])),Flowdown_BTE[[SyRS]:[SyRS]],"")))</f>
        <v>MASTER-42182
MASTER-42187
MASTER-42188
MASTER-42189
MASTER-42191</v>
      </c>
      <c r="D38" s="12" t="str" cm="1">
        <f t="array" ref="D38">_xlfn.TEXTJOIN(CHAR(10),TRUE,_xlfn._xlws.SORT(IF((--($B38=Flowdown_BTE[[URS]:[URS]]))*(--(D$14=Flowdown_BTE[[Source.Name]:[Source.Name]])),Flowdown_BTE[[SyRS]:[SyRS]],"")))</f>
        <v>MASTER-42182
MASTER-42187
MASTER-42188
MASTER-42189
MASTER-42191</v>
      </c>
      <c r="E38" s="12" t="str" cm="1">
        <f t="array" ref="E38">_xlfn.TEXTJOIN(CHAR(10),TRUE,_xlfn._xlws.SORT(IF((--($B38=Flowdown_BTE[[URS]:[URS]]))*(--(E$14=Flowdown_BTE[[Source.Name]:[Source.Name]])),Flowdown_BTE[[SyRS]:[SyRS]],"")))</f>
        <v>MASTER-42182
MASTER-42187
MASTER-42188
MASTER-42189
MASTER-42191</v>
      </c>
      <c r="F38" s="12" t="str" cm="1">
        <f t="array" ref="F38">_xlfn.TEXTJOIN(CHAR(10),TRUE,_xlfn._xlws.SORT(IF((--($B38=Flowdown_BTE[[URS]:[URS]]))*(--(F$14=Flowdown_BTE[[Source.Name]:[Source.Name]])),Flowdown_BTE[[SyRS]:[SyRS]],"")))</f>
        <v>MASTER-42182
MASTER-42187
MASTER-42188
MASTER-42189
MASTER-42191</v>
      </c>
      <c r="G38" s="12" t="str" cm="1">
        <f t="array" ref="G38">_xlfn.TEXTJOIN(CHAR(10),TRUE,_xlfn._xlws.SORT(IF((--($B38=Flowdown_BTE[[URS]:[URS]]))*(--(G$14=Flowdown_BTE[[Source.Name]:[Source.Name]])),Flowdown_BTE[[SyRS]:[SyRS]],"")))</f>
        <v>MASTER-42182
MASTER-42187
MASTER-42188
MASTER-42189
MASTER-42191</v>
      </c>
      <c r="H38" s="12" t="str" cm="1">
        <f t="array" ref="H38">_xlfn.TEXTJOIN(CHAR(10),TRUE,_xlfn._xlws.SORT(IF((--($B38=Flowdown_BTE[[URS]:[URS]]))*(--(H$14=Flowdown_BTE[[Source.Name]:[Source.Name]])),Flowdown_BTE[[SyRS]:[SyRS]],"")))</f>
        <v/>
      </c>
      <c r="I38" s="12" t="str" cm="1">
        <f t="array" ref="I38">_xlfn.TEXTJOIN(CHAR(10),TRUE,_xlfn._xlws.SORT(IF((--($B38=Flowdown_BTE[[URS]:[URS]]))*(--(I$14=Flowdown_BTE[[Source.Name]:[Source.Name]])),Flowdown_BTE[[SyRS]:[SyRS]],"")))</f>
        <v/>
      </c>
      <c r="J38" s="12" t="str" cm="1">
        <f t="array" ref="J38">_xlfn.TEXTJOIN(CHAR(10),TRUE,_xlfn._xlws.SORT(IF((--($B38=Flowdown_BTE[[URS]:[URS]]))*(--(J$14=Flowdown_BTE[[Source.Name]:[Source.Name]])),Flowdown_BTE[[SyRS]:[SyRS]],"")))</f>
        <v/>
      </c>
      <c r="K38" s="12" t="str" cm="1">
        <f t="array" ref="K38">_xlfn.TEXTJOIN(CHAR(10),TRUE,_xlfn._xlws.SORT(IF((--($B38=Flowdown_BTE[[URS]:[URS]]))*(--(K$14=Flowdown_BTE[[Source.Name]:[Source.Name]])),Flowdown_BTE[[SyRS]:[SyRS]],"")))</f>
        <v>MASTER-41931
MASTER-41933
MASTER-41934
MASTER-41935
MASTER-41951
MASTER-41952
MASTER-51276
MASTER-51277
MASTER-58690
MASTER-58693</v>
      </c>
      <c r="L38" s="16" t="b" cm="1">
        <f t="array" ref="L38">OR(LEN(C38:K38)&gt;0)</f>
        <v>1</v>
      </c>
    </row>
    <row r="39" spans="2:12" ht="189" x14ac:dyDescent="0.2">
      <c r="B39" s="11" t="str">
        <v>MASTER-46117</v>
      </c>
      <c r="C39" s="12" t="str" cm="1">
        <f t="array" ref="C39">_xlfn.TEXTJOIN(CHAR(10),TRUE,_xlfn._xlws.SORT(IF((--($B39=Flowdown_BTE[[URS]:[URS]]))*(--(C$14=Flowdown_BTE[[Source.Name]:[Source.Name]])),Flowdown_BTE[[SyRS]:[SyRS]],"")))</f>
        <v>MASTER-42106
MASTER-42110
MASTER-42111
MASTER-42112
MASTER-42177
MASTER-42178
MASTER-42180
MASTER-42182
MASTER-42188
MASTER-42191
MASTER-42192</v>
      </c>
      <c r="D39" s="12" t="str" cm="1">
        <f t="array" ref="D39">_xlfn.TEXTJOIN(CHAR(10),TRUE,_xlfn._xlws.SORT(IF((--($B39=Flowdown_BTE[[URS]:[URS]]))*(--(D$14=Flowdown_BTE[[Source.Name]:[Source.Name]])),Flowdown_BTE[[SyRS]:[SyRS]],"")))</f>
        <v>MASTER-42106
MASTER-42110
MASTER-42111
MASTER-42112
MASTER-42177
MASTER-42178
MASTER-42180
MASTER-42182
MASTER-42188
MASTER-42191
MASTER-42192</v>
      </c>
      <c r="E39" s="12" t="str" cm="1">
        <f t="array" ref="E39">_xlfn.TEXTJOIN(CHAR(10),TRUE,_xlfn._xlws.SORT(IF((--($B39=Flowdown_BTE[[URS]:[URS]]))*(--(E$14=Flowdown_BTE[[Source.Name]:[Source.Name]])),Flowdown_BTE[[SyRS]:[SyRS]],"")))</f>
        <v>MASTER-42106
MASTER-42110
MASTER-42111
MASTER-42112
MASTER-42177
MASTER-42178
MASTER-42180
MASTER-42182
MASTER-42188
MASTER-42191
MASTER-42192</v>
      </c>
      <c r="F39" s="12" t="str" cm="1">
        <f t="array" ref="F39">_xlfn.TEXTJOIN(CHAR(10),TRUE,_xlfn._xlws.SORT(IF((--($B39=Flowdown_BTE[[URS]:[URS]]))*(--(F$14=Flowdown_BTE[[Source.Name]:[Source.Name]])),Flowdown_BTE[[SyRS]:[SyRS]],"")))</f>
        <v>MASTER-42106
MASTER-42110
MASTER-42111
MASTER-42112
MASTER-42177
MASTER-42178
MASTER-42180
MASTER-42182
MASTER-42188
MASTER-42191
MASTER-42192</v>
      </c>
      <c r="G39" s="12" t="str" cm="1">
        <f t="array" ref="G39">_xlfn.TEXTJOIN(CHAR(10),TRUE,_xlfn._xlws.SORT(IF((--($B39=Flowdown_BTE[[URS]:[URS]]))*(--(G$14=Flowdown_BTE[[Source.Name]:[Source.Name]])),Flowdown_BTE[[SyRS]:[SyRS]],"")))</f>
        <v>MASTER-42106
MASTER-42110
MASTER-42111
MASTER-42112
MASTER-42177
MASTER-42178
MASTER-42180
MASTER-42182
MASTER-42188
MASTER-42191
MASTER-42192</v>
      </c>
      <c r="H39" s="12" t="str" cm="1">
        <f t="array" ref="H39">_xlfn.TEXTJOIN(CHAR(10),TRUE,_xlfn._xlws.SORT(IF((--($B39=Flowdown_BTE[[URS]:[URS]]))*(--(H$14=Flowdown_BTE[[Source.Name]:[Source.Name]])),Flowdown_BTE[[SyRS]:[SyRS]],"")))</f>
        <v/>
      </c>
      <c r="I39" s="12" t="str" cm="1">
        <f t="array" ref="I39">_xlfn.TEXTJOIN(CHAR(10),TRUE,_xlfn._xlws.SORT(IF((--($B39=Flowdown_BTE[[URS]:[URS]]))*(--(I$14=Flowdown_BTE[[Source.Name]:[Source.Name]])),Flowdown_BTE[[SyRS]:[SyRS]],"")))</f>
        <v/>
      </c>
      <c r="J39" s="12" t="str" cm="1">
        <f t="array" ref="J39">_xlfn.TEXTJOIN(CHAR(10),TRUE,_xlfn._xlws.SORT(IF((--($B39=Flowdown_BTE[[URS]:[URS]]))*(--(J$14=Flowdown_BTE[[Source.Name]:[Source.Name]])),Flowdown_BTE[[SyRS]:[SyRS]],"")))</f>
        <v/>
      </c>
      <c r="K39" s="12" t="str" cm="1">
        <f t="array" ref="K39">_xlfn.TEXTJOIN(CHAR(10),TRUE,_xlfn._xlws.SORT(IF((--($B39=Flowdown_BTE[[URS]:[URS]]))*(--(K$14=Flowdown_BTE[[Source.Name]:[Source.Name]])),Flowdown_BTE[[SyRS]:[SyRS]],"")))</f>
        <v>MASTER-41933
MASTER-41934
MASTER-41935
MASTER-41936
MASTER-41937
MASTER-41951
MASTER-41952
MASTER-41953
MASTER-51275
MASTER-51276
MASTER-51277
MASTER-58690
MASTER-58691
MASTER-58693</v>
      </c>
      <c r="L39" s="16" t="b" cm="1">
        <f t="array" ref="L39">OR(LEN(C39:K39)&gt;0)</f>
        <v>1</v>
      </c>
    </row>
    <row r="40" spans="2:12" ht="94.5" x14ac:dyDescent="0.2">
      <c r="B40" s="11" t="str">
        <v>MASTER-46243</v>
      </c>
      <c r="C40" s="12" t="str" cm="1">
        <f t="array" ref="C40">_xlfn.TEXTJOIN(CHAR(10),TRUE,_xlfn._xlws.SORT(IF((--($B40=Flowdown_BTE[[URS]:[URS]]))*(--(C$14=Flowdown_BTE[[Source.Name]:[Source.Name]])),Flowdown_BTE[[SyRS]:[SyRS]],"")))</f>
        <v>MASTER-49260
MASTER-49262
MASTER-49266
MASTER-50794
MASTER-60679
MASTER-60680
MASTER-60683</v>
      </c>
      <c r="D40" s="12" t="str" cm="1">
        <f t="array" ref="D40">_xlfn.TEXTJOIN(CHAR(10),TRUE,_xlfn._xlws.SORT(IF((--($B40=Flowdown_BTE[[URS]:[URS]]))*(--(D$14=Flowdown_BTE[[Source.Name]:[Source.Name]])),Flowdown_BTE[[SyRS]:[SyRS]],"")))</f>
        <v>MASTER-49260
MASTER-49262
MASTER-49266
MASTER-50794
MASTER-60679
MASTER-60680
MASTER-60683</v>
      </c>
      <c r="E40" s="12" t="str" cm="1">
        <f t="array" ref="E40">_xlfn.TEXTJOIN(CHAR(10),TRUE,_xlfn._xlws.SORT(IF((--($B40=Flowdown_BTE[[URS]:[URS]]))*(--(E$14=Flowdown_BTE[[Source.Name]:[Source.Name]])),Flowdown_BTE[[SyRS]:[SyRS]],"")))</f>
        <v>MASTER-49260
MASTER-49262
MASTER-49266
MASTER-50794
MASTER-60679
MASTER-60683</v>
      </c>
      <c r="F40" s="12" t="str" cm="1">
        <f t="array" ref="F40">_xlfn.TEXTJOIN(CHAR(10),TRUE,_xlfn._xlws.SORT(IF((--($B40=Flowdown_BTE[[URS]:[URS]]))*(--(F$14=Flowdown_BTE[[Source.Name]:[Source.Name]])),Flowdown_BTE[[SyRS]:[SyRS]],"")))</f>
        <v>MASTER-49260
MASTER-49262
MASTER-49266
MASTER-50794
MASTER-60679
MASTER-60683</v>
      </c>
      <c r="G40" s="12" t="str" cm="1">
        <f t="array" ref="G40">_xlfn.TEXTJOIN(CHAR(10),TRUE,_xlfn._xlws.SORT(IF((--($B40=Flowdown_BTE[[URS]:[URS]]))*(--(G$14=Flowdown_BTE[[Source.Name]:[Source.Name]])),Flowdown_BTE[[SyRS]:[SyRS]],"")))</f>
        <v>MASTER-49260
MASTER-49262
MASTER-49266
MASTER-50794
MASTER-60679
MASTER-60680
MASTER-60683</v>
      </c>
      <c r="H40" s="12" t="str" cm="1">
        <f t="array" ref="H40">_xlfn.TEXTJOIN(CHAR(10),TRUE,_xlfn._xlws.SORT(IF((--($B40=Flowdown_BTE[[URS]:[URS]]))*(--(H$14=Flowdown_BTE[[Source.Name]:[Source.Name]])),Flowdown_BTE[[SyRS]:[SyRS]],"")))</f>
        <v>MASTER-60789
MASTER-60791
MASTER-60795</v>
      </c>
      <c r="I40" s="12" t="str" cm="1">
        <f t="array" ref="I40">_xlfn.TEXTJOIN(CHAR(10),TRUE,_xlfn._xlws.SORT(IF((--($B40=Flowdown_BTE[[URS]:[URS]]))*(--(I$14=Flowdown_BTE[[Source.Name]:[Source.Name]])),Flowdown_BTE[[SyRS]:[SyRS]],"")))</f>
        <v/>
      </c>
      <c r="J40" s="12" t="str" cm="1">
        <f t="array" ref="J40">_xlfn.TEXTJOIN(CHAR(10),TRUE,_xlfn._xlws.SORT(IF((--($B40=Flowdown_BTE[[URS]:[URS]]))*(--(J$14=Flowdown_BTE[[Source.Name]:[Source.Name]])),Flowdown_BTE[[SyRS]:[SyRS]],"")))</f>
        <v/>
      </c>
      <c r="K40" s="12" t="str" cm="1">
        <f t="array" ref="K40">_xlfn.TEXTJOIN(CHAR(10),TRUE,_xlfn._xlws.SORT(IF((--($B40=Flowdown_BTE[[URS]:[URS]]))*(--(K$14=Flowdown_BTE[[Source.Name]:[Source.Name]])),Flowdown_BTE[[SyRS]:[SyRS]],"")))</f>
        <v>MASTER-49268
MASTER-56840
MASTER-56841
MASTER-56842</v>
      </c>
      <c r="L40" s="16" t="b" cm="1">
        <f t="array" ref="L40">OR(LEN(C40:K40)&gt;0)</f>
        <v>1</v>
      </c>
    </row>
    <row r="41" spans="2:12" ht="54" x14ac:dyDescent="0.2">
      <c r="B41" s="11" t="str">
        <v>MASTER-46244</v>
      </c>
      <c r="C41" s="12" t="str" cm="1">
        <f t="array" ref="C41">_xlfn.TEXTJOIN(CHAR(10),TRUE,_xlfn._xlws.SORT(IF((--($B41=Flowdown_BTE[[URS]:[URS]]))*(--(C$14=Flowdown_BTE[[Source.Name]:[Source.Name]])),Flowdown_BTE[[SyRS]:[SyRS]],"")))</f>
        <v>MASTER-49260
MASTER-49262
MASTER-50794</v>
      </c>
      <c r="D41" s="12" t="str" cm="1">
        <f t="array" ref="D41">_xlfn.TEXTJOIN(CHAR(10),TRUE,_xlfn._xlws.SORT(IF((--($B41=Flowdown_BTE[[URS]:[URS]]))*(--(D$14=Flowdown_BTE[[Source.Name]:[Source.Name]])),Flowdown_BTE[[SyRS]:[SyRS]],"")))</f>
        <v>MASTER-49260
MASTER-49262
MASTER-50794</v>
      </c>
      <c r="E41" s="12" t="str" cm="1">
        <f t="array" ref="E41">_xlfn.TEXTJOIN(CHAR(10),TRUE,_xlfn._xlws.SORT(IF((--($B41=Flowdown_BTE[[URS]:[URS]]))*(--(E$14=Flowdown_BTE[[Source.Name]:[Source.Name]])),Flowdown_BTE[[SyRS]:[SyRS]],"")))</f>
        <v>MASTER-49260
MASTER-49262
MASTER-50794</v>
      </c>
      <c r="F41" s="12" t="str" cm="1">
        <f t="array" ref="F41">_xlfn.TEXTJOIN(CHAR(10),TRUE,_xlfn._xlws.SORT(IF((--($B41=Flowdown_BTE[[URS]:[URS]]))*(--(F$14=Flowdown_BTE[[Source.Name]:[Source.Name]])),Flowdown_BTE[[SyRS]:[SyRS]],"")))</f>
        <v>MASTER-49260
MASTER-49262
MASTER-50794</v>
      </c>
      <c r="G41" s="12" t="str" cm="1">
        <f t="array" ref="G41">_xlfn.TEXTJOIN(CHAR(10),TRUE,_xlfn._xlws.SORT(IF((--($B41=Flowdown_BTE[[URS]:[URS]]))*(--(G$14=Flowdown_BTE[[Source.Name]:[Source.Name]])),Flowdown_BTE[[SyRS]:[SyRS]],"")))</f>
        <v>MASTER-49260
MASTER-49262
MASTER-50794</v>
      </c>
      <c r="H41" s="12" t="str" cm="1">
        <f t="array" ref="H41">_xlfn.TEXTJOIN(CHAR(10),TRUE,_xlfn._xlws.SORT(IF((--($B41=Flowdown_BTE[[URS]:[URS]]))*(--(H$14=Flowdown_BTE[[Source.Name]:[Source.Name]])),Flowdown_BTE[[SyRS]:[SyRS]],"")))</f>
        <v>MASTER-60791</v>
      </c>
      <c r="I41" s="12" t="str" cm="1">
        <f t="array" ref="I41">_xlfn.TEXTJOIN(CHAR(10),TRUE,_xlfn._xlws.SORT(IF((--($B41=Flowdown_BTE[[URS]:[URS]]))*(--(I$14=Flowdown_BTE[[Source.Name]:[Source.Name]])),Flowdown_BTE[[SyRS]:[SyRS]],"")))</f>
        <v/>
      </c>
      <c r="J41" s="12" t="str" cm="1">
        <f t="array" ref="J41">_xlfn.TEXTJOIN(CHAR(10),TRUE,_xlfn._xlws.SORT(IF((--($B41=Flowdown_BTE[[URS]:[URS]]))*(--(J$14=Flowdown_BTE[[Source.Name]:[Source.Name]])),Flowdown_BTE[[SyRS]:[SyRS]],"")))</f>
        <v/>
      </c>
      <c r="K41" s="12" t="str" cm="1">
        <f t="array" ref="K41">_xlfn.TEXTJOIN(CHAR(10),TRUE,_xlfn._xlws.SORT(IF((--($B41=Flowdown_BTE[[URS]:[URS]]))*(--(K$14=Flowdown_BTE[[Source.Name]:[Source.Name]])),Flowdown_BTE[[SyRS]:[SyRS]],"")))</f>
        <v>MASTER-49268
MASTER-56840
MASTER-56841
MASTER-56842</v>
      </c>
      <c r="L41" s="16" t="b" cm="1">
        <f t="array" ref="L41">OR(LEN(C41:K41)&gt;0)</f>
        <v>1</v>
      </c>
    </row>
    <row r="42" spans="2:12" ht="13.5" x14ac:dyDescent="0.2">
      <c r="B42" s="11" t="str">
        <v>MASTER-47567</v>
      </c>
      <c r="C42" s="12" t="str" cm="1">
        <f t="array" ref="C42">_xlfn.TEXTJOIN(CHAR(10),TRUE,_xlfn._xlws.SORT(IF((--($B42=Flowdown_BTE[[URS]:[URS]]))*(--(C$14=Flowdown_BTE[[Source.Name]:[Source.Name]])),Flowdown_BTE[[SyRS]:[SyRS]],"")))</f>
        <v>MASTER-50022</v>
      </c>
      <c r="D42" s="12" t="str" cm="1">
        <f t="array" ref="D42">_xlfn.TEXTJOIN(CHAR(10),TRUE,_xlfn._xlws.SORT(IF((--($B42=Flowdown_BTE[[URS]:[URS]]))*(--(D$14=Flowdown_BTE[[Source.Name]:[Source.Name]])),Flowdown_BTE[[SyRS]:[SyRS]],"")))</f>
        <v>MASTER-50022</v>
      </c>
      <c r="E42" s="12" t="str" cm="1">
        <f t="array" ref="E42">_xlfn.TEXTJOIN(CHAR(10),TRUE,_xlfn._xlws.SORT(IF((--($B42=Flowdown_BTE[[URS]:[URS]]))*(--(E$14=Flowdown_BTE[[Source.Name]:[Source.Name]])),Flowdown_BTE[[SyRS]:[SyRS]],"")))</f>
        <v>MASTER-50022</v>
      </c>
      <c r="F42" s="12" t="str" cm="1">
        <f t="array" ref="F42">_xlfn.TEXTJOIN(CHAR(10),TRUE,_xlfn._xlws.SORT(IF((--($B42=Flowdown_BTE[[URS]:[URS]]))*(--(F$14=Flowdown_BTE[[Source.Name]:[Source.Name]])),Flowdown_BTE[[SyRS]:[SyRS]],"")))</f>
        <v>MASTER-50022</v>
      </c>
      <c r="G42" s="12" t="str" cm="1">
        <f t="array" ref="G42">_xlfn.TEXTJOIN(CHAR(10),TRUE,_xlfn._xlws.SORT(IF((--($B42=Flowdown_BTE[[URS]:[URS]]))*(--(G$14=Flowdown_BTE[[Source.Name]:[Source.Name]])),Flowdown_BTE[[SyRS]:[SyRS]],"")))</f>
        <v>MASTER-50022</v>
      </c>
      <c r="H42" s="12" t="str" cm="1">
        <f t="array" ref="H42">_xlfn.TEXTJOIN(CHAR(10),TRUE,_xlfn._xlws.SORT(IF((--($B42=Flowdown_BTE[[URS]:[URS]]))*(--(H$14=Flowdown_BTE[[Source.Name]:[Source.Name]])),Flowdown_BTE[[SyRS]:[SyRS]],"")))</f>
        <v/>
      </c>
      <c r="I42" s="12" t="str" cm="1">
        <f t="array" ref="I42">_xlfn.TEXTJOIN(CHAR(10),TRUE,_xlfn._xlws.SORT(IF((--($B42=Flowdown_BTE[[URS]:[URS]]))*(--(I$14=Flowdown_BTE[[Source.Name]:[Source.Name]])),Flowdown_BTE[[SyRS]:[SyRS]],"")))</f>
        <v/>
      </c>
      <c r="J42" s="12" t="str" cm="1">
        <f t="array" ref="J42">_xlfn.TEXTJOIN(CHAR(10),TRUE,_xlfn._xlws.SORT(IF((--($B42=Flowdown_BTE[[URS]:[URS]]))*(--(J$14=Flowdown_BTE[[Source.Name]:[Source.Name]])),Flowdown_BTE[[SyRS]:[SyRS]],"")))</f>
        <v/>
      </c>
      <c r="K42" s="12" t="str" cm="1">
        <f t="array" ref="K42">_xlfn.TEXTJOIN(CHAR(10),TRUE,_xlfn._xlws.SORT(IF((--($B42=Flowdown_BTE[[URS]:[URS]]))*(--(K$14=Flowdown_BTE[[Source.Name]:[Source.Name]])),Flowdown_BTE[[SyRS]:[SyRS]],"")))</f>
        <v/>
      </c>
      <c r="L42" s="16" t="b" cm="1">
        <f t="array" ref="L42">OR(LEN(C42:K42)&gt;0)</f>
        <v>1</v>
      </c>
    </row>
    <row r="43" spans="2:12" ht="13.5" x14ac:dyDescent="0.2">
      <c r="B43" s="11" t="str">
        <v>MASTER-47568</v>
      </c>
      <c r="C43" s="12" t="str" cm="1">
        <f t="array" ref="C43">_xlfn.TEXTJOIN(CHAR(10),TRUE,_xlfn._xlws.SORT(IF((--($B43=Flowdown_BTE[[URS]:[URS]]))*(--(C$14=Flowdown_BTE[[Source.Name]:[Source.Name]])),Flowdown_BTE[[SyRS]:[SyRS]],"")))</f>
        <v>MASTER-50022</v>
      </c>
      <c r="D43" s="12" t="str" cm="1">
        <f t="array" ref="D43">_xlfn.TEXTJOIN(CHAR(10),TRUE,_xlfn._xlws.SORT(IF((--($B43=Flowdown_BTE[[URS]:[URS]]))*(--(D$14=Flowdown_BTE[[Source.Name]:[Source.Name]])),Flowdown_BTE[[SyRS]:[SyRS]],"")))</f>
        <v>MASTER-50022</v>
      </c>
      <c r="E43" s="12" t="str" cm="1">
        <f t="array" ref="E43">_xlfn.TEXTJOIN(CHAR(10),TRUE,_xlfn._xlws.SORT(IF((--($B43=Flowdown_BTE[[URS]:[URS]]))*(--(E$14=Flowdown_BTE[[Source.Name]:[Source.Name]])),Flowdown_BTE[[SyRS]:[SyRS]],"")))</f>
        <v>MASTER-50022</v>
      </c>
      <c r="F43" s="12" t="str" cm="1">
        <f t="array" ref="F43">_xlfn.TEXTJOIN(CHAR(10),TRUE,_xlfn._xlws.SORT(IF((--($B43=Flowdown_BTE[[URS]:[URS]]))*(--(F$14=Flowdown_BTE[[Source.Name]:[Source.Name]])),Flowdown_BTE[[SyRS]:[SyRS]],"")))</f>
        <v>MASTER-50022</v>
      </c>
      <c r="G43" s="12" t="str" cm="1">
        <f t="array" ref="G43">_xlfn.TEXTJOIN(CHAR(10),TRUE,_xlfn._xlws.SORT(IF((--($B43=Flowdown_BTE[[URS]:[URS]]))*(--(G$14=Flowdown_BTE[[Source.Name]:[Source.Name]])),Flowdown_BTE[[SyRS]:[SyRS]],"")))</f>
        <v>MASTER-50022</v>
      </c>
      <c r="H43" s="12" t="str" cm="1">
        <f t="array" ref="H43">_xlfn.TEXTJOIN(CHAR(10),TRUE,_xlfn._xlws.SORT(IF((--($B43=Flowdown_BTE[[URS]:[URS]]))*(--(H$14=Flowdown_BTE[[Source.Name]:[Source.Name]])),Flowdown_BTE[[SyRS]:[SyRS]],"")))</f>
        <v/>
      </c>
      <c r="I43" s="12" t="str" cm="1">
        <f t="array" ref="I43">_xlfn.TEXTJOIN(CHAR(10),TRUE,_xlfn._xlws.SORT(IF((--($B43=Flowdown_BTE[[URS]:[URS]]))*(--(I$14=Flowdown_BTE[[Source.Name]:[Source.Name]])),Flowdown_BTE[[SyRS]:[SyRS]],"")))</f>
        <v/>
      </c>
      <c r="J43" s="12" t="str" cm="1">
        <f t="array" ref="J43">_xlfn.TEXTJOIN(CHAR(10),TRUE,_xlfn._xlws.SORT(IF((--($B43=Flowdown_BTE[[URS]:[URS]]))*(--(J$14=Flowdown_BTE[[Source.Name]:[Source.Name]])),Flowdown_BTE[[SyRS]:[SyRS]],"")))</f>
        <v/>
      </c>
      <c r="K43" s="12" t="str" cm="1">
        <f t="array" ref="K43">_xlfn.TEXTJOIN(CHAR(10),TRUE,_xlfn._xlws.SORT(IF((--($B43=Flowdown_BTE[[URS]:[URS]]))*(--(K$14=Flowdown_BTE[[Source.Name]:[Source.Name]])),Flowdown_BTE[[SyRS]:[SyRS]],"")))</f>
        <v/>
      </c>
      <c r="L43" s="16" t="b" cm="1">
        <f t="array" ref="L43">OR(LEN(C43:K43)&gt;0)</f>
        <v>1</v>
      </c>
    </row>
    <row r="44" spans="2:12" ht="108" x14ac:dyDescent="0.2">
      <c r="B44" s="11" t="str">
        <v>MASTER-47569</v>
      </c>
      <c r="C44" s="12" t="str" cm="1">
        <f t="array" ref="C44">_xlfn.TEXTJOIN(CHAR(10),TRUE,_xlfn._xlws.SORT(IF((--($B44=Flowdown_BTE[[URS]:[URS]]))*(--(C$14=Flowdown_BTE[[Source.Name]:[Source.Name]])),Flowdown_BTE[[SyRS]:[SyRS]],"")))</f>
        <v>MASTER-18076
MASTER-50001
MASTER-50004
MASTER-50005
MASTER-50019
MASTER-50020
MASTER-51662
MASTER-51663</v>
      </c>
      <c r="D44" s="12" t="str" cm="1">
        <f t="array" ref="D44">_xlfn.TEXTJOIN(CHAR(10),TRUE,_xlfn._xlws.SORT(IF((--($B44=Flowdown_BTE[[URS]:[URS]]))*(--(D$14=Flowdown_BTE[[Source.Name]:[Source.Name]])),Flowdown_BTE[[SyRS]:[SyRS]],"")))</f>
        <v>MASTER-18076
MASTER-50001
MASTER-50004
MASTER-50005
MASTER-50019
MASTER-50020
MASTER-51662
MASTER-51663</v>
      </c>
      <c r="E44" s="12" t="str" cm="1">
        <f t="array" ref="E44">_xlfn.TEXTJOIN(CHAR(10),TRUE,_xlfn._xlws.SORT(IF((--($B44=Flowdown_BTE[[URS]:[URS]]))*(--(E$14=Flowdown_BTE[[Source.Name]:[Source.Name]])),Flowdown_BTE[[SyRS]:[SyRS]],"")))</f>
        <v>MASTER-18076
MASTER-50001
MASTER-50004
MASTER-50005
MASTER-50019
MASTER-50020
MASTER-51662
MASTER-51663</v>
      </c>
      <c r="F44" s="12" t="str" cm="1">
        <f t="array" ref="F44">_xlfn.TEXTJOIN(CHAR(10),TRUE,_xlfn._xlws.SORT(IF((--($B44=Flowdown_BTE[[URS]:[URS]]))*(--(F$14=Flowdown_BTE[[Source.Name]:[Source.Name]])),Flowdown_BTE[[SyRS]:[SyRS]],"")))</f>
        <v>MASTER-18076
MASTER-50001
MASTER-50004
MASTER-50005
MASTER-50019
MASTER-50020
MASTER-51662
MASTER-51663</v>
      </c>
      <c r="G44" s="12" t="str" cm="1">
        <f t="array" ref="G44">_xlfn.TEXTJOIN(CHAR(10),TRUE,_xlfn._xlws.SORT(IF((--($B44=Flowdown_BTE[[URS]:[URS]]))*(--(G$14=Flowdown_BTE[[Source.Name]:[Source.Name]])),Flowdown_BTE[[SyRS]:[SyRS]],"")))</f>
        <v>MASTER-18076
MASTER-50001
MASTER-50004
MASTER-50005
MASTER-50019
MASTER-50020
MASTER-51662
MASTER-51663</v>
      </c>
      <c r="H44" s="12" t="str" cm="1">
        <f t="array" ref="H44">_xlfn.TEXTJOIN(CHAR(10),TRUE,_xlfn._xlws.SORT(IF((--($B44=Flowdown_BTE[[URS]:[URS]]))*(--(H$14=Flowdown_BTE[[Source.Name]:[Source.Name]])),Flowdown_BTE[[SyRS]:[SyRS]],"")))</f>
        <v/>
      </c>
      <c r="I44" s="12" t="str" cm="1">
        <f t="array" ref="I44">_xlfn.TEXTJOIN(CHAR(10),TRUE,_xlfn._xlws.SORT(IF((--($B44=Flowdown_BTE[[URS]:[URS]]))*(--(I$14=Flowdown_BTE[[Source.Name]:[Source.Name]])),Flowdown_BTE[[SyRS]:[SyRS]],"")))</f>
        <v/>
      </c>
      <c r="J44" s="12" t="str" cm="1">
        <f t="array" ref="J44">_xlfn.TEXTJOIN(CHAR(10),TRUE,_xlfn._xlws.SORT(IF((--($B44=Flowdown_BTE[[URS]:[URS]]))*(--(J$14=Flowdown_BTE[[Source.Name]:[Source.Name]])),Flowdown_BTE[[SyRS]:[SyRS]],"")))</f>
        <v/>
      </c>
      <c r="K44" s="12" t="str" cm="1">
        <f t="array" ref="K44">_xlfn.TEXTJOIN(CHAR(10),TRUE,_xlfn._xlws.SORT(IF((--($B44=Flowdown_BTE[[URS]:[URS]]))*(--(K$14=Flowdown_BTE[[Source.Name]:[Source.Name]])),Flowdown_BTE[[SyRS]:[SyRS]],"")))</f>
        <v>MASTER-50091
MASTER-50092
MASTER-50095
MASTER-50099
MASTER-50100
MASTER-50102
MASTER-50106</v>
      </c>
      <c r="L44" s="16" t="b" cm="1">
        <f t="array" ref="L44">OR(LEN(C44:K44)&gt;0)</f>
        <v>1</v>
      </c>
    </row>
    <row r="45" spans="2:12" ht="13.5" x14ac:dyDescent="0.2">
      <c r="B45" s="11" t="str">
        <v>MASTER-47629</v>
      </c>
      <c r="C45" s="12" t="str" cm="1">
        <f t="array" ref="C45">_xlfn.TEXTJOIN(CHAR(10),TRUE,_xlfn._xlws.SORT(IF((--($B45=Flowdown_BTE[[URS]:[URS]]))*(--(C$14=Flowdown_BTE[[Source.Name]:[Source.Name]])),Flowdown_BTE[[SyRS]:[SyRS]],"")))</f>
        <v>MASTER-42177</v>
      </c>
      <c r="D45" s="12" t="str" cm="1">
        <f t="array" ref="D45">_xlfn.TEXTJOIN(CHAR(10),TRUE,_xlfn._xlws.SORT(IF((--($B45=Flowdown_BTE[[URS]:[URS]]))*(--(D$14=Flowdown_BTE[[Source.Name]:[Source.Name]])),Flowdown_BTE[[SyRS]:[SyRS]],"")))</f>
        <v>MASTER-42177</v>
      </c>
      <c r="E45" s="12" t="str" cm="1">
        <f t="array" ref="E45">_xlfn.TEXTJOIN(CHAR(10),TRUE,_xlfn._xlws.SORT(IF((--($B45=Flowdown_BTE[[URS]:[URS]]))*(--(E$14=Flowdown_BTE[[Source.Name]:[Source.Name]])),Flowdown_BTE[[SyRS]:[SyRS]],"")))</f>
        <v>MASTER-42177</v>
      </c>
      <c r="F45" s="12" t="str" cm="1">
        <f t="array" ref="F45">_xlfn.TEXTJOIN(CHAR(10),TRUE,_xlfn._xlws.SORT(IF((--($B45=Flowdown_BTE[[URS]:[URS]]))*(--(F$14=Flowdown_BTE[[Source.Name]:[Source.Name]])),Flowdown_BTE[[SyRS]:[SyRS]],"")))</f>
        <v>MASTER-42177</v>
      </c>
      <c r="G45" s="12" t="str" cm="1">
        <f t="array" ref="G45">_xlfn.TEXTJOIN(CHAR(10),TRUE,_xlfn._xlws.SORT(IF((--($B45=Flowdown_BTE[[URS]:[URS]]))*(--(G$14=Flowdown_BTE[[Source.Name]:[Source.Name]])),Flowdown_BTE[[SyRS]:[SyRS]],"")))</f>
        <v>MASTER-42177</v>
      </c>
      <c r="H45" s="12" t="str" cm="1">
        <f t="array" ref="H45">_xlfn.TEXTJOIN(CHAR(10),TRUE,_xlfn._xlws.SORT(IF((--($B45=Flowdown_BTE[[URS]:[URS]]))*(--(H$14=Flowdown_BTE[[Source.Name]:[Source.Name]])),Flowdown_BTE[[SyRS]:[SyRS]],"")))</f>
        <v/>
      </c>
      <c r="I45" s="12" t="str" cm="1">
        <f t="array" ref="I45">_xlfn.TEXTJOIN(CHAR(10),TRUE,_xlfn._xlws.SORT(IF((--($B45=Flowdown_BTE[[URS]:[URS]]))*(--(I$14=Flowdown_BTE[[Source.Name]:[Source.Name]])),Flowdown_BTE[[SyRS]:[SyRS]],"")))</f>
        <v/>
      </c>
      <c r="J45" s="12" t="str" cm="1">
        <f t="array" ref="J45">_xlfn.TEXTJOIN(CHAR(10),TRUE,_xlfn._xlws.SORT(IF((--($B45=Flowdown_BTE[[URS]:[URS]]))*(--(J$14=Flowdown_BTE[[Source.Name]:[Source.Name]])),Flowdown_BTE[[SyRS]:[SyRS]],"")))</f>
        <v/>
      </c>
      <c r="K45" s="12" t="str" cm="1">
        <f t="array" ref="K45">_xlfn.TEXTJOIN(CHAR(10),TRUE,_xlfn._xlws.SORT(IF((--($B45=Flowdown_BTE[[URS]:[URS]]))*(--(K$14=Flowdown_BTE[[Source.Name]:[Source.Name]])),Flowdown_BTE[[SyRS]:[SyRS]],"")))</f>
        <v/>
      </c>
      <c r="L45" s="16" t="b" cm="1">
        <f t="array" ref="L45">OR(LEN(C45:K45)&gt;0)</f>
        <v>1</v>
      </c>
    </row>
    <row r="46" spans="2:12" ht="27" x14ac:dyDescent="0.2">
      <c r="B46" s="11" t="str">
        <v>MASTER-47631</v>
      </c>
      <c r="C46" s="12" t="str" cm="1">
        <f t="array" ref="C46">_xlfn.TEXTJOIN(CHAR(10),TRUE,_xlfn._xlws.SORT(IF((--($B46=Flowdown_BTE[[URS]:[URS]]))*(--(C$14=Flowdown_BTE[[Source.Name]:[Source.Name]])),Flowdown_BTE[[SyRS]:[SyRS]],"")))</f>
        <v/>
      </c>
      <c r="D46" s="12" t="str" cm="1">
        <f t="array" ref="D46">_xlfn.TEXTJOIN(CHAR(10),TRUE,_xlfn._xlws.SORT(IF((--($B46=Flowdown_BTE[[URS]:[URS]]))*(--(D$14=Flowdown_BTE[[Source.Name]:[Source.Name]])),Flowdown_BTE[[SyRS]:[SyRS]],"")))</f>
        <v/>
      </c>
      <c r="E46" s="12" t="str" cm="1">
        <f t="array" ref="E46">_xlfn.TEXTJOIN(CHAR(10),TRUE,_xlfn._xlws.SORT(IF((--($B46=Flowdown_BTE[[URS]:[URS]]))*(--(E$14=Flowdown_BTE[[Source.Name]:[Source.Name]])),Flowdown_BTE[[SyRS]:[SyRS]],"")))</f>
        <v/>
      </c>
      <c r="F46" s="12" t="str" cm="1">
        <f t="array" ref="F46">_xlfn.TEXTJOIN(CHAR(10),TRUE,_xlfn._xlws.SORT(IF((--($B46=Flowdown_BTE[[URS]:[URS]]))*(--(F$14=Flowdown_BTE[[Source.Name]:[Source.Name]])),Flowdown_BTE[[SyRS]:[SyRS]],"")))</f>
        <v/>
      </c>
      <c r="G46" s="12" t="str" cm="1">
        <f t="array" ref="G46">_xlfn.TEXTJOIN(CHAR(10),TRUE,_xlfn._xlws.SORT(IF((--($B46=Flowdown_BTE[[URS]:[URS]]))*(--(G$14=Flowdown_BTE[[Source.Name]:[Source.Name]])),Flowdown_BTE[[SyRS]:[SyRS]],"")))</f>
        <v/>
      </c>
      <c r="H46" s="12" t="str" cm="1">
        <f t="array" ref="H46">_xlfn.TEXTJOIN(CHAR(10),TRUE,_xlfn._xlws.SORT(IF((--($B46=Flowdown_BTE[[URS]:[URS]]))*(--(H$14=Flowdown_BTE[[Source.Name]:[Source.Name]])),Flowdown_BTE[[SyRS]:[SyRS]],"")))</f>
        <v/>
      </c>
      <c r="I46" s="12" t="str" cm="1">
        <f t="array" ref="I46">_xlfn.TEXTJOIN(CHAR(10),TRUE,_xlfn._xlws.SORT(IF((--($B46=Flowdown_BTE[[URS]:[URS]]))*(--(I$14=Flowdown_BTE[[Source.Name]:[Source.Name]])),Flowdown_BTE[[SyRS]:[SyRS]],"")))</f>
        <v/>
      </c>
      <c r="J46" s="12" t="str" cm="1">
        <f t="array" ref="J46">_xlfn.TEXTJOIN(CHAR(10),TRUE,_xlfn._xlws.SORT(IF((--($B46=Flowdown_BTE[[URS]:[URS]]))*(--(J$14=Flowdown_BTE[[Source.Name]:[Source.Name]])),Flowdown_BTE[[SyRS]:[SyRS]],"")))</f>
        <v>MASTER-20034
MASTER-20035</v>
      </c>
      <c r="K46" s="12" t="str" cm="1">
        <f t="array" ref="K46">_xlfn.TEXTJOIN(CHAR(10),TRUE,_xlfn._xlws.SORT(IF((--($B46=Flowdown_BTE[[URS]:[URS]]))*(--(K$14=Flowdown_BTE[[Source.Name]:[Source.Name]])),Flowdown_BTE[[SyRS]:[SyRS]],"")))</f>
        <v/>
      </c>
      <c r="L46" s="16" t="b" cm="1">
        <f t="array" ref="L46">OR(LEN(C46:K46)&gt;0)</f>
        <v>1</v>
      </c>
    </row>
    <row r="47" spans="2:12" ht="54" x14ac:dyDescent="0.2">
      <c r="B47" s="11" t="str">
        <v>MASTER-48036</v>
      </c>
      <c r="C47" s="12" t="str" cm="1">
        <f t="array" ref="C47">_xlfn.TEXTJOIN(CHAR(10),TRUE,_xlfn._xlws.SORT(IF((--($B47=Flowdown_BTE[[URS]:[URS]]))*(--(C$14=Flowdown_BTE[[Source.Name]:[Source.Name]])),Flowdown_BTE[[SyRS]:[SyRS]],"")))</f>
        <v>MASTER-19459
MASTER-51043
MASTER-51056
MASTER-51076</v>
      </c>
      <c r="D47" s="12" t="str" cm="1">
        <f t="array" ref="D47">_xlfn.TEXTJOIN(CHAR(10),TRUE,_xlfn._xlws.SORT(IF((--($B47=Flowdown_BTE[[URS]:[URS]]))*(--(D$14=Flowdown_BTE[[Source.Name]:[Source.Name]])),Flowdown_BTE[[SyRS]:[SyRS]],"")))</f>
        <v>MASTER-19459
MASTER-51043
MASTER-51056
MASTER-51076</v>
      </c>
      <c r="E47" s="12" t="str" cm="1">
        <f t="array" ref="E47">_xlfn.TEXTJOIN(CHAR(10),TRUE,_xlfn._xlws.SORT(IF((--($B47=Flowdown_BTE[[URS]:[URS]]))*(--(E$14=Flowdown_BTE[[Source.Name]:[Source.Name]])),Flowdown_BTE[[SyRS]:[SyRS]],"")))</f>
        <v/>
      </c>
      <c r="F47" s="12" t="str" cm="1">
        <f t="array" ref="F47">_xlfn.TEXTJOIN(CHAR(10),TRUE,_xlfn._xlws.SORT(IF((--($B47=Flowdown_BTE[[URS]:[URS]]))*(--(F$14=Flowdown_BTE[[Source.Name]:[Source.Name]])),Flowdown_BTE[[SyRS]:[SyRS]],"")))</f>
        <v/>
      </c>
      <c r="G47" s="12" t="str" cm="1">
        <f t="array" ref="G47">_xlfn.TEXTJOIN(CHAR(10),TRUE,_xlfn._xlws.SORT(IF((--($B47=Flowdown_BTE[[URS]:[URS]]))*(--(G$14=Flowdown_BTE[[Source.Name]:[Source.Name]])),Flowdown_BTE[[SyRS]:[SyRS]],"")))</f>
        <v/>
      </c>
      <c r="H47" s="12" t="str" cm="1">
        <f t="array" ref="H47">_xlfn.TEXTJOIN(CHAR(10),TRUE,_xlfn._xlws.SORT(IF((--($B47=Flowdown_BTE[[URS]:[URS]]))*(--(H$14=Flowdown_BTE[[Source.Name]:[Source.Name]])),Flowdown_BTE[[SyRS]:[SyRS]],"")))</f>
        <v/>
      </c>
      <c r="I47" s="12" t="str" cm="1">
        <f t="array" ref="I47">_xlfn.TEXTJOIN(CHAR(10),TRUE,_xlfn._xlws.SORT(IF((--($B47=Flowdown_BTE[[URS]:[URS]]))*(--(I$14=Flowdown_BTE[[Source.Name]:[Source.Name]])),Flowdown_BTE[[SyRS]:[SyRS]],"")))</f>
        <v>MASTER-20011
MASTER-20027
UTICA-210</v>
      </c>
      <c r="J47" s="12" t="str" cm="1">
        <f t="array" ref="J47">_xlfn.TEXTJOIN(CHAR(10),TRUE,_xlfn._xlws.SORT(IF((--($B47=Flowdown_BTE[[URS]:[URS]]))*(--(J$14=Flowdown_BTE[[Source.Name]:[Source.Name]])),Flowdown_BTE[[SyRS]:[SyRS]],"")))</f>
        <v>MASTER-20011
MASTER-20027</v>
      </c>
      <c r="K47" s="12" t="str" cm="1">
        <f t="array" ref="K47">_xlfn.TEXTJOIN(CHAR(10),TRUE,_xlfn._xlws.SORT(IF((--($B47=Flowdown_BTE[[URS]:[URS]]))*(--(K$14=Flowdown_BTE[[Source.Name]:[Source.Name]])),Flowdown_BTE[[SyRS]:[SyRS]],"")))</f>
        <v/>
      </c>
      <c r="L47" s="16" t="b" cm="1">
        <f t="array" ref="L47">OR(LEN(C47:K47)&gt;0)</f>
        <v>1</v>
      </c>
    </row>
    <row r="48" spans="2:12" ht="40.5" x14ac:dyDescent="0.2">
      <c r="B48" s="11" t="str">
        <v>MASTER-48038</v>
      </c>
      <c r="C48" s="12" t="str" cm="1">
        <f t="array" ref="C48">_xlfn.TEXTJOIN(CHAR(10),TRUE,_xlfn._xlws.SORT(IF((--($B48=Flowdown_BTE[[URS]:[URS]]))*(--(C$14=Flowdown_BTE[[Source.Name]:[Source.Name]])),Flowdown_BTE[[SyRS]:[SyRS]],"")))</f>
        <v>MASTER-19435
MASTER-19444
MASTER-19535</v>
      </c>
      <c r="D48" s="12" t="str" cm="1">
        <f t="array" ref="D48">_xlfn.TEXTJOIN(CHAR(10),TRUE,_xlfn._xlws.SORT(IF((--($B48=Flowdown_BTE[[URS]:[URS]]))*(--(D$14=Flowdown_BTE[[Source.Name]:[Source.Name]])),Flowdown_BTE[[SyRS]:[SyRS]],"")))</f>
        <v>MASTER-19435
MASTER-19444
MASTER-19535</v>
      </c>
      <c r="E48" s="12" t="str" cm="1">
        <f t="array" ref="E48">_xlfn.TEXTJOIN(CHAR(10),TRUE,_xlfn._xlws.SORT(IF((--($B48=Flowdown_BTE[[URS]:[URS]]))*(--(E$14=Flowdown_BTE[[Source.Name]:[Source.Name]])),Flowdown_BTE[[SyRS]:[SyRS]],"")))</f>
        <v/>
      </c>
      <c r="F48" s="12" t="str" cm="1">
        <f t="array" ref="F48">_xlfn.TEXTJOIN(CHAR(10),TRUE,_xlfn._xlws.SORT(IF((--($B48=Flowdown_BTE[[URS]:[URS]]))*(--(F$14=Flowdown_BTE[[Source.Name]:[Source.Name]])),Flowdown_BTE[[SyRS]:[SyRS]],"")))</f>
        <v/>
      </c>
      <c r="G48" s="12" t="str" cm="1">
        <f t="array" ref="G48">_xlfn.TEXTJOIN(CHAR(10),TRUE,_xlfn._xlws.SORT(IF((--($B48=Flowdown_BTE[[URS]:[URS]]))*(--(G$14=Flowdown_BTE[[Source.Name]:[Source.Name]])),Flowdown_BTE[[SyRS]:[SyRS]],"")))</f>
        <v/>
      </c>
      <c r="H48" s="12" t="str" cm="1">
        <f t="array" ref="H48">_xlfn.TEXTJOIN(CHAR(10),TRUE,_xlfn._xlws.SORT(IF((--($B48=Flowdown_BTE[[URS]:[URS]]))*(--(H$14=Flowdown_BTE[[Source.Name]:[Source.Name]])),Flowdown_BTE[[SyRS]:[SyRS]],"")))</f>
        <v/>
      </c>
      <c r="I48" s="12" t="str" cm="1">
        <f t="array" ref="I48">_xlfn.TEXTJOIN(CHAR(10),TRUE,_xlfn._xlws.SORT(IF((--($B48=Flowdown_BTE[[URS]:[URS]]))*(--(I$14=Flowdown_BTE[[Source.Name]:[Source.Name]])),Flowdown_BTE[[SyRS]:[SyRS]],"")))</f>
        <v/>
      </c>
      <c r="J48" s="12" t="str" cm="1">
        <f t="array" ref="J48">_xlfn.TEXTJOIN(CHAR(10),TRUE,_xlfn._xlws.SORT(IF((--($B48=Flowdown_BTE[[URS]:[URS]]))*(--(J$14=Flowdown_BTE[[Source.Name]:[Source.Name]])),Flowdown_BTE[[SyRS]:[SyRS]],"")))</f>
        <v/>
      </c>
      <c r="K48" s="12" t="str" cm="1">
        <f t="array" ref="K48">_xlfn.TEXTJOIN(CHAR(10),TRUE,_xlfn._xlws.SORT(IF((--($B48=Flowdown_BTE[[URS]:[URS]]))*(--(K$14=Flowdown_BTE[[Source.Name]:[Source.Name]])),Flowdown_BTE[[SyRS]:[SyRS]],"")))</f>
        <v/>
      </c>
      <c r="L48" s="16" t="b" cm="1">
        <f t="array" ref="L48">OR(LEN(C48:K48)&gt;0)</f>
        <v>1</v>
      </c>
    </row>
    <row r="49" spans="2:12" ht="121.5" x14ac:dyDescent="0.2">
      <c r="B49" s="11" t="str">
        <v>MASTER-48039</v>
      </c>
      <c r="C49" s="12" t="str" cm="1">
        <f t="array" ref="C49">_xlfn.TEXTJOIN(CHAR(10),TRUE,_xlfn._xlws.SORT(IF((--($B49=Flowdown_BTE[[URS]:[URS]]))*(--(C$14=Flowdown_BTE[[Source.Name]:[Source.Name]])),Flowdown_BTE[[SyRS]:[SyRS]],"")))</f>
        <v>MASTER-19239
MASTER-19240
MASTER-19241
MASTER-19242
MASTER-25416
MASTER-50664
MASTER-50665
MASTER-51530
MASTER-51531</v>
      </c>
      <c r="D49" s="12" t="str" cm="1">
        <f t="array" ref="D49">_xlfn.TEXTJOIN(CHAR(10),TRUE,_xlfn._xlws.SORT(IF((--($B49=Flowdown_BTE[[URS]:[URS]]))*(--(D$14=Flowdown_BTE[[Source.Name]:[Source.Name]])),Flowdown_BTE[[SyRS]:[SyRS]],"")))</f>
        <v>MASTER-19239
MASTER-19240
MASTER-19241
MASTER-19242
MASTER-25416
MASTER-50664
MASTER-50665
MASTER-51530
MASTER-51531</v>
      </c>
      <c r="E49" s="12" t="str" cm="1">
        <f t="array" ref="E49">_xlfn.TEXTJOIN(CHAR(10),TRUE,_xlfn._xlws.SORT(IF((--($B49=Flowdown_BTE[[URS]:[URS]]))*(--(E$14=Flowdown_BTE[[Source.Name]:[Source.Name]])),Flowdown_BTE[[SyRS]:[SyRS]],"")))</f>
        <v>MASTER-19239
MASTER-19240
MASTER-19241
MASTER-19242
MASTER-25416
MASTER-50664
MASTER-50665
MASTER-51530
MASTER-51531</v>
      </c>
      <c r="F49" s="12" t="str" cm="1">
        <f t="array" ref="F49">_xlfn.TEXTJOIN(CHAR(10),TRUE,_xlfn._xlws.SORT(IF((--($B49=Flowdown_BTE[[URS]:[URS]]))*(--(F$14=Flowdown_BTE[[Source.Name]:[Source.Name]])),Flowdown_BTE[[SyRS]:[SyRS]],"")))</f>
        <v>MASTER-19239
MASTER-19240
MASTER-19241
MASTER-19242
MASTER-25416
MASTER-50664
MASTER-50665
MASTER-51530
MASTER-51531</v>
      </c>
      <c r="G49" s="12" t="str" cm="1">
        <f t="array" ref="G49">_xlfn.TEXTJOIN(CHAR(10),TRUE,_xlfn._xlws.SORT(IF((--($B49=Flowdown_BTE[[URS]:[URS]]))*(--(G$14=Flowdown_BTE[[Source.Name]:[Source.Name]])),Flowdown_BTE[[SyRS]:[SyRS]],"")))</f>
        <v>MASTER-19239
MASTER-19240
MASTER-19241
MASTER-19242
MASTER-25416
MASTER-50664
MASTER-50665
MASTER-51530
MASTER-51531</v>
      </c>
      <c r="H49" s="12" t="str" cm="1">
        <f t="array" ref="H49">_xlfn.TEXTJOIN(CHAR(10),TRUE,_xlfn._xlws.SORT(IF((--($B49=Flowdown_BTE[[URS]:[URS]]))*(--(H$14=Flowdown_BTE[[Source.Name]:[Source.Name]])),Flowdown_BTE[[SyRS]:[SyRS]],"")))</f>
        <v>MASTER-50682</v>
      </c>
      <c r="I49" s="12" t="str" cm="1">
        <f t="array" ref="I49">_xlfn.TEXTJOIN(CHAR(10),TRUE,_xlfn._xlws.SORT(IF((--($B49=Flowdown_BTE[[URS]:[URS]]))*(--(I$14=Flowdown_BTE[[Source.Name]:[Source.Name]])),Flowdown_BTE[[SyRS]:[SyRS]],"")))</f>
        <v/>
      </c>
      <c r="J49" s="12" t="str" cm="1">
        <f t="array" ref="J49">_xlfn.TEXTJOIN(CHAR(10),TRUE,_xlfn._xlws.SORT(IF((--($B49=Flowdown_BTE[[URS]:[URS]]))*(--(J$14=Flowdown_BTE[[Source.Name]:[Source.Name]])),Flowdown_BTE[[SyRS]:[SyRS]],"")))</f>
        <v/>
      </c>
      <c r="K49" s="12" t="str" cm="1">
        <f t="array" ref="K49">_xlfn.TEXTJOIN(CHAR(10),TRUE,_xlfn._xlws.SORT(IF((--($B49=Flowdown_BTE[[URS]:[URS]]))*(--(K$14=Flowdown_BTE[[Source.Name]:[Source.Name]])),Flowdown_BTE[[SyRS]:[SyRS]],"")))</f>
        <v/>
      </c>
      <c r="L49" s="16" t="b" cm="1">
        <f t="array" ref="L49">OR(LEN(C49:K49)&gt;0)</f>
        <v>1</v>
      </c>
    </row>
    <row r="50" spans="2:12" ht="40.5" x14ac:dyDescent="0.2">
      <c r="B50" s="11" t="str">
        <v>MASTER-48040</v>
      </c>
      <c r="C50" s="12" t="str" cm="1">
        <f t="array" ref="C50">_xlfn.TEXTJOIN(CHAR(10),TRUE,_xlfn._xlws.SORT(IF((--($B50=Flowdown_BTE[[URS]:[URS]]))*(--(C$14=Flowdown_BTE[[Source.Name]:[Source.Name]])),Flowdown_BTE[[SyRS]:[SyRS]],"")))</f>
        <v>MASTER-42153
MASTER-51530
MASTER-51531</v>
      </c>
      <c r="D50" s="12" t="str" cm="1">
        <f t="array" ref="D50">_xlfn.TEXTJOIN(CHAR(10),TRUE,_xlfn._xlws.SORT(IF((--($B50=Flowdown_BTE[[URS]:[URS]]))*(--(D$14=Flowdown_BTE[[Source.Name]:[Source.Name]])),Flowdown_BTE[[SyRS]:[SyRS]],"")))</f>
        <v>MASTER-42153
MASTER-51530
MASTER-51531</v>
      </c>
      <c r="E50" s="12" t="str" cm="1">
        <f t="array" ref="E50">_xlfn.TEXTJOIN(CHAR(10),TRUE,_xlfn._xlws.SORT(IF((--($B50=Flowdown_BTE[[URS]:[URS]]))*(--(E$14=Flowdown_BTE[[Source.Name]:[Source.Name]])),Flowdown_BTE[[SyRS]:[SyRS]],"")))</f>
        <v>MASTER-42153
MASTER-51530
MASTER-51531</v>
      </c>
      <c r="F50" s="12" t="str" cm="1">
        <f t="array" ref="F50">_xlfn.TEXTJOIN(CHAR(10),TRUE,_xlfn._xlws.SORT(IF((--($B50=Flowdown_BTE[[URS]:[URS]]))*(--(F$14=Flowdown_BTE[[Source.Name]:[Source.Name]])),Flowdown_BTE[[SyRS]:[SyRS]],"")))</f>
        <v>MASTER-42153
MASTER-51530
MASTER-51531</v>
      </c>
      <c r="G50" s="12" t="str" cm="1">
        <f t="array" ref="G50">_xlfn.TEXTJOIN(CHAR(10),TRUE,_xlfn._xlws.SORT(IF((--($B50=Flowdown_BTE[[URS]:[URS]]))*(--(G$14=Flowdown_BTE[[Source.Name]:[Source.Name]])),Flowdown_BTE[[SyRS]:[SyRS]],"")))</f>
        <v>MASTER-42153
MASTER-51530
MASTER-51531</v>
      </c>
      <c r="H50" s="12" t="str" cm="1">
        <f t="array" ref="H50">_xlfn.TEXTJOIN(CHAR(10),TRUE,_xlfn._xlws.SORT(IF((--($B50=Flowdown_BTE[[URS]:[URS]]))*(--(H$14=Flowdown_BTE[[Source.Name]:[Source.Name]])),Flowdown_BTE[[SyRS]:[SyRS]],"")))</f>
        <v/>
      </c>
      <c r="I50" s="12" t="str" cm="1">
        <f t="array" ref="I50">_xlfn.TEXTJOIN(CHAR(10),TRUE,_xlfn._xlws.SORT(IF((--($B50=Flowdown_BTE[[URS]:[URS]]))*(--(I$14=Flowdown_BTE[[Source.Name]:[Source.Name]])),Flowdown_BTE[[SyRS]:[SyRS]],"")))</f>
        <v/>
      </c>
      <c r="J50" s="12" t="str" cm="1">
        <f t="array" ref="J50">_xlfn.TEXTJOIN(CHAR(10),TRUE,_xlfn._xlws.SORT(IF((--($B50=Flowdown_BTE[[URS]:[URS]]))*(--(J$14=Flowdown_BTE[[Source.Name]:[Source.Name]])),Flowdown_BTE[[SyRS]:[SyRS]],"")))</f>
        <v/>
      </c>
      <c r="K50" s="12" t="str" cm="1">
        <f t="array" ref="K50">_xlfn.TEXTJOIN(CHAR(10),TRUE,_xlfn._xlws.SORT(IF((--($B50=Flowdown_BTE[[URS]:[URS]]))*(--(K$14=Flowdown_BTE[[Source.Name]:[Source.Name]])),Flowdown_BTE[[SyRS]:[SyRS]],"")))</f>
        <v>MASTER-50685
MASTER-50686
MASTER-50687</v>
      </c>
      <c r="L50" s="16" t="b" cm="1">
        <f t="array" ref="L50">OR(LEN(C50:K50)&gt;0)</f>
        <v>1</v>
      </c>
    </row>
    <row r="51" spans="2:12" ht="40.5" x14ac:dyDescent="0.2">
      <c r="B51" s="11" t="str">
        <v>MASTER-48041</v>
      </c>
      <c r="C51" s="12" t="str" cm="1">
        <f t="array" ref="C51">_xlfn.TEXTJOIN(CHAR(10),TRUE,_xlfn._xlws.SORT(IF((--($B51=Flowdown_BTE[[URS]:[URS]]))*(--(C$14=Flowdown_BTE[[Source.Name]:[Source.Name]])),Flowdown_BTE[[SyRS]:[SyRS]],"")))</f>
        <v>MASTER-19252</v>
      </c>
      <c r="D51" s="12" t="str" cm="1">
        <f t="array" ref="D51">_xlfn.TEXTJOIN(CHAR(10),TRUE,_xlfn._xlws.SORT(IF((--($B51=Flowdown_BTE[[URS]:[URS]]))*(--(D$14=Flowdown_BTE[[Source.Name]:[Source.Name]])),Flowdown_BTE[[SyRS]:[SyRS]],"")))</f>
        <v>MASTER-19252</v>
      </c>
      <c r="E51" s="12" t="str" cm="1">
        <f t="array" ref="E51">_xlfn.TEXTJOIN(CHAR(10),TRUE,_xlfn._xlws.SORT(IF((--($B51=Flowdown_BTE[[URS]:[URS]]))*(--(E$14=Flowdown_BTE[[Source.Name]:[Source.Name]])),Flowdown_BTE[[SyRS]:[SyRS]],"")))</f>
        <v>MASTER-19252</v>
      </c>
      <c r="F51" s="12" t="str" cm="1">
        <f t="array" ref="F51">_xlfn.TEXTJOIN(CHAR(10),TRUE,_xlfn._xlws.SORT(IF((--($B51=Flowdown_BTE[[URS]:[URS]]))*(--(F$14=Flowdown_BTE[[Source.Name]:[Source.Name]])),Flowdown_BTE[[SyRS]:[SyRS]],"")))</f>
        <v>MASTER-19252</v>
      </c>
      <c r="G51" s="12" t="str" cm="1">
        <f t="array" ref="G51">_xlfn.TEXTJOIN(CHAR(10),TRUE,_xlfn._xlws.SORT(IF((--($B51=Flowdown_BTE[[URS]:[URS]]))*(--(G$14=Flowdown_BTE[[Source.Name]:[Source.Name]])),Flowdown_BTE[[SyRS]:[SyRS]],"")))</f>
        <v>MASTER-19252</v>
      </c>
      <c r="H51" s="12" t="str" cm="1">
        <f t="array" ref="H51">_xlfn.TEXTJOIN(CHAR(10),TRUE,_xlfn._xlws.SORT(IF((--($B51=Flowdown_BTE[[URS]:[URS]]))*(--(H$14=Flowdown_BTE[[Source.Name]:[Source.Name]])),Flowdown_BTE[[SyRS]:[SyRS]],"")))</f>
        <v/>
      </c>
      <c r="I51" s="12" t="str" cm="1">
        <f t="array" ref="I51">_xlfn.TEXTJOIN(CHAR(10),TRUE,_xlfn._xlws.SORT(IF((--($B51=Flowdown_BTE[[URS]:[URS]]))*(--(I$14=Flowdown_BTE[[Source.Name]:[Source.Name]])),Flowdown_BTE[[SyRS]:[SyRS]],"")))</f>
        <v/>
      </c>
      <c r="J51" s="12" t="str" cm="1">
        <f t="array" ref="J51">_xlfn.TEXTJOIN(CHAR(10),TRUE,_xlfn._xlws.SORT(IF((--($B51=Flowdown_BTE[[URS]:[URS]]))*(--(J$14=Flowdown_BTE[[Source.Name]:[Source.Name]])),Flowdown_BTE[[SyRS]:[SyRS]],"")))</f>
        <v/>
      </c>
      <c r="K51" s="12" t="str" cm="1">
        <f t="array" ref="K51">_xlfn.TEXTJOIN(CHAR(10),TRUE,_xlfn._xlws.SORT(IF((--($B51=Flowdown_BTE[[URS]:[URS]]))*(--(K$14=Flowdown_BTE[[Source.Name]:[Source.Name]])),Flowdown_BTE[[SyRS]:[SyRS]],"")))</f>
        <v>MASTER-41933
MASTER-41934
MASTER-41935</v>
      </c>
      <c r="L51" s="16" t="b" cm="1">
        <f t="array" ref="L51">OR(LEN(C51:K51)&gt;0)</f>
        <v>1</v>
      </c>
    </row>
    <row r="52" spans="2:12" ht="202.5" x14ac:dyDescent="0.2">
      <c r="B52" s="11" t="str">
        <v>MASTER-48042</v>
      </c>
      <c r="C52" s="12" t="str" cm="1">
        <f t="array" ref="C52">_xlfn.TEXTJOIN(CHAR(10),TRUE,_xlfn._xlws.SORT(IF((--($B52=Flowdown_BTE[[URS]:[URS]]))*(--(C$14=Flowdown_BTE[[Source.Name]:[Source.Name]])),Flowdown_BTE[[SyRS]:[SyRS]],"")))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D52" s="12" t="str" cm="1">
        <f t="array" ref="D52">_xlfn.TEXTJOIN(CHAR(10),TRUE,_xlfn._xlws.SORT(IF((--($B52=Flowdown_BTE[[URS]:[URS]]))*(--(D$14=Flowdown_BTE[[Source.Name]:[Source.Name]])),Flowdown_BTE[[SyRS]:[SyRS]],"")))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E52" s="12" t="str" cm="1">
        <f t="array" ref="E52">_xlfn.TEXTJOIN(CHAR(10),TRUE,_xlfn._xlws.SORT(IF((--($B52=Flowdown_BTE[[URS]:[URS]]))*(--(E$14=Flowdown_BTE[[Source.Name]:[Source.Name]])),Flowdown_BTE[[SyRS]:[SyRS]],"")))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F52" s="12" t="str" cm="1">
        <f t="array" ref="F52">_xlfn.TEXTJOIN(CHAR(10),TRUE,_xlfn._xlws.SORT(IF((--($B52=Flowdown_BTE[[URS]:[URS]]))*(--(F$14=Flowdown_BTE[[Source.Name]:[Source.Name]])),Flowdown_BTE[[SyRS]:[SyRS]],"")))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G52" s="12" t="str" cm="1">
        <f t="array" ref="G52">_xlfn.TEXTJOIN(CHAR(10),TRUE,_xlfn._xlws.SORT(IF((--($B52=Flowdown_BTE[[URS]:[URS]]))*(--(G$14=Flowdown_BTE[[Source.Name]:[Source.Name]])),Flowdown_BTE[[SyRS]:[SyRS]],"")))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H52" s="12" t="str" cm="1">
        <f t="array" ref="H52">_xlfn.TEXTJOIN(CHAR(10),TRUE,_xlfn._xlws.SORT(IF((--($B52=Flowdown_BTE[[URS]:[URS]]))*(--(H$14=Flowdown_BTE[[Source.Name]:[Source.Name]])),Flowdown_BTE[[SyRS]:[SyRS]],"")))</f>
        <v>MASTER-50682</v>
      </c>
      <c r="I52" s="12" t="str" cm="1">
        <f t="array" ref="I52">_xlfn.TEXTJOIN(CHAR(10),TRUE,_xlfn._xlws.SORT(IF((--($B52=Flowdown_BTE[[URS]:[URS]]))*(--(I$14=Flowdown_BTE[[Source.Name]:[Source.Name]])),Flowdown_BTE[[SyRS]:[SyRS]],"")))</f>
        <v/>
      </c>
      <c r="J52" s="12" t="str" cm="1">
        <f t="array" ref="J52">_xlfn.TEXTJOIN(CHAR(10),TRUE,_xlfn._xlws.SORT(IF((--($B52=Flowdown_BTE[[URS]:[URS]]))*(--(J$14=Flowdown_BTE[[Source.Name]:[Source.Name]])),Flowdown_BTE[[SyRS]:[SyRS]],"")))</f>
        <v/>
      </c>
      <c r="K52" s="12" t="str" cm="1">
        <f t="array" ref="K52">_xlfn.TEXTJOIN(CHAR(10),TRUE,_xlfn._xlws.SORT(IF((--($B52=Flowdown_BTE[[URS]:[URS]]))*(--(K$14=Flowdown_BTE[[Source.Name]:[Source.Name]])),Flowdown_BTE[[SyRS]:[SyRS]],"")))</f>
        <v/>
      </c>
      <c r="L52" s="16" t="b" cm="1">
        <f t="array" ref="L52">OR(LEN(C52:K52)&gt;0)</f>
        <v>1</v>
      </c>
    </row>
    <row r="53" spans="2:12" ht="40.5" x14ac:dyDescent="0.2">
      <c r="B53" s="11" t="str">
        <v>MASTER-48043</v>
      </c>
      <c r="C53" s="12" t="str" cm="1">
        <f t="array" ref="C53">_xlfn.TEXTJOIN(CHAR(10),TRUE,_xlfn._xlws.SORT(IF((--($B53=Flowdown_BTE[[URS]:[URS]]))*(--(C$14=Flowdown_BTE[[Source.Name]:[Source.Name]])),Flowdown_BTE[[SyRS]:[SyRS]],"")))</f>
        <v>MASTER-42158
MASTER-51530
MASTER-51531</v>
      </c>
      <c r="D53" s="12" t="str" cm="1">
        <f t="array" ref="D53">_xlfn.TEXTJOIN(CHAR(10),TRUE,_xlfn._xlws.SORT(IF((--($B53=Flowdown_BTE[[URS]:[URS]]))*(--(D$14=Flowdown_BTE[[Source.Name]:[Source.Name]])),Flowdown_BTE[[SyRS]:[SyRS]],"")))</f>
        <v>MASTER-42158
MASTER-51530
MASTER-51531</v>
      </c>
      <c r="E53" s="12" t="str" cm="1">
        <f t="array" ref="E53">_xlfn.TEXTJOIN(CHAR(10),TRUE,_xlfn._xlws.SORT(IF((--($B53=Flowdown_BTE[[URS]:[URS]]))*(--(E$14=Flowdown_BTE[[Source.Name]:[Source.Name]])),Flowdown_BTE[[SyRS]:[SyRS]],"")))</f>
        <v>MASTER-42158
MASTER-51530
MASTER-51531</v>
      </c>
      <c r="F53" s="12" t="str" cm="1">
        <f t="array" ref="F53">_xlfn.TEXTJOIN(CHAR(10),TRUE,_xlfn._xlws.SORT(IF((--($B53=Flowdown_BTE[[URS]:[URS]]))*(--(F$14=Flowdown_BTE[[Source.Name]:[Source.Name]])),Flowdown_BTE[[SyRS]:[SyRS]],"")))</f>
        <v>MASTER-42158
MASTER-51530
MASTER-51531</v>
      </c>
      <c r="G53" s="12" t="str" cm="1">
        <f t="array" ref="G53">_xlfn.TEXTJOIN(CHAR(10),TRUE,_xlfn._xlws.SORT(IF((--($B53=Flowdown_BTE[[URS]:[URS]]))*(--(G$14=Flowdown_BTE[[Source.Name]:[Source.Name]])),Flowdown_BTE[[SyRS]:[SyRS]],"")))</f>
        <v>MASTER-42158
MASTER-51530
MASTER-51531</v>
      </c>
      <c r="H53" s="12" t="str" cm="1">
        <f t="array" ref="H53">_xlfn.TEXTJOIN(CHAR(10),TRUE,_xlfn._xlws.SORT(IF((--($B53=Flowdown_BTE[[URS]:[URS]]))*(--(H$14=Flowdown_BTE[[Source.Name]:[Source.Name]])),Flowdown_BTE[[SyRS]:[SyRS]],"")))</f>
        <v/>
      </c>
      <c r="I53" s="12" t="str" cm="1">
        <f t="array" ref="I53">_xlfn.TEXTJOIN(CHAR(10),TRUE,_xlfn._xlws.SORT(IF((--($B53=Flowdown_BTE[[URS]:[URS]]))*(--(I$14=Flowdown_BTE[[Source.Name]:[Source.Name]])),Flowdown_BTE[[SyRS]:[SyRS]],"")))</f>
        <v/>
      </c>
      <c r="J53" s="12" t="str" cm="1">
        <f t="array" ref="J53">_xlfn.TEXTJOIN(CHAR(10),TRUE,_xlfn._xlws.SORT(IF((--($B53=Flowdown_BTE[[URS]:[URS]]))*(--(J$14=Flowdown_BTE[[Source.Name]:[Source.Name]])),Flowdown_BTE[[SyRS]:[SyRS]],"")))</f>
        <v/>
      </c>
      <c r="K53" s="12" t="str" cm="1">
        <f t="array" ref="K53">_xlfn.TEXTJOIN(CHAR(10),TRUE,_xlfn._xlws.SORT(IF((--($B53=Flowdown_BTE[[URS]:[URS]]))*(--(K$14=Flowdown_BTE[[Source.Name]:[Source.Name]])),Flowdown_BTE[[SyRS]:[SyRS]],"")))</f>
        <v>MASTER-50685
MASTER-50686
MASTER-50687</v>
      </c>
      <c r="L53" s="16" t="b" cm="1">
        <f t="array" ref="L53">OR(LEN(C53:K53)&gt;0)</f>
        <v>1</v>
      </c>
    </row>
    <row r="54" spans="2:12" ht="27" x14ac:dyDescent="0.2">
      <c r="B54" s="11" t="str">
        <v>MASTER-48044</v>
      </c>
      <c r="C54" s="12" t="str" cm="1">
        <f t="array" ref="C54">_xlfn.TEXTJOIN(CHAR(10),TRUE,_xlfn._xlws.SORT(IF((--($B54=Flowdown_BTE[[URS]:[URS]]))*(--(C$14=Flowdown_BTE[[Source.Name]:[Source.Name]])),Flowdown_BTE[[SyRS]:[SyRS]],"")))</f>
        <v>MASTER-19252</v>
      </c>
      <c r="D54" s="12" t="str" cm="1">
        <f t="array" ref="D54">_xlfn.TEXTJOIN(CHAR(10),TRUE,_xlfn._xlws.SORT(IF((--($B54=Flowdown_BTE[[URS]:[URS]]))*(--(D$14=Flowdown_BTE[[Source.Name]:[Source.Name]])),Flowdown_BTE[[SyRS]:[SyRS]],"")))</f>
        <v>MASTER-19252</v>
      </c>
      <c r="E54" s="12" t="str" cm="1">
        <f t="array" ref="E54">_xlfn.TEXTJOIN(CHAR(10),TRUE,_xlfn._xlws.SORT(IF((--($B54=Flowdown_BTE[[URS]:[URS]]))*(--(E$14=Flowdown_BTE[[Source.Name]:[Source.Name]])),Flowdown_BTE[[SyRS]:[SyRS]],"")))</f>
        <v>MASTER-19252</v>
      </c>
      <c r="F54" s="12" t="str" cm="1">
        <f t="array" ref="F54">_xlfn.TEXTJOIN(CHAR(10),TRUE,_xlfn._xlws.SORT(IF((--($B54=Flowdown_BTE[[URS]:[URS]]))*(--(F$14=Flowdown_BTE[[Source.Name]:[Source.Name]])),Flowdown_BTE[[SyRS]:[SyRS]],"")))</f>
        <v>MASTER-19252</v>
      </c>
      <c r="G54" s="12" t="str" cm="1">
        <f t="array" ref="G54">_xlfn.TEXTJOIN(CHAR(10),TRUE,_xlfn._xlws.SORT(IF((--($B54=Flowdown_BTE[[URS]:[URS]]))*(--(G$14=Flowdown_BTE[[Source.Name]:[Source.Name]])),Flowdown_BTE[[SyRS]:[SyRS]],"")))</f>
        <v>MASTER-19252</v>
      </c>
      <c r="H54" s="12" t="str" cm="1">
        <f t="array" ref="H54">_xlfn.TEXTJOIN(CHAR(10),TRUE,_xlfn._xlws.SORT(IF((--($B54=Flowdown_BTE[[URS]:[URS]]))*(--(H$14=Flowdown_BTE[[Source.Name]:[Source.Name]])),Flowdown_BTE[[SyRS]:[SyRS]],"")))</f>
        <v/>
      </c>
      <c r="I54" s="12" t="str" cm="1">
        <f t="array" ref="I54">_xlfn.TEXTJOIN(CHAR(10),TRUE,_xlfn._xlws.SORT(IF((--($B54=Flowdown_BTE[[URS]:[URS]]))*(--(I$14=Flowdown_BTE[[Source.Name]:[Source.Name]])),Flowdown_BTE[[SyRS]:[SyRS]],"")))</f>
        <v/>
      </c>
      <c r="J54" s="12" t="str" cm="1">
        <f t="array" ref="J54">_xlfn.TEXTJOIN(CHAR(10),TRUE,_xlfn._xlws.SORT(IF((--($B54=Flowdown_BTE[[URS]:[URS]]))*(--(J$14=Flowdown_BTE[[Source.Name]:[Source.Name]])),Flowdown_BTE[[SyRS]:[SyRS]],"")))</f>
        <v/>
      </c>
      <c r="K54" s="12" t="str" cm="1">
        <f t="array" ref="K54">_xlfn.TEXTJOIN(CHAR(10),TRUE,_xlfn._xlws.SORT(IF((--($B54=Flowdown_BTE[[URS]:[URS]]))*(--(K$14=Flowdown_BTE[[Source.Name]:[Source.Name]])),Flowdown_BTE[[SyRS]:[SyRS]],"")))</f>
        <v>MASTER-41951
MASTER-41952</v>
      </c>
      <c r="L54" s="16" t="b" cm="1">
        <f t="array" ref="L54">OR(LEN(C54:K54)&gt;0)</f>
        <v>1</v>
      </c>
    </row>
    <row r="55" spans="2:12" ht="108" x14ac:dyDescent="0.2">
      <c r="B55" s="11" t="str">
        <v>MASTER-48045</v>
      </c>
      <c r="C55" s="12" t="str" cm="1">
        <f t="array" ref="C55">_xlfn.TEXTJOIN(CHAR(10),TRUE,_xlfn._xlws.SORT(IF((--($B55=Flowdown_BTE[[URS]:[URS]]))*(--(C$14=Flowdown_BTE[[Source.Name]:[Source.Name]])),Flowdown_BTE[[SyRS]:[SyRS]],"")))</f>
        <v>MASTER-42156
MASTER-42157
MASTER-42158
MASTER-42159
MASTER-50668
MASTER-51530
MASTER-51531</v>
      </c>
      <c r="D55" s="12" t="str" cm="1">
        <f t="array" ref="D55">_xlfn.TEXTJOIN(CHAR(10),TRUE,_xlfn._xlws.SORT(IF((--($B55=Flowdown_BTE[[URS]:[URS]]))*(--(D$14=Flowdown_BTE[[Source.Name]:[Source.Name]])),Flowdown_BTE[[SyRS]:[SyRS]],"")))</f>
        <v>MASTER-42156
MASTER-42157
MASTER-42158
MASTER-42159
MASTER-50668
MASTER-51530
MASTER-51531
UTICA-5364</v>
      </c>
      <c r="E55" s="12" t="str" cm="1">
        <f t="array" ref="E55">_xlfn.TEXTJOIN(CHAR(10),TRUE,_xlfn._xlws.SORT(IF((--($B55=Flowdown_BTE[[URS]:[URS]]))*(--(E$14=Flowdown_BTE[[Source.Name]:[Source.Name]])),Flowdown_BTE[[SyRS]:[SyRS]],"")))</f>
        <v>MASTER-42156
MASTER-42157
MASTER-42158
MASTER-42159
MASTER-50668
MASTER-51530
MASTER-51531</v>
      </c>
      <c r="F55" s="12" t="str" cm="1">
        <f t="array" ref="F55">_xlfn.TEXTJOIN(CHAR(10),TRUE,_xlfn._xlws.SORT(IF((--($B55=Flowdown_BTE[[URS]:[URS]]))*(--(F$14=Flowdown_BTE[[Source.Name]:[Source.Name]])),Flowdown_BTE[[SyRS]:[SyRS]],"")))</f>
        <v>MASTER-42156
MASTER-42157
MASTER-42158
MASTER-42159
MASTER-50668
MASTER-51530
MASTER-51531
UTICA-4135</v>
      </c>
      <c r="G55" s="12" t="str" cm="1">
        <f t="array" ref="G55">_xlfn.TEXTJOIN(CHAR(10),TRUE,_xlfn._xlws.SORT(IF((--($B55=Flowdown_BTE[[URS]:[URS]]))*(--(G$14=Flowdown_BTE[[Source.Name]:[Source.Name]])),Flowdown_BTE[[SyRS]:[SyRS]],"")))</f>
        <v>MASTER-42156
MASTER-42157
MASTER-42158
MASTER-42159
MASTER-50668
MASTER-51530
MASTER-51531
UTICA-3212</v>
      </c>
      <c r="H55" s="12" t="str" cm="1">
        <f t="array" ref="H55">_xlfn.TEXTJOIN(CHAR(10),TRUE,_xlfn._xlws.SORT(IF((--($B55=Flowdown_BTE[[URS]:[URS]]))*(--(H$14=Flowdown_BTE[[Source.Name]:[Source.Name]])),Flowdown_BTE[[SyRS]:[SyRS]],"")))</f>
        <v>MASTER-50682</v>
      </c>
      <c r="I55" s="12" t="str" cm="1">
        <f t="array" ref="I55">_xlfn.TEXTJOIN(CHAR(10),TRUE,_xlfn._xlws.SORT(IF((--($B55=Flowdown_BTE[[URS]:[URS]]))*(--(I$14=Flowdown_BTE[[Source.Name]:[Source.Name]])),Flowdown_BTE[[SyRS]:[SyRS]],"")))</f>
        <v/>
      </c>
      <c r="J55" s="12" t="str" cm="1">
        <f t="array" ref="J55">_xlfn.TEXTJOIN(CHAR(10),TRUE,_xlfn._xlws.SORT(IF((--($B55=Flowdown_BTE[[URS]:[URS]]))*(--(J$14=Flowdown_BTE[[Source.Name]:[Source.Name]])),Flowdown_BTE[[SyRS]:[SyRS]],"")))</f>
        <v/>
      </c>
      <c r="K55" s="12" t="str" cm="1">
        <f t="array" ref="K55">_xlfn.TEXTJOIN(CHAR(10),TRUE,_xlfn._xlws.SORT(IF((--($B55=Flowdown_BTE[[URS]:[URS]]))*(--(K$14=Flowdown_BTE[[Source.Name]:[Source.Name]])),Flowdown_BTE[[SyRS]:[SyRS]],"")))</f>
        <v/>
      </c>
      <c r="L55" s="16" t="b" cm="1">
        <f t="array" ref="L55">OR(LEN(C55:K55)&gt;0)</f>
        <v>1</v>
      </c>
    </row>
    <row r="56" spans="2:12" ht="40.5" x14ac:dyDescent="0.2">
      <c r="B56" s="11" t="str">
        <v>MASTER-48046</v>
      </c>
      <c r="C56" s="12" t="str" cm="1">
        <f t="array" ref="C56">_xlfn.TEXTJOIN(CHAR(10),TRUE,_xlfn._xlws.SORT(IF((--($B56=Flowdown_BTE[[URS]:[URS]]))*(--(C$14=Flowdown_BTE[[Source.Name]:[Source.Name]])),Flowdown_BTE[[SyRS]:[SyRS]],"")))</f>
        <v>MASTER-51530
MASTER-51531</v>
      </c>
      <c r="D56" s="12" t="str" cm="1">
        <f t="array" ref="D56">_xlfn.TEXTJOIN(CHAR(10),TRUE,_xlfn._xlws.SORT(IF((--($B56=Flowdown_BTE[[URS]:[URS]]))*(--(D$14=Flowdown_BTE[[Source.Name]:[Source.Name]])),Flowdown_BTE[[SyRS]:[SyRS]],"")))</f>
        <v>MASTER-51530
MASTER-51531</v>
      </c>
      <c r="E56" s="12" t="str" cm="1">
        <f t="array" ref="E56">_xlfn.TEXTJOIN(CHAR(10),TRUE,_xlfn._xlws.SORT(IF((--($B56=Flowdown_BTE[[URS]:[URS]]))*(--(E$14=Flowdown_BTE[[Source.Name]:[Source.Name]])),Flowdown_BTE[[SyRS]:[SyRS]],"")))</f>
        <v>MASTER-51530
MASTER-51531</v>
      </c>
      <c r="F56" s="12" t="str" cm="1">
        <f t="array" ref="F56">_xlfn.TEXTJOIN(CHAR(10),TRUE,_xlfn._xlws.SORT(IF((--($B56=Flowdown_BTE[[URS]:[URS]]))*(--(F$14=Flowdown_BTE[[Source.Name]:[Source.Name]])),Flowdown_BTE[[SyRS]:[SyRS]],"")))</f>
        <v>MASTER-51530
MASTER-51531</v>
      </c>
      <c r="G56" s="12" t="str" cm="1">
        <f t="array" ref="G56">_xlfn.TEXTJOIN(CHAR(10),TRUE,_xlfn._xlws.SORT(IF((--($B56=Flowdown_BTE[[URS]:[URS]]))*(--(G$14=Flowdown_BTE[[Source.Name]:[Source.Name]])),Flowdown_BTE[[SyRS]:[SyRS]],"")))</f>
        <v>MASTER-51530
MASTER-51531</v>
      </c>
      <c r="H56" s="12" t="str" cm="1">
        <f t="array" ref="H56">_xlfn.TEXTJOIN(CHAR(10),TRUE,_xlfn._xlws.SORT(IF((--($B56=Flowdown_BTE[[URS]:[URS]]))*(--(H$14=Flowdown_BTE[[Source.Name]:[Source.Name]])),Flowdown_BTE[[SyRS]:[SyRS]],"")))</f>
        <v/>
      </c>
      <c r="I56" s="12" t="str" cm="1">
        <f t="array" ref="I56">_xlfn.TEXTJOIN(CHAR(10),TRUE,_xlfn._xlws.SORT(IF((--($B56=Flowdown_BTE[[URS]:[URS]]))*(--(I$14=Flowdown_BTE[[Source.Name]:[Source.Name]])),Flowdown_BTE[[SyRS]:[SyRS]],"")))</f>
        <v/>
      </c>
      <c r="J56" s="12" t="str" cm="1">
        <f t="array" ref="J56">_xlfn.TEXTJOIN(CHAR(10),TRUE,_xlfn._xlws.SORT(IF((--($B56=Flowdown_BTE[[URS]:[URS]]))*(--(J$14=Flowdown_BTE[[Source.Name]:[Source.Name]])),Flowdown_BTE[[SyRS]:[SyRS]],"")))</f>
        <v/>
      </c>
      <c r="K56" s="12" t="str" cm="1">
        <f t="array" ref="K56">_xlfn.TEXTJOIN(CHAR(10),TRUE,_xlfn._xlws.SORT(IF((--($B56=Flowdown_BTE[[URS]:[URS]]))*(--(K$14=Flowdown_BTE[[Source.Name]:[Source.Name]])),Flowdown_BTE[[SyRS]:[SyRS]],"")))</f>
        <v>MASTER-50685
MASTER-50686
MASTER-50687</v>
      </c>
      <c r="L56" s="16" t="b" cm="1">
        <f t="array" ref="L56">OR(LEN(C56:K56)&gt;0)</f>
        <v>1</v>
      </c>
    </row>
    <row r="57" spans="2:12" ht="27" x14ac:dyDescent="0.2">
      <c r="B57" s="11" t="str">
        <v>MASTER-48047</v>
      </c>
      <c r="C57" s="12" t="str" cm="1">
        <f t="array" ref="C57">_xlfn.TEXTJOIN(CHAR(10),TRUE,_xlfn._xlws.SORT(IF((--($B57=Flowdown_BTE[[URS]:[URS]]))*(--(C$14=Flowdown_BTE[[Source.Name]:[Source.Name]])),Flowdown_BTE[[SyRS]:[SyRS]],"")))</f>
        <v/>
      </c>
      <c r="D57" s="12" t="str" cm="1">
        <f t="array" ref="D57">_xlfn.TEXTJOIN(CHAR(10),TRUE,_xlfn._xlws.SORT(IF((--($B57=Flowdown_BTE[[URS]:[URS]]))*(--(D$14=Flowdown_BTE[[Source.Name]:[Source.Name]])),Flowdown_BTE[[SyRS]:[SyRS]],"")))</f>
        <v/>
      </c>
      <c r="E57" s="12" t="str" cm="1">
        <f t="array" ref="E57">_xlfn.TEXTJOIN(CHAR(10),TRUE,_xlfn._xlws.SORT(IF((--($B57=Flowdown_BTE[[URS]:[URS]]))*(--(E$14=Flowdown_BTE[[Source.Name]:[Source.Name]])),Flowdown_BTE[[SyRS]:[SyRS]],"")))</f>
        <v/>
      </c>
      <c r="F57" s="12" t="str" cm="1">
        <f t="array" ref="F57">_xlfn.TEXTJOIN(CHAR(10),TRUE,_xlfn._xlws.SORT(IF((--($B57=Flowdown_BTE[[URS]:[URS]]))*(--(F$14=Flowdown_BTE[[Source.Name]:[Source.Name]])),Flowdown_BTE[[SyRS]:[SyRS]],"")))</f>
        <v/>
      </c>
      <c r="G57" s="12" t="str" cm="1">
        <f t="array" ref="G57">_xlfn.TEXTJOIN(CHAR(10),TRUE,_xlfn._xlws.SORT(IF((--($B57=Flowdown_BTE[[URS]:[URS]]))*(--(G$14=Flowdown_BTE[[Source.Name]:[Source.Name]])),Flowdown_BTE[[SyRS]:[SyRS]],"")))</f>
        <v/>
      </c>
      <c r="H57" s="12" t="str" cm="1">
        <f t="array" ref="H57">_xlfn.TEXTJOIN(CHAR(10),TRUE,_xlfn._xlws.SORT(IF((--($B57=Flowdown_BTE[[URS]:[URS]]))*(--(H$14=Flowdown_BTE[[Source.Name]:[Source.Name]])),Flowdown_BTE[[SyRS]:[SyRS]],"")))</f>
        <v/>
      </c>
      <c r="I57" s="12" t="str" cm="1">
        <f t="array" ref="I57">_xlfn.TEXTJOIN(CHAR(10),TRUE,_xlfn._xlws.SORT(IF((--($B57=Flowdown_BTE[[URS]:[URS]]))*(--(I$14=Flowdown_BTE[[Source.Name]:[Source.Name]])),Flowdown_BTE[[SyRS]:[SyRS]],"")))</f>
        <v/>
      </c>
      <c r="J57" s="12" t="str" cm="1">
        <f t="array" ref="J57">_xlfn.TEXTJOIN(CHAR(10),TRUE,_xlfn._xlws.SORT(IF((--($B57=Flowdown_BTE[[URS]:[URS]]))*(--(J$14=Flowdown_BTE[[Source.Name]:[Source.Name]])),Flowdown_BTE[[SyRS]:[SyRS]],"")))</f>
        <v/>
      </c>
      <c r="K57" s="12" t="str" cm="1">
        <f t="array" ref="K57">_xlfn.TEXTJOIN(CHAR(10),TRUE,_xlfn._xlws.SORT(IF((--($B57=Flowdown_BTE[[URS]:[URS]]))*(--(K$14=Flowdown_BTE[[Source.Name]:[Source.Name]])),Flowdown_BTE[[SyRS]:[SyRS]],"")))</f>
        <v>MASTER-51276
MASTER-51277</v>
      </c>
      <c r="L57" s="16" t="b" cm="1">
        <f t="array" ref="L57">OR(LEN(C57:K57)&gt;0)</f>
        <v>1</v>
      </c>
    </row>
    <row r="58" spans="2:12" ht="108" x14ac:dyDescent="0.2">
      <c r="B58" s="11" t="str">
        <v>MASTER-48048</v>
      </c>
      <c r="C58" s="12" t="str" cm="1">
        <f t="array" ref="C58">_xlfn.TEXTJOIN(CHAR(10),TRUE,_xlfn._xlws.SORT(IF((--($B58=Flowdown_BTE[[URS]:[URS]]))*(--(C$14=Flowdown_BTE[[Source.Name]:[Source.Name]])),Flowdown_BTE[[SyRS]:[SyRS]],"")))</f>
        <v>MASTER-51530
MASTER-51531
MASTER-62843
MASTER-62844
MASTER-62845
MASTER-62846
MASTER-62847
MASTER-62848</v>
      </c>
      <c r="D58" s="12" t="str" cm="1">
        <f t="array" ref="D58">_xlfn.TEXTJOIN(CHAR(10),TRUE,_xlfn._xlws.SORT(IF((--($B58=Flowdown_BTE[[URS]:[URS]]))*(--(D$14=Flowdown_BTE[[Source.Name]:[Source.Name]])),Flowdown_BTE[[SyRS]:[SyRS]],"")))</f>
        <v>MASTER-51530
MASTER-51531
MASTER-62843
MASTER-62844
MASTER-62845
MASTER-62846
MASTER-62847
MASTER-62848</v>
      </c>
      <c r="E58" s="12" t="str" cm="1">
        <f t="array" ref="E58">_xlfn.TEXTJOIN(CHAR(10),TRUE,_xlfn._xlws.SORT(IF((--($B58=Flowdown_BTE[[URS]:[URS]]))*(--(E$14=Flowdown_BTE[[Source.Name]:[Source.Name]])),Flowdown_BTE[[SyRS]:[SyRS]],"")))</f>
        <v>MASTER-51530
MASTER-51531
MASTER-62843
MASTER-62844
MASTER-62845
MASTER-62846
MASTER-62847
MASTER-62848</v>
      </c>
      <c r="F58" s="12" t="str" cm="1">
        <f t="array" ref="F58">_xlfn.TEXTJOIN(CHAR(10),TRUE,_xlfn._xlws.SORT(IF((--($B58=Flowdown_BTE[[URS]:[URS]]))*(--(F$14=Flowdown_BTE[[Source.Name]:[Source.Name]])),Flowdown_BTE[[SyRS]:[SyRS]],"")))</f>
        <v>MASTER-51530
MASTER-51531
MASTER-62843
MASTER-62844
MASTER-62845
MASTER-62846
MASTER-62847
MASTER-62848</v>
      </c>
      <c r="G58" s="12" t="str" cm="1">
        <f t="array" ref="G58">_xlfn.TEXTJOIN(CHAR(10),TRUE,_xlfn._xlws.SORT(IF((--($B58=Flowdown_BTE[[URS]:[URS]]))*(--(G$14=Flowdown_BTE[[Source.Name]:[Source.Name]])),Flowdown_BTE[[SyRS]:[SyRS]],"")))</f>
        <v>MASTER-51530
MASTER-51531
MASTER-62843
MASTER-62844
MASTER-62845
MASTER-62846
MASTER-62847
MASTER-62848</v>
      </c>
      <c r="H58" s="12" t="str" cm="1">
        <f t="array" ref="H58">_xlfn.TEXTJOIN(CHAR(10),TRUE,_xlfn._xlws.SORT(IF((--($B58=Flowdown_BTE[[URS]:[URS]]))*(--(H$14=Flowdown_BTE[[Source.Name]:[Source.Name]])),Flowdown_BTE[[SyRS]:[SyRS]],"")))</f>
        <v>MASTER-50682</v>
      </c>
      <c r="I58" s="12" t="str" cm="1">
        <f t="array" ref="I58">_xlfn.TEXTJOIN(CHAR(10),TRUE,_xlfn._xlws.SORT(IF((--($B58=Flowdown_BTE[[URS]:[URS]]))*(--(I$14=Flowdown_BTE[[Source.Name]:[Source.Name]])),Flowdown_BTE[[SyRS]:[SyRS]],"")))</f>
        <v/>
      </c>
      <c r="J58" s="12" t="str" cm="1">
        <f t="array" ref="J58">_xlfn.TEXTJOIN(CHAR(10),TRUE,_xlfn._xlws.SORT(IF((--($B58=Flowdown_BTE[[URS]:[URS]]))*(--(J$14=Flowdown_BTE[[Source.Name]:[Source.Name]])),Flowdown_BTE[[SyRS]:[SyRS]],"")))</f>
        <v/>
      </c>
      <c r="K58" s="12" t="str" cm="1">
        <f t="array" ref="K58">_xlfn.TEXTJOIN(CHAR(10),TRUE,_xlfn._xlws.SORT(IF((--($B58=Flowdown_BTE[[URS]:[URS]]))*(--(K$14=Flowdown_BTE[[Source.Name]:[Source.Name]])),Flowdown_BTE[[SyRS]:[SyRS]],"")))</f>
        <v/>
      </c>
      <c r="L58" s="16" t="b" cm="1">
        <f t="array" ref="L58">OR(LEN(C58:K58)&gt;0)</f>
        <v>1</v>
      </c>
    </row>
    <row r="59" spans="2:12" ht="27" x14ac:dyDescent="0.2">
      <c r="B59" s="11" t="str">
        <v>MASTER-50058</v>
      </c>
      <c r="C59" s="12" t="str" cm="1">
        <f t="array" ref="C59">_xlfn.TEXTJOIN(CHAR(10),TRUE,_xlfn._xlws.SORT(IF((--($B59=Flowdown_BTE[[URS]:[URS]]))*(--(C$14=Flowdown_BTE[[Source.Name]:[Source.Name]])),Flowdown_BTE[[SyRS]:[SyRS]],"")))</f>
        <v>MASTER-50012
MASTER-60743</v>
      </c>
      <c r="D59" s="12" t="str" cm="1">
        <f t="array" ref="D59">_xlfn.TEXTJOIN(CHAR(10),TRUE,_xlfn._xlws.SORT(IF((--($B59=Flowdown_BTE[[URS]:[URS]]))*(--(D$14=Flowdown_BTE[[Source.Name]:[Source.Name]])),Flowdown_BTE[[SyRS]:[SyRS]],"")))</f>
        <v>MASTER-50012
MASTER-60743</v>
      </c>
      <c r="E59" s="12" t="str" cm="1">
        <f t="array" ref="E59">_xlfn.TEXTJOIN(CHAR(10),TRUE,_xlfn._xlws.SORT(IF((--($B59=Flowdown_BTE[[URS]:[URS]]))*(--(E$14=Flowdown_BTE[[Source.Name]:[Source.Name]])),Flowdown_BTE[[SyRS]:[SyRS]],"")))</f>
        <v>MASTER-50012
MASTER-60743</v>
      </c>
      <c r="F59" s="12" t="str" cm="1">
        <f t="array" ref="F59">_xlfn.TEXTJOIN(CHAR(10),TRUE,_xlfn._xlws.SORT(IF((--($B59=Flowdown_BTE[[URS]:[URS]]))*(--(F$14=Flowdown_BTE[[Source.Name]:[Source.Name]])),Flowdown_BTE[[SyRS]:[SyRS]],"")))</f>
        <v>MASTER-50012
MASTER-60743</v>
      </c>
      <c r="G59" s="12" t="str" cm="1">
        <f t="array" ref="G59">_xlfn.TEXTJOIN(CHAR(10),TRUE,_xlfn._xlws.SORT(IF((--($B59=Flowdown_BTE[[URS]:[URS]]))*(--(G$14=Flowdown_BTE[[Source.Name]:[Source.Name]])),Flowdown_BTE[[SyRS]:[SyRS]],"")))</f>
        <v>MASTER-50012
MASTER-60743</v>
      </c>
      <c r="H59" s="12" t="str" cm="1">
        <f t="array" ref="H59">_xlfn.TEXTJOIN(CHAR(10),TRUE,_xlfn._xlws.SORT(IF((--($B59=Flowdown_BTE[[URS]:[URS]]))*(--(H$14=Flowdown_BTE[[Source.Name]:[Source.Name]])),Flowdown_BTE[[SyRS]:[SyRS]],"")))</f>
        <v>MASTER-60800
MASTER-60810</v>
      </c>
      <c r="I59" s="12" t="str" cm="1">
        <f t="array" ref="I59">_xlfn.TEXTJOIN(CHAR(10),TRUE,_xlfn._xlws.SORT(IF((--($B59=Flowdown_BTE[[URS]:[URS]]))*(--(I$14=Flowdown_BTE[[Source.Name]:[Source.Name]])),Flowdown_BTE[[SyRS]:[SyRS]],"")))</f>
        <v/>
      </c>
      <c r="J59" s="12" t="str" cm="1">
        <f t="array" ref="J59">_xlfn.TEXTJOIN(CHAR(10),TRUE,_xlfn._xlws.SORT(IF((--($B59=Flowdown_BTE[[URS]:[URS]]))*(--(J$14=Flowdown_BTE[[Source.Name]:[Source.Name]])),Flowdown_BTE[[SyRS]:[SyRS]],"")))</f>
        <v/>
      </c>
      <c r="K59" s="12" t="str" cm="1">
        <f t="array" ref="K59">_xlfn.TEXTJOIN(CHAR(10),TRUE,_xlfn._xlws.SORT(IF((--($B59=Flowdown_BTE[[URS]:[URS]]))*(--(K$14=Flowdown_BTE[[Source.Name]:[Source.Name]])),Flowdown_BTE[[SyRS]:[SyRS]],"")))</f>
        <v/>
      </c>
      <c r="L59" s="16" t="b" cm="1">
        <f t="array" ref="L59">OR(LEN(C59:K59)&gt;0)</f>
        <v>1</v>
      </c>
    </row>
    <row r="60" spans="2:12" ht="40.5" x14ac:dyDescent="0.2">
      <c r="B60" s="11" t="str">
        <v>MASTER-51667</v>
      </c>
      <c r="C60" s="12" t="str" cm="1">
        <f t="array" ref="C60">_xlfn.TEXTJOIN(CHAR(10),TRUE,_xlfn._xlws.SORT(IF((--($B60=Flowdown_BTE[[URS]:[URS]]))*(--(C$14=Flowdown_BTE[[Source.Name]:[Source.Name]])),Flowdown_BTE[[SyRS]:[SyRS]],"")))</f>
        <v>MASTER-51380
MASTER-51821
MASTER-51822</v>
      </c>
      <c r="D60" s="12" t="str" cm="1">
        <f t="array" ref="D60">_xlfn.TEXTJOIN(CHAR(10),TRUE,_xlfn._xlws.SORT(IF((--($B60=Flowdown_BTE[[URS]:[URS]]))*(--(D$14=Flowdown_BTE[[Source.Name]:[Source.Name]])),Flowdown_BTE[[SyRS]:[SyRS]],"")))</f>
        <v>MASTER-51380
MASTER-51821
MASTER-51822</v>
      </c>
      <c r="E60" s="12" t="str" cm="1">
        <f t="array" ref="E60">_xlfn.TEXTJOIN(CHAR(10),TRUE,_xlfn._xlws.SORT(IF((--($B60=Flowdown_BTE[[URS]:[URS]]))*(--(E$14=Flowdown_BTE[[Source.Name]:[Source.Name]])),Flowdown_BTE[[SyRS]:[SyRS]],"")))</f>
        <v>MASTER-51380
MASTER-51821
MASTER-51822</v>
      </c>
      <c r="F60" s="12" t="str" cm="1">
        <f t="array" ref="F60">_xlfn.TEXTJOIN(CHAR(10),TRUE,_xlfn._xlws.SORT(IF((--($B60=Flowdown_BTE[[URS]:[URS]]))*(--(F$14=Flowdown_BTE[[Source.Name]:[Source.Name]])),Flowdown_BTE[[SyRS]:[SyRS]],"")))</f>
        <v>MASTER-51380
MASTER-51821
MASTER-51822</v>
      </c>
      <c r="G60" s="12" t="str" cm="1">
        <f t="array" ref="G60">_xlfn.TEXTJOIN(CHAR(10),TRUE,_xlfn._xlws.SORT(IF((--($B60=Flowdown_BTE[[URS]:[URS]]))*(--(G$14=Flowdown_BTE[[Source.Name]:[Source.Name]])),Flowdown_BTE[[SyRS]:[SyRS]],"")))</f>
        <v>MASTER-51380
MASTER-51821
MASTER-51822</v>
      </c>
      <c r="H60" s="12" t="str" cm="1">
        <f t="array" ref="H60">_xlfn.TEXTJOIN(CHAR(10),TRUE,_xlfn._xlws.SORT(IF((--($B60=Flowdown_BTE[[URS]:[URS]]))*(--(H$14=Flowdown_BTE[[Source.Name]:[Source.Name]])),Flowdown_BTE[[SyRS]:[SyRS]],"")))</f>
        <v/>
      </c>
      <c r="I60" s="12" t="str" cm="1">
        <f t="array" ref="I60">_xlfn.TEXTJOIN(CHAR(10),TRUE,_xlfn._xlws.SORT(IF((--($B60=Flowdown_BTE[[URS]:[URS]]))*(--(I$14=Flowdown_BTE[[Source.Name]:[Source.Name]])),Flowdown_BTE[[SyRS]:[SyRS]],"")))</f>
        <v/>
      </c>
      <c r="J60" s="12" t="str" cm="1">
        <f t="array" ref="J60">_xlfn.TEXTJOIN(CHAR(10),TRUE,_xlfn._xlws.SORT(IF((--($B60=Flowdown_BTE[[URS]:[URS]]))*(--(J$14=Flowdown_BTE[[Source.Name]:[Source.Name]])),Flowdown_BTE[[SyRS]:[SyRS]],"")))</f>
        <v/>
      </c>
      <c r="K60" s="12" t="str" cm="1">
        <f t="array" ref="K60">_xlfn.TEXTJOIN(CHAR(10),TRUE,_xlfn._xlws.SORT(IF((--($B60=Flowdown_BTE[[URS]:[URS]]))*(--(K$14=Flowdown_BTE[[Source.Name]:[Source.Name]])),Flowdown_BTE[[SyRS]:[SyRS]],"")))</f>
        <v>MASTER-51850</v>
      </c>
      <c r="L60" s="16" t="b" cm="1">
        <f t="array" ref="L60">OR(LEN(C60:K60)&gt;0)</f>
        <v>1</v>
      </c>
    </row>
    <row r="61" spans="2:12" ht="27" x14ac:dyDescent="0.2">
      <c r="B61" s="11" t="str">
        <v>MASTER-51668</v>
      </c>
      <c r="C61" s="12" t="str" cm="1">
        <f t="array" ref="C61">_xlfn.TEXTJOIN(CHAR(10),TRUE,_xlfn._xlws.SORT(IF((--($B61=Flowdown_BTE[[URS]:[URS]]))*(--(C$14=Flowdown_BTE[[Source.Name]:[Source.Name]])),Flowdown_BTE[[SyRS]:[SyRS]],"")))</f>
        <v>MASTER-51825</v>
      </c>
      <c r="D61" s="12" t="str" cm="1">
        <f t="array" ref="D61">_xlfn.TEXTJOIN(CHAR(10),TRUE,_xlfn._xlws.SORT(IF((--($B61=Flowdown_BTE[[URS]:[URS]]))*(--(D$14=Flowdown_BTE[[Source.Name]:[Source.Name]])),Flowdown_BTE[[SyRS]:[SyRS]],"")))</f>
        <v>MASTER-51825</v>
      </c>
      <c r="E61" s="12" t="str" cm="1">
        <f t="array" ref="E61">_xlfn.TEXTJOIN(CHAR(10),TRUE,_xlfn._xlws.SORT(IF((--($B61=Flowdown_BTE[[URS]:[URS]]))*(--(E$14=Flowdown_BTE[[Source.Name]:[Source.Name]])),Flowdown_BTE[[SyRS]:[SyRS]],"")))</f>
        <v>MASTER-51825</v>
      </c>
      <c r="F61" s="12" t="str" cm="1">
        <f t="array" ref="F61">_xlfn.TEXTJOIN(CHAR(10),TRUE,_xlfn._xlws.SORT(IF((--($B61=Flowdown_BTE[[URS]:[URS]]))*(--(F$14=Flowdown_BTE[[Source.Name]:[Source.Name]])),Flowdown_BTE[[SyRS]:[SyRS]],"")))</f>
        <v>MASTER-51825</v>
      </c>
      <c r="G61" s="12" t="str" cm="1">
        <f t="array" ref="G61">_xlfn.TEXTJOIN(CHAR(10),TRUE,_xlfn._xlws.SORT(IF((--($B61=Flowdown_BTE[[URS]:[URS]]))*(--(G$14=Flowdown_BTE[[Source.Name]:[Source.Name]])),Flowdown_BTE[[SyRS]:[SyRS]],"")))</f>
        <v>MASTER-51825</v>
      </c>
      <c r="H61" s="12" t="str" cm="1">
        <f t="array" ref="H61">_xlfn.TEXTJOIN(CHAR(10),TRUE,_xlfn._xlws.SORT(IF((--($B61=Flowdown_BTE[[URS]:[URS]]))*(--(H$14=Flowdown_BTE[[Source.Name]:[Source.Name]])),Flowdown_BTE[[SyRS]:[SyRS]],"")))</f>
        <v/>
      </c>
      <c r="I61" s="12" t="str" cm="1">
        <f t="array" ref="I61">_xlfn.TEXTJOIN(CHAR(10),TRUE,_xlfn._xlws.SORT(IF((--($B61=Flowdown_BTE[[URS]:[URS]]))*(--(I$14=Flowdown_BTE[[Source.Name]:[Source.Name]])),Flowdown_BTE[[SyRS]:[SyRS]],"")))</f>
        <v/>
      </c>
      <c r="J61" s="12" t="str" cm="1">
        <f t="array" ref="J61">_xlfn.TEXTJOIN(CHAR(10),TRUE,_xlfn._xlws.SORT(IF((--($B61=Flowdown_BTE[[URS]:[URS]]))*(--(J$14=Flowdown_BTE[[Source.Name]:[Source.Name]])),Flowdown_BTE[[SyRS]:[SyRS]],"")))</f>
        <v/>
      </c>
      <c r="K61" s="12" t="str" cm="1">
        <f t="array" ref="K61">_xlfn.TEXTJOIN(CHAR(10),TRUE,_xlfn._xlws.SORT(IF((--($B61=Flowdown_BTE[[URS]:[URS]]))*(--(K$14=Flowdown_BTE[[Source.Name]:[Source.Name]])),Flowdown_BTE[[SyRS]:[SyRS]],"")))</f>
        <v>MASTER-51418
MASTER-51855</v>
      </c>
      <c r="L61" s="16" t="b" cm="1">
        <f t="array" ref="L61">OR(LEN(C61:K61)&gt;0)</f>
        <v>1</v>
      </c>
    </row>
    <row r="62" spans="2:12" ht="67.5" x14ac:dyDescent="0.2">
      <c r="B62" s="11" t="str">
        <v>MASTER-51670</v>
      </c>
      <c r="C62" s="12" t="str" cm="1">
        <f t="array" ref="C62">_xlfn.TEXTJOIN(CHAR(10),TRUE,_xlfn._xlws.SORT(IF((--($B62=Flowdown_BTE[[URS]:[URS]]))*(--(C$14=Flowdown_BTE[[Source.Name]:[Source.Name]])),Flowdown_BTE[[SyRS]:[SyRS]],"")))</f>
        <v>MASTER-51377
MASTER-51378
MASTER-51426
MASTER-51820
MASTER-60743</v>
      </c>
      <c r="D62" s="12" t="str" cm="1">
        <f t="array" ref="D62">_xlfn.TEXTJOIN(CHAR(10),TRUE,_xlfn._xlws.SORT(IF((--($B62=Flowdown_BTE[[URS]:[URS]]))*(--(D$14=Flowdown_BTE[[Source.Name]:[Source.Name]])),Flowdown_BTE[[SyRS]:[SyRS]],"")))</f>
        <v>MASTER-51377
MASTER-51378
MASTER-51426
MASTER-51820
MASTER-60743</v>
      </c>
      <c r="E62" s="12" t="str" cm="1">
        <f t="array" ref="E62">_xlfn.TEXTJOIN(CHAR(10),TRUE,_xlfn._xlws.SORT(IF((--($B62=Flowdown_BTE[[URS]:[URS]]))*(--(E$14=Flowdown_BTE[[Source.Name]:[Source.Name]])),Flowdown_BTE[[SyRS]:[SyRS]],"")))</f>
        <v>MASTER-51377
MASTER-51378
MASTER-51426
MASTER-51820
MASTER-60743</v>
      </c>
      <c r="F62" s="12" t="str" cm="1">
        <f t="array" ref="F62">_xlfn.TEXTJOIN(CHAR(10),TRUE,_xlfn._xlws.SORT(IF((--($B62=Flowdown_BTE[[URS]:[URS]]))*(--(F$14=Flowdown_BTE[[Source.Name]:[Source.Name]])),Flowdown_BTE[[SyRS]:[SyRS]],"")))</f>
        <v>MASTER-51377
MASTER-51378
MASTER-51426
MASTER-51820
MASTER-60743</v>
      </c>
      <c r="G62" s="12" t="str" cm="1">
        <f t="array" ref="G62">_xlfn.TEXTJOIN(CHAR(10),TRUE,_xlfn._xlws.SORT(IF((--($B62=Flowdown_BTE[[URS]:[URS]]))*(--(G$14=Flowdown_BTE[[Source.Name]:[Source.Name]])),Flowdown_BTE[[SyRS]:[SyRS]],"")))</f>
        <v>MASTER-51377
MASTER-51378
MASTER-51426
MASTER-51820
MASTER-60743</v>
      </c>
      <c r="H62" s="12" t="str" cm="1">
        <f t="array" ref="H62">_xlfn.TEXTJOIN(CHAR(10),TRUE,_xlfn._xlws.SORT(IF((--($B62=Flowdown_BTE[[URS]:[URS]]))*(--(H$14=Flowdown_BTE[[Source.Name]:[Source.Name]])),Flowdown_BTE[[SyRS]:[SyRS]],"")))</f>
        <v>MASTER-60800
MASTER-60810</v>
      </c>
      <c r="I62" s="12" t="str" cm="1">
        <f t="array" ref="I62">_xlfn.TEXTJOIN(CHAR(10),TRUE,_xlfn._xlws.SORT(IF((--($B62=Flowdown_BTE[[URS]:[URS]]))*(--(I$14=Flowdown_BTE[[Source.Name]:[Source.Name]])),Flowdown_BTE[[SyRS]:[SyRS]],"")))</f>
        <v/>
      </c>
      <c r="J62" s="12" t="str" cm="1">
        <f t="array" ref="J62">_xlfn.TEXTJOIN(CHAR(10),TRUE,_xlfn._xlws.SORT(IF((--($B62=Flowdown_BTE[[URS]:[URS]]))*(--(J$14=Flowdown_BTE[[Source.Name]:[Source.Name]])),Flowdown_BTE[[SyRS]:[SyRS]],"")))</f>
        <v/>
      </c>
      <c r="K62" s="12" t="str" cm="1">
        <f t="array" ref="K62">_xlfn.TEXTJOIN(CHAR(10),TRUE,_xlfn._xlws.SORT(IF((--($B62=Flowdown_BTE[[URS]:[URS]]))*(--(K$14=Flowdown_BTE[[Source.Name]:[Source.Name]])),Flowdown_BTE[[SyRS]:[SyRS]],"")))</f>
        <v>MASTER-51373</v>
      </c>
      <c r="L62" s="16" t="b" cm="1">
        <f t="array" ref="L62">OR(LEN(C62:K62)&gt;0)</f>
        <v>1</v>
      </c>
    </row>
    <row r="63" spans="2:12" ht="40.5" x14ac:dyDescent="0.2">
      <c r="B63" s="11" t="str">
        <v>MASTER-51671</v>
      </c>
      <c r="C63" s="12" t="str" cm="1">
        <f t="array" ref="C63">_xlfn.TEXTJOIN(CHAR(10),TRUE,_xlfn._xlws.SORT(IF((--($B63=Flowdown_BTE[[URS]:[URS]]))*(--(C$14=Flowdown_BTE[[Source.Name]:[Source.Name]])),Flowdown_BTE[[SyRS]:[SyRS]],"")))</f>
        <v>MASTER-51827
MASTER-51828
MASTER-51829</v>
      </c>
      <c r="D63" s="12" t="str" cm="1">
        <f t="array" ref="D63">_xlfn.TEXTJOIN(CHAR(10),TRUE,_xlfn._xlws.SORT(IF((--($B63=Flowdown_BTE[[URS]:[URS]]))*(--(D$14=Flowdown_BTE[[Source.Name]:[Source.Name]])),Flowdown_BTE[[SyRS]:[SyRS]],"")))</f>
        <v>MASTER-51827
MASTER-51828
MASTER-51829</v>
      </c>
      <c r="E63" s="12" t="str" cm="1">
        <f t="array" ref="E63">_xlfn.TEXTJOIN(CHAR(10),TRUE,_xlfn._xlws.SORT(IF((--($B63=Flowdown_BTE[[URS]:[URS]]))*(--(E$14=Flowdown_BTE[[Source.Name]:[Source.Name]])),Flowdown_BTE[[SyRS]:[SyRS]],"")))</f>
        <v>MASTER-51827
MASTER-51828
MASTER-51829</v>
      </c>
      <c r="F63" s="12" t="str" cm="1">
        <f t="array" ref="F63">_xlfn.TEXTJOIN(CHAR(10),TRUE,_xlfn._xlws.SORT(IF((--($B63=Flowdown_BTE[[URS]:[URS]]))*(--(F$14=Flowdown_BTE[[Source.Name]:[Source.Name]])),Flowdown_BTE[[SyRS]:[SyRS]],"")))</f>
        <v>MASTER-51827
MASTER-51828
MASTER-51829</v>
      </c>
      <c r="G63" s="12" t="str" cm="1">
        <f t="array" ref="G63">_xlfn.TEXTJOIN(CHAR(10),TRUE,_xlfn._xlws.SORT(IF((--($B63=Flowdown_BTE[[URS]:[URS]]))*(--(G$14=Flowdown_BTE[[Source.Name]:[Source.Name]])),Flowdown_BTE[[SyRS]:[SyRS]],"")))</f>
        <v>MASTER-51827
MASTER-51828
MASTER-51829</v>
      </c>
      <c r="H63" s="12" t="str" cm="1">
        <f t="array" ref="H63">_xlfn.TEXTJOIN(CHAR(10),TRUE,_xlfn._xlws.SORT(IF((--($B63=Flowdown_BTE[[URS]:[URS]]))*(--(H$14=Flowdown_BTE[[Source.Name]:[Source.Name]])),Flowdown_BTE[[SyRS]:[SyRS]],"")))</f>
        <v/>
      </c>
      <c r="I63" s="12" t="str" cm="1">
        <f t="array" ref="I63">_xlfn.TEXTJOIN(CHAR(10),TRUE,_xlfn._xlws.SORT(IF((--($B63=Flowdown_BTE[[URS]:[URS]]))*(--(I$14=Flowdown_BTE[[Source.Name]:[Source.Name]])),Flowdown_BTE[[SyRS]:[SyRS]],"")))</f>
        <v/>
      </c>
      <c r="J63" s="12" t="str" cm="1">
        <f t="array" ref="J63">_xlfn.TEXTJOIN(CHAR(10),TRUE,_xlfn._xlws.SORT(IF((--($B63=Flowdown_BTE[[URS]:[URS]]))*(--(J$14=Flowdown_BTE[[Source.Name]:[Source.Name]])),Flowdown_BTE[[SyRS]:[SyRS]],"")))</f>
        <v/>
      </c>
      <c r="K63" s="12" t="str" cm="1">
        <f t="array" ref="K63">_xlfn.TEXTJOIN(CHAR(10),TRUE,_xlfn._xlws.SORT(IF((--($B63=Flowdown_BTE[[URS]:[URS]]))*(--(K$14=Flowdown_BTE[[Source.Name]:[Source.Name]])),Flowdown_BTE[[SyRS]:[SyRS]],"")))</f>
        <v>MASTER-51852</v>
      </c>
      <c r="L63" s="16" t="b" cm="1">
        <f t="array" ref="L63">OR(LEN(C63:K63)&gt;0)</f>
        <v>1</v>
      </c>
    </row>
    <row r="64" spans="2:12" ht="67.5" x14ac:dyDescent="0.2">
      <c r="B64" s="11" t="str">
        <v>MASTER-51672</v>
      </c>
      <c r="C64" s="12" t="str" cm="1">
        <f t="array" ref="C64">_xlfn.TEXTJOIN(CHAR(10),TRUE,_xlfn._xlws.SORT(IF((--($B64=Flowdown_BTE[[URS]:[URS]]))*(--(C$14=Flowdown_BTE[[Source.Name]:[Source.Name]])),Flowdown_BTE[[SyRS]:[SyRS]],"")))</f>
        <v>MASTER-51387
MASTER-51388
MASTER-51400
MASTER-51401
MASTER-51823</v>
      </c>
      <c r="D64" s="12" t="str" cm="1">
        <f t="array" ref="D64">_xlfn.TEXTJOIN(CHAR(10),TRUE,_xlfn._xlws.SORT(IF((--($B64=Flowdown_BTE[[URS]:[URS]]))*(--(D$14=Flowdown_BTE[[Source.Name]:[Source.Name]])),Flowdown_BTE[[SyRS]:[SyRS]],"")))</f>
        <v>MASTER-51387
MASTER-51388
MASTER-51400
MASTER-51401
MASTER-51823</v>
      </c>
      <c r="E64" s="12" t="str" cm="1">
        <f t="array" ref="E64">_xlfn.TEXTJOIN(CHAR(10),TRUE,_xlfn._xlws.SORT(IF((--($B64=Flowdown_BTE[[URS]:[URS]]))*(--(E$14=Flowdown_BTE[[Source.Name]:[Source.Name]])),Flowdown_BTE[[SyRS]:[SyRS]],"")))</f>
        <v>MASTER-51387
MASTER-51388
MASTER-51400
MASTER-51401
MASTER-51823</v>
      </c>
      <c r="F64" s="12" t="str" cm="1">
        <f t="array" ref="F64">_xlfn.TEXTJOIN(CHAR(10),TRUE,_xlfn._xlws.SORT(IF((--($B64=Flowdown_BTE[[URS]:[URS]]))*(--(F$14=Flowdown_BTE[[Source.Name]:[Source.Name]])),Flowdown_BTE[[SyRS]:[SyRS]],"")))</f>
        <v>MASTER-51387
MASTER-51388
MASTER-51400
MASTER-51401
MASTER-51823</v>
      </c>
      <c r="G64" s="12" t="str" cm="1">
        <f t="array" ref="G64">_xlfn.TEXTJOIN(CHAR(10),TRUE,_xlfn._xlws.SORT(IF((--($B64=Flowdown_BTE[[URS]:[URS]]))*(--(G$14=Flowdown_BTE[[Source.Name]:[Source.Name]])),Flowdown_BTE[[SyRS]:[SyRS]],"")))</f>
        <v>MASTER-51387
MASTER-51388
MASTER-51400
MASTER-51401
MASTER-51823</v>
      </c>
      <c r="H64" s="12" t="str" cm="1">
        <f t="array" ref="H64">_xlfn.TEXTJOIN(CHAR(10),TRUE,_xlfn._xlws.SORT(IF((--($B64=Flowdown_BTE[[URS]:[URS]]))*(--(H$14=Flowdown_BTE[[Source.Name]:[Source.Name]])),Flowdown_BTE[[SyRS]:[SyRS]],"")))</f>
        <v/>
      </c>
      <c r="I64" s="12" t="str" cm="1">
        <f t="array" ref="I64">_xlfn.TEXTJOIN(CHAR(10),TRUE,_xlfn._xlws.SORT(IF((--($B64=Flowdown_BTE[[URS]:[URS]]))*(--(I$14=Flowdown_BTE[[Source.Name]:[Source.Name]])),Flowdown_BTE[[SyRS]:[SyRS]],"")))</f>
        <v/>
      </c>
      <c r="J64" s="12" t="str" cm="1">
        <f t="array" ref="J64">_xlfn.TEXTJOIN(CHAR(10),TRUE,_xlfn._xlws.SORT(IF((--($B64=Flowdown_BTE[[URS]:[URS]]))*(--(J$14=Flowdown_BTE[[Source.Name]:[Source.Name]])),Flowdown_BTE[[SyRS]:[SyRS]],"")))</f>
        <v/>
      </c>
      <c r="K64" s="12" t="str" cm="1">
        <f t="array" ref="K64">_xlfn.TEXTJOIN(CHAR(10),TRUE,_xlfn._xlws.SORT(IF((--($B64=Flowdown_BTE[[URS]:[URS]]))*(--(K$14=Flowdown_BTE[[Source.Name]:[Source.Name]])),Flowdown_BTE[[SyRS]:[SyRS]],"")))</f>
        <v>MASTER-51396</v>
      </c>
      <c r="L64" s="16" t="b" cm="1">
        <f t="array" ref="L64">OR(LEN(C64:K64)&gt;0)</f>
        <v>1</v>
      </c>
    </row>
    <row r="65" spans="2:12" ht="13.5" x14ac:dyDescent="0.2">
      <c r="B65" s="11" t="str">
        <v>MASTER-51673</v>
      </c>
      <c r="C65" s="12" t="str" cm="1">
        <f t="array" ref="C65">_xlfn.TEXTJOIN(CHAR(10),TRUE,_xlfn._xlws.SORT(IF((--($B65=Flowdown_BTE[[URS]:[URS]]))*(--(C$14=Flowdown_BTE[[Source.Name]:[Source.Name]])),Flowdown_BTE[[SyRS]:[SyRS]],"")))</f>
        <v>MASTER-60757</v>
      </c>
      <c r="D65" s="12" t="str" cm="1">
        <f t="array" ref="D65">_xlfn.TEXTJOIN(CHAR(10),TRUE,_xlfn._xlws.SORT(IF((--($B65=Flowdown_BTE[[URS]:[URS]]))*(--(D$14=Flowdown_BTE[[Source.Name]:[Source.Name]])),Flowdown_BTE[[SyRS]:[SyRS]],"")))</f>
        <v>MASTER-60757</v>
      </c>
      <c r="E65" s="12" t="str" cm="1">
        <f t="array" ref="E65">_xlfn.TEXTJOIN(CHAR(10),TRUE,_xlfn._xlws.SORT(IF((--($B65=Flowdown_BTE[[URS]:[URS]]))*(--(E$14=Flowdown_BTE[[Source.Name]:[Source.Name]])),Flowdown_BTE[[SyRS]:[SyRS]],"")))</f>
        <v>MASTER-60757</v>
      </c>
      <c r="F65" s="12" t="str" cm="1">
        <f t="array" ref="F65">_xlfn.TEXTJOIN(CHAR(10),TRUE,_xlfn._xlws.SORT(IF((--($B65=Flowdown_BTE[[URS]:[URS]]))*(--(F$14=Flowdown_BTE[[Source.Name]:[Source.Name]])),Flowdown_BTE[[SyRS]:[SyRS]],"")))</f>
        <v>MASTER-60757</v>
      </c>
      <c r="G65" s="12" t="str" cm="1">
        <f t="array" ref="G65">_xlfn.TEXTJOIN(CHAR(10),TRUE,_xlfn._xlws.SORT(IF((--($B65=Flowdown_BTE[[URS]:[URS]]))*(--(G$14=Flowdown_BTE[[Source.Name]:[Source.Name]])),Flowdown_BTE[[SyRS]:[SyRS]],"")))</f>
        <v>MASTER-60757</v>
      </c>
      <c r="H65" s="12" t="str" cm="1">
        <f t="array" ref="H65">_xlfn.TEXTJOIN(CHAR(10),TRUE,_xlfn._xlws.SORT(IF((--($B65=Flowdown_BTE[[URS]:[URS]]))*(--(H$14=Flowdown_BTE[[Source.Name]:[Source.Name]])),Flowdown_BTE[[SyRS]:[SyRS]],"")))</f>
        <v/>
      </c>
      <c r="I65" s="12" t="str" cm="1">
        <f t="array" ref="I65">_xlfn.TEXTJOIN(CHAR(10),TRUE,_xlfn._xlws.SORT(IF((--($B65=Flowdown_BTE[[URS]:[URS]]))*(--(I$14=Flowdown_BTE[[Source.Name]:[Source.Name]])),Flowdown_BTE[[SyRS]:[SyRS]],"")))</f>
        <v/>
      </c>
      <c r="J65" s="12" t="str" cm="1">
        <f t="array" ref="J65">_xlfn.TEXTJOIN(CHAR(10),TRUE,_xlfn._xlws.SORT(IF((--($B65=Flowdown_BTE[[URS]:[URS]]))*(--(J$14=Flowdown_BTE[[Source.Name]:[Source.Name]])),Flowdown_BTE[[SyRS]:[SyRS]],"")))</f>
        <v/>
      </c>
      <c r="K65" s="12" t="str" cm="1">
        <f t="array" ref="K65">_xlfn.TEXTJOIN(CHAR(10),TRUE,_xlfn._xlws.SORT(IF((--($B65=Flowdown_BTE[[URS]:[URS]]))*(--(K$14=Flowdown_BTE[[Source.Name]:[Source.Name]])),Flowdown_BTE[[SyRS]:[SyRS]],"")))</f>
        <v/>
      </c>
      <c r="L65" s="16" t="b" cm="1">
        <f t="array" ref="L65">OR(LEN(C65:K65)&gt;0)</f>
        <v>1</v>
      </c>
    </row>
    <row r="66" spans="2:12" ht="54" x14ac:dyDescent="0.2">
      <c r="B66" s="11" t="str">
        <v>MASTER-51674</v>
      </c>
      <c r="C66" s="12" t="str" cm="1">
        <f t="array" ref="C66">_xlfn.TEXTJOIN(CHAR(10),TRUE,_xlfn._xlws.SORT(IF((--($B66=Flowdown_BTE[[URS]:[URS]]))*(--(C$14=Flowdown_BTE[[Source.Name]:[Source.Name]])),Flowdown_BTE[[SyRS]:[SyRS]],"")))</f>
        <v>MASTER-51330
MASTER-51809
MASTER-56914</v>
      </c>
      <c r="D66" s="12" t="str" cm="1">
        <f t="array" ref="D66">_xlfn.TEXTJOIN(CHAR(10),TRUE,_xlfn._xlws.SORT(IF((--($B66=Flowdown_BTE[[URS]:[URS]]))*(--(D$14=Flowdown_BTE[[Source.Name]:[Source.Name]])),Flowdown_BTE[[SyRS]:[SyRS]],"")))</f>
        <v>MASTER-51330
MASTER-51809
MASTER-56914</v>
      </c>
      <c r="E66" s="12" t="str" cm="1">
        <f t="array" ref="E66">_xlfn.TEXTJOIN(CHAR(10),TRUE,_xlfn._xlws.SORT(IF((--($B66=Flowdown_BTE[[URS]:[URS]]))*(--(E$14=Flowdown_BTE[[Source.Name]:[Source.Name]])),Flowdown_BTE[[SyRS]:[SyRS]],"")))</f>
        <v>MASTER-51330
MASTER-51809</v>
      </c>
      <c r="F66" s="12" t="str" cm="1">
        <f t="array" ref="F66">_xlfn.TEXTJOIN(CHAR(10),TRUE,_xlfn._xlws.SORT(IF((--($B66=Flowdown_BTE[[URS]:[URS]]))*(--(F$14=Flowdown_BTE[[Source.Name]:[Source.Name]])),Flowdown_BTE[[SyRS]:[SyRS]],"")))</f>
        <v>MASTER-51330
MASTER-51809</v>
      </c>
      <c r="G66" s="12" t="str" cm="1">
        <f t="array" ref="G66">_xlfn.TEXTJOIN(CHAR(10),TRUE,_xlfn._xlws.SORT(IF((--($B66=Flowdown_BTE[[URS]:[URS]]))*(--(G$14=Flowdown_BTE[[Source.Name]:[Source.Name]])),Flowdown_BTE[[SyRS]:[SyRS]],"")))</f>
        <v>MASTER-51330
MASTER-51809</v>
      </c>
      <c r="H66" s="12" t="str" cm="1">
        <f t="array" ref="H66">_xlfn.TEXTJOIN(CHAR(10),TRUE,_xlfn._xlws.SORT(IF((--($B66=Flowdown_BTE[[URS]:[URS]]))*(--(H$14=Flowdown_BTE[[Source.Name]:[Source.Name]])),Flowdown_BTE[[SyRS]:[SyRS]],"")))</f>
        <v/>
      </c>
      <c r="I66" s="12" t="str" cm="1">
        <f t="array" ref="I66">_xlfn.TEXTJOIN(CHAR(10),TRUE,_xlfn._xlws.SORT(IF((--($B66=Flowdown_BTE[[URS]:[URS]]))*(--(I$14=Flowdown_BTE[[Source.Name]:[Source.Name]])),Flowdown_BTE[[SyRS]:[SyRS]],"")))</f>
        <v/>
      </c>
      <c r="J66" s="12" t="str" cm="1">
        <f t="array" ref="J66">_xlfn.TEXTJOIN(CHAR(10),TRUE,_xlfn._xlws.SORT(IF((--($B66=Flowdown_BTE[[URS]:[URS]]))*(--(J$14=Flowdown_BTE[[Source.Name]:[Source.Name]])),Flowdown_BTE[[SyRS]:[SyRS]],"")))</f>
        <v/>
      </c>
      <c r="K66" s="12" t="str" cm="1">
        <f t="array" ref="K66">_xlfn.TEXTJOIN(CHAR(10),TRUE,_xlfn._xlws.SORT(IF((--($B66=Flowdown_BTE[[URS]:[URS]]))*(--(K$14=Flowdown_BTE[[Source.Name]:[Source.Name]])),Flowdown_BTE[[SyRS]:[SyRS]],"")))</f>
        <v>MASTER-51322
MASTER-51833
MASTER-51841
MASTER-56140</v>
      </c>
      <c r="L66" s="16" t="b" cm="1">
        <f t="array" ref="L66">OR(LEN(C66:K66)&gt;0)</f>
        <v>1</v>
      </c>
    </row>
    <row r="67" spans="2:12" ht="67.5" x14ac:dyDescent="0.2">
      <c r="B67" s="11" t="str">
        <v>MASTER-51675</v>
      </c>
      <c r="C67" s="12" t="str" cm="1">
        <f t="array" ref="C67">_xlfn.TEXTJOIN(CHAR(10),TRUE,_xlfn._xlws.SORT(IF((--($B67=Flowdown_BTE[[URS]:[URS]]))*(--(C$14=Flowdown_BTE[[Source.Name]:[Source.Name]])),Flowdown_BTE[[SyRS]:[SyRS]],"")))</f>
        <v>MASTER-51338
MASTER-51341
MASTER-51808
MASTER-51811
UTICA-6116</v>
      </c>
      <c r="D67" s="12" t="str" cm="1">
        <f t="array" ref="D67">_xlfn.TEXTJOIN(CHAR(10),TRUE,_xlfn._xlws.SORT(IF((--($B67=Flowdown_BTE[[URS]:[URS]]))*(--(D$14=Flowdown_BTE[[Source.Name]:[Source.Name]])),Flowdown_BTE[[SyRS]:[SyRS]],"")))</f>
        <v>MASTER-51338
MASTER-51341
MASTER-51808
MASTER-51811</v>
      </c>
      <c r="E67" s="12" t="str" cm="1">
        <f t="array" ref="E67">_xlfn.TEXTJOIN(CHAR(10),TRUE,_xlfn._xlws.SORT(IF((--($B67=Flowdown_BTE[[URS]:[URS]]))*(--(E$14=Flowdown_BTE[[Source.Name]:[Source.Name]])),Flowdown_BTE[[SyRS]:[SyRS]],"")))</f>
        <v>MASTER-51338
MASTER-51341
MASTER-51808
MASTER-51811</v>
      </c>
      <c r="F67" s="12" t="str" cm="1">
        <f t="array" ref="F67">_xlfn.TEXTJOIN(CHAR(10),TRUE,_xlfn._xlws.SORT(IF((--($B67=Flowdown_BTE[[URS]:[URS]]))*(--(F$14=Flowdown_BTE[[Source.Name]:[Source.Name]])),Flowdown_BTE[[SyRS]:[SyRS]],"")))</f>
        <v>MASTER-51338
MASTER-51341
MASTER-51808
MASTER-51811</v>
      </c>
      <c r="G67" s="12" t="str" cm="1">
        <f t="array" ref="G67">_xlfn.TEXTJOIN(CHAR(10),TRUE,_xlfn._xlws.SORT(IF((--($B67=Flowdown_BTE[[URS]:[URS]]))*(--(G$14=Flowdown_BTE[[Source.Name]:[Source.Name]])),Flowdown_BTE[[SyRS]:[SyRS]],"")))</f>
        <v>MASTER-51338
MASTER-51341
MASTER-51808
MASTER-51811</v>
      </c>
      <c r="H67" s="12" t="str" cm="1">
        <f t="array" ref="H67">_xlfn.TEXTJOIN(CHAR(10),TRUE,_xlfn._xlws.SORT(IF((--($B67=Flowdown_BTE[[URS]:[URS]]))*(--(H$14=Flowdown_BTE[[Source.Name]:[Source.Name]])),Flowdown_BTE[[SyRS]:[SyRS]],"")))</f>
        <v>MASTER-51320</v>
      </c>
      <c r="I67" s="12" t="str" cm="1">
        <f t="array" ref="I67">_xlfn.TEXTJOIN(CHAR(10),TRUE,_xlfn._xlws.SORT(IF((--($B67=Flowdown_BTE[[URS]:[URS]]))*(--(I$14=Flowdown_BTE[[Source.Name]:[Source.Name]])),Flowdown_BTE[[SyRS]:[SyRS]],"")))</f>
        <v/>
      </c>
      <c r="J67" s="12" t="str" cm="1">
        <f t="array" ref="J67">_xlfn.TEXTJOIN(CHAR(10),TRUE,_xlfn._xlws.SORT(IF((--($B67=Flowdown_BTE[[URS]:[URS]]))*(--(J$14=Flowdown_BTE[[Source.Name]:[Source.Name]])),Flowdown_BTE[[SyRS]:[SyRS]],"")))</f>
        <v/>
      </c>
      <c r="K67" s="12" t="str" cm="1">
        <f t="array" ref="K67">_xlfn.TEXTJOIN(CHAR(10),TRUE,_xlfn._xlws.SORT(IF((--($B67=Flowdown_BTE[[URS]:[URS]]))*(--(K$14=Flowdown_BTE[[Source.Name]:[Source.Name]])),Flowdown_BTE[[SyRS]:[SyRS]],"")))</f>
        <v>MASTER-51323
MASTER-51832</v>
      </c>
      <c r="L67" s="16" t="b" cm="1">
        <f t="array" ref="L67">OR(LEN(C67:K67)&gt;0)</f>
        <v>1</v>
      </c>
    </row>
    <row r="68" spans="2:12" ht="175.5" x14ac:dyDescent="0.2">
      <c r="B68" s="11" t="str">
        <v>MASTER-51677</v>
      </c>
      <c r="C68" s="12" t="str" cm="1">
        <f t="array" ref="C68">_xlfn.TEXTJOIN(CHAR(10),TRUE,_xlfn._xlws.SORT(IF((--($B68=Flowdown_BTE[[URS]:[URS]]))*(--(C$14=Flowdown_BTE[[Source.Name]:[Source.Name]])),Flowdown_BTE[[SyRS]:[SyRS]],"")))</f>
        <v>MASTER-51332
MASTER-51368
MASTER-51409
MASTER-51411
MASTER-51423
MASTER-51460
MASTER-51468
MASTER-51811
MASTER-51815
MASTER-51817
UTICA-6116</v>
      </c>
      <c r="D68" s="12" t="str" cm="1">
        <f t="array" ref="D68">_xlfn.TEXTJOIN(CHAR(10),TRUE,_xlfn._xlws.SORT(IF((--($B68=Flowdown_BTE[[URS]:[URS]]))*(--(D$14=Flowdown_BTE[[Source.Name]:[Source.Name]])),Flowdown_BTE[[SyRS]:[SyRS]],"")))</f>
        <v>MASTER-51332
MASTER-51368
MASTER-51409
MASTER-51411
MASTER-51423
MASTER-51460
MASTER-51468
MASTER-51811
MASTER-51815
MASTER-51817</v>
      </c>
      <c r="E68" s="12" t="str" cm="1">
        <f t="array" ref="E68">_xlfn.TEXTJOIN(CHAR(10),TRUE,_xlfn._xlws.SORT(IF((--($B68=Flowdown_BTE[[URS]:[URS]]))*(--(E$14=Flowdown_BTE[[Source.Name]:[Source.Name]])),Flowdown_BTE[[SyRS]:[SyRS]],"")))</f>
        <v>MASTER-51332
MASTER-51368
MASTER-51409
MASTER-51411
MASTER-51423
MASTER-51460
MASTER-51468
MASTER-51811
MASTER-51815
MASTER-51817</v>
      </c>
      <c r="F68" s="12" t="str" cm="1">
        <f t="array" ref="F68">_xlfn.TEXTJOIN(CHAR(10),TRUE,_xlfn._xlws.SORT(IF((--($B68=Flowdown_BTE[[URS]:[URS]]))*(--(F$14=Flowdown_BTE[[Source.Name]:[Source.Name]])),Flowdown_BTE[[SyRS]:[SyRS]],"")))</f>
        <v>MASTER-51332
MASTER-51368
MASTER-51409
MASTER-51411
MASTER-51423
MASTER-51460
MASTER-51468
MASTER-51811
MASTER-51815
MASTER-51817</v>
      </c>
      <c r="G68" s="12" t="str" cm="1">
        <f t="array" ref="G68">_xlfn.TEXTJOIN(CHAR(10),TRUE,_xlfn._xlws.SORT(IF((--($B68=Flowdown_BTE[[URS]:[URS]]))*(--(G$14=Flowdown_BTE[[Source.Name]:[Source.Name]])),Flowdown_BTE[[SyRS]:[SyRS]],"")))</f>
        <v>MASTER-51332
MASTER-51368
MASTER-51409
MASTER-51411
MASTER-51423
MASTER-51460
MASTER-51468
MASTER-51811
MASTER-51815
MASTER-51817</v>
      </c>
      <c r="H68" s="12" t="str" cm="1">
        <f t="array" ref="H68">_xlfn.TEXTJOIN(CHAR(10),TRUE,_xlfn._xlws.SORT(IF((--($B68=Flowdown_BTE[[URS]:[URS]]))*(--(H$14=Flowdown_BTE[[Source.Name]:[Source.Name]])),Flowdown_BTE[[SyRS]:[SyRS]],"")))</f>
        <v>MASTER-51859</v>
      </c>
      <c r="I68" s="12" t="str" cm="1">
        <f t="array" ref="I68">_xlfn.TEXTJOIN(CHAR(10),TRUE,_xlfn._xlws.SORT(IF((--($B68=Flowdown_BTE[[URS]:[URS]]))*(--(I$14=Flowdown_BTE[[Source.Name]:[Source.Name]])),Flowdown_BTE[[SyRS]:[SyRS]],"")))</f>
        <v/>
      </c>
      <c r="J68" s="12" t="str" cm="1">
        <f t="array" ref="J68">_xlfn.TEXTJOIN(CHAR(10),TRUE,_xlfn._xlws.SORT(IF((--($B68=Flowdown_BTE[[URS]:[URS]]))*(--(J$14=Flowdown_BTE[[Source.Name]:[Source.Name]])),Flowdown_BTE[[SyRS]:[SyRS]],"")))</f>
        <v/>
      </c>
      <c r="K68" s="12" t="str" cm="1">
        <f t="array" ref="K68">_xlfn.TEXTJOIN(CHAR(10),TRUE,_xlfn._xlws.SORT(IF((--($B68=Flowdown_BTE[[URS]:[URS]]))*(--(K$14=Flowdown_BTE[[Source.Name]:[Source.Name]])),Flowdown_BTE[[SyRS]:[SyRS]],"")))</f>
        <v>MASTER-51365
MASTER-51373
MASTER-51375
MASTER-51404
MASTER-51406
MASTER-51418
MASTER-51421
MASTER-51446
MASTER-51462
MASTER-51849
MASTER-51850
MASTER-51855
MASTER-51856</v>
      </c>
      <c r="L68" s="16" t="b" cm="1">
        <f t="array" ref="L68">OR(LEN(C68:K68)&gt;0)</f>
        <v>1</v>
      </c>
    </row>
    <row r="69" spans="2:12" ht="54" x14ac:dyDescent="0.2">
      <c r="B69" s="11" t="str">
        <v>MASTER-51678</v>
      </c>
      <c r="C69" s="12" t="str" cm="1">
        <f t="array" ref="C69">_xlfn.TEXTJOIN(CHAR(10),TRUE,_xlfn._xlws.SORT(IF((--($B69=Flowdown_BTE[[URS]:[URS]]))*(--(C$14=Flowdown_BTE[[Source.Name]:[Source.Name]])),Flowdown_BTE[[SyRS]:[SyRS]],"")))</f>
        <v>MASTER-56916</v>
      </c>
      <c r="D69" s="12" t="str" cm="1">
        <f t="array" ref="D69">_xlfn.TEXTJOIN(CHAR(10),TRUE,_xlfn._xlws.SORT(IF((--($B69=Flowdown_BTE[[URS]:[URS]]))*(--(D$14=Flowdown_BTE[[Source.Name]:[Source.Name]])),Flowdown_BTE[[SyRS]:[SyRS]],"")))</f>
        <v>MASTER-56916</v>
      </c>
      <c r="E69" s="12" t="str" cm="1">
        <f t="array" ref="E69">_xlfn.TEXTJOIN(CHAR(10),TRUE,_xlfn._xlws.SORT(IF((--($B69=Flowdown_BTE[[URS]:[URS]]))*(--(E$14=Flowdown_BTE[[Source.Name]:[Source.Name]])),Flowdown_BTE[[SyRS]:[SyRS]],"")))</f>
        <v/>
      </c>
      <c r="F69" s="12" t="str" cm="1">
        <f t="array" ref="F69">_xlfn.TEXTJOIN(CHAR(10),TRUE,_xlfn._xlws.SORT(IF((--($B69=Flowdown_BTE[[URS]:[URS]]))*(--(F$14=Flowdown_BTE[[Source.Name]:[Source.Name]])),Flowdown_BTE[[SyRS]:[SyRS]],"")))</f>
        <v/>
      </c>
      <c r="G69" s="12" t="str" cm="1">
        <f t="array" ref="G69">_xlfn.TEXTJOIN(CHAR(10),TRUE,_xlfn._xlws.SORT(IF((--($B69=Flowdown_BTE[[URS]:[URS]]))*(--(G$14=Flowdown_BTE[[Source.Name]:[Source.Name]])),Flowdown_BTE[[SyRS]:[SyRS]],"")))</f>
        <v/>
      </c>
      <c r="H69" s="12" t="str" cm="1">
        <f t="array" ref="H69">_xlfn.TEXTJOIN(CHAR(10),TRUE,_xlfn._xlws.SORT(IF((--($B69=Flowdown_BTE[[URS]:[URS]]))*(--(H$14=Flowdown_BTE[[Source.Name]:[Source.Name]])),Flowdown_BTE[[SyRS]:[SyRS]],"")))</f>
        <v/>
      </c>
      <c r="I69" s="12" t="str" cm="1">
        <f t="array" ref="I69">_xlfn.TEXTJOIN(CHAR(10),TRUE,_xlfn._xlws.SORT(IF((--($B69=Flowdown_BTE[[URS]:[URS]]))*(--(I$14=Flowdown_BTE[[Source.Name]:[Source.Name]])),Flowdown_BTE[[SyRS]:[SyRS]],"")))</f>
        <v/>
      </c>
      <c r="J69" s="12" t="str" cm="1">
        <f t="array" ref="J69">_xlfn.TEXTJOIN(CHAR(10),TRUE,_xlfn._xlws.SORT(IF((--($B69=Flowdown_BTE[[URS]:[URS]]))*(--(J$14=Flowdown_BTE[[Source.Name]:[Source.Name]])),Flowdown_BTE[[SyRS]:[SyRS]],"")))</f>
        <v/>
      </c>
      <c r="K69" s="12" t="str" cm="1">
        <f t="array" ref="K69">_xlfn.TEXTJOIN(CHAR(10),TRUE,_xlfn._xlws.SORT(IF((--($B69=Flowdown_BTE[[URS]:[URS]]))*(--(K$14=Flowdown_BTE[[Source.Name]:[Source.Name]])),Flowdown_BTE[[SyRS]:[SyRS]],"")))</f>
        <v>MASTER-51322
MASTER-51834
MASTER-51841
MASTER-56140</v>
      </c>
      <c r="L69" s="16" t="b" cm="1">
        <f t="array" ref="L69">OR(LEN(C69:K69)&gt;0)</f>
        <v>1</v>
      </c>
    </row>
    <row r="70" spans="2:12" ht="27" x14ac:dyDescent="0.2">
      <c r="B70" s="11" t="str">
        <v>MASTER-51679</v>
      </c>
      <c r="C70" s="12" t="str" cm="1">
        <f t="array" ref="C70">_xlfn.TEXTJOIN(CHAR(10),TRUE,_xlfn._xlws.SORT(IF((--($B70=Flowdown_BTE[[URS]:[URS]]))*(--(C$14=Flowdown_BTE[[Source.Name]:[Source.Name]])),Flowdown_BTE[[SyRS]:[SyRS]],"")))</f>
        <v>MASTER-60681</v>
      </c>
      <c r="D70" s="12" t="str" cm="1">
        <f t="array" ref="D70">_xlfn.TEXTJOIN(CHAR(10),TRUE,_xlfn._xlws.SORT(IF((--($B70=Flowdown_BTE[[URS]:[URS]]))*(--(D$14=Flowdown_BTE[[Source.Name]:[Source.Name]])),Flowdown_BTE[[SyRS]:[SyRS]],"")))</f>
        <v>MASTER-60675
MASTER-60681</v>
      </c>
      <c r="E70" s="12" t="str" cm="1">
        <f t="array" ref="E70">_xlfn.TEXTJOIN(CHAR(10),TRUE,_xlfn._xlws.SORT(IF((--($B70=Flowdown_BTE[[URS]:[URS]]))*(--(E$14=Flowdown_BTE[[Source.Name]:[Source.Name]])),Flowdown_BTE[[SyRS]:[SyRS]],"")))</f>
        <v>MASTER-60675</v>
      </c>
      <c r="F70" s="12" t="str" cm="1">
        <f t="array" ref="F70">_xlfn.TEXTJOIN(CHAR(10),TRUE,_xlfn._xlws.SORT(IF((--($B70=Flowdown_BTE[[URS]:[URS]]))*(--(F$14=Flowdown_BTE[[Source.Name]:[Source.Name]])),Flowdown_BTE[[SyRS]:[SyRS]],"")))</f>
        <v>MASTER-60675
MASTER-60681</v>
      </c>
      <c r="G70" s="12" t="str" cm="1">
        <f t="array" ref="G70">_xlfn.TEXTJOIN(CHAR(10),TRUE,_xlfn._xlws.SORT(IF((--($B70=Flowdown_BTE[[URS]:[URS]]))*(--(G$14=Flowdown_BTE[[Source.Name]:[Source.Name]])),Flowdown_BTE[[SyRS]:[SyRS]],"")))</f>
        <v>MASTER-60675
MASTER-60681</v>
      </c>
      <c r="H70" s="12" t="str" cm="1">
        <f t="array" ref="H70">_xlfn.TEXTJOIN(CHAR(10),TRUE,_xlfn._xlws.SORT(IF((--($B70=Flowdown_BTE[[URS]:[URS]]))*(--(H$14=Flowdown_BTE[[Source.Name]:[Source.Name]])),Flowdown_BTE[[SyRS]:[SyRS]],"")))</f>
        <v>MASTER-60782
MASTER-60787</v>
      </c>
      <c r="I70" s="12" t="str" cm="1">
        <f t="array" ref="I70">_xlfn.TEXTJOIN(CHAR(10),TRUE,_xlfn._xlws.SORT(IF((--($B70=Flowdown_BTE[[URS]:[URS]]))*(--(I$14=Flowdown_BTE[[Source.Name]:[Source.Name]])),Flowdown_BTE[[SyRS]:[SyRS]],"")))</f>
        <v/>
      </c>
      <c r="J70" s="12" t="str" cm="1">
        <f t="array" ref="J70">_xlfn.TEXTJOIN(CHAR(10),TRUE,_xlfn._xlws.SORT(IF((--($B70=Flowdown_BTE[[URS]:[URS]]))*(--(J$14=Flowdown_BTE[[Source.Name]:[Source.Name]])),Flowdown_BTE[[SyRS]:[SyRS]],"")))</f>
        <v/>
      </c>
      <c r="K70" s="12" t="str" cm="1">
        <f t="array" ref="K70">_xlfn.TEXTJOIN(CHAR(10),TRUE,_xlfn._xlws.SORT(IF((--($B70=Flowdown_BTE[[URS]:[URS]]))*(--(K$14=Flowdown_BTE[[Source.Name]:[Source.Name]])),Flowdown_BTE[[SyRS]:[SyRS]],"")))</f>
        <v/>
      </c>
      <c r="L70" s="16" t="b" cm="1">
        <f t="array" ref="L70">OR(LEN(C70:K70)&gt;0)</f>
        <v>1</v>
      </c>
    </row>
    <row r="71" spans="2:12" ht="67.5" x14ac:dyDescent="0.2">
      <c r="B71" s="11" t="str">
        <v>MASTER-51680</v>
      </c>
      <c r="C71" s="12" t="str" cm="1">
        <f t="array" ref="C71">_xlfn.TEXTJOIN(CHAR(10),TRUE,_xlfn._xlws.SORT(IF((--($B71=Flowdown_BTE[[URS]:[URS]]))*(--(C$14=Flowdown_BTE[[Source.Name]:[Source.Name]])),Flowdown_BTE[[SyRS]:[SyRS]],"")))</f>
        <v>MASTER-51338
MASTER-51341
MASTER-51808
MASTER-51811
UTICA-6116</v>
      </c>
      <c r="D71" s="12" t="str" cm="1">
        <f t="array" ref="D71">_xlfn.TEXTJOIN(CHAR(10),TRUE,_xlfn._xlws.SORT(IF((--($B71=Flowdown_BTE[[URS]:[URS]]))*(--(D$14=Flowdown_BTE[[Source.Name]:[Source.Name]])),Flowdown_BTE[[SyRS]:[SyRS]],"")))</f>
        <v>MASTER-51338
MASTER-51341
MASTER-51808
MASTER-51811</v>
      </c>
      <c r="E71" s="12" t="str" cm="1">
        <f t="array" ref="E71">_xlfn.TEXTJOIN(CHAR(10),TRUE,_xlfn._xlws.SORT(IF((--($B71=Flowdown_BTE[[URS]:[URS]]))*(--(E$14=Flowdown_BTE[[Source.Name]:[Source.Name]])),Flowdown_BTE[[SyRS]:[SyRS]],"")))</f>
        <v>MASTER-51338
MASTER-51341
MASTER-51808
MASTER-51811</v>
      </c>
      <c r="F71" s="12" t="str" cm="1">
        <f t="array" ref="F71">_xlfn.TEXTJOIN(CHAR(10),TRUE,_xlfn._xlws.SORT(IF((--($B71=Flowdown_BTE[[URS]:[URS]]))*(--(F$14=Flowdown_BTE[[Source.Name]:[Source.Name]])),Flowdown_BTE[[SyRS]:[SyRS]],"")))</f>
        <v>MASTER-51338
MASTER-51341
MASTER-51808
MASTER-51811</v>
      </c>
      <c r="G71" s="12" t="str" cm="1">
        <f t="array" ref="G71">_xlfn.TEXTJOIN(CHAR(10),TRUE,_xlfn._xlws.SORT(IF((--($B71=Flowdown_BTE[[URS]:[URS]]))*(--(G$14=Flowdown_BTE[[Source.Name]:[Source.Name]])),Flowdown_BTE[[SyRS]:[SyRS]],"")))</f>
        <v>MASTER-51338
MASTER-51341
MASTER-51808
MASTER-51811</v>
      </c>
      <c r="H71" s="12" t="str" cm="1">
        <f t="array" ref="H71">_xlfn.TEXTJOIN(CHAR(10),TRUE,_xlfn._xlws.SORT(IF((--($B71=Flowdown_BTE[[URS]:[URS]]))*(--(H$14=Flowdown_BTE[[Source.Name]:[Source.Name]])),Flowdown_BTE[[SyRS]:[SyRS]],"")))</f>
        <v>MASTER-51320</v>
      </c>
      <c r="I71" s="12" t="str" cm="1">
        <f t="array" ref="I71">_xlfn.TEXTJOIN(CHAR(10),TRUE,_xlfn._xlws.SORT(IF((--($B71=Flowdown_BTE[[URS]:[URS]]))*(--(I$14=Flowdown_BTE[[Source.Name]:[Source.Name]])),Flowdown_BTE[[SyRS]:[SyRS]],"")))</f>
        <v/>
      </c>
      <c r="J71" s="12" t="str" cm="1">
        <f t="array" ref="J71">_xlfn.TEXTJOIN(CHAR(10),TRUE,_xlfn._xlws.SORT(IF((--($B71=Flowdown_BTE[[URS]:[URS]]))*(--(J$14=Flowdown_BTE[[Source.Name]:[Source.Name]])),Flowdown_BTE[[SyRS]:[SyRS]],"")))</f>
        <v/>
      </c>
      <c r="K71" s="12" t="str" cm="1">
        <f t="array" ref="K71">_xlfn.TEXTJOIN(CHAR(10),TRUE,_xlfn._xlws.SORT(IF((--($B71=Flowdown_BTE[[URS]:[URS]]))*(--(K$14=Flowdown_BTE[[Source.Name]:[Source.Name]])),Flowdown_BTE[[SyRS]:[SyRS]],"")))</f>
        <v/>
      </c>
      <c r="L71" s="16" t="b" cm="1">
        <f t="array" ref="L71">OR(LEN(C71:K71)&gt;0)</f>
        <v>1</v>
      </c>
    </row>
    <row r="72" spans="2:12" ht="175.5" x14ac:dyDescent="0.2">
      <c r="B72" s="11" t="str">
        <v>MASTER-51681</v>
      </c>
      <c r="C72" s="12" t="str" cm="1">
        <f t="array" ref="C72">_xlfn.TEXTJOIN(CHAR(10),TRUE,_xlfn._xlws.SORT(IF((--($B72=Flowdown_BTE[[URS]:[URS]]))*(--(C$14=Flowdown_BTE[[Source.Name]:[Source.Name]])),Flowdown_BTE[[SyRS]:[SyRS]],"")))</f>
        <v/>
      </c>
      <c r="D72" s="12" t="str" cm="1">
        <f t="array" ref="D72">_xlfn.TEXTJOIN(CHAR(10),TRUE,_xlfn._xlws.SORT(IF((--($B72=Flowdown_BTE[[URS]:[URS]]))*(--(D$14=Flowdown_BTE[[Source.Name]:[Source.Name]])),Flowdown_BTE[[SyRS]:[SyRS]],"")))</f>
        <v/>
      </c>
      <c r="E72" s="12" t="str" cm="1">
        <f t="array" ref="E72">_xlfn.TEXTJOIN(CHAR(10),TRUE,_xlfn._xlws.SORT(IF((--($B72=Flowdown_BTE[[URS]:[URS]]))*(--(E$14=Flowdown_BTE[[Source.Name]:[Source.Name]])),Flowdown_BTE[[SyRS]:[SyRS]],"")))</f>
        <v/>
      </c>
      <c r="F72" s="12" t="str" cm="1">
        <f t="array" ref="F72">_xlfn.TEXTJOIN(CHAR(10),TRUE,_xlfn._xlws.SORT(IF((--($B72=Flowdown_BTE[[URS]:[URS]]))*(--(F$14=Flowdown_BTE[[Source.Name]:[Source.Name]])),Flowdown_BTE[[SyRS]:[SyRS]],"")))</f>
        <v/>
      </c>
      <c r="G72" s="12" t="str" cm="1">
        <f t="array" ref="G72">_xlfn.TEXTJOIN(CHAR(10),TRUE,_xlfn._xlws.SORT(IF((--($B72=Flowdown_BTE[[URS]:[URS]]))*(--(G$14=Flowdown_BTE[[Source.Name]:[Source.Name]])),Flowdown_BTE[[SyRS]:[SyRS]],"")))</f>
        <v/>
      </c>
      <c r="H72" s="12" t="str" cm="1">
        <f t="array" ref="H72">_xlfn.TEXTJOIN(CHAR(10),TRUE,_xlfn._xlws.SORT(IF((--($B72=Flowdown_BTE[[URS]:[URS]]))*(--(H$14=Flowdown_BTE[[Source.Name]:[Source.Name]])),Flowdown_BTE[[SyRS]:[SyRS]],"")))</f>
        <v/>
      </c>
      <c r="I72" s="12" t="str" cm="1">
        <f t="array" ref="I72">_xlfn.TEXTJOIN(CHAR(10),TRUE,_xlfn._xlws.SORT(IF((--($B72=Flowdown_BTE[[URS]:[URS]]))*(--(I$14=Flowdown_BTE[[Source.Name]:[Source.Name]])),Flowdown_BTE[[SyRS]:[SyRS]],"")))</f>
        <v/>
      </c>
      <c r="J72" s="12" t="str" cm="1">
        <f t="array" ref="J72">_xlfn.TEXTJOIN(CHAR(10),TRUE,_xlfn._xlws.SORT(IF((--($B72=Flowdown_BTE[[URS]:[URS]]))*(--(J$14=Flowdown_BTE[[Source.Name]:[Source.Name]])),Flowdown_BTE[[SyRS]:[SyRS]],"")))</f>
        <v/>
      </c>
      <c r="K72" s="12" t="str" cm="1">
        <f t="array" ref="K72">_xlfn.TEXTJOIN(CHAR(10),TRUE,_xlfn._xlws.SORT(IF((--($B72=Flowdown_BTE[[URS]:[URS]]))*(--(K$14=Flowdown_BTE[[Source.Name]:[Source.Name]])),Flowdown_BTE[[SyRS]:[SyRS]],"")))</f>
        <v>MASTER-51365
MASTER-51373
MASTER-51375
MASTER-51404
MASTER-51406
MASTER-51418
MASTER-51421
MASTER-51446
MASTER-51848
MASTER-51849
MASTER-51850
MASTER-51855
MASTER-51856</v>
      </c>
      <c r="L72" s="16" t="b" cm="1">
        <f t="array" ref="L72">OR(LEN(C72:K72)&gt;0)</f>
        <v>1</v>
      </c>
    </row>
    <row r="73" spans="2:12" ht="148.5" x14ac:dyDescent="0.2">
      <c r="B73" s="11" t="str">
        <v>MASTER-51682</v>
      </c>
      <c r="C73" s="12" t="str" cm="1">
        <f t="array" ref="C73">_xlfn.TEXTJOIN(CHAR(10),TRUE,_xlfn._xlws.SORT(IF((--($B73=Flowdown_BTE[[URS]:[URS]]))*(--(C$14=Flowdown_BTE[[Source.Name]:[Source.Name]])),Flowdown_BTE[[SyRS]:[SyRS]],"")))</f>
        <v/>
      </c>
      <c r="D73" s="12" t="str" cm="1">
        <f t="array" ref="D73">_xlfn.TEXTJOIN(CHAR(10),TRUE,_xlfn._xlws.SORT(IF((--($B73=Flowdown_BTE[[URS]:[URS]]))*(--(D$14=Flowdown_BTE[[Source.Name]:[Source.Name]])),Flowdown_BTE[[SyRS]:[SyRS]],"")))</f>
        <v/>
      </c>
      <c r="E73" s="12" t="str" cm="1">
        <f t="array" ref="E73">_xlfn.TEXTJOIN(CHAR(10),TRUE,_xlfn._xlws.SORT(IF((--($B73=Flowdown_BTE[[URS]:[URS]]))*(--(E$14=Flowdown_BTE[[Source.Name]:[Source.Name]])),Flowdown_BTE[[SyRS]:[SyRS]],"")))</f>
        <v/>
      </c>
      <c r="F73" s="12" t="str" cm="1">
        <f t="array" ref="F73">_xlfn.TEXTJOIN(CHAR(10),TRUE,_xlfn._xlws.SORT(IF((--($B73=Flowdown_BTE[[URS]:[URS]]))*(--(F$14=Flowdown_BTE[[Source.Name]:[Source.Name]])),Flowdown_BTE[[SyRS]:[SyRS]],"")))</f>
        <v/>
      </c>
      <c r="G73" s="12" t="str" cm="1">
        <f t="array" ref="G73">_xlfn.TEXTJOIN(CHAR(10),TRUE,_xlfn._xlws.SORT(IF((--($B73=Flowdown_BTE[[URS]:[URS]]))*(--(G$14=Flowdown_BTE[[Source.Name]:[Source.Name]])),Flowdown_BTE[[SyRS]:[SyRS]],"")))</f>
        <v/>
      </c>
      <c r="H73" s="12" t="str" cm="1">
        <f t="array" ref="H73">_xlfn.TEXTJOIN(CHAR(10),TRUE,_xlfn._xlws.SORT(IF((--($B73=Flowdown_BTE[[URS]:[URS]]))*(--(H$14=Flowdown_BTE[[Source.Name]:[Source.Name]])),Flowdown_BTE[[SyRS]:[SyRS]],"")))</f>
        <v/>
      </c>
      <c r="I73" s="12" t="str" cm="1">
        <f t="array" ref="I73">_xlfn.TEXTJOIN(CHAR(10),TRUE,_xlfn._xlws.SORT(IF((--($B73=Flowdown_BTE[[URS]:[URS]]))*(--(I$14=Flowdown_BTE[[Source.Name]:[Source.Name]])),Flowdown_BTE[[SyRS]:[SyRS]],"")))</f>
        <v/>
      </c>
      <c r="J73" s="12" t="str" cm="1">
        <f t="array" ref="J73">_xlfn.TEXTJOIN(CHAR(10),TRUE,_xlfn._xlws.SORT(IF((--($B73=Flowdown_BTE[[URS]:[URS]]))*(--(J$14=Flowdown_BTE[[Source.Name]:[Source.Name]])),Flowdown_BTE[[SyRS]:[SyRS]],"")))</f>
        <v/>
      </c>
      <c r="K73" s="12" t="str" cm="1">
        <f t="array" ref="K73">_xlfn.TEXTJOIN(CHAR(10),TRUE,_xlfn._xlws.SORT(IF((--($B73=Flowdown_BTE[[URS]:[URS]]))*(--(K$14=Flowdown_BTE[[Source.Name]:[Source.Name]])),Flowdown_BTE[[SyRS]:[SyRS]],"")))</f>
        <v>MASTER-51429
MASTER-51433
MASTER-51435
MASTER-51436
MASTER-51440
MASTER-51441
MASTER-51442
MASTER-51837
MASTER-51843
MASTER-51845
MASTER-51846</v>
      </c>
      <c r="L73" s="16" t="b" cm="1">
        <f t="array" ref="L73">OR(LEN(C73:K73)&gt;0)</f>
        <v>1</v>
      </c>
    </row>
    <row r="74" spans="2:12" ht="40.5" x14ac:dyDescent="0.2">
      <c r="B74" s="11" t="str">
        <v>MASTER-51683</v>
      </c>
      <c r="C74" s="12" t="str" cm="1">
        <f t="array" ref="C74">_xlfn.TEXTJOIN(CHAR(10),TRUE,_xlfn._xlws.SORT(IF((--($B74=Flowdown_BTE[[URS]:[URS]]))*(--(C$14=Flowdown_BTE[[Source.Name]:[Source.Name]])),Flowdown_BTE[[SyRS]:[SyRS]],"")))</f>
        <v/>
      </c>
      <c r="D74" s="12" t="str" cm="1">
        <f t="array" ref="D74">_xlfn.TEXTJOIN(CHAR(10),TRUE,_xlfn._xlws.SORT(IF((--($B74=Flowdown_BTE[[URS]:[URS]]))*(--(D$14=Flowdown_BTE[[Source.Name]:[Source.Name]])),Flowdown_BTE[[SyRS]:[SyRS]],"")))</f>
        <v/>
      </c>
      <c r="E74" s="12" t="str" cm="1">
        <f t="array" ref="E74">_xlfn.TEXTJOIN(CHAR(10),TRUE,_xlfn._xlws.SORT(IF((--($B74=Flowdown_BTE[[URS]:[URS]]))*(--(E$14=Flowdown_BTE[[Source.Name]:[Source.Name]])),Flowdown_BTE[[SyRS]:[SyRS]],"")))</f>
        <v/>
      </c>
      <c r="F74" s="12" t="str" cm="1">
        <f t="array" ref="F74">_xlfn.TEXTJOIN(CHAR(10),TRUE,_xlfn._xlws.SORT(IF((--($B74=Flowdown_BTE[[URS]:[URS]]))*(--(F$14=Flowdown_BTE[[Source.Name]:[Source.Name]])),Flowdown_BTE[[SyRS]:[SyRS]],"")))</f>
        <v/>
      </c>
      <c r="G74" s="12" t="str" cm="1">
        <f t="array" ref="G74">_xlfn.TEXTJOIN(CHAR(10),TRUE,_xlfn._xlws.SORT(IF((--($B74=Flowdown_BTE[[URS]:[URS]]))*(--(G$14=Flowdown_BTE[[Source.Name]:[Source.Name]])),Flowdown_BTE[[SyRS]:[SyRS]],"")))</f>
        <v/>
      </c>
      <c r="H74" s="12" t="str" cm="1">
        <f t="array" ref="H74">_xlfn.TEXTJOIN(CHAR(10),TRUE,_xlfn._xlws.SORT(IF((--($B74=Flowdown_BTE[[URS]:[URS]]))*(--(H$14=Flowdown_BTE[[Source.Name]:[Source.Name]])),Flowdown_BTE[[SyRS]:[SyRS]],"")))</f>
        <v/>
      </c>
      <c r="I74" s="12" t="str" cm="1">
        <f t="array" ref="I74">_xlfn.TEXTJOIN(CHAR(10),TRUE,_xlfn._xlws.SORT(IF((--($B74=Flowdown_BTE[[URS]:[URS]]))*(--(I$14=Flowdown_BTE[[Source.Name]:[Source.Name]])),Flowdown_BTE[[SyRS]:[SyRS]],"")))</f>
        <v/>
      </c>
      <c r="J74" s="12" t="str" cm="1">
        <f t="array" ref="J74">_xlfn.TEXTJOIN(CHAR(10),TRUE,_xlfn._xlws.SORT(IF((--($B74=Flowdown_BTE[[URS]:[URS]]))*(--(J$14=Flowdown_BTE[[Source.Name]:[Source.Name]])),Flowdown_BTE[[SyRS]:[SyRS]],"")))</f>
        <v/>
      </c>
      <c r="K74" s="12" t="str" cm="1">
        <f t="array" ref="K74">_xlfn.TEXTJOIN(CHAR(10),TRUE,_xlfn._xlws.SORT(IF((--($B74=Flowdown_BTE[[URS]:[URS]]))*(--(K$14=Flowdown_BTE[[Source.Name]:[Source.Name]])),Flowdown_BTE[[SyRS]:[SyRS]],"")))</f>
        <v>MASTER-51454
MASTER-51455
MASTER-51462</v>
      </c>
      <c r="L74" s="16" t="b" cm="1">
        <f t="array" ref="L74">OR(LEN(C74:K74)&gt;0)</f>
        <v>1</v>
      </c>
    </row>
    <row r="75" spans="2:12" ht="67.5" x14ac:dyDescent="0.2">
      <c r="B75" s="11" t="str">
        <v>MASTER-51684</v>
      </c>
      <c r="C75" s="12" t="str" cm="1">
        <f t="array" ref="C75">_xlfn.TEXTJOIN(CHAR(10),TRUE,_xlfn._xlws.SORT(IF((--($B75=Flowdown_BTE[[URS]:[URS]]))*(--(C$14=Flowdown_BTE[[Source.Name]:[Source.Name]])),Flowdown_BTE[[SyRS]:[SyRS]],"")))</f>
        <v>MASTER-51377
MASTER-51378</v>
      </c>
      <c r="D75" s="12" t="str" cm="1">
        <f t="array" ref="D75">_xlfn.TEXTJOIN(CHAR(10),TRUE,_xlfn._xlws.SORT(IF((--($B75=Flowdown_BTE[[URS]:[URS]]))*(--(D$14=Flowdown_BTE[[Source.Name]:[Source.Name]])),Flowdown_BTE[[SyRS]:[SyRS]],"")))</f>
        <v>MASTER-51377
MASTER-51378</v>
      </c>
      <c r="E75" s="12" t="str" cm="1">
        <f t="array" ref="E75">_xlfn.TEXTJOIN(CHAR(10),TRUE,_xlfn._xlws.SORT(IF((--($B75=Flowdown_BTE[[URS]:[URS]]))*(--(E$14=Flowdown_BTE[[Source.Name]:[Source.Name]])),Flowdown_BTE[[SyRS]:[SyRS]],"")))</f>
        <v>MASTER-51377
MASTER-51378</v>
      </c>
      <c r="F75" s="12" t="str" cm="1">
        <f t="array" ref="F75">_xlfn.TEXTJOIN(CHAR(10),TRUE,_xlfn._xlws.SORT(IF((--($B75=Flowdown_BTE[[URS]:[URS]]))*(--(F$14=Flowdown_BTE[[Source.Name]:[Source.Name]])),Flowdown_BTE[[SyRS]:[SyRS]],"")))</f>
        <v>MASTER-51377
MASTER-51378</v>
      </c>
      <c r="G75" s="12" t="str" cm="1">
        <f t="array" ref="G75">_xlfn.TEXTJOIN(CHAR(10),TRUE,_xlfn._xlws.SORT(IF((--($B75=Flowdown_BTE[[URS]:[URS]]))*(--(G$14=Flowdown_BTE[[Source.Name]:[Source.Name]])),Flowdown_BTE[[SyRS]:[SyRS]],"")))</f>
        <v>MASTER-51377
MASTER-51378</v>
      </c>
      <c r="H75" s="12" t="str" cm="1">
        <f t="array" ref="H75">_xlfn.TEXTJOIN(CHAR(10),TRUE,_xlfn._xlws.SORT(IF((--($B75=Flowdown_BTE[[URS]:[URS]]))*(--(H$14=Flowdown_BTE[[Source.Name]:[Source.Name]])),Flowdown_BTE[[SyRS]:[SyRS]],"")))</f>
        <v/>
      </c>
      <c r="I75" s="12" t="str" cm="1">
        <f t="array" ref="I75">_xlfn.TEXTJOIN(CHAR(10),TRUE,_xlfn._xlws.SORT(IF((--($B75=Flowdown_BTE[[URS]:[URS]]))*(--(I$14=Flowdown_BTE[[Source.Name]:[Source.Name]])),Flowdown_BTE[[SyRS]:[SyRS]],"")))</f>
        <v/>
      </c>
      <c r="J75" s="12" t="str" cm="1">
        <f t="array" ref="J75">_xlfn.TEXTJOIN(CHAR(10),TRUE,_xlfn._xlws.SORT(IF((--($B75=Flowdown_BTE[[URS]:[URS]]))*(--(J$14=Flowdown_BTE[[Source.Name]:[Source.Name]])),Flowdown_BTE[[SyRS]:[SyRS]],"")))</f>
        <v/>
      </c>
      <c r="K75" s="12" t="str" cm="1">
        <f t="array" ref="K75">_xlfn.TEXTJOIN(CHAR(10),TRUE,_xlfn._xlws.SORT(IF((--($B75=Flowdown_BTE[[URS]:[URS]]))*(--(K$14=Flowdown_BTE[[Source.Name]:[Source.Name]])),Flowdown_BTE[[SyRS]:[SyRS]],"")))</f>
        <v>MASTER-51373
MASTER-51384
MASTER-51395
MASTER-51396
MASTER-51852</v>
      </c>
      <c r="L75" s="16" t="b" cm="1">
        <f t="array" ref="L75">OR(LEN(C75:K75)&gt;0)</f>
        <v>1</v>
      </c>
    </row>
    <row r="76" spans="2:12" ht="54" x14ac:dyDescent="0.2">
      <c r="B76" s="11" t="str">
        <v>MASTER-51685</v>
      </c>
      <c r="C76" s="12" t="str" cm="1">
        <f t="array" ref="C76">_xlfn.TEXTJOIN(CHAR(10),TRUE,_xlfn._xlws.SORT(IF((--($B76=Flowdown_BTE[[URS]:[URS]]))*(--(C$14=Flowdown_BTE[[Source.Name]:[Source.Name]])),Flowdown_BTE[[SyRS]:[SyRS]],"")))</f>
        <v>MASTER-51330
MASTER-51809
MASTER-56914
MASTER-56916</v>
      </c>
      <c r="D76" s="12" t="str" cm="1">
        <f t="array" ref="D76">_xlfn.TEXTJOIN(CHAR(10),TRUE,_xlfn._xlws.SORT(IF((--($B76=Flowdown_BTE[[URS]:[URS]]))*(--(D$14=Flowdown_BTE[[Source.Name]:[Source.Name]])),Flowdown_BTE[[SyRS]:[SyRS]],"")))</f>
        <v>MASTER-51330
MASTER-51809
MASTER-56914
MASTER-56916</v>
      </c>
      <c r="E76" s="12" t="str" cm="1">
        <f t="array" ref="E76">_xlfn.TEXTJOIN(CHAR(10),TRUE,_xlfn._xlws.SORT(IF((--($B76=Flowdown_BTE[[URS]:[URS]]))*(--(E$14=Flowdown_BTE[[Source.Name]:[Source.Name]])),Flowdown_BTE[[SyRS]:[SyRS]],"")))</f>
        <v>MASTER-51330
MASTER-51809</v>
      </c>
      <c r="F76" s="12" t="str" cm="1">
        <f t="array" ref="F76">_xlfn.TEXTJOIN(CHAR(10),TRUE,_xlfn._xlws.SORT(IF((--($B76=Flowdown_BTE[[URS]:[URS]]))*(--(F$14=Flowdown_BTE[[Source.Name]:[Source.Name]])),Flowdown_BTE[[SyRS]:[SyRS]],"")))</f>
        <v>MASTER-51330
MASTER-51809</v>
      </c>
      <c r="G76" s="12" t="str" cm="1">
        <f t="array" ref="G76">_xlfn.TEXTJOIN(CHAR(10),TRUE,_xlfn._xlws.SORT(IF((--($B76=Flowdown_BTE[[URS]:[URS]]))*(--(G$14=Flowdown_BTE[[Source.Name]:[Source.Name]])),Flowdown_BTE[[SyRS]:[SyRS]],"")))</f>
        <v>MASTER-51330
MASTER-51809</v>
      </c>
      <c r="H76" s="12" t="str" cm="1">
        <f t="array" ref="H76">_xlfn.TEXTJOIN(CHAR(10),TRUE,_xlfn._xlws.SORT(IF((--($B76=Flowdown_BTE[[URS]:[URS]]))*(--(H$14=Flowdown_BTE[[Source.Name]:[Source.Name]])),Flowdown_BTE[[SyRS]:[SyRS]],"")))</f>
        <v>MASTER-51319
MASTER-56919</v>
      </c>
      <c r="I76" s="12" t="str" cm="1">
        <f t="array" ref="I76">_xlfn.TEXTJOIN(CHAR(10),TRUE,_xlfn._xlws.SORT(IF((--($B76=Flowdown_BTE[[URS]:[URS]]))*(--(I$14=Flowdown_BTE[[Source.Name]:[Source.Name]])),Flowdown_BTE[[SyRS]:[SyRS]],"")))</f>
        <v/>
      </c>
      <c r="J76" s="12" t="str" cm="1">
        <f t="array" ref="J76">_xlfn.TEXTJOIN(CHAR(10),TRUE,_xlfn._xlws.SORT(IF((--($B76=Flowdown_BTE[[URS]:[URS]]))*(--(J$14=Flowdown_BTE[[Source.Name]:[Source.Name]])),Flowdown_BTE[[SyRS]:[SyRS]],"")))</f>
        <v/>
      </c>
      <c r="K76" s="12" t="str" cm="1">
        <f t="array" ref="K76">_xlfn.TEXTJOIN(CHAR(10),TRUE,_xlfn._xlws.SORT(IF((--($B76=Flowdown_BTE[[URS]:[URS]]))*(--(K$14=Flowdown_BTE[[Source.Name]:[Source.Name]])),Flowdown_BTE[[SyRS]:[SyRS]],"")))</f>
        <v/>
      </c>
      <c r="L76" s="16" t="b" cm="1">
        <f t="array" ref="L76">OR(LEN(C76:K76)&gt;0)</f>
        <v>1</v>
      </c>
    </row>
    <row r="77" spans="2:12" ht="40.5" x14ac:dyDescent="0.2">
      <c r="B77" s="11" t="str">
        <v>MASTER-51686</v>
      </c>
      <c r="C77" s="12" t="str" cm="1">
        <f t="array" ref="C77">_xlfn.TEXTJOIN(CHAR(10),TRUE,_xlfn._xlws.SORT(IF((--($B77=Flowdown_BTE[[URS]:[URS]]))*(--(C$14=Flowdown_BTE[[Source.Name]:[Source.Name]])),Flowdown_BTE[[SyRS]:[SyRS]],"")))</f>
        <v>MASTER-51353</v>
      </c>
      <c r="D77" s="12" t="str" cm="1">
        <f t="array" ref="D77">_xlfn.TEXTJOIN(CHAR(10),TRUE,_xlfn._xlws.SORT(IF((--($B77=Flowdown_BTE[[URS]:[URS]]))*(--(D$14=Flowdown_BTE[[Source.Name]:[Source.Name]])),Flowdown_BTE[[SyRS]:[SyRS]],"")))</f>
        <v>MASTER-51353</v>
      </c>
      <c r="E77" s="12" t="str" cm="1">
        <f t="array" ref="E77">_xlfn.TEXTJOIN(CHAR(10),TRUE,_xlfn._xlws.SORT(IF((--($B77=Flowdown_BTE[[URS]:[URS]]))*(--(E$14=Flowdown_BTE[[Source.Name]:[Source.Name]])),Flowdown_BTE[[SyRS]:[SyRS]],"")))</f>
        <v>MASTER-51353</v>
      </c>
      <c r="F77" s="12" t="str" cm="1">
        <f t="array" ref="F77">_xlfn.TEXTJOIN(CHAR(10),TRUE,_xlfn._xlws.SORT(IF((--($B77=Flowdown_BTE[[URS]:[URS]]))*(--(F$14=Flowdown_BTE[[Source.Name]:[Source.Name]])),Flowdown_BTE[[SyRS]:[SyRS]],"")))</f>
        <v>MASTER-51353</v>
      </c>
      <c r="G77" s="12" t="str" cm="1">
        <f t="array" ref="G77">_xlfn.TEXTJOIN(CHAR(10),TRUE,_xlfn._xlws.SORT(IF((--($B77=Flowdown_BTE[[URS]:[URS]]))*(--(G$14=Flowdown_BTE[[Source.Name]:[Source.Name]])),Flowdown_BTE[[SyRS]:[SyRS]],"")))</f>
        <v>MASTER-51353</v>
      </c>
      <c r="H77" s="12" t="str" cm="1">
        <f t="array" ref="H77">_xlfn.TEXTJOIN(CHAR(10),TRUE,_xlfn._xlws.SORT(IF((--($B77=Flowdown_BTE[[URS]:[URS]]))*(--(H$14=Flowdown_BTE[[Source.Name]:[Source.Name]])),Flowdown_BTE[[SyRS]:[SyRS]],"")))</f>
        <v>MASTER-51325
MASTER-51326
MASTER-51351</v>
      </c>
      <c r="I77" s="12" t="str" cm="1">
        <f t="array" ref="I77">_xlfn.TEXTJOIN(CHAR(10),TRUE,_xlfn._xlws.SORT(IF((--($B77=Flowdown_BTE[[URS]:[URS]]))*(--(I$14=Flowdown_BTE[[Source.Name]:[Source.Name]])),Flowdown_BTE[[SyRS]:[SyRS]],"")))</f>
        <v/>
      </c>
      <c r="J77" s="12" t="str" cm="1">
        <f t="array" ref="J77">_xlfn.TEXTJOIN(CHAR(10),TRUE,_xlfn._xlws.SORT(IF((--($B77=Flowdown_BTE[[URS]:[URS]]))*(--(J$14=Flowdown_BTE[[Source.Name]:[Source.Name]])),Flowdown_BTE[[SyRS]:[SyRS]],"")))</f>
        <v/>
      </c>
      <c r="K77" s="12" t="str" cm="1">
        <f t="array" ref="K77">_xlfn.TEXTJOIN(CHAR(10),TRUE,_xlfn._xlws.SORT(IF((--($B77=Flowdown_BTE[[URS]:[URS]]))*(--(K$14=Flowdown_BTE[[Source.Name]:[Source.Name]])),Flowdown_BTE[[SyRS]:[SyRS]],"")))</f>
        <v>MASTER-51454</v>
      </c>
      <c r="L77" s="16" t="b" cm="1">
        <f t="array" ref="L77">OR(LEN(C77:K77)&gt;0)</f>
        <v>1</v>
      </c>
    </row>
    <row r="78" spans="2:12" ht="13.5" x14ac:dyDescent="0.2">
      <c r="B78" s="11" t="str">
        <v>MASTER-51793</v>
      </c>
      <c r="C78" s="12" t="str" cm="1">
        <f t="array" ref="C78">_xlfn.TEXTJOIN(CHAR(10),TRUE,_xlfn._xlws.SORT(IF((--($B78=Flowdown_BTE[[URS]:[URS]]))*(--(C$14=Flowdown_BTE[[Source.Name]:[Source.Name]])),Flowdown_BTE[[SyRS]:[SyRS]],"")))</f>
        <v/>
      </c>
      <c r="D78" s="12" t="str" cm="1">
        <f t="array" ref="D78">_xlfn.TEXTJOIN(CHAR(10),TRUE,_xlfn._xlws.SORT(IF((--($B78=Flowdown_BTE[[URS]:[URS]]))*(--(D$14=Flowdown_BTE[[Source.Name]:[Source.Name]])),Flowdown_BTE[[SyRS]:[SyRS]],"")))</f>
        <v/>
      </c>
      <c r="E78" s="12" t="str" cm="1">
        <f t="array" ref="E78">_xlfn.TEXTJOIN(CHAR(10),TRUE,_xlfn._xlws.SORT(IF((--($B78=Flowdown_BTE[[URS]:[URS]]))*(--(E$14=Flowdown_BTE[[Source.Name]:[Source.Name]])),Flowdown_BTE[[SyRS]:[SyRS]],"")))</f>
        <v/>
      </c>
      <c r="F78" s="12" t="str" cm="1">
        <f t="array" ref="F78">_xlfn.TEXTJOIN(CHAR(10),TRUE,_xlfn._xlws.SORT(IF((--($B78=Flowdown_BTE[[URS]:[URS]]))*(--(F$14=Flowdown_BTE[[Source.Name]:[Source.Name]])),Flowdown_BTE[[SyRS]:[SyRS]],"")))</f>
        <v/>
      </c>
      <c r="G78" s="12" t="str" cm="1">
        <f t="array" ref="G78">_xlfn.TEXTJOIN(CHAR(10),TRUE,_xlfn._xlws.SORT(IF((--($B78=Flowdown_BTE[[URS]:[URS]]))*(--(G$14=Flowdown_BTE[[Source.Name]:[Source.Name]])),Flowdown_BTE[[SyRS]:[SyRS]],"")))</f>
        <v/>
      </c>
      <c r="H78" s="12" t="str" cm="1">
        <f t="array" ref="H78">_xlfn.TEXTJOIN(CHAR(10),TRUE,_xlfn._xlws.SORT(IF((--($B78=Flowdown_BTE[[URS]:[URS]]))*(--(H$14=Flowdown_BTE[[Source.Name]:[Source.Name]])),Flowdown_BTE[[SyRS]:[SyRS]],"")))</f>
        <v/>
      </c>
      <c r="I78" s="12" t="str" cm="1">
        <f t="array" ref="I78">_xlfn.TEXTJOIN(CHAR(10),TRUE,_xlfn._xlws.SORT(IF((--($B78=Flowdown_BTE[[URS]:[URS]]))*(--(I$14=Flowdown_BTE[[Source.Name]:[Source.Name]])),Flowdown_BTE[[SyRS]:[SyRS]],"")))</f>
        <v>MASTER-51866</v>
      </c>
      <c r="J78" s="12" t="str" cm="1">
        <f t="array" ref="J78">_xlfn.TEXTJOIN(CHAR(10),TRUE,_xlfn._xlws.SORT(IF((--($B78=Flowdown_BTE[[URS]:[URS]]))*(--(J$14=Flowdown_BTE[[Source.Name]:[Source.Name]])),Flowdown_BTE[[SyRS]:[SyRS]],"")))</f>
        <v/>
      </c>
      <c r="K78" s="12" t="str" cm="1">
        <f t="array" ref="K78">_xlfn.TEXTJOIN(CHAR(10),TRUE,_xlfn._xlws.SORT(IF((--($B78=Flowdown_BTE[[URS]:[URS]]))*(--(K$14=Flowdown_BTE[[Source.Name]:[Source.Name]])),Flowdown_BTE[[SyRS]:[SyRS]],"")))</f>
        <v/>
      </c>
      <c r="L78" s="16" t="b" cm="1">
        <f t="array" ref="L78">OR(LEN(C78:K78)&gt;0)</f>
        <v>1</v>
      </c>
    </row>
    <row r="79" spans="2:12" ht="13.5" x14ac:dyDescent="0.2">
      <c r="B79" s="11" t="str">
        <v>MASTER-51796</v>
      </c>
      <c r="C79" s="12" t="str" cm="1">
        <f t="array" ref="C79">_xlfn.TEXTJOIN(CHAR(10),TRUE,_xlfn._xlws.SORT(IF((--($B79=Flowdown_BTE[[URS]:[URS]]))*(--(C$14=Flowdown_BTE[[Source.Name]:[Source.Name]])),Flowdown_BTE[[SyRS]:[SyRS]],"")))</f>
        <v/>
      </c>
      <c r="D79" s="12" t="str" cm="1">
        <f t="array" ref="D79">_xlfn.TEXTJOIN(CHAR(10),TRUE,_xlfn._xlws.SORT(IF((--($B79=Flowdown_BTE[[URS]:[URS]]))*(--(D$14=Flowdown_BTE[[Source.Name]:[Source.Name]])),Flowdown_BTE[[SyRS]:[SyRS]],"")))</f>
        <v/>
      </c>
      <c r="E79" s="12" t="str" cm="1">
        <f t="array" ref="E79">_xlfn.TEXTJOIN(CHAR(10),TRUE,_xlfn._xlws.SORT(IF((--($B79=Flowdown_BTE[[URS]:[URS]]))*(--(E$14=Flowdown_BTE[[Source.Name]:[Source.Name]])),Flowdown_BTE[[SyRS]:[SyRS]],"")))</f>
        <v/>
      </c>
      <c r="F79" s="12" t="str" cm="1">
        <f t="array" ref="F79">_xlfn.TEXTJOIN(CHAR(10),TRUE,_xlfn._xlws.SORT(IF((--($B79=Flowdown_BTE[[URS]:[URS]]))*(--(F$14=Flowdown_BTE[[Source.Name]:[Source.Name]])),Flowdown_BTE[[SyRS]:[SyRS]],"")))</f>
        <v/>
      </c>
      <c r="G79" s="12" t="str" cm="1">
        <f t="array" ref="G79">_xlfn.TEXTJOIN(CHAR(10),TRUE,_xlfn._xlws.SORT(IF((--($B79=Flowdown_BTE[[URS]:[URS]]))*(--(G$14=Flowdown_BTE[[Source.Name]:[Source.Name]])),Flowdown_BTE[[SyRS]:[SyRS]],"")))</f>
        <v/>
      </c>
      <c r="H79" s="12" t="str" cm="1">
        <f t="array" ref="H79">_xlfn.TEXTJOIN(CHAR(10),TRUE,_xlfn._xlws.SORT(IF((--($B79=Flowdown_BTE[[URS]:[URS]]))*(--(H$14=Flowdown_BTE[[Source.Name]:[Source.Name]])),Flowdown_BTE[[SyRS]:[SyRS]],"")))</f>
        <v/>
      </c>
      <c r="I79" s="12" t="str" cm="1">
        <f t="array" ref="I79">_xlfn.TEXTJOIN(CHAR(10),TRUE,_xlfn._xlws.SORT(IF((--($B79=Flowdown_BTE[[URS]:[URS]]))*(--(I$14=Flowdown_BTE[[Source.Name]:[Source.Name]])),Flowdown_BTE[[SyRS]:[SyRS]],"")))</f>
        <v>MASTER-51866</v>
      </c>
      <c r="J79" s="12" t="str" cm="1">
        <f t="array" ref="J79">_xlfn.TEXTJOIN(CHAR(10),TRUE,_xlfn._xlws.SORT(IF((--($B79=Flowdown_BTE[[URS]:[URS]]))*(--(J$14=Flowdown_BTE[[Source.Name]:[Source.Name]])),Flowdown_BTE[[SyRS]:[SyRS]],"")))</f>
        <v/>
      </c>
      <c r="K79" s="12" t="str" cm="1">
        <f t="array" ref="K79">_xlfn.TEXTJOIN(CHAR(10),TRUE,_xlfn._xlws.SORT(IF((--($B79=Flowdown_BTE[[URS]:[URS]]))*(--(K$14=Flowdown_BTE[[Source.Name]:[Source.Name]])),Flowdown_BTE[[SyRS]:[SyRS]],"")))</f>
        <v/>
      </c>
      <c r="L79" s="16" t="b" cm="1">
        <f t="array" ref="L79">OR(LEN(C79:K79)&gt;0)</f>
        <v>1</v>
      </c>
    </row>
    <row r="80" spans="2:12" ht="13.5" x14ac:dyDescent="0.2">
      <c r="B80" s="11" t="str">
        <v>MASTER-51798</v>
      </c>
      <c r="C80" s="12" t="str" cm="1">
        <f t="array" ref="C80">_xlfn.TEXTJOIN(CHAR(10),TRUE,_xlfn._xlws.SORT(IF((--($B80=Flowdown_BTE[[URS]:[URS]]))*(--(C$14=Flowdown_BTE[[Source.Name]:[Source.Name]])),Flowdown_BTE[[SyRS]:[SyRS]],"")))</f>
        <v/>
      </c>
      <c r="D80" s="12" t="str" cm="1">
        <f t="array" ref="D80">_xlfn.TEXTJOIN(CHAR(10),TRUE,_xlfn._xlws.SORT(IF((--($B80=Flowdown_BTE[[URS]:[URS]]))*(--(D$14=Flowdown_BTE[[Source.Name]:[Source.Name]])),Flowdown_BTE[[SyRS]:[SyRS]],"")))</f>
        <v/>
      </c>
      <c r="E80" s="12" t="str" cm="1">
        <f t="array" ref="E80">_xlfn.TEXTJOIN(CHAR(10),TRUE,_xlfn._xlws.SORT(IF((--($B80=Flowdown_BTE[[URS]:[URS]]))*(--(E$14=Flowdown_BTE[[Source.Name]:[Source.Name]])),Flowdown_BTE[[SyRS]:[SyRS]],"")))</f>
        <v/>
      </c>
      <c r="F80" s="12" t="str" cm="1">
        <f t="array" ref="F80">_xlfn.TEXTJOIN(CHAR(10),TRUE,_xlfn._xlws.SORT(IF((--($B80=Flowdown_BTE[[URS]:[URS]]))*(--(F$14=Flowdown_BTE[[Source.Name]:[Source.Name]])),Flowdown_BTE[[SyRS]:[SyRS]],"")))</f>
        <v/>
      </c>
      <c r="G80" s="12" t="str" cm="1">
        <f t="array" ref="G80">_xlfn.TEXTJOIN(CHAR(10),TRUE,_xlfn._xlws.SORT(IF((--($B80=Flowdown_BTE[[URS]:[URS]]))*(--(G$14=Flowdown_BTE[[Source.Name]:[Source.Name]])),Flowdown_BTE[[SyRS]:[SyRS]],"")))</f>
        <v/>
      </c>
      <c r="H80" s="12" t="str" cm="1">
        <f t="array" ref="H80">_xlfn.TEXTJOIN(CHAR(10),TRUE,_xlfn._xlws.SORT(IF((--($B80=Flowdown_BTE[[URS]:[URS]]))*(--(H$14=Flowdown_BTE[[Source.Name]:[Source.Name]])),Flowdown_BTE[[SyRS]:[SyRS]],"")))</f>
        <v/>
      </c>
      <c r="I80" s="12" t="str" cm="1">
        <f t="array" ref="I80">_xlfn.TEXTJOIN(CHAR(10),TRUE,_xlfn._xlws.SORT(IF((--($B80=Flowdown_BTE[[URS]:[URS]]))*(--(I$14=Flowdown_BTE[[Source.Name]:[Source.Name]])),Flowdown_BTE[[SyRS]:[SyRS]],"")))</f>
        <v>MASTER-51866</v>
      </c>
      <c r="J80" s="12" t="str" cm="1">
        <f t="array" ref="J80">_xlfn.TEXTJOIN(CHAR(10),TRUE,_xlfn._xlws.SORT(IF((--($B80=Flowdown_BTE[[URS]:[URS]]))*(--(J$14=Flowdown_BTE[[Source.Name]:[Source.Name]])),Flowdown_BTE[[SyRS]:[SyRS]],"")))</f>
        <v/>
      </c>
      <c r="K80" s="12" t="str" cm="1">
        <f t="array" ref="K80">_xlfn.TEXTJOIN(CHAR(10),TRUE,_xlfn._xlws.SORT(IF((--($B80=Flowdown_BTE[[URS]:[URS]]))*(--(K$14=Flowdown_BTE[[Source.Name]:[Source.Name]])),Flowdown_BTE[[SyRS]:[SyRS]],"")))</f>
        <v/>
      </c>
      <c r="L80" s="16" t="b" cm="1">
        <f t="array" ref="L80">OR(LEN(C80:K80)&gt;0)</f>
        <v>1</v>
      </c>
    </row>
    <row r="81" spans="2:12" ht="40.5" x14ac:dyDescent="0.2">
      <c r="B81" s="11" t="str">
        <v>MASTER-51800</v>
      </c>
      <c r="C81" s="12" t="str" cm="1">
        <f t="array" ref="C81">_xlfn.TEXTJOIN(CHAR(10),TRUE,_xlfn._xlws.SORT(IF((--($B81=Flowdown_BTE[[URS]:[URS]]))*(--(C$14=Flowdown_BTE[[Source.Name]:[Source.Name]])),Flowdown_BTE[[SyRS]:[SyRS]],"")))</f>
        <v/>
      </c>
      <c r="D81" s="12" t="str" cm="1">
        <f t="array" ref="D81">_xlfn.TEXTJOIN(CHAR(10),TRUE,_xlfn._xlws.SORT(IF((--($B81=Flowdown_BTE[[URS]:[URS]]))*(--(D$14=Flowdown_BTE[[Source.Name]:[Source.Name]])),Flowdown_BTE[[SyRS]:[SyRS]],"")))</f>
        <v/>
      </c>
      <c r="E81" s="12" t="str" cm="1">
        <f t="array" ref="E81">_xlfn.TEXTJOIN(CHAR(10),TRUE,_xlfn._xlws.SORT(IF((--($B81=Flowdown_BTE[[URS]:[URS]]))*(--(E$14=Flowdown_BTE[[Source.Name]:[Source.Name]])),Flowdown_BTE[[SyRS]:[SyRS]],"")))</f>
        <v/>
      </c>
      <c r="F81" s="12" t="str" cm="1">
        <f t="array" ref="F81">_xlfn.TEXTJOIN(CHAR(10),TRUE,_xlfn._xlws.SORT(IF((--($B81=Flowdown_BTE[[URS]:[URS]]))*(--(F$14=Flowdown_BTE[[Source.Name]:[Source.Name]])),Flowdown_BTE[[SyRS]:[SyRS]],"")))</f>
        <v/>
      </c>
      <c r="G81" s="12" t="str" cm="1">
        <f t="array" ref="G81">_xlfn.TEXTJOIN(CHAR(10),TRUE,_xlfn._xlws.SORT(IF((--($B81=Flowdown_BTE[[URS]:[URS]]))*(--(G$14=Flowdown_BTE[[Source.Name]:[Source.Name]])),Flowdown_BTE[[SyRS]:[SyRS]],"")))</f>
        <v/>
      </c>
      <c r="H81" s="12" t="str" cm="1">
        <f t="array" ref="H81">_xlfn.TEXTJOIN(CHAR(10),TRUE,_xlfn._xlws.SORT(IF((--($B81=Flowdown_BTE[[URS]:[URS]]))*(--(H$14=Flowdown_BTE[[Source.Name]:[Source.Name]])),Flowdown_BTE[[SyRS]:[SyRS]],"")))</f>
        <v/>
      </c>
      <c r="I81" s="12" t="str" cm="1">
        <f t="array" ref="I81">_xlfn.TEXTJOIN(CHAR(10),TRUE,_xlfn._xlws.SORT(IF((--($B81=Flowdown_BTE[[URS]:[URS]]))*(--(I$14=Flowdown_BTE[[Source.Name]:[Source.Name]])),Flowdown_BTE[[SyRS]:[SyRS]],"")))</f>
        <v>MASTER-51867
MASTER-51870
MASTER-51871</v>
      </c>
      <c r="J81" s="12" t="str" cm="1">
        <f t="array" ref="J81">_xlfn.TEXTJOIN(CHAR(10),TRUE,_xlfn._xlws.SORT(IF((--($B81=Flowdown_BTE[[URS]:[URS]]))*(--(J$14=Flowdown_BTE[[Source.Name]:[Source.Name]])),Flowdown_BTE[[SyRS]:[SyRS]],"")))</f>
        <v/>
      </c>
      <c r="K81" s="12" t="str" cm="1">
        <f t="array" ref="K81">_xlfn.TEXTJOIN(CHAR(10),TRUE,_xlfn._xlws.SORT(IF((--($B81=Flowdown_BTE[[URS]:[URS]]))*(--(K$14=Flowdown_BTE[[Source.Name]:[Source.Name]])),Flowdown_BTE[[SyRS]:[SyRS]],"")))</f>
        <v/>
      </c>
      <c r="L81" s="16" t="b" cm="1">
        <f t="array" ref="L81">OR(LEN(C81:K81)&gt;0)</f>
        <v>1</v>
      </c>
    </row>
    <row r="82" spans="2:12" ht="27" x14ac:dyDescent="0.2">
      <c r="B82" s="11" t="str">
        <v>MASTER-51801</v>
      </c>
      <c r="C82" s="12" t="str" cm="1">
        <f t="array" ref="C82">_xlfn.TEXTJOIN(CHAR(10),TRUE,_xlfn._xlws.SORT(IF((--($B82=Flowdown_BTE[[URS]:[URS]]))*(--(C$14=Flowdown_BTE[[Source.Name]:[Source.Name]])),Flowdown_BTE[[SyRS]:[SyRS]],"")))</f>
        <v/>
      </c>
      <c r="D82" s="12" t="str" cm="1">
        <f t="array" ref="D82">_xlfn.TEXTJOIN(CHAR(10),TRUE,_xlfn._xlws.SORT(IF((--($B82=Flowdown_BTE[[URS]:[URS]]))*(--(D$14=Flowdown_BTE[[Source.Name]:[Source.Name]])),Flowdown_BTE[[SyRS]:[SyRS]],"")))</f>
        <v/>
      </c>
      <c r="E82" s="12" t="str" cm="1">
        <f t="array" ref="E82">_xlfn.TEXTJOIN(CHAR(10),TRUE,_xlfn._xlws.SORT(IF((--($B82=Flowdown_BTE[[URS]:[URS]]))*(--(E$14=Flowdown_BTE[[Source.Name]:[Source.Name]])),Flowdown_BTE[[SyRS]:[SyRS]],"")))</f>
        <v/>
      </c>
      <c r="F82" s="12" t="str" cm="1">
        <f t="array" ref="F82">_xlfn.TEXTJOIN(CHAR(10),TRUE,_xlfn._xlws.SORT(IF((--($B82=Flowdown_BTE[[URS]:[URS]]))*(--(F$14=Flowdown_BTE[[Source.Name]:[Source.Name]])),Flowdown_BTE[[SyRS]:[SyRS]],"")))</f>
        <v/>
      </c>
      <c r="G82" s="12" t="str" cm="1">
        <f t="array" ref="G82">_xlfn.TEXTJOIN(CHAR(10),TRUE,_xlfn._xlws.SORT(IF((--($B82=Flowdown_BTE[[URS]:[URS]]))*(--(G$14=Flowdown_BTE[[Source.Name]:[Source.Name]])),Flowdown_BTE[[SyRS]:[SyRS]],"")))</f>
        <v/>
      </c>
      <c r="H82" s="12" t="str" cm="1">
        <f t="array" ref="H82">_xlfn.TEXTJOIN(CHAR(10),TRUE,_xlfn._xlws.SORT(IF((--($B82=Flowdown_BTE[[URS]:[URS]]))*(--(H$14=Flowdown_BTE[[Source.Name]:[Source.Name]])),Flowdown_BTE[[SyRS]:[SyRS]],"")))</f>
        <v/>
      </c>
      <c r="I82" s="12" t="str" cm="1">
        <f t="array" ref="I82">_xlfn.TEXTJOIN(CHAR(10),TRUE,_xlfn._xlws.SORT(IF((--($B82=Flowdown_BTE[[URS]:[URS]]))*(--(I$14=Flowdown_BTE[[Source.Name]:[Source.Name]])),Flowdown_BTE[[SyRS]:[SyRS]],"")))</f>
        <v>MASTER-51866
MASTER-51867</v>
      </c>
      <c r="J82" s="12" t="str" cm="1">
        <f t="array" ref="J82">_xlfn.TEXTJOIN(CHAR(10),TRUE,_xlfn._xlws.SORT(IF((--($B82=Flowdown_BTE[[URS]:[URS]]))*(--(J$14=Flowdown_BTE[[Source.Name]:[Source.Name]])),Flowdown_BTE[[SyRS]:[SyRS]],"")))</f>
        <v/>
      </c>
      <c r="K82" s="12" t="str" cm="1">
        <f t="array" ref="K82">_xlfn.TEXTJOIN(CHAR(10),TRUE,_xlfn._xlws.SORT(IF((--($B82=Flowdown_BTE[[URS]:[URS]]))*(--(K$14=Flowdown_BTE[[Source.Name]:[Source.Name]])),Flowdown_BTE[[SyRS]:[SyRS]],"")))</f>
        <v/>
      </c>
      <c r="L82" s="16" t="b" cm="1">
        <f t="array" ref="L82">OR(LEN(C82:K82)&gt;0)</f>
        <v>1</v>
      </c>
    </row>
    <row r="83" spans="2:12" ht="13.5" x14ac:dyDescent="0.2">
      <c r="B83" s="11" t="str">
        <v>MASTER-51802</v>
      </c>
      <c r="C83" s="12" t="str" cm="1">
        <f t="array" ref="C83">_xlfn.TEXTJOIN(CHAR(10),TRUE,_xlfn._xlws.SORT(IF((--($B83=Flowdown_BTE[[URS]:[URS]]))*(--(C$14=Flowdown_BTE[[Source.Name]:[Source.Name]])),Flowdown_BTE[[SyRS]:[SyRS]],"")))</f>
        <v/>
      </c>
      <c r="D83" s="12" t="str" cm="1">
        <f t="array" ref="D83">_xlfn.TEXTJOIN(CHAR(10),TRUE,_xlfn._xlws.SORT(IF((--($B83=Flowdown_BTE[[URS]:[URS]]))*(--(D$14=Flowdown_BTE[[Source.Name]:[Source.Name]])),Flowdown_BTE[[SyRS]:[SyRS]],"")))</f>
        <v/>
      </c>
      <c r="E83" s="12" t="str" cm="1">
        <f t="array" ref="E83">_xlfn.TEXTJOIN(CHAR(10),TRUE,_xlfn._xlws.SORT(IF((--($B83=Flowdown_BTE[[URS]:[URS]]))*(--(E$14=Flowdown_BTE[[Source.Name]:[Source.Name]])),Flowdown_BTE[[SyRS]:[SyRS]],"")))</f>
        <v/>
      </c>
      <c r="F83" s="12" t="str" cm="1">
        <f t="array" ref="F83">_xlfn.TEXTJOIN(CHAR(10),TRUE,_xlfn._xlws.SORT(IF((--($B83=Flowdown_BTE[[URS]:[URS]]))*(--(F$14=Flowdown_BTE[[Source.Name]:[Source.Name]])),Flowdown_BTE[[SyRS]:[SyRS]],"")))</f>
        <v/>
      </c>
      <c r="G83" s="12" t="str" cm="1">
        <f t="array" ref="G83">_xlfn.TEXTJOIN(CHAR(10),TRUE,_xlfn._xlws.SORT(IF((--($B83=Flowdown_BTE[[URS]:[URS]]))*(--(G$14=Flowdown_BTE[[Source.Name]:[Source.Name]])),Flowdown_BTE[[SyRS]:[SyRS]],"")))</f>
        <v/>
      </c>
      <c r="H83" s="12" t="str" cm="1">
        <f t="array" ref="H83">_xlfn.TEXTJOIN(CHAR(10),TRUE,_xlfn._xlws.SORT(IF((--($B83=Flowdown_BTE[[URS]:[URS]]))*(--(H$14=Flowdown_BTE[[Source.Name]:[Source.Name]])),Flowdown_BTE[[SyRS]:[SyRS]],"")))</f>
        <v/>
      </c>
      <c r="I83" s="12" t="str" cm="1">
        <f t="array" ref="I83">_xlfn.TEXTJOIN(CHAR(10),TRUE,_xlfn._xlws.SORT(IF((--($B83=Flowdown_BTE[[URS]:[URS]]))*(--(I$14=Flowdown_BTE[[Source.Name]:[Source.Name]])),Flowdown_BTE[[SyRS]:[SyRS]],"")))</f>
        <v>MASTER-51869</v>
      </c>
      <c r="J83" s="12" t="str" cm="1">
        <f t="array" ref="J83">_xlfn.TEXTJOIN(CHAR(10),TRUE,_xlfn._xlws.SORT(IF((--($B83=Flowdown_BTE[[URS]:[URS]]))*(--(J$14=Flowdown_BTE[[Source.Name]:[Source.Name]])),Flowdown_BTE[[SyRS]:[SyRS]],"")))</f>
        <v/>
      </c>
      <c r="K83" s="12" t="str" cm="1">
        <f t="array" ref="K83">_xlfn.TEXTJOIN(CHAR(10),TRUE,_xlfn._xlws.SORT(IF((--($B83=Flowdown_BTE[[URS]:[URS]]))*(--(K$14=Flowdown_BTE[[Source.Name]:[Source.Name]])),Flowdown_BTE[[SyRS]:[SyRS]],"")))</f>
        <v/>
      </c>
      <c r="L83" s="16" t="b" cm="1">
        <f t="array" ref="L83">OR(LEN(C83:K83)&gt;0)</f>
        <v>1</v>
      </c>
    </row>
    <row r="84" spans="2:12" ht="13.5" x14ac:dyDescent="0.2">
      <c r="B84" s="11" t="str">
        <v>MASTER-51804</v>
      </c>
      <c r="C84" s="12" t="str" cm="1">
        <f t="array" ref="C84">_xlfn.TEXTJOIN(CHAR(10),TRUE,_xlfn._xlws.SORT(IF((--($B84=Flowdown_BTE[[URS]:[URS]]))*(--(C$14=Flowdown_BTE[[Source.Name]:[Source.Name]])),Flowdown_BTE[[SyRS]:[SyRS]],"")))</f>
        <v/>
      </c>
      <c r="D84" s="12" t="str" cm="1">
        <f t="array" ref="D84">_xlfn.TEXTJOIN(CHAR(10),TRUE,_xlfn._xlws.SORT(IF((--($B84=Flowdown_BTE[[URS]:[URS]]))*(--(D$14=Flowdown_BTE[[Source.Name]:[Source.Name]])),Flowdown_BTE[[SyRS]:[SyRS]],"")))</f>
        <v/>
      </c>
      <c r="E84" s="12" t="str" cm="1">
        <f t="array" ref="E84">_xlfn.TEXTJOIN(CHAR(10),TRUE,_xlfn._xlws.SORT(IF((--($B84=Flowdown_BTE[[URS]:[URS]]))*(--(E$14=Flowdown_BTE[[Source.Name]:[Source.Name]])),Flowdown_BTE[[SyRS]:[SyRS]],"")))</f>
        <v/>
      </c>
      <c r="F84" s="12" t="str" cm="1">
        <f t="array" ref="F84">_xlfn.TEXTJOIN(CHAR(10),TRUE,_xlfn._xlws.SORT(IF((--($B84=Flowdown_BTE[[URS]:[URS]]))*(--(F$14=Flowdown_BTE[[Source.Name]:[Source.Name]])),Flowdown_BTE[[SyRS]:[SyRS]],"")))</f>
        <v/>
      </c>
      <c r="G84" s="12" t="str" cm="1">
        <f t="array" ref="G84">_xlfn.TEXTJOIN(CHAR(10),TRUE,_xlfn._xlws.SORT(IF((--($B84=Flowdown_BTE[[URS]:[URS]]))*(--(G$14=Flowdown_BTE[[Source.Name]:[Source.Name]])),Flowdown_BTE[[SyRS]:[SyRS]],"")))</f>
        <v/>
      </c>
      <c r="H84" s="12" t="str" cm="1">
        <f t="array" ref="H84">_xlfn.TEXTJOIN(CHAR(10),TRUE,_xlfn._xlws.SORT(IF((--($B84=Flowdown_BTE[[URS]:[URS]]))*(--(H$14=Flowdown_BTE[[Source.Name]:[Source.Name]])),Flowdown_BTE[[SyRS]:[SyRS]],"")))</f>
        <v/>
      </c>
      <c r="I84" s="12" t="str" cm="1">
        <f t="array" ref="I84">_xlfn.TEXTJOIN(CHAR(10),TRUE,_xlfn._xlws.SORT(IF((--($B84=Flowdown_BTE[[URS]:[URS]]))*(--(I$14=Flowdown_BTE[[Source.Name]:[Source.Name]])),Flowdown_BTE[[SyRS]:[SyRS]],"")))</f>
        <v>MASTER-19928</v>
      </c>
      <c r="J84" s="12" t="str" cm="1">
        <f t="array" ref="J84">_xlfn.TEXTJOIN(CHAR(10),TRUE,_xlfn._xlws.SORT(IF((--($B84=Flowdown_BTE[[URS]:[URS]]))*(--(J$14=Flowdown_BTE[[Source.Name]:[Source.Name]])),Flowdown_BTE[[SyRS]:[SyRS]],"")))</f>
        <v>MASTER-19928</v>
      </c>
      <c r="K84" s="12" t="str" cm="1">
        <f t="array" ref="K84">_xlfn.TEXTJOIN(CHAR(10),TRUE,_xlfn._xlws.SORT(IF((--($B84=Flowdown_BTE[[URS]:[URS]]))*(--(K$14=Flowdown_BTE[[Source.Name]:[Source.Name]])),Flowdown_BTE[[SyRS]:[SyRS]],"")))</f>
        <v/>
      </c>
      <c r="L84" s="16" t="b" cm="1">
        <f t="array" ref="L84">OR(LEN(C84:K84)&gt;0)</f>
        <v>1</v>
      </c>
    </row>
    <row r="85" spans="2:12" ht="27" x14ac:dyDescent="0.2">
      <c r="B85" s="11" t="str">
        <v>MASTER-51805</v>
      </c>
      <c r="C85" s="12" t="str" cm="1">
        <f t="array" ref="C85">_xlfn.TEXTJOIN(CHAR(10),TRUE,_xlfn._xlws.SORT(IF((--($B85=Flowdown_BTE[[URS]:[URS]]))*(--(C$14=Flowdown_BTE[[Source.Name]:[Source.Name]])),Flowdown_BTE[[SyRS]:[SyRS]],"")))</f>
        <v/>
      </c>
      <c r="D85" s="12" t="str" cm="1">
        <f t="array" ref="D85">_xlfn.TEXTJOIN(CHAR(10),TRUE,_xlfn._xlws.SORT(IF((--($B85=Flowdown_BTE[[URS]:[URS]]))*(--(D$14=Flowdown_BTE[[Source.Name]:[Source.Name]])),Flowdown_BTE[[SyRS]:[SyRS]],"")))</f>
        <v/>
      </c>
      <c r="E85" s="12" t="str" cm="1">
        <f t="array" ref="E85">_xlfn.TEXTJOIN(CHAR(10),TRUE,_xlfn._xlws.SORT(IF((--($B85=Flowdown_BTE[[URS]:[URS]]))*(--(E$14=Flowdown_BTE[[Source.Name]:[Source.Name]])),Flowdown_BTE[[SyRS]:[SyRS]],"")))</f>
        <v/>
      </c>
      <c r="F85" s="12" t="str" cm="1">
        <f t="array" ref="F85">_xlfn.TEXTJOIN(CHAR(10),TRUE,_xlfn._xlws.SORT(IF((--($B85=Flowdown_BTE[[URS]:[URS]]))*(--(F$14=Flowdown_BTE[[Source.Name]:[Source.Name]])),Flowdown_BTE[[SyRS]:[SyRS]],"")))</f>
        <v/>
      </c>
      <c r="G85" s="12" t="str" cm="1">
        <f t="array" ref="G85">_xlfn.TEXTJOIN(CHAR(10),TRUE,_xlfn._xlws.SORT(IF((--($B85=Flowdown_BTE[[URS]:[URS]]))*(--(G$14=Flowdown_BTE[[Source.Name]:[Source.Name]])),Flowdown_BTE[[SyRS]:[SyRS]],"")))</f>
        <v/>
      </c>
      <c r="H85" s="12" t="str" cm="1">
        <f t="array" ref="H85">_xlfn.TEXTJOIN(CHAR(10),TRUE,_xlfn._xlws.SORT(IF((--($B85=Flowdown_BTE[[URS]:[URS]]))*(--(H$14=Flowdown_BTE[[Source.Name]:[Source.Name]])),Flowdown_BTE[[SyRS]:[SyRS]],"")))</f>
        <v/>
      </c>
      <c r="I85" s="12" t="str" cm="1">
        <f t="array" ref="I85">_xlfn.TEXTJOIN(CHAR(10),TRUE,_xlfn._xlws.SORT(IF((--($B85=Flowdown_BTE[[URS]:[URS]]))*(--(I$14=Flowdown_BTE[[Source.Name]:[Source.Name]])),Flowdown_BTE[[SyRS]:[SyRS]],"")))</f>
        <v>MASTER-51871
MASTER-51872</v>
      </c>
      <c r="J85" s="12" t="str" cm="1">
        <f t="array" ref="J85">_xlfn.TEXTJOIN(CHAR(10),TRUE,_xlfn._xlws.SORT(IF((--($B85=Flowdown_BTE[[URS]:[URS]]))*(--(J$14=Flowdown_BTE[[Source.Name]:[Source.Name]])),Flowdown_BTE[[SyRS]:[SyRS]],"")))</f>
        <v>UTICA-19408</v>
      </c>
      <c r="K85" s="12" t="str" cm="1">
        <f t="array" ref="K85">_xlfn.TEXTJOIN(CHAR(10),TRUE,_xlfn._xlws.SORT(IF((--($B85=Flowdown_BTE[[URS]:[URS]]))*(--(K$14=Flowdown_BTE[[Source.Name]:[Source.Name]])),Flowdown_BTE[[SyRS]:[SyRS]],"")))</f>
        <v/>
      </c>
      <c r="L85" s="16" t="b" cm="1">
        <f t="array" ref="L85">OR(LEN(C85:K85)&gt;0)</f>
        <v>1</v>
      </c>
    </row>
    <row r="86" spans="2:12" ht="409.5" x14ac:dyDescent="0.2">
      <c r="B86" s="11" t="str">
        <v>MASTER-51806</v>
      </c>
      <c r="C86" s="12" t="str" cm="1">
        <f t="array" ref="C86">_xlfn.TEXTJOIN(CHAR(10),TRUE,_xlfn._xlws.SORT(IF((--($B86=Flowdown_BTE[[URS]:[URS]]))*(--(C$14=Flowdown_BTE[[Source.Name]:[Source.Name]])),Flowdown_BTE[[SyRS]:[SyRS]],"")))</f>
        <v/>
      </c>
      <c r="D86" s="12" t="str" cm="1">
        <f t="array" ref="D86">_xlfn.TEXTJOIN(CHAR(10),TRUE,_xlfn._xlws.SORT(IF((--($B86=Flowdown_BTE[[URS]:[URS]]))*(--(D$14=Flowdown_BTE[[Source.Name]:[Source.Name]])),Flowdown_BTE[[SyRS]:[SyRS]],"")))</f>
        <v/>
      </c>
      <c r="E86" s="12" t="str" cm="1">
        <f t="array" ref="E86">_xlfn.TEXTJOIN(CHAR(10),TRUE,_xlfn._xlws.SORT(IF((--($B86=Flowdown_BTE[[URS]:[URS]]))*(--(E$14=Flowdown_BTE[[Source.Name]:[Source.Name]])),Flowdown_BTE[[SyRS]:[SyRS]],"")))</f>
        <v/>
      </c>
      <c r="F86" s="12" t="str" cm="1">
        <f t="array" ref="F86">_xlfn.TEXTJOIN(CHAR(10),TRUE,_xlfn._xlws.SORT(IF((--($B86=Flowdown_BTE[[URS]:[URS]]))*(--(F$14=Flowdown_BTE[[Source.Name]:[Source.Name]])),Flowdown_BTE[[SyRS]:[SyRS]],"")))</f>
        <v/>
      </c>
      <c r="G86" s="12" t="str" cm="1">
        <f t="array" ref="G86">_xlfn.TEXTJOIN(CHAR(10),TRUE,_xlfn._xlws.SORT(IF((--($B86=Flowdown_BTE[[URS]:[URS]]))*(--(G$14=Flowdown_BTE[[Source.Name]:[Source.Name]])),Flowdown_BTE[[SyRS]:[SyRS]],"")))</f>
        <v/>
      </c>
      <c r="H86" s="12" t="str" cm="1">
        <f t="array" ref="H86">_xlfn.TEXTJOIN(CHAR(10),TRUE,_xlfn._xlws.SORT(IF((--($B86=Flowdown_BTE[[URS]:[URS]]))*(--(H$14=Flowdown_BTE[[Source.Name]:[Source.Name]])),Flowdown_BTE[[SyRS]:[SyRS]],"")))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6" s="12" t="str" cm="1">
        <f t="array" ref="I86">_xlfn.TEXTJOIN(CHAR(10),TRUE,_xlfn._xlws.SORT(IF((--($B86=Flowdown_BTE[[URS]:[URS]]))*(--(I$14=Flowdown_BTE[[Source.Name]:[Source.Name]])),Flowdown_BTE[[SyRS]:[SyRS]],"")))</f>
        <v/>
      </c>
      <c r="J86" s="12" t="str" cm="1">
        <f t="array" ref="J86">_xlfn.TEXTJOIN(CHAR(10),TRUE,_xlfn._xlws.SORT(IF((--($B86=Flowdown_BTE[[URS]:[URS]]))*(--(J$14=Flowdown_BTE[[Source.Name]:[Source.Name]])),Flowdown_BTE[[SyRS]:[SyRS]],"")))</f>
        <v/>
      </c>
      <c r="K86" s="12" t="str" cm="1">
        <f t="array" ref="K86">_xlfn.TEXTJOIN(CHAR(10),TRUE,_xlfn._xlws.SORT(IF((--($B86=Flowdown_BTE[[URS]:[URS]]))*(--(K$14=Flowdown_BTE[[Source.Name]:[Source.Name]])),Flowdown_BTE[[SyRS]:[SyRS]],"")))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
UTICA-6774
UTICA-6775
UTICA-6776</v>
      </c>
      <c r="L86" s="16" t="b" cm="1">
        <f t="array" ref="L86">OR(LEN(C86:K86)&gt;0)</f>
        <v>1</v>
      </c>
    </row>
    <row r="87" spans="2:12" ht="94.5" x14ac:dyDescent="0.2">
      <c r="B87" s="11" t="str">
        <v>MASTER-53050</v>
      </c>
      <c r="C87" s="12" t="str" cm="1">
        <f t="array" ref="C87">_xlfn.TEXTJOIN(CHAR(10),TRUE,_xlfn._xlws.SORT(IF((--($B87=Flowdown_BTE[[URS]:[URS]]))*(--(C$14=Flowdown_BTE[[Source.Name]:[Source.Name]])),Flowdown_BTE[[SyRS]:[SyRS]],"")))</f>
        <v>MASTER-51891
MASTER-51893
MASTER-51894
MASTER-51895
MASTER-51897
MASTER-51898
MASTER-51899</v>
      </c>
      <c r="D87" s="12" t="str" cm="1">
        <f t="array" ref="D87">_xlfn.TEXTJOIN(CHAR(10),TRUE,_xlfn._xlws.SORT(IF((--($B87=Flowdown_BTE[[URS]:[URS]]))*(--(D$14=Flowdown_BTE[[Source.Name]:[Source.Name]])),Flowdown_BTE[[SyRS]:[SyRS]],"")))</f>
        <v>MASTER-51891
MASTER-51893
MASTER-51894
MASTER-51895
MASTER-51897
MASTER-51898
MASTER-51899</v>
      </c>
      <c r="E87" s="12" t="str" cm="1">
        <f t="array" ref="E87">_xlfn.TEXTJOIN(CHAR(10),TRUE,_xlfn._xlws.SORT(IF((--($B87=Flowdown_BTE[[URS]:[URS]]))*(--(E$14=Flowdown_BTE[[Source.Name]:[Source.Name]])),Flowdown_BTE[[SyRS]:[SyRS]],"")))</f>
        <v>MASTER-51891
MASTER-51893
MASTER-51894
MASTER-51895
MASTER-51897
MASTER-51898
MASTER-51899</v>
      </c>
      <c r="F87" s="12" t="str" cm="1">
        <f t="array" ref="F87">_xlfn.TEXTJOIN(CHAR(10),TRUE,_xlfn._xlws.SORT(IF((--($B87=Flowdown_BTE[[URS]:[URS]]))*(--(F$14=Flowdown_BTE[[Source.Name]:[Source.Name]])),Flowdown_BTE[[SyRS]:[SyRS]],"")))</f>
        <v>MASTER-51891
MASTER-51893
MASTER-51894
MASTER-51895
MASTER-51897
MASTER-51898
MASTER-51899</v>
      </c>
      <c r="G87" s="12" t="str" cm="1">
        <f t="array" ref="G87">_xlfn.TEXTJOIN(CHAR(10),TRUE,_xlfn._xlws.SORT(IF((--($B87=Flowdown_BTE[[URS]:[URS]]))*(--(G$14=Flowdown_BTE[[Source.Name]:[Source.Name]])),Flowdown_BTE[[SyRS]:[SyRS]],"")))</f>
        <v>MASTER-51891
MASTER-51893
MASTER-51894
MASTER-51895
MASTER-51897
MASTER-51898
MASTER-51899</v>
      </c>
      <c r="H87" s="12" t="str" cm="1">
        <f t="array" ref="H87">_xlfn.TEXTJOIN(CHAR(10),TRUE,_xlfn._xlws.SORT(IF((--($B87=Flowdown_BTE[[URS]:[URS]]))*(--(H$14=Flowdown_BTE[[Source.Name]:[Source.Name]])),Flowdown_BTE[[SyRS]:[SyRS]],"")))</f>
        <v>MASTER-51883
MASTER-51886
MASTER-51887
MASTER-51888
MASTER-51889
MASTER-51890
UTICA-4774</v>
      </c>
      <c r="I87" s="12" t="str" cm="1">
        <f t="array" ref="I87">_xlfn.TEXTJOIN(CHAR(10),TRUE,_xlfn._xlws.SORT(IF((--($B87=Flowdown_BTE[[URS]:[URS]]))*(--(I$14=Flowdown_BTE[[Source.Name]:[Source.Name]])),Flowdown_BTE[[SyRS]:[SyRS]],"")))</f>
        <v/>
      </c>
      <c r="J87" s="12" t="str" cm="1">
        <f t="array" ref="J87">_xlfn.TEXTJOIN(CHAR(10),TRUE,_xlfn._xlws.SORT(IF((--($B87=Flowdown_BTE[[URS]:[URS]]))*(--(J$14=Flowdown_BTE[[Source.Name]:[Source.Name]])),Flowdown_BTE[[SyRS]:[SyRS]],"")))</f>
        <v/>
      </c>
      <c r="K87" s="12" t="str" cm="1">
        <f t="array" ref="K87">_xlfn.TEXTJOIN(CHAR(10),TRUE,_xlfn._xlws.SORT(IF((--($B87=Flowdown_BTE[[URS]:[URS]]))*(--(K$14=Flowdown_BTE[[Source.Name]:[Source.Name]])),Flowdown_BTE[[SyRS]:[SyRS]],"")))</f>
        <v/>
      </c>
      <c r="L87" s="16" t="b" cm="1">
        <f t="array" ref="L87">OR(LEN(C87:K87)&gt;0)</f>
        <v>1</v>
      </c>
    </row>
    <row r="88" spans="2:12" ht="202.5" x14ac:dyDescent="0.2">
      <c r="B88" s="11" t="str">
        <v>MASTER-56060</v>
      </c>
      <c r="C88" s="12" t="str" cm="1">
        <f t="array" ref="C88">_xlfn.TEXTJOIN(CHAR(10),TRUE,_xlfn._xlws.SORT(IF((--($B88=Flowdown_BTE[[URS]:[URS]]))*(--(C$14=Flowdown_BTE[[Source.Name]:[Source.Name]])),Flowdown_BTE[[SyRS]:[SyRS]],"")))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8" s="12" t="str" cm="1">
        <f t="array" ref="D88">_xlfn.TEXTJOIN(CHAR(10),TRUE,_xlfn._xlws.SORT(IF((--($B88=Flowdown_BTE[[URS]:[URS]]))*(--(D$14=Flowdown_BTE[[Source.Name]:[Source.Name]])),Flowdown_BTE[[SyRS]:[SyRS]],"")))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8" s="12" t="str" cm="1">
        <f t="array" ref="E88">_xlfn.TEXTJOIN(CHAR(10),TRUE,_xlfn._xlws.SORT(IF((--($B88=Flowdown_BTE[[URS]:[URS]]))*(--(E$14=Flowdown_BTE[[Source.Name]:[Source.Name]])),Flowdown_BTE[[SyRS]:[SyRS]],"")))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8" s="12" t="str" cm="1">
        <f t="array" ref="F88">_xlfn.TEXTJOIN(CHAR(10),TRUE,_xlfn._xlws.SORT(IF((--($B88=Flowdown_BTE[[URS]:[URS]]))*(--(F$14=Flowdown_BTE[[Source.Name]:[Source.Name]])),Flowdown_BTE[[SyRS]:[SyRS]],"")))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8" s="12" t="str" cm="1">
        <f t="array" ref="G88">_xlfn.TEXTJOIN(CHAR(10),TRUE,_xlfn._xlws.SORT(IF((--($B88=Flowdown_BTE[[URS]:[URS]]))*(--(G$14=Flowdown_BTE[[Source.Name]:[Source.Name]])),Flowdown_BTE[[SyRS]:[SyRS]],"")))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8" s="12" t="str" cm="1">
        <f t="array" ref="H88">_xlfn.TEXTJOIN(CHAR(10),TRUE,_xlfn._xlws.SORT(IF((--($B88=Flowdown_BTE[[URS]:[URS]]))*(--(H$14=Flowdown_BTE[[Source.Name]:[Source.Name]])),Flowdown_BTE[[SyRS]:[SyRS]],"")))</f>
        <v/>
      </c>
      <c r="I88" s="12" t="str" cm="1">
        <f t="array" ref="I88">_xlfn.TEXTJOIN(CHAR(10),TRUE,_xlfn._xlws.SORT(IF((--($B88=Flowdown_BTE[[URS]:[URS]]))*(--(I$14=Flowdown_BTE[[Source.Name]:[Source.Name]])),Flowdown_BTE[[SyRS]:[SyRS]],"")))</f>
        <v/>
      </c>
      <c r="J88" s="12" t="str" cm="1">
        <f t="array" ref="J88">_xlfn.TEXTJOIN(CHAR(10),TRUE,_xlfn._xlws.SORT(IF((--($B88=Flowdown_BTE[[URS]:[URS]]))*(--(J$14=Flowdown_BTE[[Source.Name]:[Source.Name]])),Flowdown_BTE[[SyRS]:[SyRS]],"")))</f>
        <v/>
      </c>
      <c r="K88" s="12" t="str" cm="1">
        <f t="array" ref="K88">_xlfn.TEXTJOIN(CHAR(10),TRUE,_xlfn._xlws.SORT(IF((--($B88=Flowdown_BTE[[URS]:[URS]]))*(--(K$14=Flowdown_BTE[[Source.Name]:[Source.Name]])),Flowdown_BTE[[SyRS]:[SyRS]],"")))</f>
        <v>MASTER-56594
MASTER-56596
MASTER-56598
MASTER-57009
UTICA-24859</v>
      </c>
      <c r="L88" s="16" t="b" cm="1">
        <f t="array" ref="L88">OR(LEN(C88:K88)&gt;0)</f>
        <v>1</v>
      </c>
    </row>
    <row r="89" spans="2:12" ht="202.5" x14ac:dyDescent="0.2">
      <c r="B89" s="11" t="str">
        <v>MASTER-56062</v>
      </c>
      <c r="C89" s="12" t="str" cm="1">
        <f t="array" ref="C89">_xlfn.TEXTJOIN(CHAR(10),TRUE,_xlfn._xlws.SORT(IF((--($B89=Flowdown_BTE[[URS]:[URS]]))*(--(C$14=Flowdown_BTE[[Source.Name]:[Source.Name]])),Flowdown_BTE[[SyRS]:[SyRS]],"")))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9" s="12" t="str" cm="1">
        <f t="array" ref="D89">_xlfn.TEXTJOIN(CHAR(10),TRUE,_xlfn._xlws.SORT(IF((--($B89=Flowdown_BTE[[URS]:[URS]]))*(--(D$14=Flowdown_BTE[[Source.Name]:[Source.Name]])),Flowdown_BTE[[SyRS]:[SyRS]],"")))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9" s="12" t="str" cm="1">
        <f t="array" ref="E89">_xlfn.TEXTJOIN(CHAR(10),TRUE,_xlfn._xlws.SORT(IF((--($B89=Flowdown_BTE[[URS]:[URS]]))*(--(E$14=Flowdown_BTE[[Source.Name]:[Source.Name]])),Flowdown_BTE[[SyRS]:[SyRS]],"")))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9" s="12" t="str" cm="1">
        <f t="array" ref="F89">_xlfn.TEXTJOIN(CHAR(10),TRUE,_xlfn._xlws.SORT(IF((--($B89=Flowdown_BTE[[URS]:[URS]]))*(--(F$14=Flowdown_BTE[[Source.Name]:[Source.Name]])),Flowdown_BTE[[SyRS]:[SyRS]],"")))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9" s="12" t="str" cm="1">
        <f t="array" ref="G89">_xlfn.TEXTJOIN(CHAR(10),TRUE,_xlfn._xlws.SORT(IF((--($B89=Flowdown_BTE[[URS]:[URS]]))*(--(G$14=Flowdown_BTE[[Source.Name]:[Source.Name]])),Flowdown_BTE[[SyRS]:[SyRS]],"")))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9" s="12" t="str" cm="1">
        <f t="array" ref="H89">_xlfn.TEXTJOIN(CHAR(10),TRUE,_xlfn._xlws.SORT(IF((--($B89=Flowdown_BTE[[URS]:[URS]]))*(--(H$14=Flowdown_BTE[[Source.Name]:[Source.Name]])),Flowdown_BTE[[SyRS]:[SyRS]],"")))</f>
        <v>MASTER-56575
MASTER-56578
MASTER-56579
MASTER-56583
MASTER-56585
MASTER-56586
MASTER-56589</v>
      </c>
      <c r="I89" s="12" t="str" cm="1">
        <f t="array" ref="I89">_xlfn.TEXTJOIN(CHAR(10),TRUE,_xlfn._xlws.SORT(IF((--($B89=Flowdown_BTE[[URS]:[URS]]))*(--(I$14=Flowdown_BTE[[Source.Name]:[Source.Name]])),Flowdown_BTE[[SyRS]:[SyRS]],"")))</f>
        <v/>
      </c>
      <c r="J89" s="12" t="str" cm="1">
        <f t="array" ref="J89">_xlfn.TEXTJOIN(CHAR(10),TRUE,_xlfn._xlws.SORT(IF((--($B89=Flowdown_BTE[[URS]:[URS]]))*(--(J$14=Flowdown_BTE[[Source.Name]:[Source.Name]])),Flowdown_BTE[[SyRS]:[SyRS]],"")))</f>
        <v/>
      </c>
      <c r="K89" s="12" t="str" cm="1">
        <f t="array" ref="K89">_xlfn.TEXTJOIN(CHAR(10),TRUE,_xlfn._xlws.SORT(IF((--($B89=Flowdown_BTE[[URS]:[URS]]))*(--(K$14=Flowdown_BTE[[Source.Name]:[Source.Name]])),Flowdown_BTE[[SyRS]:[SyRS]],"")))</f>
        <v/>
      </c>
      <c r="L89" s="16" t="b" cm="1">
        <f t="array" ref="L89">OR(LEN(C89:K89)&gt;0)</f>
        <v>1</v>
      </c>
    </row>
    <row r="90" spans="2:12" ht="409.5" x14ac:dyDescent="0.2">
      <c r="B90" s="11" t="str">
        <v>MASTER-56063</v>
      </c>
      <c r="C90" s="12" t="str" cm="1">
        <f t="array" ref="C90">_xlfn.TEXTJOIN(CHAR(10),TRUE,_xlfn._xlws.SORT(IF((--($B90=Flowdown_BTE[[URS]:[URS]]))*(--(C$14=Flowdown_BTE[[Source.Name]:[Source.Name]])),Flowdown_BTE[[SyRS]:[SyRS]],"")))</f>
        <v>MASTER-56883
MASTER-56885
MASTER-56886
MASTER-56887
MASTER-56888
MASTER-56889
MASTER-60855
MASTER-60856
MASTER-60857
MASTER-61843
MASTER-61844</v>
      </c>
      <c r="D90" s="12" t="str" cm="1">
        <f t="array" ref="D90">_xlfn.TEXTJOIN(CHAR(10),TRUE,_xlfn._xlws.SORT(IF((--($B90=Flowdown_BTE[[URS]:[URS]]))*(--(D$14=Flowdown_BTE[[Source.Name]:[Source.Name]])),Flowdown_BTE[[SyRS]:[SyRS]],"")))</f>
        <v>MASTER-56883
MASTER-56885
MASTER-56886
MASTER-56887
MASTER-56888
MASTER-56889
MASTER-60855
MASTER-60856
MASTER-60857
MASTER-61843
MASTER-61844</v>
      </c>
      <c r="E90" s="12" t="str" cm="1">
        <f t="array" ref="E90">_xlfn.TEXTJOIN(CHAR(10),TRUE,_xlfn._xlws.SORT(IF((--($B90=Flowdown_BTE[[URS]:[URS]]))*(--(E$14=Flowdown_BTE[[Source.Name]:[Source.Name]])),Flowdown_BTE[[SyRS]:[SyRS]],"")))</f>
        <v>MASTER-56883
MASTER-56885
MASTER-56886
MASTER-56887
MASTER-56888
MASTER-56889
MASTER-60855
MASTER-60856
MASTER-60857
MASTER-61843
MASTER-61844</v>
      </c>
      <c r="F90" s="12" t="str" cm="1">
        <f t="array" ref="F90">_xlfn.TEXTJOIN(CHAR(10),TRUE,_xlfn._xlws.SORT(IF((--($B90=Flowdown_BTE[[URS]:[URS]]))*(--(F$14=Flowdown_BTE[[Source.Name]:[Source.Name]])),Flowdown_BTE[[SyRS]:[SyRS]],"")))</f>
        <v>MASTER-56883
MASTER-56885
MASTER-56886
MASTER-56887
MASTER-56888
MASTER-56889
MASTER-60855
MASTER-60856
MASTER-60857
MASTER-61843
MASTER-61844</v>
      </c>
      <c r="G90" s="12" t="str" cm="1">
        <f t="array" ref="G90">_xlfn.TEXTJOIN(CHAR(10),TRUE,_xlfn._xlws.SORT(IF((--($B90=Flowdown_BTE[[URS]:[URS]]))*(--(G$14=Flowdown_BTE[[Source.Name]:[Source.Name]])),Flowdown_BTE[[SyRS]:[SyRS]],"")))</f>
        <v>MASTER-56883
MASTER-56885
MASTER-56886
MASTER-56887
MASTER-56888
MASTER-56889
MASTER-60855
MASTER-60856
MASTER-60857
MASTER-61843
MASTER-61844</v>
      </c>
      <c r="H90" s="12" t="str" cm="1">
        <f t="array" ref="H90">_xlfn.TEXTJOIN(CHAR(10),TRUE,_xlfn._xlws.SORT(IF((--($B90=Flowdown_BTE[[URS]:[URS]]))*(--(H$14=Flowdown_BTE[[Source.Name]:[Source.Name]])),Flowdown_BTE[[SyRS]:[SyRS]],"")))</f>
        <v/>
      </c>
      <c r="I90" s="12" t="str" cm="1">
        <f t="array" ref="I90">_xlfn.TEXTJOIN(CHAR(10),TRUE,_xlfn._xlws.SORT(IF((--($B90=Flowdown_BTE[[URS]:[URS]]))*(--(I$14=Flowdown_BTE[[Source.Name]:[Source.Name]])),Flowdown_BTE[[SyRS]:[SyRS]],"")))</f>
        <v/>
      </c>
      <c r="J90" s="12" t="str" cm="1">
        <f t="array" ref="J90">_xlfn.TEXTJOIN(CHAR(10),TRUE,_xlfn._xlws.SORT(IF((--($B90=Flowdown_BTE[[URS]:[URS]]))*(--(J$14=Flowdown_BTE[[Source.Name]:[Source.Name]])),Flowdown_BTE[[SyRS]:[SyRS]],"")))</f>
        <v/>
      </c>
      <c r="K90" s="12" t="str" cm="1">
        <f t="array" ref="K90">_xlfn.TEXTJOIN(CHAR(10),TRUE,_xlfn._xlws.SORT(IF((--($B90=Flowdown_BTE[[URS]:[URS]]))*(--(K$14=Flowdown_BTE[[Source.Name]:[Source.Name]])),Flowdown_BTE[[SyRS]:[SyRS]],"")))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90" s="16" t="b" cm="1">
        <f t="array" ref="L90">OR(LEN(C90:K90)&gt;0)</f>
        <v>1</v>
      </c>
    </row>
    <row r="91" spans="2:12" ht="229.5" x14ac:dyDescent="0.2">
      <c r="B91" s="11" t="str">
        <v>MASTER-57682</v>
      </c>
      <c r="C91" s="12" t="str" cm="1">
        <f t="array" ref="C91">_xlfn.TEXTJOIN(CHAR(10),TRUE,_xlfn._xlws.SORT(IF((--($B91=Flowdown_BTE[[URS]:[URS]]))*(--(C$14=Flowdown_BTE[[Source.Name]:[Source.Name]])),Flowdown_BTE[[SyRS]:[SyRS]],"")))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1" s="12" t="str" cm="1">
        <f t="array" ref="D91">_xlfn.TEXTJOIN(CHAR(10),TRUE,_xlfn._xlws.SORT(IF((--($B91=Flowdown_BTE[[URS]:[URS]]))*(--(D$14=Flowdown_BTE[[Source.Name]:[Source.Name]])),Flowdown_BTE[[SyRS]:[SyRS]],"")))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1" s="12" t="str" cm="1">
        <f t="array" ref="E91">_xlfn.TEXTJOIN(CHAR(10),TRUE,_xlfn._xlws.SORT(IF((--($B91=Flowdown_BTE[[URS]:[URS]]))*(--(E$14=Flowdown_BTE[[Source.Name]:[Source.Name]])),Flowdown_BTE[[SyRS]:[SyRS]],"")))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UTICA-25380</v>
      </c>
      <c r="F91" s="12" t="str" cm="1">
        <f t="array" ref="F91">_xlfn.TEXTJOIN(CHAR(10),TRUE,_xlfn._xlws.SORT(IF((--($B91=Flowdown_BTE[[URS]:[URS]]))*(--(F$14=Flowdown_BTE[[Source.Name]:[Source.Name]])),Flowdown_BTE[[SyRS]:[SyRS]],"")))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UTICA-25381</v>
      </c>
      <c r="G91" s="12" t="str" cm="1">
        <f t="array" ref="G91">_xlfn.TEXTJOIN(CHAR(10),TRUE,_xlfn._xlws.SORT(IF((--($B91=Flowdown_BTE[[URS]:[URS]]))*(--(G$14=Flowdown_BTE[[Source.Name]:[Source.Name]])),Flowdown_BTE[[SyRS]:[SyRS]],"")))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UTICA-24505
UTICA-6861</v>
      </c>
      <c r="H91" s="12" t="str" cm="1">
        <f t="array" ref="H91">_xlfn.TEXTJOIN(CHAR(10),TRUE,_xlfn._xlws.SORT(IF((--($B91=Flowdown_BTE[[URS]:[URS]]))*(--(H$14=Flowdown_BTE[[Source.Name]:[Source.Name]])),Flowdown_BTE[[SyRS]:[SyRS]],"")))</f>
        <v>MASTER-60901
UTICA-8389</v>
      </c>
      <c r="I91" s="12" t="str" cm="1">
        <f t="array" ref="I91">_xlfn.TEXTJOIN(CHAR(10),TRUE,_xlfn._xlws.SORT(IF((--($B91=Flowdown_BTE[[URS]:[URS]]))*(--(I$14=Flowdown_BTE[[Source.Name]:[Source.Name]])),Flowdown_BTE[[SyRS]:[SyRS]],"")))</f>
        <v/>
      </c>
      <c r="J91" s="12" t="str" cm="1">
        <f t="array" ref="J91">_xlfn.TEXTJOIN(CHAR(10),TRUE,_xlfn._xlws.SORT(IF((--($B91=Flowdown_BTE[[URS]:[URS]]))*(--(J$14=Flowdown_BTE[[Source.Name]:[Source.Name]])),Flowdown_BTE[[SyRS]:[SyRS]],"")))</f>
        <v/>
      </c>
      <c r="K91" s="12" t="str" cm="1">
        <f t="array" ref="K91">_xlfn.TEXTJOIN(CHAR(10),TRUE,_xlfn._xlws.SORT(IF((--($B91=Flowdown_BTE[[URS]:[URS]]))*(--(K$14=Flowdown_BTE[[Source.Name]:[Source.Name]])),Flowdown_BTE[[SyRS]:[SyRS]],"")))</f>
        <v>MASTER-60922
MASTER-60923
MASTER-60924</v>
      </c>
      <c r="L91" s="16" t="b" cm="1">
        <f t="array" ref="L91">OR(LEN(C91:K91)&gt;0)</f>
        <v>1</v>
      </c>
    </row>
    <row r="92" spans="2:12" ht="13.5" x14ac:dyDescent="0.2">
      <c r="B92" s="11" t="str">
        <v>MASTER-57684</v>
      </c>
      <c r="C92" s="12" t="str" cm="1">
        <f t="array" ref="C92">_xlfn.TEXTJOIN(CHAR(10),TRUE,_xlfn._xlws.SORT(IF((--($B92=Flowdown_BTE[[URS]:[URS]]))*(--(C$14=Flowdown_BTE[[Source.Name]:[Source.Name]])),Flowdown_BTE[[SyRS]:[SyRS]],"")))</f>
        <v/>
      </c>
      <c r="D92" s="12" t="str" cm="1">
        <f t="array" ref="D92">_xlfn.TEXTJOIN(CHAR(10),TRUE,_xlfn._xlws.SORT(IF((--($B92=Flowdown_BTE[[URS]:[URS]]))*(--(D$14=Flowdown_BTE[[Source.Name]:[Source.Name]])),Flowdown_BTE[[SyRS]:[SyRS]],"")))</f>
        <v/>
      </c>
      <c r="E92" s="12" t="str" cm="1">
        <f t="array" ref="E92">_xlfn.TEXTJOIN(CHAR(10),TRUE,_xlfn._xlws.SORT(IF((--($B92=Flowdown_BTE[[URS]:[URS]]))*(--(E$14=Flowdown_BTE[[Source.Name]:[Source.Name]])),Flowdown_BTE[[SyRS]:[SyRS]],"")))</f>
        <v/>
      </c>
      <c r="F92" s="12" t="str" cm="1">
        <f t="array" ref="F92">_xlfn.TEXTJOIN(CHAR(10),TRUE,_xlfn._xlws.SORT(IF((--($B92=Flowdown_BTE[[URS]:[URS]]))*(--(F$14=Flowdown_BTE[[Source.Name]:[Source.Name]])),Flowdown_BTE[[SyRS]:[SyRS]],"")))</f>
        <v/>
      </c>
      <c r="G92" s="12" t="str" cm="1">
        <f t="array" ref="G92">_xlfn.TEXTJOIN(CHAR(10),TRUE,_xlfn._xlws.SORT(IF((--($B92=Flowdown_BTE[[URS]:[URS]]))*(--(G$14=Flowdown_BTE[[Source.Name]:[Source.Name]])),Flowdown_BTE[[SyRS]:[SyRS]],"")))</f>
        <v/>
      </c>
      <c r="H92" s="12" t="str" cm="1">
        <f t="array" ref="H92">_xlfn.TEXTJOIN(CHAR(10),TRUE,_xlfn._xlws.SORT(IF((--($B92=Flowdown_BTE[[URS]:[URS]]))*(--(H$14=Flowdown_BTE[[Source.Name]:[Source.Name]])),Flowdown_BTE[[SyRS]:[SyRS]],"")))</f>
        <v/>
      </c>
      <c r="I92" s="12" t="str" cm="1">
        <f t="array" ref="I92">_xlfn.TEXTJOIN(CHAR(10),TRUE,_xlfn._xlws.SORT(IF((--($B92=Flowdown_BTE[[URS]:[URS]]))*(--(I$14=Flowdown_BTE[[Source.Name]:[Source.Name]])),Flowdown_BTE[[SyRS]:[SyRS]],"")))</f>
        <v/>
      </c>
      <c r="J92" s="12" t="str" cm="1">
        <f t="array" ref="J92">_xlfn.TEXTJOIN(CHAR(10),TRUE,_xlfn._xlws.SORT(IF((--($B92=Flowdown_BTE[[URS]:[URS]]))*(--(J$14=Flowdown_BTE[[Source.Name]:[Source.Name]])),Flowdown_BTE[[SyRS]:[SyRS]],"")))</f>
        <v/>
      </c>
      <c r="K92" s="12" t="str" cm="1">
        <f t="array" ref="K92">_xlfn.TEXTJOIN(CHAR(10),TRUE,_xlfn._xlws.SORT(IF((--($B92=Flowdown_BTE[[URS]:[URS]]))*(--(K$14=Flowdown_BTE[[Source.Name]:[Source.Name]])),Flowdown_BTE[[SyRS]:[SyRS]],"")))</f>
        <v>MASTER-57693</v>
      </c>
      <c r="L92" s="16" t="b" cm="1">
        <f t="array" ref="L92">OR(LEN(C92:K92)&gt;0)</f>
        <v>1</v>
      </c>
    </row>
    <row r="93" spans="2:12" ht="40.5" x14ac:dyDescent="0.2">
      <c r="B93" s="11" t="str">
        <v>MASTER-57685</v>
      </c>
      <c r="C93" s="12" t="str" cm="1">
        <f t="array" ref="C93">_xlfn.TEXTJOIN(CHAR(10),TRUE,_xlfn._xlws.SORT(IF((--($B93=Flowdown_BTE[[URS]:[URS]]))*(--(C$14=Flowdown_BTE[[Source.Name]:[Source.Name]])),Flowdown_BTE[[SyRS]:[SyRS]],"")))</f>
        <v>MASTER-57695
MASTER-57696
MASTER-57698</v>
      </c>
      <c r="D93" s="12" t="str" cm="1">
        <f t="array" ref="D93">_xlfn.TEXTJOIN(CHAR(10),TRUE,_xlfn._xlws.SORT(IF((--($B93=Flowdown_BTE[[URS]:[URS]]))*(--(D$14=Flowdown_BTE[[Source.Name]:[Source.Name]])),Flowdown_BTE[[SyRS]:[SyRS]],"")))</f>
        <v>MASTER-57695
MASTER-57696
MASTER-57698</v>
      </c>
      <c r="E93" s="12" t="str" cm="1">
        <f t="array" ref="E93">_xlfn.TEXTJOIN(CHAR(10),TRUE,_xlfn._xlws.SORT(IF((--($B93=Flowdown_BTE[[URS]:[URS]]))*(--(E$14=Flowdown_BTE[[Source.Name]:[Source.Name]])),Flowdown_BTE[[SyRS]:[SyRS]],"")))</f>
        <v>MASTER-57695
MASTER-57696
MASTER-57698</v>
      </c>
      <c r="F93" s="12" t="str" cm="1">
        <f t="array" ref="F93">_xlfn.TEXTJOIN(CHAR(10),TRUE,_xlfn._xlws.SORT(IF((--($B93=Flowdown_BTE[[URS]:[URS]]))*(--(F$14=Flowdown_BTE[[Source.Name]:[Source.Name]])),Flowdown_BTE[[SyRS]:[SyRS]],"")))</f>
        <v>MASTER-57695
MASTER-57696
MASTER-57698</v>
      </c>
      <c r="G93" s="12" t="str" cm="1">
        <f t="array" ref="G93">_xlfn.TEXTJOIN(CHAR(10),TRUE,_xlfn._xlws.SORT(IF((--($B93=Flowdown_BTE[[URS]:[URS]]))*(--(G$14=Flowdown_BTE[[Source.Name]:[Source.Name]])),Flowdown_BTE[[SyRS]:[SyRS]],"")))</f>
        <v>MASTER-57695
MASTER-57696
MASTER-57698</v>
      </c>
      <c r="H93" s="12" t="str" cm="1">
        <f t="array" ref="H93">_xlfn.TEXTJOIN(CHAR(10),TRUE,_xlfn._xlws.SORT(IF((--($B93=Flowdown_BTE[[URS]:[URS]]))*(--(H$14=Flowdown_BTE[[Source.Name]:[Source.Name]])),Flowdown_BTE[[SyRS]:[SyRS]],"")))</f>
        <v/>
      </c>
      <c r="I93" s="12" t="str" cm="1">
        <f t="array" ref="I93">_xlfn.TEXTJOIN(CHAR(10),TRUE,_xlfn._xlws.SORT(IF((--($B93=Flowdown_BTE[[URS]:[URS]]))*(--(I$14=Flowdown_BTE[[Source.Name]:[Source.Name]])),Flowdown_BTE[[SyRS]:[SyRS]],"")))</f>
        <v/>
      </c>
      <c r="J93" s="12" t="str" cm="1">
        <f t="array" ref="J93">_xlfn.TEXTJOIN(CHAR(10),TRUE,_xlfn._xlws.SORT(IF((--($B93=Flowdown_BTE[[URS]:[URS]]))*(--(J$14=Flowdown_BTE[[Source.Name]:[Source.Name]])),Flowdown_BTE[[SyRS]:[SyRS]],"")))</f>
        <v/>
      </c>
      <c r="K93" s="12" t="str" cm="1">
        <f t="array" ref="K93">_xlfn.TEXTJOIN(CHAR(10),TRUE,_xlfn._xlws.SORT(IF((--($B93=Flowdown_BTE[[URS]:[URS]]))*(--(K$14=Flowdown_BTE[[Source.Name]:[Source.Name]])),Flowdown_BTE[[SyRS]:[SyRS]],"")))</f>
        <v/>
      </c>
      <c r="L93" s="16" t="b" cm="1">
        <f t="array" ref="L93">OR(LEN(C93:K93)&gt;0)</f>
        <v>1</v>
      </c>
    </row>
    <row r="94" spans="2:12" ht="13.5" x14ac:dyDescent="0.2">
      <c r="B94" s="11" t="str">
        <v>MASTER-57686</v>
      </c>
      <c r="C94" s="12" t="str" cm="1">
        <f t="array" ref="C94">_xlfn.TEXTJOIN(CHAR(10),TRUE,_xlfn._xlws.SORT(IF((--($B94=Flowdown_BTE[[URS]:[URS]]))*(--(C$14=Flowdown_BTE[[Source.Name]:[Source.Name]])),Flowdown_BTE[[SyRS]:[SyRS]],"")))</f>
        <v>MASTER-57698</v>
      </c>
      <c r="D94" s="12" t="str" cm="1">
        <f t="array" ref="D94">_xlfn.TEXTJOIN(CHAR(10),TRUE,_xlfn._xlws.SORT(IF((--($B94=Flowdown_BTE[[URS]:[URS]]))*(--(D$14=Flowdown_BTE[[Source.Name]:[Source.Name]])),Flowdown_BTE[[SyRS]:[SyRS]],"")))</f>
        <v>MASTER-57698</v>
      </c>
      <c r="E94" s="12" t="str" cm="1">
        <f t="array" ref="E94">_xlfn.TEXTJOIN(CHAR(10),TRUE,_xlfn._xlws.SORT(IF((--($B94=Flowdown_BTE[[URS]:[URS]]))*(--(E$14=Flowdown_BTE[[Source.Name]:[Source.Name]])),Flowdown_BTE[[SyRS]:[SyRS]],"")))</f>
        <v>MASTER-57698</v>
      </c>
      <c r="F94" s="12" t="str" cm="1">
        <f t="array" ref="F94">_xlfn.TEXTJOIN(CHAR(10),TRUE,_xlfn._xlws.SORT(IF((--($B94=Flowdown_BTE[[URS]:[URS]]))*(--(F$14=Flowdown_BTE[[Source.Name]:[Source.Name]])),Flowdown_BTE[[SyRS]:[SyRS]],"")))</f>
        <v>MASTER-57698</v>
      </c>
      <c r="G94" s="12" t="str" cm="1">
        <f t="array" ref="G94">_xlfn.TEXTJOIN(CHAR(10),TRUE,_xlfn._xlws.SORT(IF((--($B94=Flowdown_BTE[[URS]:[URS]]))*(--(G$14=Flowdown_BTE[[Source.Name]:[Source.Name]])),Flowdown_BTE[[SyRS]:[SyRS]],"")))</f>
        <v>MASTER-57698</v>
      </c>
      <c r="H94" s="12" t="str" cm="1">
        <f t="array" ref="H94">_xlfn.TEXTJOIN(CHAR(10),TRUE,_xlfn._xlws.SORT(IF((--($B94=Flowdown_BTE[[URS]:[URS]]))*(--(H$14=Flowdown_BTE[[Source.Name]:[Source.Name]])),Flowdown_BTE[[SyRS]:[SyRS]],"")))</f>
        <v/>
      </c>
      <c r="I94" s="12" t="str" cm="1">
        <f t="array" ref="I94">_xlfn.TEXTJOIN(CHAR(10),TRUE,_xlfn._xlws.SORT(IF((--($B94=Flowdown_BTE[[URS]:[URS]]))*(--(I$14=Flowdown_BTE[[Source.Name]:[Source.Name]])),Flowdown_BTE[[SyRS]:[SyRS]],"")))</f>
        <v/>
      </c>
      <c r="J94" s="12" t="str" cm="1">
        <f t="array" ref="J94">_xlfn.TEXTJOIN(CHAR(10),TRUE,_xlfn._xlws.SORT(IF((--($B94=Flowdown_BTE[[URS]:[URS]]))*(--(J$14=Flowdown_BTE[[Source.Name]:[Source.Name]])),Flowdown_BTE[[SyRS]:[SyRS]],"")))</f>
        <v/>
      </c>
      <c r="K94" s="12" t="str" cm="1">
        <f t="array" ref="K94">_xlfn.TEXTJOIN(CHAR(10),TRUE,_xlfn._xlws.SORT(IF((--($B94=Flowdown_BTE[[URS]:[URS]]))*(--(K$14=Flowdown_BTE[[Source.Name]:[Source.Name]])),Flowdown_BTE[[SyRS]:[SyRS]],"")))</f>
        <v/>
      </c>
      <c r="L94" s="16" t="b" cm="1">
        <f t="array" ref="L94">OR(LEN(C94:K94)&gt;0)</f>
        <v>1</v>
      </c>
    </row>
    <row r="95" spans="2:12" ht="13.5" x14ac:dyDescent="0.2">
      <c r="B95" s="11" t="str">
        <v>MASTER-58654</v>
      </c>
      <c r="C95" s="12" t="str" cm="1">
        <f t="array" ref="C95">_xlfn.TEXTJOIN(CHAR(10),TRUE,_xlfn._xlws.SORT(IF((--($B95=Flowdown_BTE[[URS]:[URS]]))*(--(C$14=Flowdown_BTE[[Source.Name]:[Source.Name]])),Flowdown_BTE[[SyRS]:[SyRS]],"")))</f>
        <v>MASTER-51530</v>
      </c>
      <c r="D95" s="12" t="str" cm="1">
        <f t="array" ref="D95">_xlfn.TEXTJOIN(CHAR(10),TRUE,_xlfn._xlws.SORT(IF((--($B95=Flowdown_BTE[[URS]:[URS]]))*(--(D$14=Flowdown_BTE[[Source.Name]:[Source.Name]])),Flowdown_BTE[[SyRS]:[SyRS]],"")))</f>
        <v>MASTER-51530</v>
      </c>
      <c r="E95" s="12" t="str" cm="1">
        <f t="array" ref="E95">_xlfn.TEXTJOIN(CHAR(10),TRUE,_xlfn._xlws.SORT(IF((--($B95=Flowdown_BTE[[URS]:[URS]]))*(--(E$14=Flowdown_BTE[[Source.Name]:[Source.Name]])),Flowdown_BTE[[SyRS]:[SyRS]],"")))</f>
        <v>MASTER-51530</v>
      </c>
      <c r="F95" s="12" t="str" cm="1">
        <f t="array" ref="F95">_xlfn.TEXTJOIN(CHAR(10),TRUE,_xlfn._xlws.SORT(IF((--($B95=Flowdown_BTE[[URS]:[URS]]))*(--(F$14=Flowdown_BTE[[Source.Name]:[Source.Name]])),Flowdown_BTE[[SyRS]:[SyRS]],"")))</f>
        <v>MASTER-51530</v>
      </c>
      <c r="G95" s="12" t="str" cm="1">
        <f t="array" ref="G95">_xlfn.TEXTJOIN(CHAR(10),TRUE,_xlfn._xlws.SORT(IF((--($B95=Flowdown_BTE[[URS]:[URS]]))*(--(G$14=Flowdown_BTE[[Source.Name]:[Source.Name]])),Flowdown_BTE[[SyRS]:[SyRS]],"")))</f>
        <v>MASTER-51530</v>
      </c>
      <c r="H95" s="12" t="str" cm="1">
        <f t="array" ref="H95">_xlfn.TEXTJOIN(CHAR(10),TRUE,_xlfn._xlws.SORT(IF((--($B95=Flowdown_BTE[[URS]:[URS]]))*(--(H$14=Flowdown_BTE[[Source.Name]:[Source.Name]])),Flowdown_BTE[[SyRS]:[SyRS]],"")))</f>
        <v/>
      </c>
      <c r="I95" s="12" t="str" cm="1">
        <f t="array" ref="I95">_xlfn.TEXTJOIN(CHAR(10),TRUE,_xlfn._xlws.SORT(IF((--($B95=Flowdown_BTE[[URS]:[URS]]))*(--(I$14=Flowdown_BTE[[Source.Name]:[Source.Name]])),Flowdown_BTE[[SyRS]:[SyRS]],"")))</f>
        <v/>
      </c>
      <c r="J95" s="12" t="str" cm="1">
        <f t="array" ref="J95">_xlfn.TEXTJOIN(CHAR(10),TRUE,_xlfn._xlws.SORT(IF((--($B95=Flowdown_BTE[[URS]:[URS]]))*(--(J$14=Flowdown_BTE[[Source.Name]:[Source.Name]])),Flowdown_BTE[[SyRS]:[SyRS]],"")))</f>
        <v/>
      </c>
      <c r="K95" s="12" t="str" cm="1">
        <f t="array" ref="K95">_xlfn.TEXTJOIN(CHAR(10),TRUE,_xlfn._xlws.SORT(IF((--($B95=Flowdown_BTE[[URS]:[URS]]))*(--(K$14=Flowdown_BTE[[Source.Name]:[Source.Name]])),Flowdown_BTE[[SyRS]:[SyRS]],"")))</f>
        <v/>
      </c>
      <c r="L95" s="16" t="b" cm="1">
        <f t="array" ref="L95">OR(LEN(C95:K95)&gt;0)</f>
        <v>1</v>
      </c>
    </row>
    <row r="96" spans="2:12" ht="13.5" x14ac:dyDescent="0.2">
      <c r="B96" s="11" t="str">
        <v>MASTER-58655</v>
      </c>
      <c r="C96" s="12" t="str" cm="1">
        <f t="array" ref="C96">_xlfn.TEXTJOIN(CHAR(10),TRUE,_xlfn._xlws.SORT(IF((--($B96=Flowdown_BTE[[URS]:[URS]]))*(--(C$14=Flowdown_BTE[[Source.Name]:[Source.Name]])),Flowdown_BTE[[SyRS]:[SyRS]],"")))</f>
        <v>MASTER-51530</v>
      </c>
      <c r="D96" s="12" t="str" cm="1">
        <f t="array" ref="D96">_xlfn.TEXTJOIN(CHAR(10),TRUE,_xlfn._xlws.SORT(IF((--($B96=Flowdown_BTE[[URS]:[URS]]))*(--(D$14=Flowdown_BTE[[Source.Name]:[Source.Name]])),Flowdown_BTE[[SyRS]:[SyRS]],"")))</f>
        <v>MASTER-51530</v>
      </c>
      <c r="E96" s="12" t="str" cm="1">
        <f t="array" ref="E96">_xlfn.TEXTJOIN(CHAR(10),TRUE,_xlfn._xlws.SORT(IF((--($B96=Flowdown_BTE[[URS]:[URS]]))*(--(E$14=Flowdown_BTE[[Source.Name]:[Source.Name]])),Flowdown_BTE[[SyRS]:[SyRS]],"")))</f>
        <v>MASTER-51530</v>
      </c>
      <c r="F96" s="12" t="str" cm="1">
        <f t="array" ref="F96">_xlfn.TEXTJOIN(CHAR(10),TRUE,_xlfn._xlws.SORT(IF((--($B96=Flowdown_BTE[[URS]:[URS]]))*(--(F$14=Flowdown_BTE[[Source.Name]:[Source.Name]])),Flowdown_BTE[[SyRS]:[SyRS]],"")))</f>
        <v>MASTER-51530</v>
      </c>
      <c r="G96" s="12" t="str" cm="1">
        <f t="array" ref="G96">_xlfn.TEXTJOIN(CHAR(10),TRUE,_xlfn._xlws.SORT(IF((--($B96=Flowdown_BTE[[URS]:[URS]]))*(--(G$14=Flowdown_BTE[[Source.Name]:[Source.Name]])),Flowdown_BTE[[SyRS]:[SyRS]],"")))</f>
        <v>MASTER-51530</v>
      </c>
      <c r="H96" s="12" t="str" cm="1">
        <f t="array" ref="H96">_xlfn.TEXTJOIN(CHAR(10),TRUE,_xlfn._xlws.SORT(IF((--($B96=Flowdown_BTE[[URS]:[URS]]))*(--(H$14=Flowdown_BTE[[Source.Name]:[Source.Name]])),Flowdown_BTE[[SyRS]:[SyRS]],"")))</f>
        <v/>
      </c>
      <c r="I96" s="12" t="str" cm="1">
        <f t="array" ref="I96">_xlfn.TEXTJOIN(CHAR(10),TRUE,_xlfn._xlws.SORT(IF((--($B96=Flowdown_BTE[[URS]:[URS]]))*(--(I$14=Flowdown_BTE[[Source.Name]:[Source.Name]])),Flowdown_BTE[[SyRS]:[SyRS]],"")))</f>
        <v/>
      </c>
      <c r="J96" s="12" t="str" cm="1">
        <f t="array" ref="J96">_xlfn.TEXTJOIN(CHAR(10),TRUE,_xlfn._xlws.SORT(IF((--($B96=Flowdown_BTE[[URS]:[URS]]))*(--(J$14=Flowdown_BTE[[Source.Name]:[Source.Name]])),Flowdown_BTE[[SyRS]:[SyRS]],"")))</f>
        <v/>
      </c>
      <c r="K96" s="12" t="str" cm="1">
        <f t="array" ref="K96">_xlfn.TEXTJOIN(CHAR(10),TRUE,_xlfn._xlws.SORT(IF((--($B96=Flowdown_BTE[[URS]:[URS]]))*(--(K$14=Flowdown_BTE[[Source.Name]:[Source.Name]])),Flowdown_BTE[[SyRS]:[SyRS]],"")))</f>
        <v/>
      </c>
      <c r="L96" s="16" t="b" cm="1">
        <f t="array" ref="L96">OR(LEN(C96:K96)&gt;0)</f>
        <v>1</v>
      </c>
    </row>
    <row r="97" spans="2:12" ht="13.5" x14ac:dyDescent="0.2">
      <c r="B97" s="11" t="str">
        <v>MASTER-58656</v>
      </c>
      <c r="C97" s="12" t="str" cm="1">
        <f t="array" ref="C97">_xlfn.TEXTJOIN(CHAR(10),TRUE,_xlfn._xlws.SORT(IF((--($B97=Flowdown_BTE[[URS]:[URS]]))*(--(C$14=Flowdown_BTE[[Source.Name]:[Source.Name]])),Flowdown_BTE[[SyRS]:[SyRS]],"")))</f>
        <v>MASTER-51530</v>
      </c>
      <c r="D97" s="12" t="str" cm="1">
        <f t="array" ref="D97">_xlfn.TEXTJOIN(CHAR(10),TRUE,_xlfn._xlws.SORT(IF((--($B97=Flowdown_BTE[[URS]:[URS]]))*(--(D$14=Flowdown_BTE[[Source.Name]:[Source.Name]])),Flowdown_BTE[[SyRS]:[SyRS]],"")))</f>
        <v>MASTER-51530</v>
      </c>
      <c r="E97" s="12" t="str" cm="1">
        <f t="array" ref="E97">_xlfn.TEXTJOIN(CHAR(10),TRUE,_xlfn._xlws.SORT(IF((--($B97=Flowdown_BTE[[URS]:[URS]]))*(--(E$14=Flowdown_BTE[[Source.Name]:[Source.Name]])),Flowdown_BTE[[SyRS]:[SyRS]],"")))</f>
        <v>MASTER-51530</v>
      </c>
      <c r="F97" s="12" t="str" cm="1">
        <f t="array" ref="F97">_xlfn.TEXTJOIN(CHAR(10),TRUE,_xlfn._xlws.SORT(IF((--($B97=Flowdown_BTE[[URS]:[URS]]))*(--(F$14=Flowdown_BTE[[Source.Name]:[Source.Name]])),Flowdown_BTE[[SyRS]:[SyRS]],"")))</f>
        <v>MASTER-51530</v>
      </c>
      <c r="G97" s="12" t="str" cm="1">
        <f t="array" ref="G97">_xlfn.TEXTJOIN(CHAR(10),TRUE,_xlfn._xlws.SORT(IF((--($B97=Flowdown_BTE[[URS]:[URS]]))*(--(G$14=Flowdown_BTE[[Source.Name]:[Source.Name]])),Flowdown_BTE[[SyRS]:[SyRS]],"")))</f>
        <v>MASTER-51530</v>
      </c>
      <c r="H97" s="12" t="str" cm="1">
        <f t="array" ref="H97">_xlfn.TEXTJOIN(CHAR(10),TRUE,_xlfn._xlws.SORT(IF((--($B97=Flowdown_BTE[[URS]:[URS]]))*(--(H$14=Flowdown_BTE[[Source.Name]:[Source.Name]])),Flowdown_BTE[[SyRS]:[SyRS]],"")))</f>
        <v/>
      </c>
      <c r="I97" s="12" t="str" cm="1">
        <f t="array" ref="I97">_xlfn.TEXTJOIN(CHAR(10),TRUE,_xlfn._xlws.SORT(IF((--($B97=Flowdown_BTE[[URS]:[URS]]))*(--(I$14=Flowdown_BTE[[Source.Name]:[Source.Name]])),Flowdown_BTE[[SyRS]:[SyRS]],"")))</f>
        <v/>
      </c>
      <c r="J97" s="12" t="str" cm="1">
        <f t="array" ref="J97">_xlfn.TEXTJOIN(CHAR(10),TRUE,_xlfn._xlws.SORT(IF((--($B97=Flowdown_BTE[[URS]:[URS]]))*(--(J$14=Flowdown_BTE[[Source.Name]:[Source.Name]])),Flowdown_BTE[[SyRS]:[SyRS]],"")))</f>
        <v/>
      </c>
      <c r="K97" s="12" t="str" cm="1">
        <f t="array" ref="K97">_xlfn.TEXTJOIN(CHAR(10),TRUE,_xlfn._xlws.SORT(IF((--($B97=Flowdown_BTE[[URS]:[URS]]))*(--(K$14=Flowdown_BTE[[Source.Name]:[Source.Name]])),Flowdown_BTE[[SyRS]:[SyRS]],"")))</f>
        <v/>
      </c>
      <c r="L97" s="16" t="b" cm="1">
        <f t="array" ref="L97">OR(LEN(C97:K97)&gt;0)</f>
        <v>1</v>
      </c>
    </row>
    <row r="98" spans="2:12" ht="94.5" x14ac:dyDescent="0.2">
      <c r="B98" s="11" t="str">
        <v>MASTER-58657</v>
      </c>
      <c r="C98" s="12" t="str" cm="1">
        <f t="array" ref="C98">_xlfn.TEXTJOIN(CHAR(10),TRUE,_xlfn._xlws.SORT(IF((--($B98=Flowdown_BTE[[URS]:[URS]]))*(--(C$14=Flowdown_BTE[[Source.Name]:[Source.Name]])),Flowdown_BTE[[SyRS]:[SyRS]],"")))</f>
        <v>MASTER-51530
MASTER-62843
MASTER-62844
MASTER-62845
MASTER-62846
MASTER-62847
MASTER-62848</v>
      </c>
      <c r="D98" s="12" t="str" cm="1">
        <f t="array" ref="D98">_xlfn.TEXTJOIN(CHAR(10),TRUE,_xlfn._xlws.SORT(IF((--($B98=Flowdown_BTE[[URS]:[URS]]))*(--(D$14=Flowdown_BTE[[Source.Name]:[Source.Name]])),Flowdown_BTE[[SyRS]:[SyRS]],"")))</f>
        <v>MASTER-51530
MASTER-62843
MASTER-62844
MASTER-62845
MASTER-62846
MASTER-62847
MASTER-62848</v>
      </c>
      <c r="E98" s="12" t="str" cm="1">
        <f t="array" ref="E98">_xlfn.TEXTJOIN(CHAR(10),TRUE,_xlfn._xlws.SORT(IF((--($B98=Flowdown_BTE[[URS]:[URS]]))*(--(E$14=Flowdown_BTE[[Source.Name]:[Source.Name]])),Flowdown_BTE[[SyRS]:[SyRS]],"")))</f>
        <v>MASTER-51530
MASTER-62843
MASTER-62844
MASTER-62845
MASTER-62846
MASTER-62847
MASTER-62848</v>
      </c>
      <c r="F98" s="12" t="str" cm="1">
        <f t="array" ref="F98">_xlfn.TEXTJOIN(CHAR(10),TRUE,_xlfn._xlws.SORT(IF((--($B98=Flowdown_BTE[[URS]:[URS]]))*(--(F$14=Flowdown_BTE[[Source.Name]:[Source.Name]])),Flowdown_BTE[[SyRS]:[SyRS]],"")))</f>
        <v>MASTER-51530
MASTER-62843
MASTER-62844
MASTER-62845
MASTER-62846
MASTER-62847
MASTER-62848</v>
      </c>
      <c r="G98" s="12" t="str" cm="1">
        <f t="array" ref="G98">_xlfn.TEXTJOIN(CHAR(10),TRUE,_xlfn._xlws.SORT(IF((--($B98=Flowdown_BTE[[URS]:[URS]]))*(--(G$14=Flowdown_BTE[[Source.Name]:[Source.Name]])),Flowdown_BTE[[SyRS]:[SyRS]],"")))</f>
        <v>MASTER-51530
MASTER-62843
MASTER-62844
MASTER-62845
MASTER-62846
MASTER-62847
MASTER-62848</v>
      </c>
      <c r="H98" s="12" t="str" cm="1">
        <f t="array" ref="H98">_xlfn.TEXTJOIN(CHAR(10),TRUE,_xlfn._xlws.SORT(IF((--($B98=Flowdown_BTE[[URS]:[URS]]))*(--(H$14=Flowdown_BTE[[Source.Name]:[Source.Name]])),Flowdown_BTE[[SyRS]:[SyRS]],"")))</f>
        <v/>
      </c>
      <c r="I98" s="12" t="str" cm="1">
        <f t="array" ref="I98">_xlfn.TEXTJOIN(CHAR(10),TRUE,_xlfn._xlws.SORT(IF((--($B98=Flowdown_BTE[[URS]:[URS]]))*(--(I$14=Flowdown_BTE[[Source.Name]:[Source.Name]])),Flowdown_BTE[[SyRS]:[SyRS]],"")))</f>
        <v/>
      </c>
      <c r="J98" s="12" t="str" cm="1">
        <f t="array" ref="J98">_xlfn.TEXTJOIN(CHAR(10),TRUE,_xlfn._xlws.SORT(IF((--($B98=Flowdown_BTE[[URS]:[URS]]))*(--(J$14=Flowdown_BTE[[Source.Name]:[Source.Name]])),Flowdown_BTE[[SyRS]:[SyRS]],"")))</f>
        <v/>
      </c>
      <c r="K98" s="12" t="str" cm="1">
        <f t="array" ref="K98">_xlfn.TEXTJOIN(CHAR(10),TRUE,_xlfn._xlws.SORT(IF((--($B98=Flowdown_BTE[[URS]:[URS]]))*(--(K$14=Flowdown_BTE[[Source.Name]:[Source.Name]])),Flowdown_BTE[[SyRS]:[SyRS]],"")))</f>
        <v/>
      </c>
      <c r="L98" s="16" t="b" cm="1">
        <f t="array" ref="L98">OR(LEN(C98:K98)&gt;0)</f>
        <v>1</v>
      </c>
    </row>
    <row r="99" spans="2:12" ht="229.5" x14ac:dyDescent="0.2">
      <c r="B99" s="11" t="str">
        <v>MASTER-59117</v>
      </c>
      <c r="C99" s="12" t="str" cm="1">
        <f t="array" ref="C99">_xlfn.TEXTJOIN(CHAR(10),TRUE,_xlfn._xlws.SORT(IF((--($B99=Flowdown_BTE[[URS]:[URS]]))*(--(C$14=Flowdown_BTE[[Source.Name]:[Source.Name]])),Flowdown_BTE[[SyRS]:[SyRS]],"")))</f>
        <v/>
      </c>
      <c r="D99" s="12" t="str" cm="1">
        <f t="array" ref="D99">_xlfn.TEXTJOIN(CHAR(10),TRUE,_xlfn._xlws.SORT(IF((--($B99=Flowdown_BTE[[URS]:[URS]]))*(--(D$14=Flowdown_BTE[[Source.Name]:[Source.Name]])),Flowdown_BTE[[SyRS]:[SyRS]],"")))</f>
        <v/>
      </c>
      <c r="E99" s="12" t="str" cm="1">
        <f t="array" ref="E99">_xlfn.TEXTJOIN(CHAR(10),TRUE,_xlfn._xlws.SORT(IF((--($B99=Flowdown_BTE[[URS]:[URS]]))*(--(E$14=Flowdown_BTE[[Source.Name]:[Source.Name]])),Flowdown_BTE[[SyRS]:[SyRS]],"")))</f>
        <v/>
      </c>
      <c r="F99" s="12" t="str" cm="1">
        <f t="array" ref="F99">_xlfn.TEXTJOIN(CHAR(10),TRUE,_xlfn._xlws.SORT(IF((--($B99=Flowdown_BTE[[URS]:[URS]]))*(--(F$14=Flowdown_BTE[[Source.Name]:[Source.Name]])),Flowdown_BTE[[SyRS]:[SyRS]],"")))</f>
        <v/>
      </c>
      <c r="G99" s="12" t="str" cm="1">
        <f t="array" ref="G99">_xlfn.TEXTJOIN(CHAR(10),TRUE,_xlfn._xlws.SORT(IF((--($B99=Flowdown_BTE[[URS]:[URS]]))*(--(G$14=Flowdown_BTE[[Source.Name]:[Source.Name]])),Flowdown_BTE[[SyRS]:[SyRS]],"")))</f>
        <v/>
      </c>
      <c r="H99" s="12" t="str" cm="1">
        <f t="array" ref="H99">_xlfn.TEXTJOIN(CHAR(10),TRUE,_xlfn._xlws.SORT(IF((--($B99=Flowdown_BTE[[URS]:[URS]]))*(--(H$14=Flowdown_BTE[[Source.Name]:[Source.Name]])),Flowdown_BTE[[SyRS]:[SyRS]],"")))</f>
        <v/>
      </c>
      <c r="I99" s="12" t="str" cm="1">
        <f t="array" ref="I99">_xlfn.TEXTJOIN(CHAR(10),TRUE,_xlfn._xlws.SORT(IF((--($B99=Flowdown_BTE[[URS]:[URS]]))*(--(I$14=Flowdown_BTE[[Source.Name]:[Source.Name]])),Flowdown_BTE[[SyRS]:[SyRS]],"")))</f>
        <v/>
      </c>
      <c r="J99" s="12" t="str" cm="1">
        <f t="array" ref="J99">_xlfn.TEXTJOIN(CHAR(10),TRUE,_xlfn._xlws.SORT(IF((--($B99=Flowdown_BTE[[URS]:[URS]]))*(--(J$14=Flowdown_BTE[[Source.Name]:[Source.Name]])),Flowdown_BTE[[SyRS]:[SyRS]],"")))</f>
        <v/>
      </c>
      <c r="K99" s="12" t="str" cm="1">
        <f t="array" ref="K99">_xlfn.TEXTJOIN(CHAR(10),TRUE,_xlfn._xlws.SORT(IF((--($B99=Flowdown_BTE[[URS]:[URS]]))*(--(K$14=Flowdown_BTE[[Source.Name]:[Source.Name]])),Flowdown_BTE[[SyRS]:[SyRS]],"")))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99" s="16" t="b" cm="1">
        <f t="array" ref="L99">OR(LEN(C99:K99)&gt;0)</f>
        <v>1</v>
      </c>
    </row>
    <row r="100" spans="2:12" ht="162" x14ac:dyDescent="0.2">
      <c r="B100" s="11" t="str">
        <v>MASTER-59960</v>
      </c>
      <c r="C100" s="12" t="str" cm="1">
        <f t="array" ref="C100">_xlfn.TEXTJOIN(CHAR(10),TRUE,_xlfn._xlws.SORT(IF((--($B100=Flowdown_BTE[[URS]:[URS]]))*(--(C$14=Flowdown_BTE[[Source.Name]:[Source.Name]])),Flowdown_BTE[[SyRS]:[SyRS]],"")))</f>
        <v/>
      </c>
      <c r="D100" s="12" t="str" cm="1">
        <f t="array" ref="D100">_xlfn.TEXTJOIN(CHAR(10),TRUE,_xlfn._xlws.SORT(IF((--($B100=Flowdown_BTE[[URS]:[URS]]))*(--(D$14=Flowdown_BTE[[Source.Name]:[Source.Name]])),Flowdown_BTE[[SyRS]:[SyRS]],"")))</f>
        <v/>
      </c>
      <c r="E100" s="12" t="str" cm="1">
        <f t="array" ref="E100">_xlfn.TEXTJOIN(CHAR(10),TRUE,_xlfn._xlws.SORT(IF((--($B100=Flowdown_BTE[[URS]:[URS]]))*(--(E$14=Flowdown_BTE[[Source.Name]:[Source.Name]])),Flowdown_BTE[[SyRS]:[SyRS]],"")))</f>
        <v/>
      </c>
      <c r="F100" s="12" t="str" cm="1">
        <f t="array" ref="F100">_xlfn.TEXTJOIN(CHAR(10),TRUE,_xlfn._xlws.SORT(IF((--($B100=Flowdown_BTE[[URS]:[URS]]))*(--(F$14=Flowdown_BTE[[Source.Name]:[Source.Name]])),Flowdown_BTE[[SyRS]:[SyRS]],"")))</f>
        <v/>
      </c>
      <c r="G100" s="12" t="str" cm="1">
        <f t="array" ref="G100">_xlfn.TEXTJOIN(CHAR(10),TRUE,_xlfn._xlws.SORT(IF((--($B100=Flowdown_BTE[[URS]:[URS]]))*(--(G$14=Flowdown_BTE[[Source.Name]:[Source.Name]])),Flowdown_BTE[[SyRS]:[SyRS]],"")))</f>
        <v/>
      </c>
      <c r="H100" s="12" t="str" cm="1">
        <f t="array" ref="H100">_xlfn.TEXTJOIN(CHAR(10),TRUE,_xlfn._xlws.SORT(IF((--($B100=Flowdown_BTE[[URS]:[URS]]))*(--(H$14=Flowdown_BTE[[Source.Name]:[Source.Name]])),Flowdown_BTE[[SyRS]:[SyRS]],"")))</f>
        <v/>
      </c>
      <c r="I100" s="12" t="str" cm="1">
        <f t="array" ref="I100">_xlfn.TEXTJOIN(CHAR(10),TRUE,_xlfn._xlws.SORT(IF((--($B100=Flowdown_BTE[[URS]:[URS]]))*(--(I$14=Flowdown_BTE[[Source.Name]:[Source.Name]])),Flowdown_BTE[[SyRS]:[SyRS]],"")))</f>
        <v/>
      </c>
      <c r="J100" s="12" t="str" cm="1">
        <f t="array" ref="J100">_xlfn.TEXTJOIN(CHAR(10),TRUE,_xlfn._xlws.SORT(IF((--($B100=Flowdown_BTE[[URS]:[URS]]))*(--(J$14=Flowdown_BTE[[Source.Name]:[Source.Name]])),Flowdown_BTE[[SyRS]:[SyRS]],"")))</f>
        <v/>
      </c>
      <c r="K100" s="12" t="str" cm="1">
        <f t="array" ref="K100">_xlfn.TEXTJOIN(CHAR(10),TRUE,_xlfn._xlws.SORT(IF((--($B100=Flowdown_BTE[[URS]:[URS]]))*(--(K$14=Flowdown_BTE[[Source.Name]:[Source.Name]])),Flowdown_BTE[[SyRS]:[SyRS]],"")))</f>
        <v>MASTER-61698
MASTER-61699
MASTER-61700
MASTER-61701
MASTER-61702
MASTER-61703
MASTER-61704
MASTER-61705
MASTER-61707
MASTER-61708
MASTER-61709
MASTER-61710</v>
      </c>
      <c r="L100" s="16" t="b" cm="1">
        <f t="array" ref="L100">OR(LEN(C100:K100)&gt;0)</f>
        <v>1</v>
      </c>
    </row>
    <row r="101" spans="2:12" ht="94.5" x14ac:dyDescent="0.2">
      <c r="B101" s="11" t="str">
        <v>MASTER-59964</v>
      </c>
      <c r="C101" s="12" t="str" cm="1">
        <f t="array" ref="C101">_xlfn.TEXTJOIN(CHAR(10),TRUE,_xlfn._xlws.SORT(IF((--($B101=Flowdown_BTE[[URS]:[URS]]))*(--(C$14=Flowdown_BTE[[Source.Name]:[Source.Name]])),Flowdown_BTE[[SyRS]:[SyRS]],"")))</f>
        <v>MASTER-50870
MASTER-50871
MASTER-51028
MASTER-51032
MASTER-51147
MASTER-51530
MASTER-60918</v>
      </c>
      <c r="D101" s="12" t="str" cm="1">
        <f t="array" ref="D101">_xlfn.TEXTJOIN(CHAR(10),TRUE,_xlfn._xlws.SORT(IF((--($B101=Flowdown_BTE[[URS]:[URS]]))*(--(D$14=Flowdown_BTE[[Source.Name]:[Source.Name]])),Flowdown_BTE[[SyRS]:[SyRS]],"")))</f>
        <v>MASTER-50870
MASTER-50871
MASTER-51028
MASTER-51032
MASTER-51147
MASTER-51530
MASTER-60918</v>
      </c>
      <c r="E101" s="12" t="str" cm="1">
        <f t="array" ref="E101">_xlfn.TEXTJOIN(CHAR(10),TRUE,_xlfn._xlws.SORT(IF((--($B101=Flowdown_BTE[[URS]:[URS]]))*(--(E$14=Flowdown_BTE[[Source.Name]:[Source.Name]])),Flowdown_BTE[[SyRS]:[SyRS]],"")))</f>
        <v>MASTER-51530
MASTER-60918</v>
      </c>
      <c r="F101" s="12" t="str" cm="1">
        <f t="array" ref="F101">_xlfn.TEXTJOIN(CHAR(10),TRUE,_xlfn._xlws.SORT(IF((--($B101=Flowdown_BTE[[URS]:[URS]]))*(--(F$14=Flowdown_BTE[[Source.Name]:[Source.Name]])),Flowdown_BTE[[SyRS]:[SyRS]],"")))</f>
        <v>MASTER-51530
MASTER-60918</v>
      </c>
      <c r="G101" s="12" t="str" cm="1">
        <f t="array" ref="G101">_xlfn.TEXTJOIN(CHAR(10),TRUE,_xlfn._xlws.SORT(IF((--($B101=Flowdown_BTE[[URS]:[URS]]))*(--(G$14=Flowdown_BTE[[Source.Name]:[Source.Name]])),Flowdown_BTE[[SyRS]:[SyRS]],"")))</f>
        <v>MASTER-51147
MASTER-51530
MASTER-60918</v>
      </c>
      <c r="H101" s="12" t="str" cm="1">
        <f t="array" ref="H101">_xlfn.TEXTJOIN(CHAR(10),TRUE,_xlfn._xlws.SORT(IF((--($B101=Flowdown_BTE[[URS]:[URS]]))*(--(H$14=Flowdown_BTE[[Source.Name]:[Source.Name]])),Flowdown_BTE[[SyRS]:[SyRS]],"")))</f>
        <v/>
      </c>
      <c r="I101" s="12" t="str" cm="1">
        <f t="array" ref="I101">_xlfn.TEXTJOIN(CHAR(10),TRUE,_xlfn._xlws.SORT(IF((--($B101=Flowdown_BTE[[URS]:[URS]]))*(--(I$14=Flowdown_BTE[[Source.Name]:[Source.Name]])),Flowdown_BTE[[SyRS]:[SyRS]],"")))</f>
        <v/>
      </c>
      <c r="J101" s="12" t="str" cm="1">
        <f t="array" ref="J101">_xlfn.TEXTJOIN(CHAR(10),TRUE,_xlfn._xlws.SORT(IF((--($B101=Flowdown_BTE[[URS]:[URS]]))*(--(J$14=Flowdown_BTE[[Source.Name]:[Source.Name]])),Flowdown_BTE[[SyRS]:[SyRS]],"")))</f>
        <v/>
      </c>
      <c r="K101" s="12" t="str" cm="1">
        <f t="array" ref="K101">_xlfn.TEXTJOIN(CHAR(10),TRUE,_xlfn._xlws.SORT(IF((--($B101=Flowdown_BTE[[URS]:[URS]]))*(--(K$14=Flowdown_BTE[[Source.Name]:[Source.Name]])),Flowdown_BTE[[SyRS]:[SyRS]],"")))</f>
        <v/>
      </c>
      <c r="L101" s="16" t="b" cm="1">
        <f t="array" ref="L101">OR(LEN(C101:K101)&gt;0)</f>
        <v>1</v>
      </c>
    </row>
    <row r="102" spans="2:12" ht="13.5" x14ac:dyDescent="0.2">
      <c r="B102" s="11" t="str">
        <v>MASTER-61597</v>
      </c>
      <c r="C102" s="12" t="str" cm="1">
        <f t="array" ref="C102">_xlfn.TEXTJOIN(CHAR(10),TRUE,_xlfn._xlws.SORT(IF((--($B102=Flowdown_BTE[[URS]:[URS]]))*(--(C$14=Flowdown_BTE[[Source.Name]:[Source.Name]])),Flowdown_BTE[[SyRS]:[SyRS]],"")))</f>
        <v/>
      </c>
      <c r="D102" s="12" t="str" cm="1">
        <f t="array" ref="D102">_xlfn.TEXTJOIN(CHAR(10),TRUE,_xlfn._xlws.SORT(IF((--($B102=Flowdown_BTE[[URS]:[URS]]))*(--(D$14=Flowdown_BTE[[Source.Name]:[Source.Name]])),Flowdown_BTE[[SyRS]:[SyRS]],"")))</f>
        <v/>
      </c>
      <c r="E102" s="12" t="str" cm="1">
        <f t="array" ref="E102">_xlfn.TEXTJOIN(CHAR(10),TRUE,_xlfn._xlws.SORT(IF((--($B102=Flowdown_BTE[[URS]:[URS]]))*(--(E$14=Flowdown_BTE[[Source.Name]:[Source.Name]])),Flowdown_BTE[[SyRS]:[SyRS]],"")))</f>
        <v/>
      </c>
      <c r="F102" s="12" t="str" cm="1">
        <f t="array" ref="F102">_xlfn.TEXTJOIN(CHAR(10),TRUE,_xlfn._xlws.SORT(IF((--($B102=Flowdown_BTE[[URS]:[URS]]))*(--(F$14=Flowdown_BTE[[Source.Name]:[Source.Name]])),Flowdown_BTE[[SyRS]:[SyRS]],"")))</f>
        <v/>
      </c>
      <c r="G102" s="12" t="str" cm="1">
        <f t="array" ref="G102">_xlfn.TEXTJOIN(CHAR(10),TRUE,_xlfn._xlws.SORT(IF((--($B102=Flowdown_BTE[[URS]:[URS]]))*(--(G$14=Flowdown_BTE[[Source.Name]:[Source.Name]])),Flowdown_BTE[[SyRS]:[SyRS]],"")))</f>
        <v/>
      </c>
      <c r="H102" s="12" t="str" cm="1">
        <f t="array" ref="H102">_xlfn.TEXTJOIN(CHAR(10),TRUE,_xlfn._xlws.SORT(IF((--($B102=Flowdown_BTE[[URS]:[URS]]))*(--(H$14=Flowdown_BTE[[Source.Name]:[Source.Name]])),Flowdown_BTE[[SyRS]:[SyRS]],"")))</f>
        <v/>
      </c>
      <c r="I102" s="12" t="str" cm="1">
        <f t="array" ref="I102">_xlfn.TEXTJOIN(CHAR(10),TRUE,_xlfn._xlws.SORT(IF((--($B102=Flowdown_BTE[[URS]:[URS]]))*(--(I$14=Flowdown_BTE[[Source.Name]:[Source.Name]])),Flowdown_BTE[[SyRS]:[SyRS]],"")))</f>
        <v>MASTER-17131</v>
      </c>
      <c r="J102" s="12" t="str" cm="1">
        <f t="array" ref="J102">_xlfn.TEXTJOIN(CHAR(10),TRUE,_xlfn._xlws.SORT(IF((--($B102=Flowdown_BTE[[URS]:[URS]]))*(--(J$14=Flowdown_BTE[[Source.Name]:[Source.Name]])),Flowdown_BTE[[SyRS]:[SyRS]],"")))</f>
        <v>MASTER-17131</v>
      </c>
      <c r="K102" s="12" t="str" cm="1">
        <f t="array" ref="K102">_xlfn.TEXTJOIN(CHAR(10),TRUE,_xlfn._xlws.SORT(IF((--($B102=Flowdown_BTE[[URS]:[URS]]))*(--(K$14=Flowdown_BTE[[Source.Name]:[Source.Name]])),Flowdown_BTE[[SyRS]:[SyRS]],"")))</f>
        <v/>
      </c>
      <c r="L102" s="16" t="b" cm="1">
        <f t="array" ref="L102">OR(LEN(C102:K102)&gt;0)</f>
        <v>1</v>
      </c>
    </row>
    <row r="103" spans="2:12" ht="13.5" x14ac:dyDescent="0.2">
      <c r="B103" s="11" t="str">
        <v>MASTER-61601</v>
      </c>
      <c r="C103" s="12" t="str" cm="1">
        <f t="array" ref="C103">_xlfn.TEXTJOIN(CHAR(10),TRUE,_xlfn._xlws.SORT(IF((--($B103=Flowdown_BTE[[URS]:[URS]]))*(--(C$14=Flowdown_BTE[[Source.Name]:[Source.Name]])),Flowdown_BTE[[SyRS]:[SyRS]],"")))</f>
        <v/>
      </c>
      <c r="D103" s="12" t="str" cm="1">
        <f t="array" ref="D103">_xlfn.TEXTJOIN(CHAR(10),TRUE,_xlfn._xlws.SORT(IF((--($B103=Flowdown_BTE[[URS]:[URS]]))*(--(D$14=Flowdown_BTE[[Source.Name]:[Source.Name]])),Flowdown_BTE[[SyRS]:[SyRS]],"")))</f>
        <v/>
      </c>
      <c r="E103" s="12" t="str" cm="1">
        <f t="array" ref="E103">_xlfn.TEXTJOIN(CHAR(10),TRUE,_xlfn._xlws.SORT(IF((--($B103=Flowdown_BTE[[URS]:[URS]]))*(--(E$14=Flowdown_BTE[[Source.Name]:[Source.Name]])),Flowdown_BTE[[SyRS]:[SyRS]],"")))</f>
        <v/>
      </c>
      <c r="F103" s="12" t="str" cm="1">
        <f t="array" ref="F103">_xlfn.TEXTJOIN(CHAR(10),TRUE,_xlfn._xlws.SORT(IF((--($B103=Flowdown_BTE[[URS]:[URS]]))*(--(F$14=Flowdown_BTE[[Source.Name]:[Source.Name]])),Flowdown_BTE[[SyRS]:[SyRS]],"")))</f>
        <v/>
      </c>
      <c r="G103" s="12" t="str" cm="1">
        <f t="array" ref="G103">_xlfn.TEXTJOIN(CHAR(10),TRUE,_xlfn._xlws.SORT(IF((--($B103=Flowdown_BTE[[URS]:[URS]]))*(--(G$14=Flowdown_BTE[[Source.Name]:[Source.Name]])),Flowdown_BTE[[SyRS]:[SyRS]],"")))</f>
        <v/>
      </c>
      <c r="H103" s="12" t="str" cm="1">
        <f t="array" ref="H103">_xlfn.TEXTJOIN(CHAR(10),TRUE,_xlfn._xlws.SORT(IF((--($B103=Flowdown_BTE[[URS]:[URS]]))*(--(H$14=Flowdown_BTE[[Source.Name]:[Source.Name]])),Flowdown_BTE[[SyRS]:[SyRS]],"")))</f>
        <v/>
      </c>
      <c r="I103" s="12" t="str" cm="1">
        <f t="array" ref="I103">_xlfn.TEXTJOIN(CHAR(10),TRUE,_xlfn._xlws.SORT(IF((--($B103=Flowdown_BTE[[URS]:[URS]]))*(--(I$14=Flowdown_BTE[[Source.Name]:[Source.Name]])),Flowdown_BTE[[SyRS]:[SyRS]],"")))</f>
        <v>MASTER-17474</v>
      </c>
      <c r="J103" s="12" t="str" cm="1">
        <f t="array" ref="J103">_xlfn.TEXTJOIN(CHAR(10),TRUE,_xlfn._xlws.SORT(IF((--($B103=Flowdown_BTE[[URS]:[URS]]))*(--(J$14=Flowdown_BTE[[Source.Name]:[Source.Name]])),Flowdown_BTE[[SyRS]:[SyRS]],"")))</f>
        <v/>
      </c>
      <c r="K103" s="12" t="str" cm="1">
        <f t="array" ref="K103">_xlfn.TEXTJOIN(CHAR(10),TRUE,_xlfn._xlws.SORT(IF((--($B103=Flowdown_BTE[[URS]:[URS]]))*(--(K$14=Flowdown_BTE[[Source.Name]:[Source.Name]])),Flowdown_BTE[[SyRS]:[SyRS]],"")))</f>
        <v/>
      </c>
      <c r="L103" s="16" t="b" cm="1">
        <f t="array" ref="L103">OR(LEN(C103:K103)&gt;0)</f>
        <v>1</v>
      </c>
    </row>
    <row r="104" spans="2:12" ht="13.5" x14ac:dyDescent="0.2">
      <c r="B104" s="11" t="str">
        <v>MASTER-61602</v>
      </c>
      <c r="C104" s="12" t="str" cm="1">
        <f t="array" ref="C104">_xlfn.TEXTJOIN(CHAR(10),TRUE,_xlfn._xlws.SORT(IF((--($B104=Flowdown_BTE[[URS]:[URS]]))*(--(C$14=Flowdown_BTE[[Source.Name]:[Source.Name]])),Flowdown_BTE[[SyRS]:[SyRS]],"")))</f>
        <v/>
      </c>
      <c r="D104" s="12" t="str" cm="1">
        <f t="array" ref="D104">_xlfn.TEXTJOIN(CHAR(10),TRUE,_xlfn._xlws.SORT(IF((--($B104=Flowdown_BTE[[URS]:[URS]]))*(--(D$14=Flowdown_BTE[[Source.Name]:[Source.Name]])),Flowdown_BTE[[SyRS]:[SyRS]],"")))</f>
        <v/>
      </c>
      <c r="E104" s="12" t="str" cm="1">
        <f t="array" ref="E104">_xlfn.TEXTJOIN(CHAR(10),TRUE,_xlfn._xlws.SORT(IF((--($B104=Flowdown_BTE[[URS]:[URS]]))*(--(E$14=Flowdown_BTE[[Source.Name]:[Source.Name]])),Flowdown_BTE[[SyRS]:[SyRS]],"")))</f>
        <v/>
      </c>
      <c r="F104" s="12" t="str" cm="1">
        <f t="array" ref="F104">_xlfn.TEXTJOIN(CHAR(10),TRUE,_xlfn._xlws.SORT(IF((--($B104=Flowdown_BTE[[URS]:[URS]]))*(--(F$14=Flowdown_BTE[[Source.Name]:[Source.Name]])),Flowdown_BTE[[SyRS]:[SyRS]],"")))</f>
        <v/>
      </c>
      <c r="G104" s="12" t="str" cm="1">
        <f t="array" ref="G104">_xlfn.TEXTJOIN(CHAR(10),TRUE,_xlfn._xlws.SORT(IF((--($B104=Flowdown_BTE[[URS]:[URS]]))*(--(G$14=Flowdown_BTE[[Source.Name]:[Source.Name]])),Flowdown_BTE[[SyRS]:[SyRS]],"")))</f>
        <v/>
      </c>
      <c r="H104" s="12" t="str" cm="1">
        <f t="array" ref="H104">_xlfn.TEXTJOIN(CHAR(10),TRUE,_xlfn._xlws.SORT(IF((--($B104=Flowdown_BTE[[URS]:[URS]]))*(--(H$14=Flowdown_BTE[[Source.Name]:[Source.Name]])),Flowdown_BTE[[SyRS]:[SyRS]],"")))</f>
        <v/>
      </c>
      <c r="I104" s="12" t="str" cm="1">
        <f t="array" ref="I104">_xlfn.TEXTJOIN(CHAR(10),TRUE,_xlfn._xlws.SORT(IF((--($B104=Flowdown_BTE[[URS]:[URS]]))*(--(I$14=Flowdown_BTE[[Source.Name]:[Source.Name]])),Flowdown_BTE[[SyRS]:[SyRS]],"")))</f>
        <v>MASTER-17518</v>
      </c>
      <c r="J104" s="12" t="str" cm="1">
        <f t="array" ref="J104">_xlfn.TEXTJOIN(CHAR(10),TRUE,_xlfn._xlws.SORT(IF((--($B104=Flowdown_BTE[[URS]:[URS]]))*(--(J$14=Flowdown_BTE[[Source.Name]:[Source.Name]])),Flowdown_BTE[[SyRS]:[SyRS]],"")))</f>
        <v>MASTER-17518</v>
      </c>
      <c r="K104" s="12" t="str" cm="1">
        <f t="array" ref="K104">_xlfn.TEXTJOIN(CHAR(10),TRUE,_xlfn._xlws.SORT(IF((--($B104=Flowdown_BTE[[URS]:[URS]]))*(--(K$14=Flowdown_BTE[[Source.Name]:[Source.Name]])),Flowdown_BTE[[SyRS]:[SyRS]],"")))</f>
        <v/>
      </c>
      <c r="L104" s="16" t="b" cm="1">
        <f t="array" ref="L104">OR(LEN(C104:K104)&gt;0)</f>
        <v>1</v>
      </c>
    </row>
    <row r="105" spans="2:12" ht="81" x14ac:dyDescent="0.2">
      <c r="B105" s="11" t="str">
        <v>MASTER-61604</v>
      </c>
      <c r="C105" s="12" t="str" cm="1">
        <f t="array" ref="C105">_xlfn.TEXTJOIN(CHAR(10),TRUE,_xlfn._xlws.SORT(IF((--($B105=Flowdown_BTE[[URS]:[URS]]))*(--(C$14=Flowdown_BTE[[Source.Name]:[Source.Name]])),Flowdown_BTE[[SyRS]:[SyRS]],"")))</f>
        <v>MASTER-19242
MASTER-42154
MASTER-42159
MASTER-50866
MASTER-51530
MASTER-62848</v>
      </c>
      <c r="D105" s="12" t="str" cm="1">
        <f t="array" ref="D105">_xlfn.TEXTJOIN(CHAR(10),TRUE,_xlfn._xlws.SORT(IF((--($B105=Flowdown_BTE[[URS]:[URS]]))*(--(D$14=Flowdown_BTE[[Source.Name]:[Source.Name]])),Flowdown_BTE[[SyRS]:[SyRS]],"")))</f>
        <v>MASTER-19242
MASTER-42154
MASTER-42159
MASTER-50866
MASTER-51530
MASTER-62848</v>
      </c>
      <c r="E105" s="12" t="str" cm="1">
        <f t="array" ref="E105">_xlfn.TEXTJOIN(CHAR(10),TRUE,_xlfn._xlws.SORT(IF((--($B105=Flowdown_BTE[[URS]:[URS]]))*(--(E$14=Flowdown_BTE[[Source.Name]:[Source.Name]])),Flowdown_BTE[[SyRS]:[SyRS]],"")))</f>
        <v>MASTER-19242
MASTER-42154
MASTER-42159
MASTER-50866
MASTER-51530
MASTER-62848</v>
      </c>
      <c r="F105" s="12" t="str" cm="1">
        <f t="array" ref="F105">_xlfn.TEXTJOIN(CHAR(10),TRUE,_xlfn._xlws.SORT(IF((--($B105=Flowdown_BTE[[URS]:[URS]]))*(--(F$14=Flowdown_BTE[[Source.Name]:[Source.Name]])),Flowdown_BTE[[SyRS]:[SyRS]],"")))</f>
        <v>MASTER-19242
MASTER-42154
MASTER-42159
MASTER-50866
MASTER-51530
MASTER-62848</v>
      </c>
      <c r="G105" s="12" t="str" cm="1">
        <f t="array" ref="G105">_xlfn.TEXTJOIN(CHAR(10),TRUE,_xlfn._xlws.SORT(IF((--($B105=Flowdown_BTE[[URS]:[URS]]))*(--(G$14=Flowdown_BTE[[Source.Name]:[Source.Name]])),Flowdown_BTE[[SyRS]:[SyRS]],"")))</f>
        <v>MASTER-19242
MASTER-42154
MASTER-42159
MASTER-50866
MASTER-51530
MASTER-62848</v>
      </c>
      <c r="H105" s="12" t="str" cm="1">
        <f t="array" ref="H105">_xlfn.TEXTJOIN(CHAR(10),TRUE,_xlfn._xlws.SORT(IF((--($B105=Flowdown_BTE[[URS]:[URS]]))*(--(H$14=Flowdown_BTE[[Source.Name]:[Source.Name]])),Flowdown_BTE[[SyRS]:[SyRS]],"")))</f>
        <v/>
      </c>
      <c r="I105" s="12" t="str" cm="1">
        <f t="array" ref="I105">_xlfn.TEXTJOIN(CHAR(10),TRUE,_xlfn._xlws.SORT(IF((--($B105=Flowdown_BTE[[URS]:[URS]]))*(--(I$14=Flowdown_BTE[[Source.Name]:[Source.Name]])),Flowdown_BTE[[SyRS]:[SyRS]],"")))</f>
        <v/>
      </c>
      <c r="J105" s="12" t="str" cm="1">
        <f t="array" ref="J105">_xlfn.TEXTJOIN(CHAR(10),TRUE,_xlfn._xlws.SORT(IF((--($B105=Flowdown_BTE[[URS]:[URS]]))*(--(J$14=Flowdown_BTE[[Source.Name]:[Source.Name]])),Flowdown_BTE[[SyRS]:[SyRS]],"")))</f>
        <v/>
      </c>
      <c r="K105" s="12" t="str" cm="1">
        <f t="array" ref="K105">_xlfn.TEXTJOIN(CHAR(10),TRUE,_xlfn._xlws.SORT(IF((--($B105=Flowdown_BTE[[URS]:[URS]]))*(--(K$14=Flowdown_BTE[[Source.Name]:[Source.Name]])),Flowdown_BTE[[SyRS]:[SyRS]],"")))</f>
        <v/>
      </c>
      <c r="L105" s="16" t="b" cm="1">
        <f t="array" ref="L105">OR(LEN(C105:K105)&gt;0)</f>
        <v>1</v>
      </c>
    </row>
    <row r="106" spans="2:12" ht="13.5" x14ac:dyDescent="0.2">
      <c r="B106" s="11" t="str">
        <v>MASTER-61607</v>
      </c>
      <c r="C106" s="12" t="str" cm="1">
        <f t="array" ref="C106">_xlfn.TEXTJOIN(CHAR(10),TRUE,_xlfn._xlws.SORT(IF((--($B106=Flowdown_BTE[[URS]:[URS]]))*(--(C$14=Flowdown_BTE[[Source.Name]:[Source.Name]])),Flowdown_BTE[[SyRS]:[SyRS]],"")))</f>
        <v>MASTER-64684</v>
      </c>
      <c r="D106" s="12" t="str" cm="1">
        <f t="array" ref="D106">_xlfn.TEXTJOIN(CHAR(10),TRUE,_xlfn._xlws.SORT(IF((--($B106=Flowdown_BTE[[URS]:[URS]]))*(--(D$14=Flowdown_BTE[[Source.Name]:[Source.Name]])),Flowdown_BTE[[SyRS]:[SyRS]],"")))</f>
        <v>MASTER-64684</v>
      </c>
      <c r="E106" s="12" t="str" cm="1">
        <f t="array" ref="E106">_xlfn.TEXTJOIN(CHAR(10),TRUE,_xlfn._xlws.SORT(IF((--($B106=Flowdown_BTE[[URS]:[URS]]))*(--(E$14=Flowdown_BTE[[Source.Name]:[Source.Name]])),Flowdown_BTE[[SyRS]:[SyRS]],"")))</f>
        <v>MASTER-64684</v>
      </c>
      <c r="F106" s="12" t="str" cm="1">
        <f t="array" ref="F106">_xlfn.TEXTJOIN(CHAR(10),TRUE,_xlfn._xlws.SORT(IF((--($B106=Flowdown_BTE[[URS]:[URS]]))*(--(F$14=Flowdown_BTE[[Source.Name]:[Source.Name]])),Flowdown_BTE[[SyRS]:[SyRS]],"")))</f>
        <v>MASTER-64684</v>
      </c>
      <c r="G106" s="12" t="str" cm="1">
        <f t="array" ref="G106">_xlfn.TEXTJOIN(CHAR(10),TRUE,_xlfn._xlws.SORT(IF((--($B106=Flowdown_BTE[[URS]:[URS]]))*(--(G$14=Flowdown_BTE[[Source.Name]:[Source.Name]])),Flowdown_BTE[[SyRS]:[SyRS]],"")))</f>
        <v>MASTER-64684</v>
      </c>
      <c r="H106" s="12" t="str" cm="1">
        <f t="array" ref="H106">_xlfn.TEXTJOIN(CHAR(10),TRUE,_xlfn._xlws.SORT(IF((--($B106=Flowdown_BTE[[URS]:[URS]]))*(--(H$14=Flowdown_BTE[[Source.Name]:[Source.Name]])),Flowdown_BTE[[SyRS]:[SyRS]],"")))</f>
        <v/>
      </c>
      <c r="I106" s="12" t="str" cm="1">
        <f t="array" ref="I106">_xlfn.TEXTJOIN(CHAR(10),TRUE,_xlfn._xlws.SORT(IF((--($B106=Flowdown_BTE[[URS]:[URS]]))*(--(I$14=Flowdown_BTE[[Source.Name]:[Source.Name]])),Flowdown_BTE[[SyRS]:[SyRS]],"")))</f>
        <v/>
      </c>
      <c r="J106" s="12" t="str" cm="1">
        <f t="array" ref="J106">_xlfn.TEXTJOIN(CHAR(10),TRUE,_xlfn._xlws.SORT(IF((--($B106=Flowdown_BTE[[URS]:[URS]]))*(--(J$14=Flowdown_BTE[[Source.Name]:[Source.Name]])),Flowdown_BTE[[SyRS]:[SyRS]],"")))</f>
        <v/>
      </c>
      <c r="K106" s="12" t="str" cm="1">
        <f t="array" ref="K106">_xlfn.TEXTJOIN(CHAR(10),TRUE,_xlfn._xlws.SORT(IF((--($B106=Flowdown_BTE[[URS]:[URS]]))*(--(K$14=Flowdown_BTE[[Source.Name]:[Source.Name]])),Flowdown_BTE[[SyRS]:[SyRS]],"")))</f>
        <v/>
      </c>
      <c r="L106" s="16" t="b" cm="1">
        <f t="array" ref="L106">OR(LEN(C106:K106)&gt;0)</f>
        <v>1</v>
      </c>
    </row>
    <row r="107" spans="2:12" ht="13.5" x14ac:dyDescent="0.2">
      <c r="B107" s="11" t="str">
        <v>MASTER-61622</v>
      </c>
      <c r="C107" s="12" t="str" cm="1">
        <f t="array" ref="C107">_xlfn.TEXTJOIN(CHAR(10),TRUE,_xlfn._xlws.SORT(IF((--($B107=Flowdown_BTE[[URS]:[URS]]))*(--(C$14=Flowdown_BTE[[Source.Name]:[Source.Name]])),Flowdown_BTE[[SyRS]:[SyRS]],"")))</f>
        <v/>
      </c>
      <c r="D107" s="12" t="str" cm="1">
        <f t="array" ref="D107">_xlfn.TEXTJOIN(CHAR(10),TRUE,_xlfn._xlws.SORT(IF((--($B107=Flowdown_BTE[[URS]:[URS]]))*(--(D$14=Flowdown_BTE[[Source.Name]:[Source.Name]])),Flowdown_BTE[[SyRS]:[SyRS]],"")))</f>
        <v/>
      </c>
      <c r="E107" s="12" t="str" cm="1">
        <f t="array" ref="E107">_xlfn.TEXTJOIN(CHAR(10),TRUE,_xlfn._xlws.SORT(IF((--($B107=Flowdown_BTE[[URS]:[URS]]))*(--(E$14=Flowdown_BTE[[Source.Name]:[Source.Name]])),Flowdown_BTE[[SyRS]:[SyRS]],"")))</f>
        <v/>
      </c>
      <c r="F107" s="12" t="str" cm="1">
        <f t="array" ref="F107">_xlfn.TEXTJOIN(CHAR(10),TRUE,_xlfn._xlws.SORT(IF((--($B107=Flowdown_BTE[[URS]:[URS]]))*(--(F$14=Flowdown_BTE[[Source.Name]:[Source.Name]])),Flowdown_BTE[[SyRS]:[SyRS]],"")))</f>
        <v/>
      </c>
      <c r="G107" s="12" t="str" cm="1">
        <f t="array" ref="G107">_xlfn.TEXTJOIN(CHAR(10),TRUE,_xlfn._xlws.SORT(IF((--($B107=Flowdown_BTE[[URS]:[URS]]))*(--(G$14=Flowdown_BTE[[Source.Name]:[Source.Name]])),Flowdown_BTE[[SyRS]:[SyRS]],"")))</f>
        <v/>
      </c>
      <c r="H107" s="12" t="str" cm="1">
        <f t="array" ref="H107">_xlfn.TEXTJOIN(CHAR(10),TRUE,_xlfn._xlws.SORT(IF((--($B107=Flowdown_BTE[[URS]:[URS]]))*(--(H$14=Flowdown_BTE[[Source.Name]:[Source.Name]])),Flowdown_BTE[[SyRS]:[SyRS]],"")))</f>
        <v/>
      </c>
      <c r="I107" s="12" t="str" cm="1">
        <f t="array" ref="I107">_xlfn.TEXTJOIN(CHAR(10),TRUE,_xlfn._xlws.SORT(IF((--($B107=Flowdown_BTE[[URS]:[URS]]))*(--(I$14=Flowdown_BTE[[Source.Name]:[Source.Name]])),Flowdown_BTE[[SyRS]:[SyRS]],"")))</f>
        <v>MASTER-17268</v>
      </c>
      <c r="J107" s="12" t="str" cm="1">
        <f t="array" ref="J107">_xlfn.TEXTJOIN(CHAR(10),TRUE,_xlfn._xlws.SORT(IF((--($B107=Flowdown_BTE[[URS]:[URS]]))*(--(J$14=Flowdown_BTE[[Source.Name]:[Source.Name]])),Flowdown_BTE[[SyRS]:[SyRS]],"")))</f>
        <v/>
      </c>
      <c r="K107" s="12" t="str" cm="1">
        <f t="array" ref="K107">_xlfn.TEXTJOIN(CHAR(10),TRUE,_xlfn._xlws.SORT(IF((--($B107=Flowdown_BTE[[URS]:[URS]]))*(--(K$14=Flowdown_BTE[[Source.Name]:[Source.Name]])),Flowdown_BTE[[SyRS]:[SyRS]],"")))</f>
        <v/>
      </c>
      <c r="L107" s="16" t="b" cm="1">
        <f t="array" ref="L107">OR(LEN(C107:K107)&gt;0)</f>
        <v>1</v>
      </c>
    </row>
    <row r="108" spans="2:12" ht="27" x14ac:dyDescent="0.2">
      <c r="B108" s="11" t="str">
        <v>MASTER-6167</v>
      </c>
      <c r="C108" s="12" t="str" cm="1">
        <f t="array" ref="C108">_xlfn.TEXTJOIN(CHAR(10),TRUE,_xlfn._xlws.SORT(IF((--($B108=Flowdown_BTE[[URS]:[URS]]))*(--(C$14=Flowdown_BTE[[Source.Name]:[Source.Name]])),Flowdown_BTE[[SyRS]:[SyRS]],"")))</f>
        <v/>
      </c>
      <c r="D108" s="12" t="str" cm="1">
        <f t="array" ref="D108">_xlfn.TEXTJOIN(CHAR(10),TRUE,_xlfn._xlws.SORT(IF((--($B108=Flowdown_BTE[[URS]:[URS]]))*(--(D$14=Flowdown_BTE[[Source.Name]:[Source.Name]])),Flowdown_BTE[[SyRS]:[SyRS]],"")))</f>
        <v/>
      </c>
      <c r="E108" s="12" t="str" cm="1">
        <f t="array" ref="E108">_xlfn.TEXTJOIN(CHAR(10),TRUE,_xlfn._xlws.SORT(IF((--($B108=Flowdown_BTE[[URS]:[URS]]))*(--(E$14=Flowdown_BTE[[Source.Name]:[Source.Name]])),Flowdown_BTE[[SyRS]:[SyRS]],"")))</f>
        <v/>
      </c>
      <c r="F108" s="12" t="str" cm="1">
        <f t="array" ref="F108">_xlfn.TEXTJOIN(CHAR(10),TRUE,_xlfn._xlws.SORT(IF((--($B108=Flowdown_BTE[[URS]:[URS]]))*(--(F$14=Flowdown_BTE[[Source.Name]:[Source.Name]])),Flowdown_BTE[[SyRS]:[SyRS]],"")))</f>
        <v/>
      </c>
      <c r="G108" s="12" t="str" cm="1">
        <f t="array" ref="G108">_xlfn.TEXTJOIN(CHAR(10),TRUE,_xlfn._xlws.SORT(IF((--($B108=Flowdown_BTE[[URS]:[URS]]))*(--(G$14=Flowdown_BTE[[Source.Name]:[Source.Name]])),Flowdown_BTE[[SyRS]:[SyRS]],"")))</f>
        <v/>
      </c>
      <c r="H108" s="12" t="str" cm="1">
        <f t="array" ref="H108">_xlfn.TEXTJOIN(CHAR(10),TRUE,_xlfn._xlws.SORT(IF((--($B108=Flowdown_BTE[[URS]:[URS]]))*(--(H$14=Flowdown_BTE[[Source.Name]:[Source.Name]])),Flowdown_BTE[[SyRS]:[SyRS]],"")))</f>
        <v/>
      </c>
      <c r="I108" s="12" t="str" cm="1">
        <f t="array" ref="I108">_xlfn.TEXTJOIN(CHAR(10),TRUE,_xlfn._xlws.SORT(IF((--($B108=Flowdown_BTE[[URS]:[URS]]))*(--(I$14=Flowdown_BTE[[Source.Name]:[Source.Name]])),Flowdown_BTE[[SyRS]:[SyRS]],"")))</f>
        <v>MASTER-20049
UTICA-211</v>
      </c>
      <c r="J108" s="12" t="str" cm="1">
        <f t="array" ref="J108">_xlfn.TEXTJOIN(CHAR(10),TRUE,_xlfn._xlws.SORT(IF((--($B108=Flowdown_BTE[[URS]:[URS]]))*(--(J$14=Flowdown_BTE[[Source.Name]:[Source.Name]])),Flowdown_BTE[[SyRS]:[SyRS]],"")))</f>
        <v>MASTER-20049</v>
      </c>
      <c r="K108" s="12" t="str" cm="1">
        <f t="array" ref="K108">_xlfn.TEXTJOIN(CHAR(10),TRUE,_xlfn._xlws.SORT(IF((--($B108=Flowdown_BTE[[URS]:[URS]]))*(--(K$14=Flowdown_BTE[[Source.Name]:[Source.Name]])),Flowdown_BTE[[SyRS]:[SyRS]],"")))</f>
        <v>MASTER-16473
UTICA-6410</v>
      </c>
      <c r="L108" s="16" t="b" cm="1">
        <f t="array" ref="L108">OR(LEN(C108:K108)&gt;0)</f>
        <v>1</v>
      </c>
    </row>
    <row r="109" spans="2:12" ht="27" x14ac:dyDescent="0.2">
      <c r="B109" s="11" t="str">
        <v>MASTER-6168</v>
      </c>
      <c r="C109" s="12" t="str" cm="1">
        <f t="array" ref="C109">_xlfn.TEXTJOIN(CHAR(10),TRUE,_xlfn._xlws.SORT(IF((--($B109=Flowdown_BTE[[URS]:[URS]]))*(--(C$14=Flowdown_BTE[[Source.Name]:[Source.Name]])),Flowdown_BTE[[SyRS]:[SyRS]],"")))</f>
        <v/>
      </c>
      <c r="D109" s="12" t="str" cm="1">
        <f t="array" ref="D109">_xlfn.TEXTJOIN(CHAR(10),TRUE,_xlfn._xlws.SORT(IF((--($B109=Flowdown_BTE[[URS]:[URS]]))*(--(D$14=Flowdown_BTE[[Source.Name]:[Source.Name]])),Flowdown_BTE[[SyRS]:[SyRS]],"")))</f>
        <v/>
      </c>
      <c r="E109" s="12" t="str" cm="1">
        <f t="array" ref="E109">_xlfn.TEXTJOIN(CHAR(10),TRUE,_xlfn._xlws.SORT(IF((--($B109=Flowdown_BTE[[URS]:[URS]]))*(--(E$14=Flowdown_BTE[[Source.Name]:[Source.Name]])),Flowdown_BTE[[SyRS]:[SyRS]],"")))</f>
        <v/>
      </c>
      <c r="F109" s="12" t="str" cm="1">
        <f t="array" ref="F109">_xlfn.TEXTJOIN(CHAR(10),TRUE,_xlfn._xlws.SORT(IF((--($B109=Flowdown_BTE[[URS]:[URS]]))*(--(F$14=Flowdown_BTE[[Source.Name]:[Source.Name]])),Flowdown_BTE[[SyRS]:[SyRS]],"")))</f>
        <v/>
      </c>
      <c r="G109" s="12" t="str" cm="1">
        <f t="array" ref="G109">_xlfn.TEXTJOIN(CHAR(10),TRUE,_xlfn._xlws.SORT(IF((--($B109=Flowdown_BTE[[URS]:[URS]]))*(--(G$14=Flowdown_BTE[[Source.Name]:[Source.Name]])),Flowdown_BTE[[SyRS]:[SyRS]],"")))</f>
        <v/>
      </c>
      <c r="H109" s="12" t="str" cm="1">
        <f t="array" ref="H109">_xlfn.TEXTJOIN(CHAR(10),TRUE,_xlfn._xlws.SORT(IF((--($B109=Flowdown_BTE[[URS]:[URS]]))*(--(H$14=Flowdown_BTE[[Source.Name]:[Source.Name]])),Flowdown_BTE[[SyRS]:[SyRS]],"")))</f>
        <v/>
      </c>
      <c r="I109" s="12" t="str" cm="1">
        <f t="array" ref="I109">_xlfn.TEXTJOIN(CHAR(10),TRUE,_xlfn._xlws.SORT(IF((--($B109=Flowdown_BTE[[URS]:[URS]]))*(--(I$14=Flowdown_BTE[[Source.Name]:[Source.Name]])),Flowdown_BTE[[SyRS]:[SyRS]],"")))</f>
        <v>MASTER-20049
UTICA-211</v>
      </c>
      <c r="J109" s="12" t="str" cm="1">
        <f t="array" ref="J109">_xlfn.TEXTJOIN(CHAR(10),TRUE,_xlfn._xlws.SORT(IF((--($B109=Flowdown_BTE[[URS]:[URS]]))*(--(J$14=Flowdown_BTE[[Source.Name]:[Source.Name]])),Flowdown_BTE[[SyRS]:[SyRS]],"")))</f>
        <v>MASTER-20049</v>
      </c>
      <c r="K109" s="12" t="str" cm="1">
        <f t="array" ref="K109">_xlfn.TEXTJOIN(CHAR(10),TRUE,_xlfn._xlws.SORT(IF((--($B109=Flowdown_BTE[[URS]:[URS]]))*(--(K$14=Flowdown_BTE[[Source.Name]:[Source.Name]])),Flowdown_BTE[[SyRS]:[SyRS]],"")))</f>
        <v/>
      </c>
      <c r="L109" s="16" t="b" cm="1">
        <f t="array" ref="L109">OR(LEN(C109:K109)&gt;0)</f>
        <v>1</v>
      </c>
    </row>
    <row r="110" spans="2:12" ht="27" x14ac:dyDescent="0.2">
      <c r="B110" s="11" t="str">
        <v>MASTER-6182</v>
      </c>
      <c r="C110" s="12" t="str" cm="1">
        <f t="array" ref="C110">_xlfn.TEXTJOIN(CHAR(10),TRUE,_xlfn._xlws.SORT(IF((--($B110=Flowdown_BTE[[URS]:[URS]]))*(--(C$14=Flowdown_BTE[[Source.Name]:[Source.Name]])),Flowdown_BTE[[SyRS]:[SyRS]],"")))</f>
        <v/>
      </c>
      <c r="D110" s="12" t="str" cm="1">
        <f t="array" ref="D110">_xlfn.TEXTJOIN(CHAR(10),TRUE,_xlfn._xlws.SORT(IF((--($B110=Flowdown_BTE[[URS]:[URS]]))*(--(D$14=Flowdown_BTE[[Source.Name]:[Source.Name]])),Flowdown_BTE[[SyRS]:[SyRS]],"")))</f>
        <v/>
      </c>
      <c r="E110" s="12" t="str" cm="1">
        <f t="array" ref="E110">_xlfn.TEXTJOIN(CHAR(10),TRUE,_xlfn._xlws.SORT(IF((--($B110=Flowdown_BTE[[URS]:[URS]]))*(--(E$14=Flowdown_BTE[[Source.Name]:[Source.Name]])),Flowdown_BTE[[SyRS]:[SyRS]],"")))</f>
        <v/>
      </c>
      <c r="F110" s="12" t="str" cm="1">
        <f t="array" ref="F110">_xlfn.TEXTJOIN(CHAR(10),TRUE,_xlfn._xlws.SORT(IF((--($B110=Flowdown_BTE[[URS]:[URS]]))*(--(F$14=Flowdown_BTE[[Source.Name]:[Source.Name]])),Flowdown_BTE[[SyRS]:[SyRS]],"")))</f>
        <v/>
      </c>
      <c r="G110" s="12" t="str" cm="1">
        <f t="array" ref="G110">_xlfn.TEXTJOIN(CHAR(10),TRUE,_xlfn._xlws.SORT(IF((--($B110=Flowdown_BTE[[URS]:[URS]]))*(--(G$14=Flowdown_BTE[[Source.Name]:[Source.Name]])),Flowdown_BTE[[SyRS]:[SyRS]],"")))</f>
        <v/>
      </c>
      <c r="H110" s="12" t="str" cm="1">
        <f t="array" ref="H110">_xlfn.TEXTJOIN(CHAR(10),TRUE,_xlfn._xlws.SORT(IF((--($B110=Flowdown_BTE[[URS]:[URS]]))*(--(H$14=Flowdown_BTE[[Source.Name]:[Source.Name]])),Flowdown_BTE[[SyRS]:[SyRS]],"")))</f>
        <v/>
      </c>
      <c r="I110" s="12" t="str" cm="1">
        <f t="array" ref="I110">_xlfn.TEXTJOIN(CHAR(10),TRUE,_xlfn._xlws.SORT(IF((--($B110=Flowdown_BTE[[URS]:[URS]]))*(--(I$14=Flowdown_BTE[[Source.Name]:[Source.Name]])),Flowdown_BTE[[SyRS]:[SyRS]],"")))</f>
        <v>MASTER-17131
UTICA-164</v>
      </c>
      <c r="J110" s="12" t="str" cm="1">
        <f t="array" ref="J110">_xlfn.TEXTJOIN(CHAR(10),TRUE,_xlfn._xlws.SORT(IF((--($B110=Flowdown_BTE[[URS]:[URS]]))*(--(J$14=Flowdown_BTE[[Source.Name]:[Source.Name]])),Flowdown_BTE[[SyRS]:[SyRS]],"")))</f>
        <v>MASTER-17131</v>
      </c>
      <c r="K110" s="12" t="str" cm="1">
        <f t="array" ref="K110">_xlfn.TEXTJOIN(CHAR(10),TRUE,_xlfn._xlws.SORT(IF((--($B110=Flowdown_BTE[[URS]:[URS]]))*(--(K$14=Flowdown_BTE[[Source.Name]:[Source.Name]])),Flowdown_BTE[[SyRS]:[SyRS]],"")))</f>
        <v/>
      </c>
      <c r="L110" s="16" t="b" cm="1">
        <f t="array" ref="L110">OR(LEN(C110:K110)&gt;0)</f>
        <v>1</v>
      </c>
    </row>
    <row r="111" spans="2:12" ht="13.5" x14ac:dyDescent="0.2">
      <c r="B111" s="11" t="str">
        <v>MASTER-6188</v>
      </c>
      <c r="C111" s="12" t="str" cm="1">
        <f t="array" ref="C111">_xlfn.TEXTJOIN(CHAR(10),TRUE,_xlfn._xlws.SORT(IF((--($B111=Flowdown_BTE[[URS]:[URS]]))*(--(C$14=Flowdown_BTE[[Source.Name]:[Source.Name]])),Flowdown_BTE[[SyRS]:[SyRS]],"")))</f>
        <v/>
      </c>
      <c r="D111" s="12" t="str" cm="1">
        <f t="array" ref="D111">_xlfn.TEXTJOIN(CHAR(10),TRUE,_xlfn._xlws.SORT(IF((--($B111=Flowdown_BTE[[URS]:[URS]]))*(--(D$14=Flowdown_BTE[[Source.Name]:[Source.Name]])),Flowdown_BTE[[SyRS]:[SyRS]],"")))</f>
        <v/>
      </c>
      <c r="E111" s="12" t="str" cm="1">
        <f t="array" ref="E111">_xlfn.TEXTJOIN(CHAR(10),TRUE,_xlfn._xlws.SORT(IF((--($B111=Flowdown_BTE[[URS]:[URS]]))*(--(E$14=Flowdown_BTE[[Source.Name]:[Source.Name]])),Flowdown_BTE[[SyRS]:[SyRS]],"")))</f>
        <v/>
      </c>
      <c r="F111" s="12" t="str" cm="1">
        <f t="array" ref="F111">_xlfn.TEXTJOIN(CHAR(10),TRUE,_xlfn._xlws.SORT(IF((--($B111=Flowdown_BTE[[URS]:[URS]]))*(--(F$14=Flowdown_BTE[[Source.Name]:[Source.Name]])),Flowdown_BTE[[SyRS]:[SyRS]],"")))</f>
        <v/>
      </c>
      <c r="G111" s="12" t="str" cm="1">
        <f t="array" ref="G111">_xlfn.TEXTJOIN(CHAR(10),TRUE,_xlfn._xlws.SORT(IF((--($B111=Flowdown_BTE[[URS]:[URS]]))*(--(G$14=Flowdown_BTE[[Source.Name]:[Source.Name]])),Flowdown_BTE[[SyRS]:[SyRS]],"")))</f>
        <v/>
      </c>
      <c r="H111" s="12" t="str" cm="1">
        <f t="array" ref="H111">_xlfn.TEXTJOIN(CHAR(10),TRUE,_xlfn._xlws.SORT(IF((--($B111=Flowdown_BTE[[URS]:[URS]]))*(--(H$14=Flowdown_BTE[[Source.Name]:[Source.Name]])),Flowdown_BTE[[SyRS]:[SyRS]],"")))</f>
        <v/>
      </c>
      <c r="I111" s="12" t="str" cm="1">
        <f t="array" ref="I111">_xlfn.TEXTJOIN(CHAR(10),TRUE,_xlfn._xlws.SORT(IF((--($B111=Flowdown_BTE[[URS]:[URS]]))*(--(I$14=Flowdown_BTE[[Source.Name]:[Source.Name]])),Flowdown_BTE[[SyRS]:[SyRS]],"")))</f>
        <v>MASTER-42251</v>
      </c>
      <c r="J111" s="12" t="str" cm="1">
        <f t="array" ref="J111">_xlfn.TEXTJOIN(CHAR(10),TRUE,_xlfn._xlws.SORT(IF((--($B111=Flowdown_BTE[[URS]:[URS]]))*(--(J$14=Flowdown_BTE[[Source.Name]:[Source.Name]])),Flowdown_BTE[[SyRS]:[SyRS]],"")))</f>
        <v>MASTER-42251</v>
      </c>
      <c r="K111" s="12" t="str" cm="1">
        <f t="array" ref="K111">_xlfn.TEXTJOIN(CHAR(10),TRUE,_xlfn._xlws.SORT(IF((--($B111=Flowdown_BTE[[URS]:[URS]]))*(--(K$14=Flowdown_BTE[[Source.Name]:[Source.Name]])),Flowdown_BTE[[SyRS]:[SyRS]],"")))</f>
        <v/>
      </c>
      <c r="L111" s="16" t="b" cm="1">
        <f t="array" ref="L111">OR(LEN(C111:K111)&gt;0)</f>
        <v>1</v>
      </c>
    </row>
    <row r="112" spans="2:12" ht="27" x14ac:dyDescent="0.2">
      <c r="B112" s="11" t="str">
        <v>MASTER-6205</v>
      </c>
      <c r="C112" s="12" t="str" cm="1">
        <f t="array" ref="C112">_xlfn.TEXTJOIN(CHAR(10),TRUE,_xlfn._xlws.SORT(IF((--($B112=Flowdown_BTE[[URS]:[URS]]))*(--(C$14=Flowdown_BTE[[Source.Name]:[Source.Name]])),Flowdown_BTE[[SyRS]:[SyRS]],"")))</f>
        <v/>
      </c>
      <c r="D112" s="12" t="str" cm="1">
        <f t="array" ref="D112">_xlfn.TEXTJOIN(CHAR(10),TRUE,_xlfn._xlws.SORT(IF((--($B112=Flowdown_BTE[[URS]:[URS]]))*(--(D$14=Flowdown_BTE[[Source.Name]:[Source.Name]])),Flowdown_BTE[[SyRS]:[SyRS]],"")))</f>
        <v/>
      </c>
      <c r="E112" s="12" t="str" cm="1">
        <f t="array" ref="E112">_xlfn.TEXTJOIN(CHAR(10),TRUE,_xlfn._xlws.SORT(IF((--($B112=Flowdown_BTE[[URS]:[URS]]))*(--(E$14=Flowdown_BTE[[Source.Name]:[Source.Name]])),Flowdown_BTE[[SyRS]:[SyRS]],"")))</f>
        <v/>
      </c>
      <c r="F112" s="12" t="str" cm="1">
        <f t="array" ref="F112">_xlfn.TEXTJOIN(CHAR(10),TRUE,_xlfn._xlws.SORT(IF((--($B112=Flowdown_BTE[[URS]:[URS]]))*(--(F$14=Flowdown_BTE[[Source.Name]:[Source.Name]])),Flowdown_BTE[[SyRS]:[SyRS]],"")))</f>
        <v/>
      </c>
      <c r="G112" s="12" t="str" cm="1">
        <f t="array" ref="G112">_xlfn.TEXTJOIN(CHAR(10),TRUE,_xlfn._xlws.SORT(IF((--($B112=Flowdown_BTE[[URS]:[URS]]))*(--(G$14=Flowdown_BTE[[Source.Name]:[Source.Name]])),Flowdown_BTE[[SyRS]:[SyRS]],"")))</f>
        <v/>
      </c>
      <c r="H112" s="12" t="str" cm="1">
        <f t="array" ref="H112">_xlfn.TEXTJOIN(CHAR(10),TRUE,_xlfn._xlws.SORT(IF((--($B112=Flowdown_BTE[[URS]:[URS]]))*(--(H$14=Flowdown_BTE[[Source.Name]:[Source.Name]])),Flowdown_BTE[[SyRS]:[SyRS]],"")))</f>
        <v/>
      </c>
      <c r="I112" s="12" t="str" cm="1">
        <f t="array" ref="I112">_xlfn.TEXTJOIN(CHAR(10),TRUE,_xlfn._xlws.SORT(IF((--($B112=Flowdown_BTE[[URS]:[URS]]))*(--(I$14=Flowdown_BTE[[Source.Name]:[Source.Name]])),Flowdown_BTE[[SyRS]:[SyRS]],"")))</f>
        <v>MASTER-17164
UTICA-162</v>
      </c>
      <c r="J112" s="12" t="str" cm="1">
        <f t="array" ref="J112">_xlfn.TEXTJOIN(CHAR(10),TRUE,_xlfn._xlws.SORT(IF((--($B112=Flowdown_BTE[[URS]:[URS]]))*(--(J$14=Flowdown_BTE[[Source.Name]:[Source.Name]])),Flowdown_BTE[[SyRS]:[SyRS]],"")))</f>
        <v/>
      </c>
      <c r="K112" s="12" t="str" cm="1">
        <f t="array" ref="K112">_xlfn.TEXTJOIN(CHAR(10),TRUE,_xlfn._xlws.SORT(IF((--($B112=Flowdown_BTE[[URS]:[URS]]))*(--(K$14=Flowdown_BTE[[Source.Name]:[Source.Name]])),Flowdown_BTE[[SyRS]:[SyRS]],"")))</f>
        <v/>
      </c>
      <c r="L112" s="16" t="b" cm="1">
        <f t="array" ref="L112">OR(LEN(C112:K112)&gt;0)</f>
        <v>1</v>
      </c>
    </row>
    <row r="113" spans="2:12" ht="175.5" x14ac:dyDescent="0.2">
      <c r="B113" s="11" t="str">
        <v>MASTER-6210</v>
      </c>
      <c r="C113" s="12" t="str" cm="1">
        <f t="array" ref="C113">_xlfn.TEXTJOIN(CHAR(10),TRUE,_xlfn._xlws.SORT(IF((--($B113=Flowdown_BTE[[URS]:[URS]]))*(--(C$14=Flowdown_BTE[[Source.Name]:[Source.Name]])),Flowdown_BTE[[SyRS]:[SyRS]],"")))</f>
        <v/>
      </c>
      <c r="D113" s="12" t="str" cm="1">
        <f t="array" ref="D113">_xlfn.TEXTJOIN(CHAR(10),TRUE,_xlfn._xlws.SORT(IF((--($B113=Flowdown_BTE[[URS]:[URS]]))*(--(D$14=Flowdown_BTE[[Source.Name]:[Source.Name]])),Flowdown_BTE[[SyRS]:[SyRS]],"")))</f>
        <v/>
      </c>
      <c r="E113" s="12" t="str" cm="1">
        <f t="array" ref="E113">_xlfn.TEXTJOIN(CHAR(10),TRUE,_xlfn._xlws.SORT(IF((--($B113=Flowdown_BTE[[URS]:[URS]]))*(--(E$14=Flowdown_BTE[[Source.Name]:[Source.Name]])),Flowdown_BTE[[SyRS]:[SyRS]],"")))</f>
        <v/>
      </c>
      <c r="F113" s="12" t="str" cm="1">
        <f t="array" ref="F113">_xlfn.TEXTJOIN(CHAR(10),TRUE,_xlfn._xlws.SORT(IF((--($B113=Flowdown_BTE[[URS]:[URS]]))*(--(F$14=Flowdown_BTE[[Source.Name]:[Source.Name]])),Flowdown_BTE[[SyRS]:[SyRS]],"")))</f>
        <v/>
      </c>
      <c r="G113" s="12" t="str" cm="1">
        <f t="array" ref="G113">_xlfn.TEXTJOIN(CHAR(10),TRUE,_xlfn._xlws.SORT(IF((--($B113=Flowdown_BTE[[URS]:[URS]]))*(--(G$14=Flowdown_BTE[[Source.Name]:[Source.Name]])),Flowdown_BTE[[SyRS]:[SyRS]],"")))</f>
        <v/>
      </c>
      <c r="H113" s="12" t="str" cm="1">
        <f t="array" ref="H113">_xlfn.TEXTJOIN(CHAR(10),TRUE,_xlfn._xlws.SORT(IF((--($B113=Flowdown_BTE[[URS]:[URS]]))*(--(H$14=Flowdown_BTE[[Source.Name]:[Source.Name]])),Flowdown_BTE[[SyRS]:[SyRS]],"")))</f>
        <v/>
      </c>
      <c r="I113" s="12" t="str" cm="1">
        <f t="array" ref="I113">_xlfn.TEXTJOIN(CHAR(10),TRUE,_xlfn._xlws.SORT(IF((--($B113=Flowdown_BTE[[URS]:[URS]]))*(--(I$14=Flowdown_BTE[[Source.Name]:[Source.Name]])),Flowdown_BTE[[SyRS]:[SyRS]],"")))</f>
        <v>MASTER-17193
MASTER-17194
MASTER-17195
MASTER-17196
MASTER-17197
MASTER-17198
MASTER-17199
MASTER-17200
MASTER-17201
MASTER-17203
MASTER-17204
MASTER-60009
MASTER-60010</v>
      </c>
      <c r="J113" s="12" t="str" cm="1">
        <f t="array" ref="J113">_xlfn.TEXTJOIN(CHAR(10),TRUE,_xlfn._xlws.SORT(IF((--($B113=Flowdown_BTE[[URS]:[URS]]))*(--(J$14=Flowdown_BTE[[Source.Name]:[Source.Name]])),Flowdown_BTE[[SyRS]:[SyRS]],"")))</f>
        <v/>
      </c>
      <c r="K113" s="12" t="str" cm="1">
        <f t="array" ref="K113">_xlfn.TEXTJOIN(CHAR(10),TRUE,_xlfn._xlws.SORT(IF((--($B113=Flowdown_BTE[[URS]:[URS]]))*(--(K$14=Flowdown_BTE[[Source.Name]:[Source.Name]])),Flowdown_BTE[[SyRS]:[SyRS]],"")))</f>
        <v/>
      </c>
      <c r="L113" s="16" t="b" cm="1">
        <f t="array" ref="L113">OR(LEN(C113:K113)&gt;0)</f>
        <v>1</v>
      </c>
    </row>
    <row r="114" spans="2:12" ht="148.5" x14ac:dyDescent="0.2">
      <c r="B114" s="11" t="str">
        <v>MASTER-6215</v>
      </c>
      <c r="C114" s="12" t="str" cm="1">
        <f t="array" ref="C114">_xlfn.TEXTJOIN(CHAR(10),TRUE,_xlfn._xlws.SORT(IF((--($B114=Flowdown_BTE[[URS]:[URS]]))*(--(C$14=Flowdown_BTE[[Source.Name]:[Source.Name]])),Flowdown_BTE[[SyRS]:[SyRS]],"")))</f>
        <v/>
      </c>
      <c r="D114" s="12" t="str" cm="1">
        <f t="array" ref="D114">_xlfn.TEXTJOIN(CHAR(10),TRUE,_xlfn._xlws.SORT(IF((--($B114=Flowdown_BTE[[URS]:[URS]]))*(--(D$14=Flowdown_BTE[[Source.Name]:[Source.Name]])),Flowdown_BTE[[SyRS]:[SyRS]],"")))</f>
        <v/>
      </c>
      <c r="E114" s="12" t="str" cm="1">
        <f t="array" ref="E114">_xlfn.TEXTJOIN(CHAR(10),TRUE,_xlfn._xlws.SORT(IF((--($B114=Flowdown_BTE[[URS]:[URS]]))*(--(E$14=Flowdown_BTE[[Source.Name]:[Source.Name]])),Flowdown_BTE[[SyRS]:[SyRS]],"")))</f>
        <v/>
      </c>
      <c r="F114" s="12" t="str" cm="1">
        <f t="array" ref="F114">_xlfn.TEXTJOIN(CHAR(10),TRUE,_xlfn._xlws.SORT(IF((--($B114=Flowdown_BTE[[URS]:[URS]]))*(--(F$14=Flowdown_BTE[[Source.Name]:[Source.Name]])),Flowdown_BTE[[SyRS]:[SyRS]],"")))</f>
        <v/>
      </c>
      <c r="G114" s="12" t="str" cm="1">
        <f t="array" ref="G114">_xlfn.TEXTJOIN(CHAR(10),TRUE,_xlfn._xlws.SORT(IF((--($B114=Flowdown_BTE[[URS]:[URS]]))*(--(G$14=Flowdown_BTE[[Source.Name]:[Source.Name]])),Flowdown_BTE[[SyRS]:[SyRS]],"")))</f>
        <v/>
      </c>
      <c r="H114" s="12" t="str" cm="1">
        <f t="array" ref="H114">_xlfn.TEXTJOIN(CHAR(10),TRUE,_xlfn._xlws.SORT(IF((--($B114=Flowdown_BTE[[URS]:[URS]]))*(--(H$14=Flowdown_BTE[[Source.Name]:[Source.Name]])),Flowdown_BTE[[SyRS]:[SyRS]],"")))</f>
        <v/>
      </c>
      <c r="I114" s="12" t="str" cm="1">
        <f t="array" ref="I114">_xlfn.TEXTJOIN(CHAR(10),TRUE,_xlfn._xlws.SORT(IF((--($B114=Flowdown_BTE[[URS]:[URS]]))*(--(I$14=Flowdown_BTE[[Source.Name]:[Source.Name]])),Flowdown_BTE[[SyRS]:[SyRS]],"")))</f>
        <v>MASTER-17220
MASTER-17221
MASTER-17222
MASTER-17223
MASTER-17224
MASTER-17225
MASTER-17226
MASTER-60013
MASTER-60014
MASTER-60015
MASTER-60016</v>
      </c>
      <c r="J114" s="12" t="str" cm="1">
        <f t="array" ref="J114">_xlfn.TEXTJOIN(CHAR(10),TRUE,_xlfn._xlws.SORT(IF((--($B114=Flowdown_BTE[[URS]:[URS]]))*(--(J$14=Flowdown_BTE[[Source.Name]:[Source.Name]])),Flowdown_BTE[[SyRS]:[SyRS]],"")))</f>
        <v/>
      </c>
      <c r="K114" s="12" t="str" cm="1">
        <f t="array" ref="K114">_xlfn.TEXTJOIN(CHAR(10),TRUE,_xlfn._xlws.SORT(IF((--($B114=Flowdown_BTE[[URS]:[URS]]))*(--(K$14=Flowdown_BTE[[Source.Name]:[Source.Name]])),Flowdown_BTE[[SyRS]:[SyRS]],"")))</f>
        <v/>
      </c>
      <c r="L114" s="16" t="b" cm="1">
        <f t="array" ref="L114">OR(LEN(C114:K114)&gt;0)</f>
        <v>1</v>
      </c>
    </row>
    <row r="115" spans="2:12" ht="13.5" x14ac:dyDescent="0.2">
      <c r="B115" s="11" t="str">
        <v>MASTER-6226</v>
      </c>
      <c r="C115" s="12" t="str" cm="1">
        <f t="array" ref="C115">_xlfn.TEXTJOIN(CHAR(10),TRUE,_xlfn._xlws.SORT(IF((--($B115=Flowdown_BTE[[URS]:[URS]]))*(--(C$14=Flowdown_BTE[[Source.Name]:[Source.Name]])),Flowdown_BTE[[SyRS]:[SyRS]],"")))</f>
        <v/>
      </c>
      <c r="D115" s="12" t="str" cm="1">
        <f t="array" ref="D115">_xlfn.TEXTJOIN(CHAR(10),TRUE,_xlfn._xlws.SORT(IF((--($B115=Flowdown_BTE[[URS]:[URS]]))*(--(D$14=Flowdown_BTE[[Source.Name]:[Source.Name]])),Flowdown_BTE[[SyRS]:[SyRS]],"")))</f>
        <v/>
      </c>
      <c r="E115" s="12" t="str" cm="1">
        <f t="array" ref="E115">_xlfn.TEXTJOIN(CHAR(10),TRUE,_xlfn._xlws.SORT(IF((--($B115=Flowdown_BTE[[URS]:[URS]]))*(--(E$14=Flowdown_BTE[[Source.Name]:[Source.Name]])),Flowdown_BTE[[SyRS]:[SyRS]],"")))</f>
        <v/>
      </c>
      <c r="F115" s="12" t="str" cm="1">
        <f t="array" ref="F115">_xlfn.TEXTJOIN(CHAR(10),TRUE,_xlfn._xlws.SORT(IF((--($B115=Flowdown_BTE[[URS]:[URS]]))*(--(F$14=Flowdown_BTE[[Source.Name]:[Source.Name]])),Flowdown_BTE[[SyRS]:[SyRS]],"")))</f>
        <v/>
      </c>
      <c r="G115" s="12" t="str" cm="1">
        <f t="array" ref="G115">_xlfn.TEXTJOIN(CHAR(10),TRUE,_xlfn._xlws.SORT(IF((--($B115=Flowdown_BTE[[URS]:[URS]]))*(--(G$14=Flowdown_BTE[[Source.Name]:[Source.Name]])),Flowdown_BTE[[SyRS]:[SyRS]],"")))</f>
        <v/>
      </c>
      <c r="H115" s="12" t="str" cm="1">
        <f t="array" ref="H115">_xlfn.TEXTJOIN(CHAR(10),TRUE,_xlfn._xlws.SORT(IF((--($B115=Flowdown_BTE[[URS]:[URS]]))*(--(H$14=Flowdown_BTE[[Source.Name]:[Source.Name]])),Flowdown_BTE[[SyRS]:[SyRS]],"")))</f>
        <v/>
      </c>
      <c r="I115" s="12" t="str" cm="1">
        <f t="array" ref="I115">_xlfn.TEXTJOIN(CHAR(10),TRUE,_xlfn._xlws.SORT(IF((--($B115=Flowdown_BTE[[URS]:[URS]]))*(--(I$14=Flowdown_BTE[[Source.Name]:[Source.Name]])),Flowdown_BTE[[SyRS]:[SyRS]],"")))</f>
        <v>MASTER-17268</v>
      </c>
      <c r="J115" s="12" t="str" cm="1">
        <f t="array" ref="J115">_xlfn.TEXTJOIN(CHAR(10),TRUE,_xlfn._xlws.SORT(IF((--($B115=Flowdown_BTE[[URS]:[URS]]))*(--(J$14=Flowdown_BTE[[Source.Name]:[Source.Name]])),Flowdown_BTE[[SyRS]:[SyRS]],"")))</f>
        <v/>
      </c>
      <c r="K115" s="12" t="str" cm="1">
        <f t="array" ref="K115">_xlfn.TEXTJOIN(CHAR(10),TRUE,_xlfn._xlws.SORT(IF((--($B115=Flowdown_BTE[[URS]:[URS]]))*(--(K$14=Flowdown_BTE[[Source.Name]:[Source.Name]])),Flowdown_BTE[[SyRS]:[SyRS]],"")))</f>
        <v/>
      </c>
      <c r="L115" s="16" t="b" cm="1">
        <f t="array" ref="L115">OR(LEN(C115:K115)&gt;0)</f>
        <v>1</v>
      </c>
    </row>
    <row r="116" spans="2:12" ht="13.5" x14ac:dyDescent="0.2">
      <c r="B116" s="11" t="str">
        <v>MASTER-6228</v>
      </c>
      <c r="C116" s="12" t="str" cm="1">
        <f t="array" ref="C116">_xlfn.TEXTJOIN(CHAR(10),TRUE,_xlfn._xlws.SORT(IF((--($B116=Flowdown_BTE[[URS]:[URS]]))*(--(C$14=Flowdown_BTE[[Source.Name]:[Source.Name]])),Flowdown_BTE[[SyRS]:[SyRS]],"")))</f>
        <v/>
      </c>
      <c r="D116" s="12" t="str" cm="1">
        <f t="array" ref="D116">_xlfn.TEXTJOIN(CHAR(10),TRUE,_xlfn._xlws.SORT(IF((--($B116=Flowdown_BTE[[URS]:[URS]]))*(--(D$14=Flowdown_BTE[[Source.Name]:[Source.Name]])),Flowdown_BTE[[SyRS]:[SyRS]],"")))</f>
        <v/>
      </c>
      <c r="E116" s="12" t="str" cm="1">
        <f t="array" ref="E116">_xlfn.TEXTJOIN(CHAR(10),TRUE,_xlfn._xlws.SORT(IF((--($B116=Flowdown_BTE[[URS]:[URS]]))*(--(E$14=Flowdown_BTE[[Source.Name]:[Source.Name]])),Flowdown_BTE[[SyRS]:[SyRS]],"")))</f>
        <v/>
      </c>
      <c r="F116" s="12" t="str" cm="1">
        <f t="array" ref="F116">_xlfn.TEXTJOIN(CHAR(10),TRUE,_xlfn._xlws.SORT(IF((--($B116=Flowdown_BTE[[URS]:[URS]]))*(--(F$14=Flowdown_BTE[[Source.Name]:[Source.Name]])),Flowdown_BTE[[SyRS]:[SyRS]],"")))</f>
        <v/>
      </c>
      <c r="G116" s="12" t="str" cm="1">
        <f t="array" ref="G116">_xlfn.TEXTJOIN(CHAR(10),TRUE,_xlfn._xlws.SORT(IF((--($B116=Flowdown_BTE[[URS]:[URS]]))*(--(G$14=Flowdown_BTE[[Source.Name]:[Source.Name]])),Flowdown_BTE[[SyRS]:[SyRS]],"")))</f>
        <v/>
      </c>
      <c r="H116" s="12" t="str" cm="1">
        <f t="array" ref="H116">_xlfn.TEXTJOIN(CHAR(10),TRUE,_xlfn._xlws.SORT(IF((--($B116=Flowdown_BTE[[URS]:[URS]]))*(--(H$14=Flowdown_BTE[[Source.Name]:[Source.Name]])),Flowdown_BTE[[SyRS]:[SyRS]],"")))</f>
        <v/>
      </c>
      <c r="I116" s="12" t="str" cm="1">
        <f t="array" ref="I116">_xlfn.TEXTJOIN(CHAR(10),TRUE,_xlfn._xlws.SORT(IF((--($B116=Flowdown_BTE[[URS]:[URS]]))*(--(I$14=Flowdown_BTE[[Source.Name]:[Source.Name]])),Flowdown_BTE[[SyRS]:[SyRS]],"")))</f>
        <v>MASTER-17268</v>
      </c>
      <c r="J116" s="12" t="str" cm="1">
        <f t="array" ref="J116">_xlfn.TEXTJOIN(CHAR(10),TRUE,_xlfn._xlws.SORT(IF((--($B116=Flowdown_BTE[[URS]:[URS]]))*(--(J$14=Flowdown_BTE[[Source.Name]:[Source.Name]])),Flowdown_BTE[[SyRS]:[SyRS]],"")))</f>
        <v/>
      </c>
      <c r="K116" s="12" t="str" cm="1">
        <f t="array" ref="K116">_xlfn.TEXTJOIN(CHAR(10),TRUE,_xlfn._xlws.SORT(IF((--($B116=Flowdown_BTE[[URS]:[URS]]))*(--(K$14=Flowdown_BTE[[Source.Name]:[Source.Name]])),Flowdown_BTE[[SyRS]:[SyRS]],"")))</f>
        <v/>
      </c>
      <c r="L116" s="16" t="b" cm="1">
        <f t="array" ref="L116">OR(LEN(C116:K116)&gt;0)</f>
        <v>1</v>
      </c>
    </row>
    <row r="117" spans="2:12" ht="40.5" x14ac:dyDescent="0.2">
      <c r="B117" s="11" t="str">
        <v>MASTER-6232</v>
      </c>
      <c r="C117" s="12" t="str" cm="1">
        <f t="array" ref="C117">_xlfn.TEXTJOIN(CHAR(10),TRUE,_xlfn._xlws.SORT(IF((--($B117=Flowdown_BTE[[URS]:[URS]]))*(--(C$14=Flowdown_BTE[[Source.Name]:[Source.Name]])),Flowdown_BTE[[SyRS]:[SyRS]],"")))</f>
        <v/>
      </c>
      <c r="D117" s="12" t="str" cm="1">
        <f t="array" ref="D117">_xlfn.TEXTJOIN(CHAR(10),TRUE,_xlfn._xlws.SORT(IF((--($B117=Flowdown_BTE[[URS]:[URS]]))*(--(D$14=Flowdown_BTE[[Source.Name]:[Source.Name]])),Flowdown_BTE[[SyRS]:[SyRS]],"")))</f>
        <v/>
      </c>
      <c r="E117" s="12" t="str" cm="1">
        <f t="array" ref="E117">_xlfn.TEXTJOIN(CHAR(10),TRUE,_xlfn._xlws.SORT(IF((--($B117=Flowdown_BTE[[URS]:[URS]]))*(--(E$14=Flowdown_BTE[[Source.Name]:[Source.Name]])),Flowdown_BTE[[SyRS]:[SyRS]],"")))</f>
        <v/>
      </c>
      <c r="F117" s="12" t="str" cm="1">
        <f t="array" ref="F117">_xlfn.TEXTJOIN(CHAR(10),TRUE,_xlfn._xlws.SORT(IF((--($B117=Flowdown_BTE[[URS]:[URS]]))*(--(F$14=Flowdown_BTE[[Source.Name]:[Source.Name]])),Flowdown_BTE[[SyRS]:[SyRS]],"")))</f>
        <v/>
      </c>
      <c r="G117" s="12" t="str" cm="1">
        <f t="array" ref="G117">_xlfn.TEXTJOIN(CHAR(10),TRUE,_xlfn._xlws.SORT(IF((--($B117=Flowdown_BTE[[URS]:[URS]]))*(--(G$14=Flowdown_BTE[[Source.Name]:[Source.Name]])),Flowdown_BTE[[SyRS]:[SyRS]],"")))</f>
        <v/>
      </c>
      <c r="H117" s="12" t="str" cm="1">
        <f t="array" ref="H117">_xlfn.TEXTJOIN(CHAR(10),TRUE,_xlfn._xlws.SORT(IF((--($B117=Flowdown_BTE[[URS]:[URS]]))*(--(H$14=Flowdown_BTE[[Source.Name]:[Source.Name]])),Flowdown_BTE[[SyRS]:[SyRS]],"")))</f>
        <v/>
      </c>
      <c r="I117" s="12" t="str" cm="1">
        <f t="array" ref="I117">_xlfn.TEXTJOIN(CHAR(10),TRUE,_xlfn._xlws.SORT(IF((--($B117=Flowdown_BTE[[URS]:[URS]]))*(--(I$14=Flowdown_BTE[[Source.Name]:[Source.Name]])),Flowdown_BTE[[SyRS]:[SyRS]],"")))</f>
        <v>MASTER-17275
MASTER-17289
MASTER-59973</v>
      </c>
      <c r="J117" s="12" t="str" cm="1">
        <f t="array" ref="J117">_xlfn.TEXTJOIN(CHAR(10),TRUE,_xlfn._xlws.SORT(IF((--($B117=Flowdown_BTE[[URS]:[URS]]))*(--(J$14=Flowdown_BTE[[Source.Name]:[Source.Name]])),Flowdown_BTE[[SyRS]:[SyRS]],"")))</f>
        <v>MASTER-17275</v>
      </c>
      <c r="K117" s="12" t="str" cm="1">
        <f t="array" ref="K117">_xlfn.TEXTJOIN(CHAR(10),TRUE,_xlfn._xlws.SORT(IF((--($B117=Flowdown_BTE[[URS]:[URS]]))*(--(K$14=Flowdown_BTE[[Source.Name]:[Source.Name]])),Flowdown_BTE[[SyRS]:[SyRS]],"")))</f>
        <v/>
      </c>
      <c r="L117" s="16" t="b" cm="1">
        <f t="array" ref="L117">OR(LEN(C117:K117)&gt;0)</f>
        <v>1</v>
      </c>
    </row>
    <row r="118" spans="2:12" ht="13.5" x14ac:dyDescent="0.2">
      <c r="B118" s="11" t="str">
        <v>MASTER-6236</v>
      </c>
      <c r="C118" s="12" t="str" cm="1">
        <f t="array" ref="C118">_xlfn.TEXTJOIN(CHAR(10),TRUE,_xlfn._xlws.SORT(IF((--($B118=Flowdown_BTE[[URS]:[URS]]))*(--(C$14=Flowdown_BTE[[Source.Name]:[Source.Name]])),Flowdown_BTE[[SyRS]:[SyRS]],"")))</f>
        <v/>
      </c>
      <c r="D118" s="12" t="str" cm="1">
        <f t="array" ref="D118">_xlfn.TEXTJOIN(CHAR(10),TRUE,_xlfn._xlws.SORT(IF((--($B118=Flowdown_BTE[[URS]:[URS]]))*(--(D$14=Flowdown_BTE[[Source.Name]:[Source.Name]])),Flowdown_BTE[[SyRS]:[SyRS]],"")))</f>
        <v/>
      </c>
      <c r="E118" s="12" t="str" cm="1">
        <f t="array" ref="E118">_xlfn.TEXTJOIN(CHAR(10),TRUE,_xlfn._xlws.SORT(IF((--($B118=Flowdown_BTE[[URS]:[URS]]))*(--(E$14=Flowdown_BTE[[Source.Name]:[Source.Name]])),Flowdown_BTE[[SyRS]:[SyRS]],"")))</f>
        <v/>
      </c>
      <c r="F118" s="12" t="str" cm="1">
        <f t="array" ref="F118">_xlfn.TEXTJOIN(CHAR(10),TRUE,_xlfn._xlws.SORT(IF((--($B118=Flowdown_BTE[[URS]:[URS]]))*(--(F$14=Flowdown_BTE[[Source.Name]:[Source.Name]])),Flowdown_BTE[[SyRS]:[SyRS]],"")))</f>
        <v/>
      </c>
      <c r="G118" s="12" t="str" cm="1">
        <f t="array" ref="G118">_xlfn.TEXTJOIN(CHAR(10),TRUE,_xlfn._xlws.SORT(IF((--($B118=Flowdown_BTE[[URS]:[URS]]))*(--(G$14=Flowdown_BTE[[Source.Name]:[Source.Name]])),Flowdown_BTE[[SyRS]:[SyRS]],"")))</f>
        <v/>
      </c>
      <c r="H118" s="12" t="str" cm="1">
        <f t="array" ref="H118">_xlfn.TEXTJOIN(CHAR(10),TRUE,_xlfn._xlws.SORT(IF((--($B118=Flowdown_BTE[[URS]:[URS]]))*(--(H$14=Flowdown_BTE[[Source.Name]:[Source.Name]])),Flowdown_BTE[[SyRS]:[SyRS]],"")))</f>
        <v/>
      </c>
      <c r="I118" s="12" t="str" cm="1">
        <f t="array" ref="I118">_xlfn.TEXTJOIN(CHAR(10),TRUE,_xlfn._xlws.SORT(IF((--($B118=Flowdown_BTE[[URS]:[URS]]))*(--(I$14=Flowdown_BTE[[Source.Name]:[Source.Name]])),Flowdown_BTE[[SyRS]:[SyRS]],"")))</f>
        <v>MASTER-17280</v>
      </c>
      <c r="J118" s="12" t="str" cm="1">
        <f t="array" ref="J118">_xlfn.TEXTJOIN(CHAR(10),TRUE,_xlfn._xlws.SORT(IF((--($B118=Flowdown_BTE[[URS]:[URS]]))*(--(J$14=Flowdown_BTE[[Source.Name]:[Source.Name]])),Flowdown_BTE[[SyRS]:[SyRS]],"")))</f>
        <v/>
      </c>
      <c r="K118" s="12" t="str" cm="1">
        <f t="array" ref="K118">_xlfn.TEXTJOIN(CHAR(10),TRUE,_xlfn._xlws.SORT(IF((--($B118=Flowdown_BTE[[URS]:[URS]]))*(--(K$14=Flowdown_BTE[[Source.Name]:[Source.Name]])),Flowdown_BTE[[SyRS]:[SyRS]],"")))</f>
        <v/>
      </c>
      <c r="L118" s="16" t="b" cm="1">
        <f t="array" ref="L118">OR(LEN(C118:K118)&gt;0)</f>
        <v>1</v>
      </c>
    </row>
    <row r="119" spans="2:12" ht="13.5" x14ac:dyDescent="0.2">
      <c r="B119" s="11" t="str">
        <v>MASTER-6237</v>
      </c>
      <c r="C119" s="12" t="str" cm="1">
        <f t="array" ref="C119">_xlfn.TEXTJOIN(CHAR(10),TRUE,_xlfn._xlws.SORT(IF((--($B119=Flowdown_BTE[[URS]:[URS]]))*(--(C$14=Flowdown_BTE[[Source.Name]:[Source.Name]])),Flowdown_BTE[[SyRS]:[SyRS]],"")))</f>
        <v/>
      </c>
      <c r="D119" s="12" t="str" cm="1">
        <f t="array" ref="D119">_xlfn.TEXTJOIN(CHAR(10),TRUE,_xlfn._xlws.SORT(IF((--($B119=Flowdown_BTE[[URS]:[URS]]))*(--(D$14=Flowdown_BTE[[Source.Name]:[Source.Name]])),Flowdown_BTE[[SyRS]:[SyRS]],"")))</f>
        <v/>
      </c>
      <c r="E119" s="12" t="str" cm="1">
        <f t="array" ref="E119">_xlfn.TEXTJOIN(CHAR(10),TRUE,_xlfn._xlws.SORT(IF((--($B119=Flowdown_BTE[[URS]:[URS]]))*(--(E$14=Flowdown_BTE[[Source.Name]:[Source.Name]])),Flowdown_BTE[[SyRS]:[SyRS]],"")))</f>
        <v/>
      </c>
      <c r="F119" s="12" t="str" cm="1">
        <f t="array" ref="F119">_xlfn.TEXTJOIN(CHAR(10),TRUE,_xlfn._xlws.SORT(IF((--($B119=Flowdown_BTE[[URS]:[URS]]))*(--(F$14=Flowdown_BTE[[Source.Name]:[Source.Name]])),Flowdown_BTE[[SyRS]:[SyRS]],"")))</f>
        <v/>
      </c>
      <c r="G119" s="12" t="str" cm="1">
        <f t="array" ref="G119">_xlfn.TEXTJOIN(CHAR(10),TRUE,_xlfn._xlws.SORT(IF((--($B119=Flowdown_BTE[[URS]:[URS]]))*(--(G$14=Flowdown_BTE[[Source.Name]:[Source.Name]])),Flowdown_BTE[[SyRS]:[SyRS]],"")))</f>
        <v/>
      </c>
      <c r="H119" s="12" t="str" cm="1">
        <f t="array" ref="H119">_xlfn.TEXTJOIN(CHAR(10),TRUE,_xlfn._xlws.SORT(IF((--($B119=Flowdown_BTE[[URS]:[URS]]))*(--(H$14=Flowdown_BTE[[Source.Name]:[Source.Name]])),Flowdown_BTE[[SyRS]:[SyRS]],"")))</f>
        <v/>
      </c>
      <c r="I119" s="12" t="str" cm="1">
        <f t="array" ref="I119">_xlfn.TEXTJOIN(CHAR(10),TRUE,_xlfn._xlws.SORT(IF((--($B119=Flowdown_BTE[[URS]:[URS]]))*(--(I$14=Flowdown_BTE[[Source.Name]:[Source.Name]])),Flowdown_BTE[[SyRS]:[SyRS]],"")))</f>
        <v>MASTER-17281</v>
      </c>
      <c r="J119" s="12" t="str" cm="1">
        <f t="array" ref="J119">_xlfn.TEXTJOIN(CHAR(10),TRUE,_xlfn._xlws.SORT(IF((--($B119=Flowdown_BTE[[URS]:[URS]]))*(--(J$14=Flowdown_BTE[[Source.Name]:[Source.Name]])),Flowdown_BTE[[SyRS]:[SyRS]],"")))</f>
        <v/>
      </c>
      <c r="K119" s="12" t="str" cm="1">
        <f t="array" ref="K119">_xlfn.TEXTJOIN(CHAR(10),TRUE,_xlfn._xlws.SORT(IF((--($B119=Flowdown_BTE[[URS]:[URS]]))*(--(K$14=Flowdown_BTE[[Source.Name]:[Source.Name]])),Flowdown_BTE[[SyRS]:[SyRS]],"")))</f>
        <v/>
      </c>
      <c r="L119" s="16" t="b" cm="1">
        <f t="array" ref="L119">OR(LEN(C119:K119)&gt;0)</f>
        <v>1</v>
      </c>
    </row>
    <row r="120" spans="2:12" ht="13.5" x14ac:dyDescent="0.2">
      <c r="B120" s="11" t="str">
        <v>MASTER-6238</v>
      </c>
      <c r="C120" s="12" t="str" cm="1">
        <f t="array" ref="C120">_xlfn.TEXTJOIN(CHAR(10),TRUE,_xlfn._xlws.SORT(IF((--($B120=Flowdown_BTE[[URS]:[URS]]))*(--(C$14=Flowdown_BTE[[Source.Name]:[Source.Name]])),Flowdown_BTE[[SyRS]:[SyRS]],"")))</f>
        <v/>
      </c>
      <c r="D120" s="12" t="str" cm="1">
        <f t="array" ref="D120">_xlfn.TEXTJOIN(CHAR(10),TRUE,_xlfn._xlws.SORT(IF((--($B120=Flowdown_BTE[[URS]:[URS]]))*(--(D$14=Flowdown_BTE[[Source.Name]:[Source.Name]])),Flowdown_BTE[[SyRS]:[SyRS]],"")))</f>
        <v/>
      </c>
      <c r="E120" s="12" t="str" cm="1">
        <f t="array" ref="E120">_xlfn.TEXTJOIN(CHAR(10),TRUE,_xlfn._xlws.SORT(IF((--($B120=Flowdown_BTE[[URS]:[URS]]))*(--(E$14=Flowdown_BTE[[Source.Name]:[Source.Name]])),Flowdown_BTE[[SyRS]:[SyRS]],"")))</f>
        <v/>
      </c>
      <c r="F120" s="12" t="str" cm="1">
        <f t="array" ref="F120">_xlfn.TEXTJOIN(CHAR(10),TRUE,_xlfn._xlws.SORT(IF((--($B120=Flowdown_BTE[[URS]:[URS]]))*(--(F$14=Flowdown_BTE[[Source.Name]:[Source.Name]])),Flowdown_BTE[[SyRS]:[SyRS]],"")))</f>
        <v/>
      </c>
      <c r="G120" s="12" t="str" cm="1">
        <f t="array" ref="G120">_xlfn.TEXTJOIN(CHAR(10),TRUE,_xlfn._xlws.SORT(IF((--($B120=Flowdown_BTE[[URS]:[URS]]))*(--(G$14=Flowdown_BTE[[Source.Name]:[Source.Name]])),Flowdown_BTE[[SyRS]:[SyRS]],"")))</f>
        <v/>
      </c>
      <c r="H120" s="12" t="str" cm="1">
        <f t="array" ref="H120">_xlfn.TEXTJOIN(CHAR(10),TRUE,_xlfn._xlws.SORT(IF((--($B120=Flowdown_BTE[[URS]:[URS]]))*(--(H$14=Flowdown_BTE[[Source.Name]:[Source.Name]])),Flowdown_BTE[[SyRS]:[SyRS]],"")))</f>
        <v/>
      </c>
      <c r="I120" s="12" t="str" cm="1">
        <f t="array" ref="I120">_xlfn.TEXTJOIN(CHAR(10),TRUE,_xlfn._xlws.SORT(IF((--($B120=Flowdown_BTE[[URS]:[URS]]))*(--(I$14=Flowdown_BTE[[Source.Name]:[Source.Name]])),Flowdown_BTE[[SyRS]:[SyRS]],"")))</f>
        <v>MASTER-17275</v>
      </c>
      <c r="J120" s="12" t="str" cm="1">
        <f t="array" ref="J120">_xlfn.TEXTJOIN(CHAR(10),TRUE,_xlfn._xlws.SORT(IF((--($B120=Flowdown_BTE[[URS]:[URS]]))*(--(J$14=Flowdown_BTE[[Source.Name]:[Source.Name]])),Flowdown_BTE[[SyRS]:[SyRS]],"")))</f>
        <v>MASTER-17275</v>
      </c>
      <c r="K120" s="12" t="str" cm="1">
        <f t="array" ref="K120">_xlfn.TEXTJOIN(CHAR(10),TRUE,_xlfn._xlws.SORT(IF((--($B120=Flowdown_BTE[[URS]:[URS]]))*(--(K$14=Flowdown_BTE[[Source.Name]:[Source.Name]])),Flowdown_BTE[[SyRS]:[SyRS]],"")))</f>
        <v/>
      </c>
      <c r="L120" s="16" t="b" cm="1">
        <f t="array" ref="L120">OR(LEN(C120:K120)&gt;0)</f>
        <v>1</v>
      </c>
    </row>
    <row r="121" spans="2:12" ht="54" x14ac:dyDescent="0.2">
      <c r="B121" s="11" t="str">
        <v>MASTER-6239</v>
      </c>
      <c r="C121" s="12" t="str" cm="1">
        <f t="array" ref="C121">_xlfn.TEXTJOIN(CHAR(10),TRUE,_xlfn._xlws.SORT(IF((--($B121=Flowdown_BTE[[URS]:[URS]]))*(--(C$14=Flowdown_BTE[[Source.Name]:[Source.Name]])),Flowdown_BTE[[SyRS]:[SyRS]],"")))</f>
        <v/>
      </c>
      <c r="D121" s="12" t="str" cm="1">
        <f t="array" ref="D121">_xlfn.TEXTJOIN(CHAR(10),TRUE,_xlfn._xlws.SORT(IF((--($B121=Flowdown_BTE[[URS]:[URS]]))*(--(D$14=Flowdown_BTE[[Source.Name]:[Source.Name]])),Flowdown_BTE[[SyRS]:[SyRS]],"")))</f>
        <v/>
      </c>
      <c r="E121" s="12" t="str" cm="1">
        <f t="array" ref="E121">_xlfn.TEXTJOIN(CHAR(10),TRUE,_xlfn._xlws.SORT(IF((--($B121=Flowdown_BTE[[URS]:[URS]]))*(--(E$14=Flowdown_BTE[[Source.Name]:[Source.Name]])),Flowdown_BTE[[SyRS]:[SyRS]],"")))</f>
        <v/>
      </c>
      <c r="F121" s="12" t="str" cm="1">
        <f t="array" ref="F121">_xlfn.TEXTJOIN(CHAR(10),TRUE,_xlfn._xlws.SORT(IF((--($B121=Flowdown_BTE[[URS]:[URS]]))*(--(F$14=Flowdown_BTE[[Source.Name]:[Source.Name]])),Flowdown_BTE[[SyRS]:[SyRS]],"")))</f>
        <v/>
      </c>
      <c r="G121" s="12" t="str" cm="1">
        <f t="array" ref="G121">_xlfn.TEXTJOIN(CHAR(10),TRUE,_xlfn._xlws.SORT(IF((--($B121=Flowdown_BTE[[URS]:[URS]]))*(--(G$14=Flowdown_BTE[[Source.Name]:[Source.Name]])),Flowdown_BTE[[SyRS]:[SyRS]],"")))</f>
        <v/>
      </c>
      <c r="H121" s="12" t="str" cm="1">
        <f t="array" ref="H121">_xlfn.TEXTJOIN(CHAR(10),TRUE,_xlfn._xlws.SORT(IF((--($B121=Flowdown_BTE[[URS]:[URS]]))*(--(H$14=Flowdown_BTE[[Source.Name]:[Source.Name]])),Flowdown_BTE[[SyRS]:[SyRS]],"")))</f>
        <v/>
      </c>
      <c r="I121" s="12" t="str" cm="1">
        <f t="array" ref="I121">_xlfn.TEXTJOIN(CHAR(10),TRUE,_xlfn._xlws.SORT(IF((--($B121=Flowdown_BTE[[URS]:[URS]]))*(--(I$14=Flowdown_BTE[[Source.Name]:[Source.Name]])),Flowdown_BTE[[SyRS]:[SyRS]],"")))</f>
        <v>MASTER-17285
MASTER-17287
MASTER-17288
UTICA-165</v>
      </c>
      <c r="J121" s="12" t="str" cm="1">
        <f t="array" ref="J121">_xlfn.TEXTJOIN(CHAR(10),TRUE,_xlfn._xlws.SORT(IF((--($B121=Flowdown_BTE[[URS]:[URS]]))*(--(J$14=Flowdown_BTE[[Source.Name]:[Source.Name]])),Flowdown_BTE[[SyRS]:[SyRS]],"")))</f>
        <v>MASTER-17285
MASTER-17288</v>
      </c>
      <c r="K121" s="12" t="str" cm="1">
        <f t="array" ref="K121">_xlfn.TEXTJOIN(CHAR(10),TRUE,_xlfn._xlws.SORT(IF((--($B121=Flowdown_BTE[[URS]:[URS]]))*(--(K$14=Flowdown_BTE[[Source.Name]:[Source.Name]])),Flowdown_BTE[[SyRS]:[SyRS]],"")))</f>
        <v/>
      </c>
      <c r="L121" s="16" t="b" cm="1">
        <f t="array" ref="L121">OR(LEN(C121:K121)&gt;0)</f>
        <v>1</v>
      </c>
    </row>
    <row r="122" spans="2:12" ht="27" x14ac:dyDescent="0.2">
      <c r="B122" s="11" t="str">
        <v>MASTER-6240</v>
      </c>
      <c r="C122" s="12" t="str" cm="1">
        <f t="array" ref="C122">_xlfn.TEXTJOIN(CHAR(10),TRUE,_xlfn._xlws.SORT(IF((--($B122=Flowdown_BTE[[URS]:[URS]]))*(--(C$14=Flowdown_BTE[[Source.Name]:[Source.Name]])),Flowdown_BTE[[SyRS]:[SyRS]],"")))</f>
        <v/>
      </c>
      <c r="D122" s="12" t="str" cm="1">
        <f t="array" ref="D122">_xlfn.TEXTJOIN(CHAR(10),TRUE,_xlfn._xlws.SORT(IF((--($B122=Flowdown_BTE[[URS]:[URS]]))*(--(D$14=Flowdown_BTE[[Source.Name]:[Source.Name]])),Flowdown_BTE[[SyRS]:[SyRS]],"")))</f>
        <v/>
      </c>
      <c r="E122" s="12" t="str" cm="1">
        <f t="array" ref="E122">_xlfn.TEXTJOIN(CHAR(10),TRUE,_xlfn._xlws.SORT(IF((--($B122=Flowdown_BTE[[URS]:[URS]]))*(--(E$14=Flowdown_BTE[[Source.Name]:[Source.Name]])),Flowdown_BTE[[SyRS]:[SyRS]],"")))</f>
        <v/>
      </c>
      <c r="F122" s="12" t="str" cm="1">
        <f t="array" ref="F122">_xlfn.TEXTJOIN(CHAR(10),TRUE,_xlfn._xlws.SORT(IF((--($B122=Flowdown_BTE[[URS]:[URS]]))*(--(F$14=Flowdown_BTE[[Source.Name]:[Source.Name]])),Flowdown_BTE[[SyRS]:[SyRS]],"")))</f>
        <v/>
      </c>
      <c r="G122" s="12" t="str" cm="1">
        <f t="array" ref="G122">_xlfn.TEXTJOIN(CHAR(10),TRUE,_xlfn._xlws.SORT(IF((--($B122=Flowdown_BTE[[URS]:[URS]]))*(--(G$14=Flowdown_BTE[[Source.Name]:[Source.Name]])),Flowdown_BTE[[SyRS]:[SyRS]],"")))</f>
        <v/>
      </c>
      <c r="H122" s="12" t="str" cm="1">
        <f t="array" ref="H122">_xlfn.TEXTJOIN(CHAR(10),TRUE,_xlfn._xlws.SORT(IF((--($B122=Flowdown_BTE[[URS]:[URS]]))*(--(H$14=Flowdown_BTE[[Source.Name]:[Source.Name]])),Flowdown_BTE[[SyRS]:[SyRS]],"")))</f>
        <v/>
      </c>
      <c r="I122" s="12" t="str" cm="1">
        <f t="array" ref="I122">_xlfn.TEXTJOIN(CHAR(10),TRUE,_xlfn._xlws.SORT(IF((--($B122=Flowdown_BTE[[URS]:[URS]]))*(--(I$14=Flowdown_BTE[[Source.Name]:[Source.Name]])),Flowdown_BTE[[SyRS]:[SyRS]],"")))</f>
        <v>MASTER-17280
MASTER-17283</v>
      </c>
      <c r="J122" s="12" t="str" cm="1">
        <f t="array" ref="J122">_xlfn.TEXTJOIN(CHAR(10),TRUE,_xlfn._xlws.SORT(IF((--($B122=Flowdown_BTE[[URS]:[URS]]))*(--(J$14=Flowdown_BTE[[Source.Name]:[Source.Name]])),Flowdown_BTE[[SyRS]:[SyRS]],"")))</f>
        <v/>
      </c>
      <c r="K122" s="12" t="str" cm="1">
        <f t="array" ref="K122">_xlfn.TEXTJOIN(CHAR(10),TRUE,_xlfn._xlws.SORT(IF((--($B122=Flowdown_BTE[[URS]:[URS]]))*(--(K$14=Flowdown_BTE[[Source.Name]:[Source.Name]])),Flowdown_BTE[[SyRS]:[SyRS]],"")))</f>
        <v/>
      </c>
      <c r="L122" s="16" t="b" cm="1">
        <f t="array" ref="L122">OR(LEN(C122:K122)&gt;0)</f>
        <v>1</v>
      </c>
    </row>
    <row r="123" spans="2:12" ht="54" x14ac:dyDescent="0.2">
      <c r="B123" s="11" t="str">
        <v>MASTER-6245</v>
      </c>
      <c r="C123" s="12" t="str" cm="1">
        <f t="array" ref="C123">_xlfn.TEXTJOIN(CHAR(10),TRUE,_xlfn._xlws.SORT(IF((--($B123=Flowdown_BTE[[URS]:[URS]]))*(--(C$14=Flowdown_BTE[[Source.Name]:[Source.Name]])),Flowdown_BTE[[SyRS]:[SyRS]],"")))</f>
        <v/>
      </c>
      <c r="D123" s="12" t="str" cm="1">
        <f t="array" ref="D123">_xlfn.TEXTJOIN(CHAR(10),TRUE,_xlfn._xlws.SORT(IF((--($B123=Flowdown_BTE[[URS]:[URS]]))*(--(D$14=Flowdown_BTE[[Source.Name]:[Source.Name]])),Flowdown_BTE[[SyRS]:[SyRS]],"")))</f>
        <v/>
      </c>
      <c r="E123" s="12" t="str" cm="1">
        <f t="array" ref="E123">_xlfn.TEXTJOIN(CHAR(10),TRUE,_xlfn._xlws.SORT(IF((--($B123=Flowdown_BTE[[URS]:[URS]]))*(--(E$14=Flowdown_BTE[[Source.Name]:[Source.Name]])),Flowdown_BTE[[SyRS]:[SyRS]],"")))</f>
        <v/>
      </c>
      <c r="F123" s="12" t="str" cm="1">
        <f t="array" ref="F123">_xlfn.TEXTJOIN(CHAR(10),TRUE,_xlfn._xlws.SORT(IF((--($B123=Flowdown_BTE[[URS]:[URS]]))*(--(F$14=Flowdown_BTE[[Source.Name]:[Source.Name]])),Flowdown_BTE[[SyRS]:[SyRS]],"")))</f>
        <v/>
      </c>
      <c r="G123" s="12" t="str" cm="1">
        <f t="array" ref="G123">_xlfn.TEXTJOIN(CHAR(10),TRUE,_xlfn._xlws.SORT(IF((--($B123=Flowdown_BTE[[URS]:[URS]]))*(--(G$14=Flowdown_BTE[[Source.Name]:[Source.Name]])),Flowdown_BTE[[SyRS]:[SyRS]],"")))</f>
        <v/>
      </c>
      <c r="H123" s="12" t="str" cm="1">
        <f t="array" ref="H123">_xlfn.TEXTJOIN(CHAR(10),TRUE,_xlfn._xlws.SORT(IF((--($B123=Flowdown_BTE[[URS]:[URS]]))*(--(H$14=Flowdown_BTE[[Source.Name]:[Source.Name]])),Flowdown_BTE[[SyRS]:[SyRS]],"")))</f>
        <v/>
      </c>
      <c r="I123" s="12" t="str" cm="1">
        <f t="array" ref="I123">_xlfn.TEXTJOIN(CHAR(10),TRUE,_xlfn._xlws.SORT(IF((--($B123=Flowdown_BTE[[URS]:[URS]]))*(--(I$14=Flowdown_BTE[[Source.Name]:[Source.Name]])),Flowdown_BTE[[SyRS]:[SyRS]],"")))</f>
        <v>MASTER-17298
MASTER-17308
UTICA-166
UTICA-167</v>
      </c>
      <c r="J123" s="12" t="str" cm="1">
        <f t="array" ref="J123">_xlfn.TEXTJOIN(CHAR(10),TRUE,_xlfn._xlws.SORT(IF((--($B123=Flowdown_BTE[[URS]:[URS]]))*(--(J$14=Flowdown_BTE[[Source.Name]:[Source.Name]])),Flowdown_BTE[[SyRS]:[SyRS]],"")))</f>
        <v>MASTER-17308
UTICA-2459</v>
      </c>
      <c r="K123" s="12" t="str" cm="1">
        <f t="array" ref="K123">_xlfn.TEXTJOIN(CHAR(10),TRUE,_xlfn._xlws.SORT(IF((--($B123=Flowdown_BTE[[URS]:[URS]]))*(--(K$14=Flowdown_BTE[[Source.Name]:[Source.Name]])),Flowdown_BTE[[SyRS]:[SyRS]],"")))</f>
        <v/>
      </c>
      <c r="L123" s="16" t="b" cm="1">
        <f t="array" ref="L123">OR(LEN(C123:K123)&gt;0)</f>
        <v>1</v>
      </c>
    </row>
    <row r="124" spans="2:12" ht="81" x14ac:dyDescent="0.2">
      <c r="B124" s="11" t="str">
        <v>MASTER-6255</v>
      </c>
      <c r="C124" s="12" t="str" cm="1">
        <f t="array" ref="C124">_xlfn.TEXTJOIN(CHAR(10),TRUE,_xlfn._xlws.SORT(IF((--($B124=Flowdown_BTE[[URS]:[URS]]))*(--(C$14=Flowdown_BTE[[Source.Name]:[Source.Name]])),Flowdown_BTE[[SyRS]:[SyRS]],"")))</f>
        <v>MASTER-19149</v>
      </c>
      <c r="D124" s="12" t="str" cm="1">
        <f t="array" ref="D124">_xlfn.TEXTJOIN(CHAR(10),TRUE,_xlfn._xlws.SORT(IF((--($B124=Flowdown_BTE[[URS]:[URS]]))*(--(D$14=Flowdown_BTE[[Source.Name]:[Source.Name]])),Flowdown_BTE[[SyRS]:[SyRS]],"")))</f>
        <v>MASTER-19149</v>
      </c>
      <c r="E124" s="12" t="str" cm="1">
        <f t="array" ref="E124">_xlfn.TEXTJOIN(CHAR(10),TRUE,_xlfn._xlws.SORT(IF((--($B124=Flowdown_BTE[[URS]:[URS]]))*(--(E$14=Flowdown_BTE[[Source.Name]:[Source.Name]])),Flowdown_BTE[[SyRS]:[SyRS]],"")))</f>
        <v>MASTER-19149</v>
      </c>
      <c r="F124" s="12" t="str" cm="1">
        <f t="array" ref="F124">_xlfn.TEXTJOIN(CHAR(10),TRUE,_xlfn._xlws.SORT(IF((--($B124=Flowdown_BTE[[URS]:[URS]]))*(--(F$14=Flowdown_BTE[[Source.Name]:[Source.Name]])),Flowdown_BTE[[SyRS]:[SyRS]],"")))</f>
        <v>MASTER-19149</v>
      </c>
      <c r="G124" s="12" t="str" cm="1">
        <f t="array" ref="G124">_xlfn.TEXTJOIN(CHAR(10),TRUE,_xlfn._xlws.SORT(IF((--($B124=Flowdown_BTE[[URS]:[URS]]))*(--(G$14=Flowdown_BTE[[Source.Name]:[Source.Name]])),Flowdown_BTE[[SyRS]:[SyRS]],"")))</f>
        <v>MASTER-19149</v>
      </c>
      <c r="H124" s="12" t="str" cm="1">
        <f t="array" ref="H124">_xlfn.TEXTJOIN(CHAR(10),TRUE,_xlfn._xlws.SORT(IF((--($B124=Flowdown_BTE[[URS]:[URS]]))*(--(H$14=Flowdown_BTE[[Source.Name]:[Source.Name]])),Flowdown_BTE[[SyRS]:[SyRS]],"")))</f>
        <v/>
      </c>
      <c r="I124" s="12" t="str" cm="1">
        <f t="array" ref="I124">_xlfn.TEXTJOIN(CHAR(10),TRUE,_xlfn._xlws.SORT(IF((--($B124=Flowdown_BTE[[URS]:[URS]]))*(--(I$14=Flowdown_BTE[[Source.Name]:[Source.Name]])),Flowdown_BTE[[SyRS]:[SyRS]],"")))</f>
        <v>MASTER-17313
MASTER-17316
MASTER-17452
UTICA-169
UTICA-170
UTICA-198</v>
      </c>
      <c r="J124" s="12" t="str" cm="1">
        <f t="array" ref="J124">_xlfn.TEXTJOIN(CHAR(10),TRUE,_xlfn._xlws.SORT(IF((--($B124=Flowdown_BTE[[URS]:[URS]]))*(--(J$14=Flowdown_BTE[[Source.Name]:[Source.Name]])),Flowdown_BTE[[SyRS]:[SyRS]],"")))</f>
        <v>MASTER-17313
MASTER-17316
UTICA-2458
UTICA-2460</v>
      </c>
      <c r="K124" s="12" t="str" cm="1">
        <f t="array" ref="K124">_xlfn.TEXTJOIN(CHAR(10),TRUE,_xlfn._xlws.SORT(IF((--($B124=Flowdown_BTE[[URS]:[URS]]))*(--(K$14=Flowdown_BTE[[Source.Name]:[Source.Name]])),Flowdown_BTE[[SyRS]:[SyRS]],"")))</f>
        <v/>
      </c>
      <c r="L124" s="16" t="b" cm="1">
        <f t="array" ref="L124">OR(LEN(C124:K124)&gt;0)</f>
        <v>1</v>
      </c>
    </row>
    <row r="125" spans="2:12" ht="27" x14ac:dyDescent="0.2">
      <c r="B125" s="11" t="str">
        <v>MASTER-6257</v>
      </c>
      <c r="C125" s="12" t="str" cm="1">
        <f t="array" ref="C125">_xlfn.TEXTJOIN(CHAR(10),TRUE,_xlfn._xlws.SORT(IF((--($B125=Flowdown_BTE[[URS]:[URS]]))*(--(C$14=Flowdown_BTE[[Source.Name]:[Source.Name]])),Flowdown_BTE[[SyRS]:[SyRS]],"")))</f>
        <v/>
      </c>
      <c r="D125" s="12" t="str" cm="1">
        <f t="array" ref="D125">_xlfn.TEXTJOIN(CHAR(10),TRUE,_xlfn._xlws.SORT(IF((--($B125=Flowdown_BTE[[URS]:[URS]]))*(--(D$14=Flowdown_BTE[[Source.Name]:[Source.Name]])),Flowdown_BTE[[SyRS]:[SyRS]],"")))</f>
        <v/>
      </c>
      <c r="E125" s="12" t="str" cm="1">
        <f t="array" ref="E125">_xlfn.TEXTJOIN(CHAR(10),TRUE,_xlfn._xlws.SORT(IF((--($B125=Flowdown_BTE[[URS]:[URS]]))*(--(E$14=Flowdown_BTE[[Source.Name]:[Source.Name]])),Flowdown_BTE[[SyRS]:[SyRS]],"")))</f>
        <v/>
      </c>
      <c r="F125" s="12" t="str" cm="1">
        <f t="array" ref="F125">_xlfn.TEXTJOIN(CHAR(10),TRUE,_xlfn._xlws.SORT(IF((--($B125=Flowdown_BTE[[URS]:[URS]]))*(--(F$14=Flowdown_BTE[[Source.Name]:[Source.Name]])),Flowdown_BTE[[SyRS]:[SyRS]],"")))</f>
        <v/>
      </c>
      <c r="G125" s="12" t="str" cm="1">
        <f t="array" ref="G125">_xlfn.TEXTJOIN(CHAR(10),TRUE,_xlfn._xlws.SORT(IF((--($B125=Flowdown_BTE[[URS]:[URS]]))*(--(G$14=Flowdown_BTE[[Source.Name]:[Source.Name]])),Flowdown_BTE[[SyRS]:[SyRS]],"")))</f>
        <v/>
      </c>
      <c r="H125" s="12" t="str" cm="1">
        <f t="array" ref="H125">_xlfn.TEXTJOIN(CHAR(10),TRUE,_xlfn._xlws.SORT(IF((--($B125=Flowdown_BTE[[URS]:[URS]]))*(--(H$14=Flowdown_BTE[[Source.Name]:[Source.Name]])),Flowdown_BTE[[SyRS]:[SyRS]],"")))</f>
        <v/>
      </c>
      <c r="I125" s="12" t="str" cm="1">
        <f t="array" ref="I125">_xlfn.TEXTJOIN(CHAR(10),TRUE,_xlfn._xlws.SORT(IF((--($B125=Flowdown_BTE[[URS]:[URS]]))*(--(I$14=Flowdown_BTE[[Source.Name]:[Source.Name]])),Flowdown_BTE[[SyRS]:[SyRS]],"")))</f>
        <v>MASTER-17452
UTICA-198</v>
      </c>
      <c r="J125" s="12" t="str" cm="1">
        <f t="array" ref="J125">_xlfn.TEXTJOIN(CHAR(10),TRUE,_xlfn._xlws.SORT(IF((--($B125=Flowdown_BTE[[URS]:[URS]]))*(--(J$14=Flowdown_BTE[[Source.Name]:[Source.Name]])),Flowdown_BTE[[SyRS]:[SyRS]],"")))</f>
        <v/>
      </c>
      <c r="K125" s="12" t="str" cm="1">
        <f t="array" ref="K125">_xlfn.TEXTJOIN(CHAR(10),TRUE,_xlfn._xlws.SORT(IF((--($B125=Flowdown_BTE[[URS]:[URS]]))*(--(K$14=Flowdown_BTE[[Source.Name]:[Source.Name]])),Flowdown_BTE[[SyRS]:[SyRS]],"")))</f>
        <v/>
      </c>
      <c r="L125" s="16" t="b" cm="1">
        <f t="array" ref="L125">OR(LEN(C125:K125)&gt;0)</f>
        <v>1</v>
      </c>
    </row>
    <row r="126" spans="2:12" ht="40.5" x14ac:dyDescent="0.2">
      <c r="B126" s="11" t="str">
        <v>MASTER-6261</v>
      </c>
      <c r="C126" s="12" t="str" cm="1">
        <f t="array" ref="C126">_xlfn.TEXTJOIN(CHAR(10),TRUE,_xlfn._xlws.SORT(IF((--($B126=Flowdown_BTE[[URS]:[URS]]))*(--(C$14=Flowdown_BTE[[Source.Name]:[Source.Name]])),Flowdown_BTE[[SyRS]:[SyRS]],"")))</f>
        <v/>
      </c>
      <c r="D126" s="12" t="str" cm="1">
        <f t="array" ref="D126">_xlfn.TEXTJOIN(CHAR(10),TRUE,_xlfn._xlws.SORT(IF((--($B126=Flowdown_BTE[[URS]:[URS]]))*(--(D$14=Flowdown_BTE[[Source.Name]:[Source.Name]])),Flowdown_BTE[[SyRS]:[SyRS]],"")))</f>
        <v/>
      </c>
      <c r="E126" s="12" t="str" cm="1">
        <f t="array" ref="E126">_xlfn.TEXTJOIN(CHAR(10),TRUE,_xlfn._xlws.SORT(IF((--($B126=Flowdown_BTE[[URS]:[URS]]))*(--(E$14=Flowdown_BTE[[Source.Name]:[Source.Name]])),Flowdown_BTE[[SyRS]:[SyRS]],"")))</f>
        <v/>
      </c>
      <c r="F126" s="12" t="str" cm="1">
        <f t="array" ref="F126">_xlfn.TEXTJOIN(CHAR(10),TRUE,_xlfn._xlws.SORT(IF((--($B126=Flowdown_BTE[[URS]:[URS]]))*(--(F$14=Flowdown_BTE[[Source.Name]:[Source.Name]])),Flowdown_BTE[[SyRS]:[SyRS]],"")))</f>
        <v/>
      </c>
      <c r="G126" s="12" t="str" cm="1">
        <f t="array" ref="G126">_xlfn.TEXTJOIN(CHAR(10),TRUE,_xlfn._xlws.SORT(IF((--($B126=Flowdown_BTE[[URS]:[URS]]))*(--(G$14=Flowdown_BTE[[Source.Name]:[Source.Name]])),Flowdown_BTE[[SyRS]:[SyRS]],"")))</f>
        <v/>
      </c>
      <c r="H126" s="12" t="str" cm="1">
        <f t="array" ref="H126">_xlfn.TEXTJOIN(CHAR(10),TRUE,_xlfn._xlws.SORT(IF((--($B126=Flowdown_BTE[[URS]:[URS]]))*(--(H$14=Flowdown_BTE[[Source.Name]:[Source.Name]])),Flowdown_BTE[[SyRS]:[SyRS]],"")))</f>
        <v/>
      </c>
      <c r="I126" s="12" t="str" cm="1">
        <f t="array" ref="I126">_xlfn.TEXTJOIN(CHAR(10),TRUE,_xlfn._xlws.SORT(IF((--($B126=Flowdown_BTE[[URS]:[URS]]))*(--(I$14=Flowdown_BTE[[Source.Name]:[Source.Name]])),Flowdown_BTE[[SyRS]:[SyRS]],"")))</f>
        <v>MASTER-17452
UTICA-168
UTICA-198</v>
      </c>
      <c r="J126" s="12" t="str" cm="1">
        <f t="array" ref="J126">_xlfn.TEXTJOIN(CHAR(10),TRUE,_xlfn._xlws.SORT(IF((--($B126=Flowdown_BTE[[URS]:[URS]]))*(--(J$14=Flowdown_BTE[[Source.Name]:[Source.Name]])),Flowdown_BTE[[SyRS]:[SyRS]],"")))</f>
        <v/>
      </c>
      <c r="K126" s="12" t="str" cm="1">
        <f t="array" ref="K126">_xlfn.TEXTJOIN(CHAR(10),TRUE,_xlfn._xlws.SORT(IF((--($B126=Flowdown_BTE[[URS]:[URS]]))*(--(K$14=Flowdown_BTE[[Source.Name]:[Source.Name]])),Flowdown_BTE[[SyRS]:[SyRS]],"")))</f>
        <v/>
      </c>
      <c r="L126" s="16" t="b" cm="1">
        <f t="array" ref="L126">OR(LEN(C126:K126)&gt;0)</f>
        <v>1</v>
      </c>
    </row>
    <row r="127" spans="2:12" ht="108" x14ac:dyDescent="0.2">
      <c r="B127" s="11" t="str">
        <v>MASTER-6268</v>
      </c>
      <c r="C127" s="12" t="str" cm="1">
        <f t="array" ref="C127">_xlfn.TEXTJOIN(CHAR(10),TRUE,_xlfn._xlws.SORT(IF((--($B127=Flowdown_BTE[[URS]:[URS]]))*(--(C$14=Flowdown_BTE[[Source.Name]:[Source.Name]])),Flowdown_BTE[[SyRS]:[SyRS]],"")))</f>
        <v/>
      </c>
      <c r="D127" s="12" t="str" cm="1">
        <f t="array" ref="D127">_xlfn.TEXTJOIN(CHAR(10),TRUE,_xlfn._xlws.SORT(IF((--($B127=Flowdown_BTE[[URS]:[URS]]))*(--(D$14=Flowdown_BTE[[Source.Name]:[Source.Name]])),Flowdown_BTE[[SyRS]:[SyRS]],"")))</f>
        <v/>
      </c>
      <c r="E127" s="12" t="str" cm="1">
        <f t="array" ref="E127">_xlfn.TEXTJOIN(CHAR(10),TRUE,_xlfn._xlws.SORT(IF((--($B127=Flowdown_BTE[[URS]:[URS]]))*(--(E$14=Flowdown_BTE[[Source.Name]:[Source.Name]])),Flowdown_BTE[[SyRS]:[SyRS]],"")))</f>
        <v/>
      </c>
      <c r="F127" s="12" t="str" cm="1">
        <f t="array" ref="F127">_xlfn.TEXTJOIN(CHAR(10),TRUE,_xlfn._xlws.SORT(IF((--($B127=Flowdown_BTE[[URS]:[URS]]))*(--(F$14=Flowdown_BTE[[Source.Name]:[Source.Name]])),Flowdown_BTE[[SyRS]:[SyRS]],"")))</f>
        <v/>
      </c>
      <c r="G127" s="12" t="str" cm="1">
        <f t="array" ref="G127">_xlfn.TEXTJOIN(CHAR(10),TRUE,_xlfn._xlws.SORT(IF((--($B127=Flowdown_BTE[[URS]:[URS]]))*(--(G$14=Flowdown_BTE[[Source.Name]:[Source.Name]])),Flowdown_BTE[[SyRS]:[SyRS]],"")))</f>
        <v/>
      </c>
      <c r="H127" s="12" t="str" cm="1">
        <f t="array" ref="H127">_xlfn.TEXTJOIN(CHAR(10),TRUE,_xlfn._xlws.SORT(IF((--($B127=Flowdown_BTE[[URS]:[URS]]))*(--(H$14=Flowdown_BTE[[Source.Name]:[Source.Name]])),Flowdown_BTE[[SyRS]:[SyRS]],"")))</f>
        <v/>
      </c>
      <c r="I127" s="12" t="str" cm="1">
        <f t="array" ref="I127">_xlfn.TEXTJOIN(CHAR(10),TRUE,_xlfn._xlws.SORT(IF((--($B127=Flowdown_BTE[[URS]:[URS]]))*(--(I$14=Flowdown_BTE[[Source.Name]:[Source.Name]])),Flowdown_BTE[[SyRS]:[SyRS]],"")))</f>
        <v>MASTER-17398
MASTER-17399
MASTER-17400
MASTER-17401
UTICA-182
UTICA-183
UTICA-184
UTICA-185</v>
      </c>
      <c r="J127" s="12" t="str" cm="1">
        <f t="array" ref="J127">_xlfn.TEXTJOIN(CHAR(10),TRUE,_xlfn._xlws.SORT(IF((--($B127=Flowdown_BTE[[URS]:[URS]]))*(--(J$14=Flowdown_BTE[[Source.Name]:[Source.Name]])),Flowdown_BTE[[SyRS]:[SyRS]],"")))</f>
        <v/>
      </c>
      <c r="K127" s="12" t="str" cm="1">
        <f t="array" ref="K127">_xlfn.TEXTJOIN(CHAR(10),TRUE,_xlfn._xlws.SORT(IF((--($B127=Flowdown_BTE[[URS]:[URS]]))*(--(K$14=Flowdown_BTE[[Source.Name]:[Source.Name]])),Flowdown_BTE[[SyRS]:[SyRS]],"")))</f>
        <v/>
      </c>
      <c r="L127" s="16" t="b" cm="1">
        <f t="array" ref="L127">OR(LEN(C127:K127)&gt;0)</f>
        <v>1</v>
      </c>
    </row>
    <row r="128" spans="2:12" ht="54" x14ac:dyDescent="0.2">
      <c r="B128" s="11" t="str">
        <v>MASTER-6270</v>
      </c>
      <c r="C128" s="12" t="str" cm="1">
        <f t="array" ref="C128">_xlfn.TEXTJOIN(CHAR(10),TRUE,_xlfn._xlws.SORT(IF((--($B128=Flowdown_BTE[[URS]:[URS]]))*(--(C$14=Flowdown_BTE[[Source.Name]:[Source.Name]])),Flowdown_BTE[[SyRS]:[SyRS]],"")))</f>
        <v/>
      </c>
      <c r="D128" s="12" t="str" cm="1">
        <f t="array" ref="D128">_xlfn.TEXTJOIN(CHAR(10),TRUE,_xlfn._xlws.SORT(IF((--($B128=Flowdown_BTE[[URS]:[URS]]))*(--(D$14=Flowdown_BTE[[Source.Name]:[Source.Name]])),Flowdown_BTE[[SyRS]:[SyRS]],"")))</f>
        <v/>
      </c>
      <c r="E128" s="12" t="str" cm="1">
        <f t="array" ref="E128">_xlfn.TEXTJOIN(CHAR(10),TRUE,_xlfn._xlws.SORT(IF((--($B128=Flowdown_BTE[[URS]:[URS]]))*(--(E$14=Flowdown_BTE[[Source.Name]:[Source.Name]])),Flowdown_BTE[[SyRS]:[SyRS]],"")))</f>
        <v/>
      </c>
      <c r="F128" s="12" t="str" cm="1">
        <f t="array" ref="F128">_xlfn.TEXTJOIN(CHAR(10),TRUE,_xlfn._xlws.SORT(IF((--($B128=Flowdown_BTE[[URS]:[URS]]))*(--(F$14=Flowdown_BTE[[Source.Name]:[Source.Name]])),Flowdown_BTE[[SyRS]:[SyRS]],"")))</f>
        <v/>
      </c>
      <c r="G128" s="12" t="str" cm="1">
        <f t="array" ref="G128">_xlfn.TEXTJOIN(CHAR(10),TRUE,_xlfn._xlws.SORT(IF((--($B128=Flowdown_BTE[[URS]:[URS]]))*(--(G$14=Flowdown_BTE[[Source.Name]:[Source.Name]])),Flowdown_BTE[[SyRS]:[SyRS]],"")))</f>
        <v/>
      </c>
      <c r="H128" s="12" t="str" cm="1">
        <f t="array" ref="H128">_xlfn.TEXTJOIN(CHAR(10),TRUE,_xlfn._xlws.SORT(IF((--($B128=Flowdown_BTE[[URS]:[URS]]))*(--(H$14=Flowdown_BTE[[Source.Name]:[Source.Name]])),Flowdown_BTE[[SyRS]:[SyRS]],"")))</f>
        <v/>
      </c>
      <c r="I128" s="12" t="str" cm="1">
        <f t="array" ref="I128">_xlfn.TEXTJOIN(CHAR(10),TRUE,_xlfn._xlws.SORT(IF((--($B128=Flowdown_BTE[[URS]:[URS]]))*(--(I$14=Flowdown_BTE[[Source.Name]:[Source.Name]])),Flowdown_BTE[[SyRS]:[SyRS]],"")))</f>
        <v>MASTER-17390
MASTER-17391
UTICA-177
UTICA-178</v>
      </c>
      <c r="J128" s="12" t="str" cm="1">
        <f t="array" ref="J128">_xlfn.TEXTJOIN(CHAR(10),TRUE,_xlfn._xlws.SORT(IF((--($B128=Flowdown_BTE[[URS]:[URS]]))*(--(J$14=Flowdown_BTE[[Source.Name]:[Source.Name]])),Flowdown_BTE[[SyRS]:[SyRS]],"")))</f>
        <v/>
      </c>
      <c r="K128" s="12" t="str" cm="1">
        <f t="array" ref="K128">_xlfn.TEXTJOIN(CHAR(10),TRUE,_xlfn._xlws.SORT(IF((--($B128=Flowdown_BTE[[URS]:[URS]]))*(--(K$14=Flowdown_BTE[[Source.Name]:[Source.Name]])),Flowdown_BTE[[SyRS]:[SyRS]],"")))</f>
        <v/>
      </c>
      <c r="L128" s="16" t="b" cm="1">
        <f t="array" ref="L128">OR(LEN(C128:K128)&gt;0)</f>
        <v>1</v>
      </c>
    </row>
    <row r="129" spans="2:12" ht="27" x14ac:dyDescent="0.2">
      <c r="B129" s="11" t="str">
        <v>MASTER-6272</v>
      </c>
      <c r="C129" s="12" t="str" cm="1">
        <f t="array" ref="C129">_xlfn.TEXTJOIN(CHAR(10),TRUE,_xlfn._xlws.SORT(IF((--($B129=Flowdown_BTE[[URS]:[URS]]))*(--(C$14=Flowdown_BTE[[Source.Name]:[Source.Name]])),Flowdown_BTE[[SyRS]:[SyRS]],"")))</f>
        <v/>
      </c>
      <c r="D129" s="12" t="str" cm="1">
        <f t="array" ref="D129">_xlfn.TEXTJOIN(CHAR(10),TRUE,_xlfn._xlws.SORT(IF((--($B129=Flowdown_BTE[[URS]:[URS]]))*(--(D$14=Flowdown_BTE[[Source.Name]:[Source.Name]])),Flowdown_BTE[[SyRS]:[SyRS]],"")))</f>
        <v/>
      </c>
      <c r="E129" s="12" t="str" cm="1">
        <f t="array" ref="E129">_xlfn.TEXTJOIN(CHAR(10),TRUE,_xlfn._xlws.SORT(IF((--($B129=Flowdown_BTE[[URS]:[URS]]))*(--(E$14=Flowdown_BTE[[Source.Name]:[Source.Name]])),Flowdown_BTE[[SyRS]:[SyRS]],"")))</f>
        <v/>
      </c>
      <c r="F129" s="12" t="str" cm="1">
        <f t="array" ref="F129">_xlfn.TEXTJOIN(CHAR(10),TRUE,_xlfn._xlws.SORT(IF((--($B129=Flowdown_BTE[[URS]:[URS]]))*(--(F$14=Flowdown_BTE[[Source.Name]:[Source.Name]])),Flowdown_BTE[[SyRS]:[SyRS]],"")))</f>
        <v/>
      </c>
      <c r="G129" s="12" t="str" cm="1">
        <f t="array" ref="G129">_xlfn.TEXTJOIN(CHAR(10),TRUE,_xlfn._xlws.SORT(IF((--($B129=Flowdown_BTE[[URS]:[URS]]))*(--(G$14=Flowdown_BTE[[Source.Name]:[Source.Name]])),Flowdown_BTE[[SyRS]:[SyRS]],"")))</f>
        <v/>
      </c>
      <c r="H129" s="12" t="str" cm="1">
        <f t="array" ref="H129">_xlfn.TEXTJOIN(CHAR(10),TRUE,_xlfn._xlws.SORT(IF((--($B129=Flowdown_BTE[[URS]:[URS]]))*(--(H$14=Flowdown_BTE[[Source.Name]:[Source.Name]])),Flowdown_BTE[[SyRS]:[SyRS]],"")))</f>
        <v/>
      </c>
      <c r="I129" s="12" t="str" cm="1">
        <f t="array" ref="I129">_xlfn.TEXTJOIN(CHAR(10),TRUE,_xlfn._xlws.SORT(IF((--($B129=Flowdown_BTE[[URS]:[URS]]))*(--(I$14=Flowdown_BTE[[Source.Name]:[Source.Name]])),Flowdown_BTE[[SyRS]:[SyRS]],"")))</f>
        <v>MASTER-17397
UTICA-181</v>
      </c>
      <c r="J129" s="12" t="str" cm="1">
        <f t="array" ref="J129">_xlfn.TEXTJOIN(CHAR(10),TRUE,_xlfn._xlws.SORT(IF((--($B129=Flowdown_BTE[[URS]:[URS]]))*(--(J$14=Flowdown_BTE[[Source.Name]:[Source.Name]])),Flowdown_BTE[[SyRS]:[SyRS]],"")))</f>
        <v/>
      </c>
      <c r="K129" s="12" t="str" cm="1">
        <f t="array" ref="K129">_xlfn.TEXTJOIN(CHAR(10),TRUE,_xlfn._xlws.SORT(IF((--($B129=Flowdown_BTE[[URS]:[URS]]))*(--(K$14=Flowdown_BTE[[Source.Name]:[Source.Name]])),Flowdown_BTE[[SyRS]:[SyRS]],"")))</f>
        <v/>
      </c>
      <c r="L129" s="16" t="b" cm="1">
        <f t="array" ref="L129">OR(LEN(C129:K129)&gt;0)</f>
        <v>1</v>
      </c>
    </row>
    <row r="130" spans="2:12" ht="54" x14ac:dyDescent="0.2">
      <c r="B130" s="11" t="str">
        <v>MASTER-6273</v>
      </c>
      <c r="C130" s="12" t="str" cm="1">
        <f t="array" ref="C130">_xlfn.TEXTJOIN(CHAR(10),TRUE,_xlfn._xlws.SORT(IF((--($B130=Flowdown_BTE[[URS]:[URS]]))*(--(C$14=Flowdown_BTE[[Source.Name]:[Source.Name]])),Flowdown_BTE[[SyRS]:[SyRS]],"")))</f>
        <v/>
      </c>
      <c r="D130" s="12" t="str" cm="1">
        <f t="array" ref="D130">_xlfn.TEXTJOIN(CHAR(10),TRUE,_xlfn._xlws.SORT(IF((--($B130=Flowdown_BTE[[URS]:[URS]]))*(--(D$14=Flowdown_BTE[[Source.Name]:[Source.Name]])),Flowdown_BTE[[SyRS]:[SyRS]],"")))</f>
        <v/>
      </c>
      <c r="E130" s="12" t="str" cm="1">
        <f t="array" ref="E130">_xlfn.TEXTJOIN(CHAR(10),TRUE,_xlfn._xlws.SORT(IF((--($B130=Flowdown_BTE[[URS]:[URS]]))*(--(E$14=Flowdown_BTE[[Source.Name]:[Source.Name]])),Flowdown_BTE[[SyRS]:[SyRS]],"")))</f>
        <v/>
      </c>
      <c r="F130" s="12" t="str" cm="1">
        <f t="array" ref="F130">_xlfn.TEXTJOIN(CHAR(10),TRUE,_xlfn._xlws.SORT(IF((--($B130=Flowdown_BTE[[URS]:[URS]]))*(--(F$14=Flowdown_BTE[[Source.Name]:[Source.Name]])),Flowdown_BTE[[SyRS]:[SyRS]],"")))</f>
        <v/>
      </c>
      <c r="G130" s="12" t="str" cm="1">
        <f t="array" ref="G130">_xlfn.TEXTJOIN(CHAR(10),TRUE,_xlfn._xlws.SORT(IF((--($B130=Flowdown_BTE[[URS]:[URS]]))*(--(G$14=Flowdown_BTE[[Source.Name]:[Source.Name]])),Flowdown_BTE[[SyRS]:[SyRS]],"")))</f>
        <v/>
      </c>
      <c r="H130" s="12" t="str" cm="1">
        <f t="array" ref="H130">_xlfn.TEXTJOIN(CHAR(10),TRUE,_xlfn._xlws.SORT(IF((--($B130=Flowdown_BTE[[URS]:[URS]]))*(--(H$14=Flowdown_BTE[[Source.Name]:[Source.Name]])),Flowdown_BTE[[SyRS]:[SyRS]],"")))</f>
        <v/>
      </c>
      <c r="I130" s="12" t="str" cm="1">
        <f t="array" ref="I130">_xlfn.TEXTJOIN(CHAR(10),TRUE,_xlfn._xlws.SORT(IF((--($B130=Flowdown_BTE[[URS]:[URS]]))*(--(I$14=Flowdown_BTE[[Source.Name]:[Source.Name]])),Flowdown_BTE[[SyRS]:[SyRS]],"")))</f>
        <v>MASTER-17393
MASTER-17394
UTICA-179
UTICA-180</v>
      </c>
      <c r="J130" s="12" t="str" cm="1">
        <f t="array" ref="J130">_xlfn.TEXTJOIN(CHAR(10),TRUE,_xlfn._xlws.SORT(IF((--($B130=Flowdown_BTE[[URS]:[URS]]))*(--(J$14=Flowdown_BTE[[Source.Name]:[Source.Name]])),Flowdown_BTE[[SyRS]:[SyRS]],"")))</f>
        <v>MASTER-17393
MASTER-17394</v>
      </c>
      <c r="K130" s="12" t="str" cm="1">
        <f t="array" ref="K130">_xlfn.TEXTJOIN(CHAR(10),TRUE,_xlfn._xlws.SORT(IF((--($B130=Flowdown_BTE[[URS]:[URS]]))*(--(K$14=Flowdown_BTE[[Source.Name]:[Source.Name]])),Flowdown_BTE[[SyRS]:[SyRS]],"")))</f>
        <v/>
      </c>
      <c r="L130" s="16" t="b" cm="1">
        <f t="array" ref="L130">OR(LEN(C130:K130)&gt;0)</f>
        <v>1</v>
      </c>
    </row>
    <row r="131" spans="2:12" ht="54" x14ac:dyDescent="0.2">
      <c r="B131" s="11" t="str">
        <v>MASTER-6274</v>
      </c>
      <c r="C131" s="12" t="str" cm="1">
        <f t="array" ref="C131">_xlfn.TEXTJOIN(CHAR(10),TRUE,_xlfn._xlws.SORT(IF((--($B131=Flowdown_BTE[[URS]:[URS]]))*(--(C$14=Flowdown_BTE[[Source.Name]:[Source.Name]])),Flowdown_BTE[[SyRS]:[SyRS]],"")))</f>
        <v/>
      </c>
      <c r="D131" s="12" t="str" cm="1">
        <f t="array" ref="D131">_xlfn.TEXTJOIN(CHAR(10),TRUE,_xlfn._xlws.SORT(IF((--($B131=Flowdown_BTE[[URS]:[URS]]))*(--(D$14=Flowdown_BTE[[Source.Name]:[Source.Name]])),Flowdown_BTE[[SyRS]:[SyRS]],"")))</f>
        <v/>
      </c>
      <c r="E131" s="12" t="str" cm="1">
        <f t="array" ref="E131">_xlfn.TEXTJOIN(CHAR(10),TRUE,_xlfn._xlws.SORT(IF((--($B131=Flowdown_BTE[[URS]:[URS]]))*(--(E$14=Flowdown_BTE[[Source.Name]:[Source.Name]])),Flowdown_BTE[[SyRS]:[SyRS]],"")))</f>
        <v/>
      </c>
      <c r="F131" s="12" t="str" cm="1">
        <f t="array" ref="F131">_xlfn.TEXTJOIN(CHAR(10),TRUE,_xlfn._xlws.SORT(IF((--($B131=Flowdown_BTE[[URS]:[URS]]))*(--(F$14=Flowdown_BTE[[Source.Name]:[Source.Name]])),Flowdown_BTE[[SyRS]:[SyRS]],"")))</f>
        <v/>
      </c>
      <c r="G131" s="12" t="str" cm="1">
        <f t="array" ref="G131">_xlfn.TEXTJOIN(CHAR(10),TRUE,_xlfn._xlws.SORT(IF((--($B131=Flowdown_BTE[[URS]:[URS]]))*(--(G$14=Flowdown_BTE[[Source.Name]:[Source.Name]])),Flowdown_BTE[[SyRS]:[SyRS]],"")))</f>
        <v/>
      </c>
      <c r="H131" s="12" t="str" cm="1">
        <f t="array" ref="H131">_xlfn.TEXTJOIN(CHAR(10),TRUE,_xlfn._xlws.SORT(IF((--($B131=Flowdown_BTE[[URS]:[URS]]))*(--(H$14=Flowdown_BTE[[Source.Name]:[Source.Name]])),Flowdown_BTE[[SyRS]:[SyRS]],"")))</f>
        <v/>
      </c>
      <c r="I131" s="12" t="str" cm="1">
        <f t="array" ref="I131">_xlfn.TEXTJOIN(CHAR(10),TRUE,_xlfn._xlws.SORT(IF((--($B131=Flowdown_BTE[[URS]:[URS]]))*(--(I$14=Flowdown_BTE[[Source.Name]:[Source.Name]])),Flowdown_BTE[[SyRS]:[SyRS]],"")))</f>
        <v>MASTER-17410
MASTER-17411
UTICA-188
UTICA-189</v>
      </c>
      <c r="J131" s="12" t="str" cm="1">
        <f t="array" ref="J131">_xlfn.TEXTJOIN(CHAR(10),TRUE,_xlfn._xlws.SORT(IF((--($B131=Flowdown_BTE[[URS]:[URS]]))*(--(J$14=Flowdown_BTE[[Source.Name]:[Source.Name]])),Flowdown_BTE[[SyRS]:[SyRS]],"")))</f>
        <v>MASTER-17410
MASTER-17411
UTICA-2499</v>
      </c>
      <c r="K131" s="12" t="str" cm="1">
        <f t="array" ref="K131">_xlfn.TEXTJOIN(CHAR(10),TRUE,_xlfn._xlws.SORT(IF((--($B131=Flowdown_BTE[[URS]:[URS]]))*(--(K$14=Flowdown_BTE[[Source.Name]:[Source.Name]])),Flowdown_BTE[[SyRS]:[SyRS]],"")))</f>
        <v/>
      </c>
      <c r="L131" s="16" t="b" cm="1">
        <f t="array" ref="L131">OR(LEN(C131:K131)&gt;0)</f>
        <v>1</v>
      </c>
    </row>
    <row r="132" spans="2:12" ht="108" x14ac:dyDescent="0.2">
      <c r="B132" s="11" t="str">
        <v>MASTER-6275</v>
      </c>
      <c r="C132" s="12" t="str" cm="1">
        <f t="array" ref="C132">_xlfn.TEXTJOIN(CHAR(10),TRUE,_xlfn._xlws.SORT(IF((--($B132=Flowdown_BTE[[URS]:[URS]]))*(--(C$14=Flowdown_BTE[[Source.Name]:[Source.Name]])),Flowdown_BTE[[SyRS]:[SyRS]],"")))</f>
        <v/>
      </c>
      <c r="D132" s="12" t="str" cm="1">
        <f t="array" ref="D132">_xlfn.TEXTJOIN(CHAR(10),TRUE,_xlfn._xlws.SORT(IF((--($B132=Flowdown_BTE[[URS]:[URS]]))*(--(D$14=Flowdown_BTE[[Source.Name]:[Source.Name]])),Flowdown_BTE[[SyRS]:[SyRS]],"")))</f>
        <v/>
      </c>
      <c r="E132" s="12" t="str" cm="1">
        <f t="array" ref="E132">_xlfn.TEXTJOIN(CHAR(10),TRUE,_xlfn._xlws.SORT(IF((--($B132=Flowdown_BTE[[URS]:[URS]]))*(--(E$14=Flowdown_BTE[[Source.Name]:[Source.Name]])),Flowdown_BTE[[SyRS]:[SyRS]],"")))</f>
        <v/>
      </c>
      <c r="F132" s="12" t="str" cm="1">
        <f t="array" ref="F132">_xlfn.TEXTJOIN(CHAR(10),TRUE,_xlfn._xlws.SORT(IF((--($B132=Flowdown_BTE[[URS]:[URS]]))*(--(F$14=Flowdown_BTE[[Source.Name]:[Source.Name]])),Flowdown_BTE[[SyRS]:[SyRS]],"")))</f>
        <v/>
      </c>
      <c r="G132" s="12" t="str" cm="1">
        <f t="array" ref="G132">_xlfn.TEXTJOIN(CHAR(10),TRUE,_xlfn._xlws.SORT(IF((--($B132=Flowdown_BTE[[URS]:[URS]]))*(--(G$14=Flowdown_BTE[[Source.Name]:[Source.Name]])),Flowdown_BTE[[SyRS]:[SyRS]],"")))</f>
        <v/>
      </c>
      <c r="H132" s="12" t="str" cm="1">
        <f t="array" ref="H132">_xlfn.TEXTJOIN(CHAR(10),TRUE,_xlfn._xlws.SORT(IF((--($B132=Flowdown_BTE[[URS]:[URS]]))*(--(H$14=Flowdown_BTE[[Source.Name]:[Source.Name]])),Flowdown_BTE[[SyRS]:[SyRS]],"")))</f>
        <v/>
      </c>
      <c r="I132" s="12" t="str" cm="1">
        <f t="array" ref="I132">_xlfn.TEXTJOIN(CHAR(10),TRUE,_xlfn._xlws.SORT(IF((--($B132=Flowdown_BTE[[URS]:[URS]]))*(--(I$14=Flowdown_BTE[[Source.Name]:[Source.Name]])),Flowdown_BTE[[SyRS]:[SyRS]],"")))</f>
        <v>MASTER-17386
MASTER-17387
MASTER-17388
MASTER-17412
UTICA-173
UTICA-174
UTICA-175
UTICA-190</v>
      </c>
      <c r="J132" s="12" t="str" cm="1">
        <f t="array" ref="J132">_xlfn.TEXTJOIN(CHAR(10),TRUE,_xlfn._xlws.SORT(IF((--($B132=Flowdown_BTE[[URS]:[URS]]))*(--(J$14=Flowdown_BTE[[Source.Name]:[Source.Name]])),Flowdown_BTE[[SyRS]:[SyRS]],"")))</f>
        <v>MASTER-17388
MASTER-17412
MASTER-17413
UTICA-2500
UTICA-2501</v>
      </c>
      <c r="K132" s="12" t="str" cm="1">
        <f t="array" ref="K132">_xlfn.TEXTJOIN(CHAR(10),TRUE,_xlfn._xlws.SORT(IF((--($B132=Flowdown_BTE[[URS]:[URS]]))*(--(K$14=Flowdown_BTE[[Source.Name]:[Source.Name]])),Flowdown_BTE[[SyRS]:[SyRS]],"")))</f>
        <v/>
      </c>
      <c r="L132" s="16" t="b" cm="1">
        <f t="array" ref="L132">OR(LEN(C132:K132)&gt;0)</f>
        <v>1</v>
      </c>
    </row>
    <row r="133" spans="2:12" ht="216" x14ac:dyDescent="0.2">
      <c r="B133" s="11" t="str">
        <v>MASTER-6276</v>
      </c>
      <c r="C133" s="12" t="str" cm="1">
        <f t="array" ref="C133">_xlfn.TEXTJOIN(CHAR(10),TRUE,_xlfn._xlws.SORT(IF((--($B133=Flowdown_BTE[[URS]:[URS]]))*(--(C$14=Flowdown_BTE[[Source.Name]:[Source.Name]])),Flowdown_BTE[[SyRS]:[SyRS]],"")))</f>
        <v/>
      </c>
      <c r="D133" s="12" t="str" cm="1">
        <f t="array" ref="D133">_xlfn.TEXTJOIN(CHAR(10),TRUE,_xlfn._xlws.SORT(IF((--($B133=Flowdown_BTE[[URS]:[URS]]))*(--(D$14=Flowdown_BTE[[Source.Name]:[Source.Name]])),Flowdown_BTE[[SyRS]:[SyRS]],"")))</f>
        <v/>
      </c>
      <c r="E133" s="12" t="str" cm="1">
        <f t="array" ref="E133">_xlfn.TEXTJOIN(CHAR(10),TRUE,_xlfn._xlws.SORT(IF((--($B133=Flowdown_BTE[[URS]:[URS]]))*(--(E$14=Flowdown_BTE[[Source.Name]:[Source.Name]])),Flowdown_BTE[[SyRS]:[SyRS]],"")))</f>
        <v/>
      </c>
      <c r="F133" s="12" t="str" cm="1">
        <f t="array" ref="F133">_xlfn.TEXTJOIN(CHAR(10),TRUE,_xlfn._xlws.SORT(IF((--($B133=Flowdown_BTE[[URS]:[URS]]))*(--(F$14=Flowdown_BTE[[Source.Name]:[Source.Name]])),Flowdown_BTE[[SyRS]:[SyRS]],"")))</f>
        <v/>
      </c>
      <c r="G133" s="12" t="str" cm="1">
        <f t="array" ref="G133">_xlfn.TEXTJOIN(CHAR(10),TRUE,_xlfn._xlws.SORT(IF((--($B133=Flowdown_BTE[[URS]:[URS]]))*(--(G$14=Flowdown_BTE[[Source.Name]:[Source.Name]])),Flowdown_BTE[[SyRS]:[SyRS]],"")))</f>
        <v/>
      </c>
      <c r="H133" s="12" t="str" cm="1">
        <f t="array" ref="H133">_xlfn.TEXTJOIN(CHAR(10),TRUE,_xlfn._xlws.SORT(IF((--($B133=Flowdown_BTE[[URS]:[URS]]))*(--(H$14=Flowdown_BTE[[Source.Name]:[Source.Name]])),Flowdown_BTE[[SyRS]:[SyRS]],"")))</f>
        <v/>
      </c>
      <c r="I133" s="12" t="str" cm="1">
        <f t="array" ref="I133">_xlfn.TEXTJOIN(CHAR(10),TRUE,_xlfn._xlws.SORT(IF((--($B133=Flowdown_BTE[[URS]:[URS]]))*(--(I$14=Flowdown_BTE[[Source.Name]:[Source.Name]])),Flowdown_BTE[[SyRS]:[SyRS]],"")))</f>
        <v>MASTER-17398
MASTER-17399
MASTER-17400
MASTER-17401
MASTER-17403
MASTER-17405
MASTER-17414
MASTER-17415
UTICA-182
UTICA-183
UTICA-184
UTICA-185
UTICA-186
UTICA-187
UTICA-191
UTICA-192</v>
      </c>
      <c r="J133" s="12" t="str" cm="1">
        <f t="array" ref="J133">_xlfn.TEXTJOIN(CHAR(10),TRUE,_xlfn._xlws.SORT(IF((--($B133=Flowdown_BTE[[URS]:[URS]]))*(--(J$14=Flowdown_BTE[[Source.Name]:[Source.Name]])),Flowdown_BTE[[SyRS]:[SyRS]],"")))</f>
        <v>MASTER-17414
MASTER-17415</v>
      </c>
      <c r="K133" s="12" t="str" cm="1">
        <f t="array" ref="K133">_xlfn.TEXTJOIN(CHAR(10),TRUE,_xlfn._xlws.SORT(IF((--($B133=Flowdown_BTE[[URS]:[URS]]))*(--(K$14=Flowdown_BTE[[Source.Name]:[Source.Name]])),Flowdown_BTE[[SyRS]:[SyRS]],"")))</f>
        <v/>
      </c>
      <c r="L133" s="16" t="b" cm="1">
        <f t="array" ref="L133">OR(LEN(C133:K133)&gt;0)</f>
        <v>1</v>
      </c>
    </row>
    <row r="134" spans="2:12" ht="54" x14ac:dyDescent="0.2">
      <c r="B134" s="11" t="str">
        <v>MASTER-6277</v>
      </c>
      <c r="C134" s="12" t="str" cm="1">
        <f t="array" ref="C134">_xlfn.TEXTJOIN(CHAR(10),TRUE,_xlfn._xlws.SORT(IF((--($B134=Flowdown_BTE[[URS]:[URS]]))*(--(C$14=Flowdown_BTE[[Source.Name]:[Source.Name]])),Flowdown_BTE[[SyRS]:[SyRS]],"")))</f>
        <v/>
      </c>
      <c r="D134" s="12" t="str" cm="1">
        <f t="array" ref="D134">_xlfn.TEXTJOIN(CHAR(10),TRUE,_xlfn._xlws.SORT(IF((--($B134=Flowdown_BTE[[URS]:[URS]]))*(--(D$14=Flowdown_BTE[[Source.Name]:[Source.Name]])),Flowdown_BTE[[SyRS]:[SyRS]],"")))</f>
        <v/>
      </c>
      <c r="E134" s="12" t="str" cm="1">
        <f t="array" ref="E134">_xlfn.TEXTJOIN(CHAR(10),TRUE,_xlfn._xlws.SORT(IF((--($B134=Flowdown_BTE[[URS]:[URS]]))*(--(E$14=Flowdown_BTE[[Source.Name]:[Source.Name]])),Flowdown_BTE[[SyRS]:[SyRS]],"")))</f>
        <v/>
      </c>
      <c r="F134" s="12" t="str" cm="1">
        <f t="array" ref="F134">_xlfn.TEXTJOIN(CHAR(10),TRUE,_xlfn._xlws.SORT(IF((--($B134=Flowdown_BTE[[URS]:[URS]]))*(--(F$14=Flowdown_BTE[[Source.Name]:[Source.Name]])),Flowdown_BTE[[SyRS]:[SyRS]],"")))</f>
        <v/>
      </c>
      <c r="G134" s="12" t="str" cm="1">
        <f t="array" ref="G134">_xlfn.TEXTJOIN(CHAR(10),TRUE,_xlfn._xlws.SORT(IF((--($B134=Flowdown_BTE[[URS]:[URS]]))*(--(G$14=Flowdown_BTE[[Source.Name]:[Source.Name]])),Flowdown_BTE[[SyRS]:[SyRS]],"")))</f>
        <v/>
      </c>
      <c r="H134" s="12" t="str" cm="1">
        <f t="array" ref="H134">_xlfn.TEXTJOIN(CHAR(10),TRUE,_xlfn._xlws.SORT(IF((--($B134=Flowdown_BTE[[URS]:[URS]]))*(--(H$14=Flowdown_BTE[[Source.Name]:[Source.Name]])),Flowdown_BTE[[SyRS]:[SyRS]],"")))</f>
        <v/>
      </c>
      <c r="I134" s="12" t="str" cm="1">
        <f t="array" ref="I134">_xlfn.TEXTJOIN(CHAR(10),TRUE,_xlfn._xlws.SORT(IF((--($B134=Flowdown_BTE[[URS]:[URS]]))*(--(I$14=Flowdown_BTE[[Source.Name]:[Source.Name]])),Flowdown_BTE[[SyRS]:[SyRS]],"")))</f>
        <v>MASTER-17419
MASTER-17420
UTICA-193
UTICA-194</v>
      </c>
      <c r="J134" s="12" t="str" cm="1">
        <f t="array" ref="J134">_xlfn.TEXTJOIN(CHAR(10),TRUE,_xlfn._xlws.SORT(IF((--($B134=Flowdown_BTE[[URS]:[URS]]))*(--(J$14=Flowdown_BTE[[Source.Name]:[Source.Name]])),Flowdown_BTE[[SyRS]:[SyRS]],"")))</f>
        <v>MASTER-17420
MASTER-17430
UTICA-2463</v>
      </c>
      <c r="K134" s="12" t="str" cm="1">
        <f t="array" ref="K134">_xlfn.TEXTJOIN(CHAR(10),TRUE,_xlfn._xlws.SORT(IF((--($B134=Flowdown_BTE[[URS]:[URS]]))*(--(K$14=Flowdown_BTE[[Source.Name]:[Source.Name]])),Flowdown_BTE[[SyRS]:[SyRS]],"")))</f>
        <v/>
      </c>
      <c r="L134" s="16" t="b" cm="1">
        <f t="array" ref="L134">OR(LEN(C134:K134)&gt;0)</f>
        <v>1</v>
      </c>
    </row>
    <row r="135" spans="2:12" ht="40.5" x14ac:dyDescent="0.2">
      <c r="B135" s="11" t="str">
        <v>MASTER-6278</v>
      </c>
      <c r="C135" s="12" t="str" cm="1">
        <f t="array" ref="C135">_xlfn.TEXTJOIN(CHAR(10),TRUE,_xlfn._xlws.SORT(IF((--($B135=Flowdown_BTE[[URS]:[URS]]))*(--(C$14=Flowdown_BTE[[Source.Name]:[Source.Name]])),Flowdown_BTE[[SyRS]:[SyRS]],"")))</f>
        <v/>
      </c>
      <c r="D135" s="12" t="str" cm="1">
        <f t="array" ref="D135">_xlfn.TEXTJOIN(CHAR(10),TRUE,_xlfn._xlws.SORT(IF((--($B135=Flowdown_BTE[[URS]:[URS]]))*(--(D$14=Flowdown_BTE[[Source.Name]:[Source.Name]])),Flowdown_BTE[[SyRS]:[SyRS]],"")))</f>
        <v/>
      </c>
      <c r="E135" s="12" t="str" cm="1">
        <f t="array" ref="E135">_xlfn.TEXTJOIN(CHAR(10),TRUE,_xlfn._xlws.SORT(IF((--($B135=Flowdown_BTE[[URS]:[URS]]))*(--(E$14=Flowdown_BTE[[Source.Name]:[Source.Name]])),Flowdown_BTE[[SyRS]:[SyRS]],"")))</f>
        <v/>
      </c>
      <c r="F135" s="12" t="str" cm="1">
        <f t="array" ref="F135">_xlfn.TEXTJOIN(CHAR(10),TRUE,_xlfn._xlws.SORT(IF((--($B135=Flowdown_BTE[[URS]:[URS]]))*(--(F$14=Flowdown_BTE[[Source.Name]:[Source.Name]])),Flowdown_BTE[[SyRS]:[SyRS]],"")))</f>
        <v/>
      </c>
      <c r="G135" s="12" t="str" cm="1">
        <f t="array" ref="G135">_xlfn.TEXTJOIN(CHAR(10),TRUE,_xlfn._xlws.SORT(IF((--($B135=Flowdown_BTE[[URS]:[URS]]))*(--(G$14=Flowdown_BTE[[Source.Name]:[Source.Name]])),Flowdown_BTE[[SyRS]:[SyRS]],"")))</f>
        <v/>
      </c>
      <c r="H135" s="12" t="str" cm="1">
        <f t="array" ref="H135">_xlfn.TEXTJOIN(CHAR(10),TRUE,_xlfn._xlws.SORT(IF((--($B135=Flowdown_BTE[[URS]:[URS]]))*(--(H$14=Flowdown_BTE[[Source.Name]:[Source.Name]])),Flowdown_BTE[[SyRS]:[SyRS]],"")))</f>
        <v/>
      </c>
      <c r="I135" s="12" t="str" cm="1">
        <f t="array" ref="I135">_xlfn.TEXTJOIN(CHAR(10),TRUE,_xlfn._xlws.SORT(IF((--($B135=Flowdown_BTE[[URS]:[URS]]))*(--(I$14=Flowdown_BTE[[Source.Name]:[Source.Name]])),Flowdown_BTE[[SyRS]:[SyRS]],"")))</f>
        <v>MASTER-17389
UTICA-176</v>
      </c>
      <c r="J135" s="12" t="str" cm="1">
        <f t="array" ref="J135">_xlfn.TEXTJOIN(CHAR(10),TRUE,_xlfn._xlws.SORT(IF((--($B135=Flowdown_BTE[[URS]:[URS]]))*(--(J$14=Flowdown_BTE[[Source.Name]:[Source.Name]])),Flowdown_BTE[[SyRS]:[SyRS]],"")))</f>
        <v>MASTER-17389
UTICA-2461
UTICA-2462</v>
      </c>
      <c r="K135" s="12" t="str" cm="1">
        <f t="array" ref="K135">_xlfn.TEXTJOIN(CHAR(10),TRUE,_xlfn._xlws.SORT(IF((--($B135=Flowdown_BTE[[URS]:[URS]]))*(--(K$14=Flowdown_BTE[[Source.Name]:[Source.Name]])),Flowdown_BTE[[SyRS]:[SyRS]],"")))</f>
        <v/>
      </c>
      <c r="L135" s="16" t="b" cm="1">
        <f t="array" ref="L135">OR(LEN(C135:K135)&gt;0)</f>
        <v>1</v>
      </c>
    </row>
    <row r="136" spans="2:12" ht="54" x14ac:dyDescent="0.2">
      <c r="B136" s="11" t="str">
        <v>MASTER-6279</v>
      </c>
      <c r="C136" s="12" t="str" cm="1">
        <f t="array" ref="C136">_xlfn.TEXTJOIN(CHAR(10),TRUE,_xlfn._xlws.SORT(IF((--($B136=Flowdown_BTE[[URS]:[URS]]))*(--(C$14=Flowdown_BTE[[Source.Name]:[Source.Name]])),Flowdown_BTE[[SyRS]:[SyRS]],"")))</f>
        <v/>
      </c>
      <c r="D136" s="12" t="str" cm="1">
        <f t="array" ref="D136">_xlfn.TEXTJOIN(CHAR(10),TRUE,_xlfn._xlws.SORT(IF((--($B136=Flowdown_BTE[[URS]:[URS]]))*(--(D$14=Flowdown_BTE[[Source.Name]:[Source.Name]])),Flowdown_BTE[[SyRS]:[SyRS]],"")))</f>
        <v/>
      </c>
      <c r="E136" s="12" t="str" cm="1">
        <f t="array" ref="E136">_xlfn.TEXTJOIN(CHAR(10),TRUE,_xlfn._xlws.SORT(IF((--($B136=Flowdown_BTE[[URS]:[URS]]))*(--(E$14=Flowdown_BTE[[Source.Name]:[Source.Name]])),Flowdown_BTE[[SyRS]:[SyRS]],"")))</f>
        <v/>
      </c>
      <c r="F136" s="12" t="str" cm="1">
        <f t="array" ref="F136">_xlfn.TEXTJOIN(CHAR(10),TRUE,_xlfn._xlws.SORT(IF((--($B136=Flowdown_BTE[[URS]:[URS]]))*(--(F$14=Flowdown_BTE[[Source.Name]:[Source.Name]])),Flowdown_BTE[[SyRS]:[SyRS]],"")))</f>
        <v/>
      </c>
      <c r="G136" s="12" t="str" cm="1">
        <f t="array" ref="G136">_xlfn.TEXTJOIN(CHAR(10),TRUE,_xlfn._xlws.SORT(IF((--($B136=Flowdown_BTE[[URS]:[URS]]))*(--(G$14=Flowdown_BTE[[Source.Name]:[Source.Name]])),Flowdown_BTE[[SyRS]:[SyRS]],"")))</f>
        <v/>
      </c>
      <c r="H136" s="12" t="str" cm="1">
        <f t="array" ref="H136">_xlfn.TEXTJOIN(CHAR(10),TRUE,_xlfn._xlws.SORT(IF((--($B136=Flowdown_BTE[[URS]:[URS]]))*(--(H$14=Flowdown_BTE[[Source.Name]:[Source.Name]])),Flowdown_BTE[[SyRS]:[SyRS]],"")))</f>
        <v/>
      </c>
      <c r="I136" s="12" t="str" cm="1">
        <f t="array" ref="I136">_xlfn.TEXTJOIN(CHAR(10),TRUE,_xlfn._xlws.SORT(IF((--($B136=Flowdown_BTE[[URS]:[URS]]))*(--(I$14=Flowdown_BTE[[Source.Name]:[Source.Name]])),Flowdown_BTE[[SyRS]:[SyRS]],"")))</f>
        <v>MASTER-17419
MASTER-17420
UTICA-193
UTICA-194</v>
      </c>
      <c r="J136" s="12" t="str" cm="1">
        <f t="array" ref="J136">_xlfn.TEXTJOIN(CHAR(10),TRUE,_xlfn._xlws.SORT(IF((--($B136=Flowdown_BTE[[URS]:[URS]]))*(--(J$14=Flowdown_BTE[[Source.Name]:[Source.Name]])),Flowdown_BTE[[SyRS]:[SyRS]],"")))</f>
        <v>MASTER-17420
UTICA-2463</v>
      </c>
      <c r="K136" s="12" t="str" cm="1">
        <f t="array" ref="K136">_xlfn.TEXTJOIN(CHAR(10),TRUE,_xlfn._xlws.SORT(IF((--($B136=Flowdown_BTE[[URS]:[URS]]))*(--(K$14=Flowdown_BTE[[Source.Name]:[Source.Name]])),Flowdown_BTE[[SyRS]:[SyRS]],"")))</f>
        <v/>
      </c>
      <c r="L136" s="16" t="b" cm="1">
        <f t="array" ref="L136">OR(LEN(C136:K136)&gt;0)</f>
        <v>1</v>
      </c>
    </row>
    <row r="137" spans="2:12" ht="13.5" x14ac:dyDescent="0.2">
      <c r="B137" s="11" t="str">
        <v>MASTER-6283</v>
      </c>
      <c r="C137" s="12" t="str" cm="1">
        <f t="array" ref="C137">_xlfn.TEXTJOIN(CHAR(10),TRUE,_xlfn._xlws.SORT(IF((--($B137=Flowdown_BTE[[URS]:[URS]]))*(--(C$14=Flowdown_BTE[[Source.Name]:[Source.Name]])),Flowdown_BTE[[SyRS]:[SyRS]],"")))</f>
        <v/>
      </c>
      <c r="D137" s="12" t="str" cm="1">
        <f t="array" ref="D137">_xlfn.TEXTJOIN(CHAR(10),TRUE,_xlfn._xlws.SORT(IF((--($B137=Flowdown_BTE[[URS]:[URS]]))*(--(D$14=Flowdown_BTE[[Source.Name]:[Source.Name]])),Flowdown_BTE[[SyRS]:[SyRS]],"")))</f>
        <v/>
      </c>
      <c r="E137" s="12" t="str" cm="1">
        <f t="array" ref="E137">_xlfn.TEXTJOIN(CHAR(10),TRUE,_xlfn._xlws.SORT(IF((--($B137=Flowdown_BTE[[URS]:[URS]]))*(--(E$14=Flowdown_BTE[[Source.Name]:[Source.Name]])),Flowdown_BTE[[SyRS]:[SyRS]],"")))</f>
        <v/>
      </c>
      <c r="F137" s="12" t="str" cm="1">
        <f t="array" ref="F137">_xlfn.TEXTJOIN(CHAR(10),TRUE,_xlfn._xlws.SORT(IF((--($B137=Flowdown_BTE[[URS]:[URS]]))*(--(F$14=Flowdown_BTE[[Source.Name]:[Source.Name]])),Flowdown_BTE[[SyRS]:[SyRS]],"")))</f>
        <v/>
      </c>
      <c r="G137" s="12" t="str" cm="1">
        <f t="array" ref="G137">_xlfn.TEXTJOIN(CHAR(10),TRUE,_xlfn._xlws.SORT(IF((--($B137=Flowdown_BTE[[URS]:[URS]]))*(--(G$14=Flowdown_BTE[[Source.Name]:[Source.Name]])),Flowdown_BTE[[SyRS]:[SyRS]],"")))</f>
        <v/>
      </c>
      <c r="H137" s="12" t="str" cm="1">
        <f t="array" ref="H137">_xlfn.TEXTJOIN(CHAR(10),TRUE,_xlfn._xlws.SORT(IF((--($B137=Flowdown_BTE[[URS]:[URS]]))*(--(H$14=Flowdown_BTE[[Source.Name]:[Source.Name]])),Flowdown_BTE[[SyRS]:[SyRS]],"")))</f>
        <v/>
      </c>
      <c r="I137" s="12" t="str" cm="1">
        <f t="array" ref="I137">_xlfn.TEXTJOIN(CHAR(10),TRUE,_xlfn._xlws.SORT(IF((--($B137=Flowdown_BTE[[URS]:[URS]]))*(--(I$14=Flowdown_BTE[[Source.Name]:[Source.Name]])),Flowdown_BTE[[SyRS]:[SyRS]],"")))</f>
        <v>MASTER-59986</v>
      </c>
      <c r="J137" s="12" t="str" cm="1">
        <f t="array" ref="J137">_xlfn.TEXTJOIN(CHAR(10),TRUE,_xlfn._xlws.SORT(IF((--($B137=Flowdown_BTE[[URS]:[URS]]))*(--(J$14=Flowdown_BTE[[Source.Name]:[Source.Name]])),Flowdown_BTE[[SyRS]:[SyRS]],"")))</f>
        <v/>
      </c>
      <c r="K137" s="12" t="str" cm="1">
        <f t="array" ref="K137">_xlfn.TEXTJOIN(CHAR(10),TRUE,_xlfn._xlws.SORT(IF((--($B137=Flowdown_BTE[[URS]:[URS]]))*(--(K$14=Flowdown_BTE[[Source.Name]:[Source.Name]])),Flowdown_BTE[[SyRS]:[SyRS]],"")))</f>
        <v/>
      </c>
      <c r="L137" s="16" t="b" cm="1">
        <f t="array" ref="L137">OR(LEN(C137:K137)&gt;0)</f>
        <v>1</v>
      </c>
    </row>
    <row r="138" spans="2:12" ht="13.5" x14ac:dyDescent="0.2">
      <c r="B138" s="11" t="str">
        <v>MASTER-6291</v>
      </c>
      <c r="C138" s="12" t="str" cm="1">
        <f t="array" ref="C138">_xlfn.TEXTJOIN(CHAR(10),TRUE,_xlfn._xlws.SORT(IF((--($B138=Flowdown_BTE[[URS]:[URS]]))*(--(C$14=Flowdown_BTE[[Source.Name]:[Source.Name]])),Flowdown_BTE[[SyRS]:[SyRS]],"")))</f>
        <v/>
      </c>
      <c r="D138" s="12" t="str" cm="1">
        <f t="array" ref="D138">_xlfn.TEXTJOIN(CHAR(10),TRUE,_xlfn._xlws.SORT(IF((--($B138=Flowdown_BTE[[URS]:[URS]]))*(--(D$14=Flowdown_BTE[[Source.Name]:[Source.Name]])),Flowdown_BTE[[SyRS]:[SyRS]],"")))</f>
        <v/>
      </c>
      <c r="E138" s="12" t="str" cm="1">
        <f t="array" ref="E138">_xlfn.TEXTJOIN(CHAR(10),TRUE,_xlfn._xlws.SORT(IF((--($B138=Flowdown_BTE[[URS]:[URS]]))*(--(E$14=Flowdown_BTE[[Source.Name]:[Source.Name]])),Flowdown_BTE[[SyRS]:[SyRS]],"")))</f>
        <v/>
      </c>
      <c r="F138" s="12" t="str" cm="1">
        <f t="array" ref="F138">_xlfn.TEXTJOIN(CHAR(10),TRUE,_xlfn._xlws.SORT(IF((--($B138=Flowdown_BTE[[URS]:[URS]]))*(--(F$14=Flowdown_BTE[[Source.Name]:[Source.Name]])),Flowdown_BTE[[SyRS]:[SyRS]],"")))</f>
        <v/>
      </c>
      <c r="G138" s="12" t="str" cm="1">
        <f t="array" ref="G138">_xlfn.TEXTJOIN(CHAR(10),TRUE,_xlfn._xlws.SORT(IF((--($B138=Flowdown_BTE[[URS]:[URS]]))*(--(G$14=Flowdown_BTE[[Source.Name]:[Source.Name]])),Flowdown_BTE[[SyRS]:[SyRS]],"")))</f>
        <v/>
      </c>
      <c r="H138" s="12" t="str" cm="1">
        <f t="array" ref="H138">_xlfn.TEXTJOIN(CHAR(10),TRUE,_xlfn._xlws.SORT(IF((--($B138=Flowdown_BTE[[URS]:[URS]]))*(--(H$14=Flowdown_BTE[[Source.Name]:[Source.Name]])),Flowdown_BTE[[SyRS]:[SyRS]],"")))</f>
        <v/>
      </c>
      <c r="I138" s="12" t="str" cm="1">
        <f t="array" ref="I138">_xlfn.TEXTJOIN(CHAR(10),TRUE,_xlfn._xlws.SORT(IF((--($B138=Flowdown_BTE[[URS]:[URS]]))*(--(I$14=Flowdown_BTE[[Source.Name]:[Source.Name]])),Flowdown_BTE[[SyRS]:[SyRS]],"")))</f>
        <v>MASTER-17469</v>
      </c>
      <c r="J138" s="12" t="str" cm="1">
        <f t="array" ref="J138">_xlfn.TEXTJOIN(CHAR(10),TRUE,_xlfn._xlws.SORT(IF((--($B138=Flowdown_BTE[[URS]:[URS]]))*(--(J$14=Flowdown_BTE[[Source.Name]:[Source.Name]])),Flowdown_BTE[[SyRS]:[SyRS]],"")))</f>
        <v/>
      </c>
      <c r="K138" s="12" t="str" cm="1">
        <f t="array" ref="K138">_xlfn.TEXTJOIN(CHAR(10),TRUE,_xlfn._xlws.SORT(IF((--($B138=Flowdown_BTE[[URS]:[URS]]))*(--(K$14=Flowdown_BTE[[Source.Name]:[Source.Name]])),Flowdown_BTE[[SyRS]:[SyRS]],"")))</f>
        <v/>
      </c>
      <c r="L138" s="16" t="b" cm="1">
        <f t="array" ref="L138">OR(LEN(C138:K138)&gt;0)</f>
        <v>1</v>
      </c>
    </row>
    <row r="139" spans="2:12" ht="40.5" x14ac:dyDescent="0.2">
      <c r="B139" s="11" t="str">
        <v>MASTER-6292</v>
      </c>
      <c r="C139" s="12" t="str" cm="1">
        <f t="array" ref="C139">_xlfn.TEXTJOIN(CHAR(10),TRUE,_xlfn._xlws.SORT(IF((--($B139=Flowdown_BTE[[URS]:[URS]]))*(--(C$14=Flowdown_BTE[[Source.Name]:[Source.Name]])),Flowdown_BTE[[SyRS]:[SyRS]],"")))</f>
        <v/>
      </c>
      <c r="D139" s="12" t="str" cm="1">
        <f t="array" ref="D139">_xlfn.TEXTJOIN(CHAR(10),TRUE,_xlfn._xlws.SORT(IF((--($B139=Flowdown_BTE[[URS]:[URS]]))*(--(D$14=Flowdown_BTE[[Source.Name]:[Source.Name]])),Flowdown_BTE[[SyRS]:[SyRS]],"")))</f>
        <v/>
      </c>
      <c r="E139" s="12" t="str" cm="1">
        <f t="array" ref="E139">_xlfn.TEXTJOIN(CHAR(10),TRUE,_xlfn._xlws.SORT(IF((--($B139=Flowdown_BTE[[URS]:[URS]]))*(--(E$14=Flowdown_BTE[[Source.Name]:[Source.Name]])),Flowdown_BTE[[SyRS]:[SyRS]],"")))</f>
        <v/>
      </c>
      <c r="F139" s="12" t="str" cm="1">
        <f t="array" ref="F139">_xlfn.TEXTJOIN(CHAR(10),TRUE,_xlfn._xlws.SORT(IF((--($B139=Flowdown_BTE[[URS]:[URS]]))*(--(F$14=Flowdown_BTE[[Source.Name]:[Source.Name]])),Flowdown_BTE[[SyRS]:[SyRS]],"")))</f>
        <v/>
      </c>
      <c r="G139" s="12" t="str" cm="1">
        <f t="array" ref="G139">_xlfn.TEXTJOIN(CHAR(10),TRUE,_xlfn._xlws.SORT(IF((--($B139=Flowdown_BTE[[URS]:[URS]]))*(--(G$14=Flowdown_BTE[[Source.Name]:[Source.Name]])),Flowdown_BTE[[SyRS]:[SyRS]],"")))</f>
        <v/>
      </c>
      <c r="H139" s="12" t="str" cm="1">
        <f t="array" ref="H139">_xlfn.TEXTJOIN(CHAR(10),TRUE,_xlfn._xlws.SORT(IF((--($B139=Flowdown_BTE[[URS]:[URS]]))*(--(H$14=Flowdown_BTE[[Source.Name]:[Source.Name]])),Flowdown_BTE[[SyRS]:[SyRS]],"")))</f>
        <v/>
      </c>
      <c r="I139" s="12" t="str" cm="1">
        <f t="array" ref="I139">_xlfn.TEXTJOIN(CHAR(10),TRUE,_xlfn._xlws.SORT(IF((--($B139=Flowdown_BTE[[URS]:[URS]]))*(--(I$14=Flowdown_BTE[[Source.Name]:[Source.Name]])),Flowdown_BTE[[SyRS]:[SyRS]],"")))</f>
        <v>MASTER-17471
MASTER-17474
MASTER-17475</v>
      </c>
      <c r="J139" s="12" t="str" cm="1">
        <f t="array" ref="J139">_xlfn.TEXTJOIN(CHAR(10),TRUE,_xlfn._xlws.SORT(IF((--($B139=Flowdown_BTE[[URS]:[URS]]))*(--(J$14=Flowdown_BTE[[Source.Name]:[Source.Name]])),Flowdown_BTE[[SyRS]:[SyRS]],"")))</f>
        <v/>
      </c>
      <c r="K139" s="12" t="str" cm="1">
        <f t="array" ref="K139">_xlfn.TEXTJOIN(CHAR(10),TRUE,_xlfn._xlws.SORT(IF((--($B139=Flowdown_BTE[[URS]:[URS]]))*(--(K$14=Flowdown_BTE[[Source.Name]:[Source.Name]])),Flowdown_BTE[[SyRS]:[SyRS]],"")))</f>
        <v/>
      </c>
      <c r="L139" s="16" t="b" cm="1">
        <f t="array" ref="L139">OR(LEN(C139:K139)&gt;0)</f>
        <v>1</v>
      </c>
    </row>
    <row r="140" spans="2:12" ht="13.5" x14ac:dyDescent="0.2">
      <c r="B140" s="11" t="str">
        <v>MASTER-6296</v>
      </c>
      <c r="C140" s="12" t="str" cm="1">
        <f t="array" ref="C140">_xlfn.TEXTJOIN(CHAR(10),TRUE,_xlfn._xlws.SORT(IF((--($B140=Flowdown_BTE[[URS]:[URS]]))*(--(C$14=Flowdown_BTE[[Source.Name]:[Source.Name]])),Flowdown_BTE[[SyRS]:[SyRS]],"")))</f>
        <v/>
      </c>
      <c r="D140" s="12" t="str" cm="1">
        <f t="array" ref="D140">_xlfn.TEXTJOIN(CHAR(10),TRUE,_xlfn._xlws.SORT(IF((--($B140=Flowdown_BTE[[URS]:[URS]]))*(--(D$14=Flowdown_BTE[[Source.Name]:[Source.Name]])),Flowdown_BTE[[SyRS]:[SyRS]],"")))</f>
        <v/>
      </c>
      <c r="E140" s="12" t="str" cm="1">
        <f t="array" ref="E140">_xlfn.TEXTJOIN(CHAR(10),TRUE,_xlfn._xlws.SORT(IF((--($B140=Flowdown_BTE[[URS]:[URS]]))*(--(E$14=Flowdown_BTE[[Source.Name]:[Source.Name]])),Flowdown_BTE[[SyRS]:[SyRS]],"")))</f>
        <v/>
      </c>
      <c r="F140" s="12" t="str" cm="1">
        <f t="array" ref="F140">_xlfn.TEXTJOIN(CHAR(10),TRUE,_xlfn._xlws.SORT(IF((--($B140=Flowdown_BTE[[URS]:[URS]]))*(--(F$14=Flowdown_BTE[[Source.Name]:[Source.Name]])),Flowdown_BTE[[SyRS]:[SyRS]],"")))</f>
        <v/>
      </c>
      <c r="G140" s="12" t="str" cm="1">
        <f t="array" ref="G140">_xlfn.TEXTJOIN(CHAR(10),TRUE,_xlfn._xlws.SORT(IF((--($B140=Flowdown_BTE[[URS]:[URS]]))*(--(G$14=Flowdown_BTE[[Source.Name]:[Source.Name]])),Flowdown_BTE[[SyRS]:[SyRS]],"")))</f>
        <v/>
      </c>
      <c r="H140" s="12" t="str" cm="1">
        <f t="array" ref="H140">_xlfn.TEXTJOIN(CHAR(10),TRUE,_xlfn._xlws.SORT(IF((--($B140=Flowdown_BTE[[URS]:[URS]]))*(--(H$14=Flowdown_BTE[[Source.Name]:[Source.Name]])),Flowdown_BTE[[SyRS]:[SyRS]],"")))</f>
        <v/>
      </c>
      <c r="I140" s="12" t="str" cm="1">
        <f t="array" ref="I140">_xlfn.TEXTJOIN(CHAR(10),TRUE,_xlfn._xlws.SORT(IF((--($B140=Flowdown_BTE[[URS]:[URS]]))*(--(I$14=Flowdown_BTE[[Source.Name]:[Source.Name]])),Flowdown_BTE[[SyRS]:[SyRS]],"")))</f>
        <v>MASTER-17498</v>
      </c>
      <c r="J140" s="12" t="str" cm="1">
        <f t="array" ref="J140">_xlfn.TEXTJOIN(CHAR(10),TRUE,_xlfn._xlws.SORT(IF((--($B140=Flowdown_BTE[[URS]:[URS]]))*(--(J$14=Flowdown_BTE[[Source.Name]:[Source.Name]])),Flowdown_BTE[[SyRS]:[SyRS]],"")))</f>
        <v/>
      </c>
      <c r="K140" s="12" t="str" cm="1">
        <f t="array" ref="K140">_xlfn.TEXTJOIN(CHAR(10),TRUE,_xlfn._xlws.SORT(IF((--($B140=Flowdown_BTE[[URS]:[URS]]))*(--(K$14=Flowdown_BTE[[Source.Name]:[Source.Name]])),Flowdown_BTE[[SyRS]:[SyRS]],"")))</f>
        <v/>
      </c>
      <c r="L140" s="16" t="b" cm="1">
        <f t="array" ref="L140">OR(LEN(C140:K140)&gt;0)</f>
        <v>1</v>
      </c>
    </row>
    <row r="141" spans="2:12" ht="13.5" x14ac:dyDescent="0.2">
      <c r="B141" s="11" t="str">
        <v>MASTER-6301</v>
      </c>
      <c r="C141" s="12" t="str" cm="1">
        <f t="array" ref="C141">_xlfn.TEXTJOIN(CHAR(10),TRUE,_xlfn._xlws.SORT(IF((--($B141=Flowdown_BTE[[URS]:[URS]]))*(--(C$14=Flowdown_BTE[[Source.Name]:[Source.Name]])),Flowdown_BTE[[SyRS]:[SyRS]],"")))</f>
        <v/>
      </c>
      <c r="D141" s="12" t="str" cm="1">
        <f t="array" ref="D141">_xlfn.TEXTJOIN(CHAR(10),TRUE,_xlfn._xlws.SORT(IF((--($B141=Flowdown_BTE[[URS]:[URS]]))*(--(D$14=Flowdown_BTE[[Source.Name]:[Source.Name]])),Flowdown_BTE[[SyRS]:[SyRS]],"")))</f>
        <v/>
      </c>
      <c r="E141" s="12" t="str" cm="1">
        <f t="array" ref="E141">_xlfn.TEXTJOIN(CHAR(10),TRUE,_xlfn._xlws.SORT(IF((--($B141=Flowdown_BTE[[URS]:[URS]]))*(--(E$14=Flowdown_BTE[[Source.Name]:[Source.Name]])),Flowdown_BTE[[SyRS]:[SyRS]],"")))</f>
        <v/>
      </c>
      <c r="F141" s="12" t="str" cm="1">
        <f t="array" ref="F141">_xlfn.TEXTJOIN(CHAR(10),TRUE,_xlfn._xlws.SORT(IF((--($B141=Flowdown_BTE[[URS]:[URS]]))*(--(F$14=Flowdown_BTE[[Source.Name]:[Source.Name]])),Flowdown_BTE[[SyRS]:[SyRS]],"")))</f>
        <v/>
      </c>
      <c r="G141" s="12" t="str" cm="1">
        <f t="array" ref="G141">_xlfn.TEXTJOIN(CHAR(10),TRUE,_xlfn._xlws.SORT(IF((--($B141=Flowdown_BTE[[URS]:[URS]]))*(--(G$14=Flowdown_BTE[[Source.Name]:[Source.Name]])),Flowdown_BTE[[SyRS]:[SyRS]],"")))</f>
        <v/>
      </c>
      <c r="H141" s="12" t="str" cm="1">
        <f t="array" ref="H141">_xlfn.TEXTJOIN(CHAR(10),TRUE,_xlfn._xlws.SORT(IF((--($B141=Flowdown_BTE[[URS]:[URS]]))*(--(H$14=Flowdown_BTE[[Source.Name]:[Source.Name]])),Flowdown_BTE[[SyRS]:[SyRS]],"")))</f>
        <v/>
      </c>
      <c r="I141" s="12" t="str" cm="1">
        <f t="array" ref="I141">_xlfn.TEXTJOIN(CHAR(10),TRUE,_xlfn._xlws.SORT(IF((--($B141=Flowdown_BTE[[URS]:[URS]]))*(--(I$14=Flowdown_BTE[[Source.Name]:[Source.Name]])),Flowdown_BTE[[SyRS]:[SyRS]],"")))</f>
        <v>MASTER-17503</v>
      </c>
      <c r="J141" s="12" t="str" cm="1">
        <f t="array" ref="J141">_xlfn.TEXTJOIN(CHAR(10),TRUE,_xlfn._xlws.SORT(IF((--($B141=Flowdown_BTE[[URS]:[URS]]))*(--(J$14=Flowdown_BTE[[Source.Name]:[Source.Name]])),Flowdown_BTE[[SyRS]:[SyRS]],"")))</f>
        <v/>
      </c>
      <c r="K141" s="12" t="str" cm="1">
        <f t="array" ref="K141">_xlfn.TEXTJOIN(CHAR(10),TRUE,_xlfn._xlws.SORT(IF((--($B141=Flowdown_BTE[[URS]:[URS]]))*(--(K$14=Flowdown_BTE[[Source.Name]:[Source.Name]])),Flowdown_BTE[[SyRS]:[SyRS]],"")))</f>
        <v/>
      </c>
      <c r="L141" s="16" t="b" cm="1">
        <f t="array" ref="L141">OR(LEN(C141:K141)&gt;0)</f>
        <v>1</v>
      </c>
    </row>
    <row r="142" spans="2:12" ht="27" x14ac:dyDescent="0.2">
      <c r="B142" s="11" t="str">
        <v>MASTER-6304</v>
      </c>
      <c r="C142" s="12" t="str" cm="1">
        <f t="array" ref="C142">_xlfn.TEXTJOIN(CHAR(10),TRUE,_xlfn._xlws.SORT(IF((--($B142=Flowdown_BTE[[URS]:[URS]]))*(--(C$14=Flowdown_BTE[[Source.Name]:[Source.Name]])),Flowdown_BTE[[SyRS]:[SyRS]],"")))</f>
        <v/>
      </c>
      <c r="D142" s="12" t="str" cm="1">
        <f t="array" ref="D142">_xlfn.TEXTJOIN(CHAR(10),TRUE,_xlfn._xlws.SORT(IF((--($B142=Flowdown_BTE[[URS]:[URS]]))*(--(D$14=Flowdown_BTE[[Source.Name]:[Source.Name]])),Flowdown_BTE[[SyRS]:[SyRS]],"")))</f>
        <v/>
      </c>
      <c r="E142" s="12" t="str" cm="1">
        <f t="array" ref="E142">_xlfn.TEXTJOIN(CHAR(10),TRUE,_xlfn._xlws.SORT(IF((--($B142=Flowdown_BTE[[URS]:[URS]]))*(--(E$14=Flowdown_BTE[[Source.Name]:[Source.Name]])),Flowdown_BTE[[SyRS]:[SyRS]],"")))</f>
        <v/>
      </c>
      <c r="F142" s="12" t="str" cm="1">
        <f t="array" ref="F142">_xlfn.TEXTJOIN(CHAR(10),TRUE,_xlfn._xlws.SORT(IF((--($B142=Flowdown_BTE[[URS]:[URS]]))*(--(F$14=Flowdown_BTE[[Source.Name]:[Source.Name]])),Flowdown_BTE[[SyRS]:[SyRS]],"")))</f>
        <v/>
      </c>
      <c r="G142" s="12" t="str" cm="1">
        <f t="array" ref="G142">_xlfn.TEXTJOIN(CHAR(10),TRUE,_xlfn._xlws.SORT(IF((--($B142=Flowdown_BTE[[URS]:[URS]]))*(--(G$14=Flowdown_BTE[[Source.Name]:[Source.Name]])),Flowdown_BTE[[SyRS]:[SyRS]],"")))</f>
        <v/>
      </c>
      <c r="H142" s="12" t="str" cm="1">
        <f t="array" ref="H142">_xlfn.TEXTJOIN(CHAR(10),TRUE,_xlfn._xlws.SORT(IF((--($B142=Flowdown_BTE[[URS]:[URS]]))*(--(H$14=Flowdown_BTE[[Source.Name]:[Source.Name]])),Flowdown_BTE[[SyRS]:[SyRS]],"")))</f>
        <v/>
      </c>
      <c r="I142" s="12" t="str" cm="1">
        <f t="array" ref="I142">_xlfn.TEXTJOIN(CHAR(10),TRUE,_xlfn._xlws.SORT(IF((--($B142=Flowdown_BTE[[URS]:[URS]]))*(--(I$14=Flowdown_BTE[[Source.Name]:[Source.Name]])),Flowdown_BTE[[SyRS]:[SyRS]],"")))</f>
        <v>MASTER-17518</v>
      </c>
      <c r="J142" s="12" t="str" cm="1">
        <f t="array" ref="J142">_xlfn.TEXTJOIN(CHAR(10),TRUE,_xlfn._xlws.SORT(IF((--($B142=Flowdown_BTE[[URS]:[URS]]))*(--(J$14=Flowdown_BTE[[Source.Name]:[Source.Name]])),Flowdown_BTE[[SyRS]:[SyRS]],"")))</f>
        <v>MASTER-17518
MASTER-17519</v>
      </c>
      <c r="K142" s="12" t="str" cm="1">
        <f t="array" ref="K142">_xlfn.TEXTJOIN(CHAR(10),TRUE,_xlfn._xlws.SORT(IF((--($B142=Flowdown_BTE[[URS]:[URS]]))*(--(K$14=Flowdown_BTE[[Source.Name]:[Source.Name]])),Flowdown_BTE[[SyRS]:[SyRS]],"")))</f>
        <v/>
      </c>
      <c r="L142" s="16" t="b" cm="1">
        <f t="array" ref="L142">OR(LEN(C142:K142)&gt;0)</f>
        <v>1</v>
      </c>
    </row>
    <row r="143" spans="2:12" ht="27" x14ac:dyDescent="0.2">
      <c r="B143" s="11" t="str">
        <v>MASTER-6307</v>
      </c>
      <c r="C143" s="12" t="str" cm="1">
        <f t="array" ref="C143">_xlfn.TEXTJOIN(CHAR(10),TRUE,_xlfn._xlws.SORT(IF((--($B143=Flowdown_BTE[[URS]:[URS]]))*(--(C$14=Flowdown_BTE[[Source.Name]:[Source.Name]])),Flowdown_BTE[[SyRS]:[SyRS]],"")))</f>
        <v/>
      </c>
      <c r="D143" s="12" t="str" cm="1">
        <f t="array" ref="D143">_xlfn.TEXTJOIN(CHAR(10),TRUE,_xlfn._xlws.SORT(IF((--($B143=Flowdown_BTE[[URS]:[URS]]))*(--(D$14=Flowdown_BTE[[Source.Name]:[Source.Name]])),Flowdown_BTE[[SyRS]:[SyRS]],"")))</f>
        <v/>
      </c>
      <c r="E143" s="12" t="str" cm="1">
        <f t="array" ref="E143">_xlfn.TEXTJOIN(CHAR(10),TRUE,_xlfn._xlws.SORT(IF((--($B143=Flowdown_BTE[[URS]:[URS]]))*(--(E$14=Flowdown_BTE[[Source.Name]:[Source.Name]])),Flowdown_BTE[[SyRS]:[SyRS]],"")))</f>
        <v/>
      </c>
      <c r="F143" s="12" t="str" cm="1">
        <f t="array" ref="F143">_xlfn.TEXTJOIN(CHAR(10),TRUE,_xlfn._xlws.SORT(IF((--($B143=Flowdown_BTE[[URS]:[URS]]))*(--(F$14=Flowdown_BTE[[Source.Name]:[Source.Name]])),Flowdown_BTE[[SyRS]:[SyRS]],"")))</f>
        <v/>
      </c>
      <c r="G143" s="12" t="str" cm="1">
        <f t="array" ref="G143">_xlfn.TEXTJOIN(CHAR(10),TRUE,_xlfn._xlws.SORT(IF((--($B143=Flowdown_BTE[[URS]:[URS]]))*(--(G$14=Flowdown_BTE[[Source.Name]:[Source.Name]])),Flowdown_BTE[[SyRS]:[SyRS]],"")))</f>
        <v/>
      </c>
      <c r="H143" s="12" t="str" cm="1">
        <f t="array" ref="H143">_xlfn.TEXTJOIN(CHAR(10),TRUE,_xlfn._xlws.SORT(IF((--($B143=Flowdown_BTE[[URS]:[URS]]))*(--(H$14=Flowdown_BTE[[Source.Name]:[Source.Name]])),Flowdown_BTE[[SyRS]:[SyRS]],"")))</f>
        <v/>
      </c>
      <c r="I143" s="12" t="str" cm="1">
        <f t="array" ref="I143">_xlfn.TEXTJOIN(CHAR(10),TRUE,_xlfn._xlws.SORT(IF((--($B143=Flowdown_BTE[[URS]:[URS]]))*(--(I$14=Flowdown_BTE[[Source.Name]:[Source.Name]])),Flowdown_BTE[[SyRS]:[SyRS]],"")))</f>
        <v>MASTER-17520
MASTER-17524</v>
      </c>
      <c r="J143" s="12" t="str" cm="1">
        <f t="array" ref="J143">_xlfn.TEXTJOIN(CHAR(10),TRUE,_xlfn._xlws.SORT(IF((--($B143=Flowdown_BTE[[URS]:[URS]]))*(--(J$14=Flowdown_BTE[[Source.Name]:[Source.Name]])),Flowdown_BTE[[SyRS]:[SyRS]],"")))</f>
        <v>UTICA-19407</v>
      </c>
      <c r="K143" s="12" t="str" cm="1">
        <f t="array" ref="K143">_xlfn.TEXTJOIN(CHAR(10),TRUE,_xlfn._xlws.SORT(IF((--($B143=Flowdown_BTE[[URS]:[URS]]))*(--(K$14=Flowdown_BTE[[Source.Name]:[Source.Name]])),Flowdown_BTE[[SyRS]:[SyRS]],"")))</f>
        <v/>
      </c>
      <c r="L143" s="16" t="b" cm="1">
        <f t="array" ref="L143">OR(LEN(C143:K143)&gt;0)</f>
        <v>1</v>
      </c>
    </row>
    <row r="144" spans="2:12" ht="13.5" x14ac:dyDescent="0.2">
      <c r="B144" s="11" t="str">
        <v>MASTER-6308</v>
      </c>
      <c r="C144" s="12" t="str" cm="1">
        <f t="array" ref="C144">_xlfn.TEXTJOIN(CHAR(10),TRUE,_xlfn._xlws.SORT(IF((--($B144=Flowdown_BTE[[URS]:[URS]]))*(--(C$14=Flowdown_BTE[[Source.Name]:[Source.Name]])),Flowdown_BTE[[SyRS]:[SyRS]],"")))</f>
        <v/>
      </c>
      <c r="D144" s="12" t="str" cm="1">
        <f t="array" ref="D144">_xlfn.TEXTJOIN(CHAR(10),TRUE,_xlfn._xlws.SORT(IF((--($B144=Flowdown_BTE[[URS]:[URS]]))*(--(D$14=Flowdown_BTE[[Source.Name]:[Source.Name]])),Flowdown_BTE[[SyRS]:[SyRS]],"")))</f>
        <v/>
      </c>
      <c r="E144" s="12" t="str" cm="1">
        <f t="array" ref="E144">_xlfn.TEXTJOIN(CHAR(10),TRUE,_xlfn._xlws.SORT(IF((--($B144=Flowdown_BTE[[URS]:[URS]]))*(--(E$14=Flowdown_BTE[[Source.Name]:[Source.Name]])),Flowdown_BTE[[SyRS]:[SyRS]],"")))</f>
        <v/>
      </c>
      <c r="F144" s="12" t="str" cm="1">
        <f t="array" ref="F144">_xlfn.TEXTJOIN(CHAR(10),TRUE,_xlfn._xlws.SORT(IF((--($B144=Flowdown_BTE[[URS]:[URS]]))*(--(F$14=Flowdown_BTE[[Source.Name]:[Source.Name]])),Flowdown_BTE[[SyRS]:[SyRS]],"")))</f>
        <v/>
      </c>
      <c r="G144" s="12" t="str" cm="1">
        <f t="array" ref="G144">_xlfn.TEXTJOIN(CHAR(10),TRUE,_xlfn._xlws.SORT(IF((--($B144=Flowdown_BTE[[URS]:[URS]]))*(--(G$14=Flowdown_BTE[[Source.Name]:[Source.Name]])),Flowdown_BTE[[SyRS]:[SyRS]],"")))</f>
        <v/>
      </c>
      <c r="H144" s="12" t="str" cm="1">
        <f t="array" ref="H144">_xlfn.TEXTJOIN(CHAR(10),TRUE,_xlfn._xlws.SORT(IF((--($B144=Flowdown_BTE[[URS]:[URS]]))*(--(H$14=Flowdown_BTE[[Source.Name]:[Source.Name]])),Flowdown_BTE[[SyRS]:[SyRS]],"")))</f>
        <v/>
      </c>
      <c r="I144" s="12" t="str" cm="1">
        <f t="array" ref="I144">_xlfn.TEXTJOIN(CHAR(10),TRUE,_xlfn._xlws.SORT(IF((--($B144=Flowdown_BTE[[URS]:[URS]]))*(--(I$14=Flowdown_BTE[[Source.Name]:[Source.Name]])),Flowdown_BTE[[SyRS]:[SyRS]],"")))</f>
        <v>MASTER-17525</v>
      </c>
      <c r="J144" s="12" t="str" cm="1">
        <f t="array" ref="J144">_xlfn.TEXTJOIN(CHAR(10),TRUE,_xlfn._xlws.SORT(IF((--($B144=Flowdown_BTE[[URS]:[URS]]))*(--(J$14=Flowdown_BTE[[Source.Name]:[Source.Name]])),Flowdown_BTE[[SyRS]:[SyRS]],"")))</f>
        <v/>
      </c>
      <c r="K144" s="12" t="str" cm="1">
        <f t="array" ref="K144">_xlfn.TEXTJOIN(CHAR(10),TRUE,_xlfn._xlws.SORT(IF((--($B144=Flowdown_BTE[[URS]:[URS]]))*(--(K$14=Flowdown_BTE[[Source.Name]:[Source.Name]])),Flowdown_BTE[[SyRS]:[SyRS]],"")))</f>
        <v/>
      </c>
      <c r="L144" s="16" t="b" cm="1">
        <f t="array" ref="L144">OR(LEN(C144:K144)&gt;0)</f>
        <v>1</v>
      </c>
    </row>
    <row r="145" spans="2:12" ht="27" x14ac:dyDescent="0.2">
      <c r="B145" s="11" t="str">
        <v>MASTER-6310</v>
      </c>
      <c r="C145" s="12" t="str" cm="1">
        <f t="array" ref="C145">_xlfn.TEXTJOIN(CHAR(10),TRUE,_xlfn._xlws.SORT(IF((--($B145=Flowdown_BTE[[URS]:[URS]]))*(--(C$14=Flowdown_BTE[[Source.Name]:[Source.Name]])),Flowdown_BTE[[SyRS]:[SyRS]],"")))</f>
        <v/>
      </c>
      <c r="D145" s="12" t="str" cm="1">
        <f t="array" ref="D145">_xlfn.TEXTJOIN(CHAR(10),TRUE,_xlfn._xlws.SORT(IF((--($B145=Flowdown_BTE[[URS]:[URS]]))*(--(D$14=Flowdown_BTE[[Source.Name]:[Source.Name]])),Flowdown_BTE[[SyRS]:[SyRS]],"")))</f>
        <v/>
      </c>
      <c r="E145" s="12" t="str" cm="1">
        <f t="array" ref="E145">_xlfn.TEXTJOIN(CHAR(10),TRUE,_xlfn._xlws.SORT(IF((--($B145=Flowdown_BTE[[URS]:[URS]]))*(--(E$14=Flowdown_BTE[[Source.Name]:[Source.Name]])),Flowdown_BTE[[SyRS]:[SyRS]],"")))</f>
        <v/>
      </c>
      <c r="F145" s="12" t="str" cm="1">
        <f t="array" ref="F145">_xlfn.TEXTJOIN(CHAR(10),TRUE,_xlfn._xlws.SORT(IF((--($B145=Flowdown_BTE[[URS]:[URS]]))*(--(F$14=Flowdown_BTE[[Source.Name]:[Source.Name]])),Flowdown_BTE[[SyRS]:[SyRS]],"")))</f>
        <v/>
      </c>
      <c r="G145" s="12" t="str" cm="1">
        <f t="array" ref="G145">_xlfn.TEXTJOIN(CHAR(10),TRUE,_xlfn._xlws.SORT(IF((--($B145=Flowdown_BTE[[URS]:[URS]]))*(--(G$14=Flowdown_BTE[[Source.Name]:[Source.Name]])),Flowdown_BTE[[SyRS]:[SyRS]],"")))</f>
        <v/>
      </c>
      <c r="H145" s="12" t="str" cm="1">
        <f t="array" ref="H145">_xlfn.TEXTJOIN(CHAR(10),TRUE,_xlfn._xlws.SORT(IF((--($B145=Flowdown_BTE[[URS]:[URS]]))*(--(H$14=Flowdown_BTE[[Source.Name]:[Source.Name]])),Flowdown_BTE[[SyRS]:[SyRS]],"")))</f>
        <v/>
      </c>
      <c r="I145" s="12" t="str" cm="1">
        <f t="array" ref="I145">_xlfn.TEXTJOIN(CHAR(10),TRUE,_xlfn._xlws.SORT(IF((--($B145=Flowdown_BTE[[URS]:[URS]]))*(--(I$14=Flowdown_BTE[[Source.Name]:[Source.Name]])),Flowdown_BTE[[SyRS]:[SyRS]],"")))</f>
        <v>MASTER-17537
UTICA-200</v>
      </c>
      <c r="J145" s="12" t="str" cm="1">
        <f t="array" ref="J145">_xlfn.TEXTJOIN(CHAR(10),TRUE,_xlfn._xlws.SORT(IF((--($B145=Flowdown_BTE[[URS]:[URS]]))*(--(J$14=Flowdown_BTE[[Source.Name]:[Source.Name]])),Flowdown_BTE[[SyRS]:[SyRS]],"")))</f>
        <v/>
      </c>
      <c r="K145" s="12" t="str" cm="1">
        <f t="array" ref="K145">_xlfn.TEXTJOIN(CHAR(10),TRUE,_xlfn._xlws.SORT(IF((--($B145=Flowdown_BTE[[URS]:[URS]]))*(--(K$14=Flowdown_BTE[[Source.Name]:[Source.Name]])),Flowdown_BTE[[SyRS]:[SyRS]],"")))</f>
        <v/>
      </c>
      <c r="L145" s="16" t="b" cm="1">
        <f t="array" ref="L145">OR(LEN(C145:K145)&gt;0)</f>
        <v>1</v>
      </c>
    </row>
    <row r="146" spans="2:12" ht="13.5" x14ac:dyDescent="0.2">
      <c r="B146" s="11" t="str">
        <v>MASTER-6311</v>
      </c>
      <c r="C146" s="12" t="str" cm="1">
        <f t="array" ref="C146">_xlfn.TEXTJOIN(CHAR(10),TRUE,_xlfn._xlws.SORT(IF((--($B146=Flowdown_BTE[[URS]:[URS]]))*(--(C$14=Flowdown_BTE[[Source.Name]:[Source.Name]])),Flowdown_BTE[[SyRS]:[SyRS]],"")))</f>
        <v/>
      </c>
      <c r="D146" s="12" t="str" cm="1">
        <f t="array" ref="D146">_xlfn.TEXTJOIN(CHAR(10),TRUE,_xlfn._xlws.SORT(IF((--($B146=Flowdown_BTE[[URS]:[URS]]))*(--(D$14=Flowdown_BTE[[Source.Name]:[Source.Name]])),Flowdown_BTE[[SyRS]:[SyRS]],"")))</f>
        <v/>
      </c>
      <c r="E146" s="12" t="str" cm="1">
        <f t="array" ref="E146">_xlfn.TEXTJOIN(CHAR(10),TRUE,_xlfn._xlws.SORT(IF((--($B146=Flowdown_BTE[[URS]:[URS]]))*(--(E$14=Flowdown_BTE[[Source.Name]:[Source.Name]])),Flowdown_BTE[[SyRS]:[SyRS]],"")))</f>
        <v/>
      </c>
      <c r="F146" s="12" t="str" cm="1">
        <f t="array" ref="F146">_xlfn.TEXTJOIN(CHAR(10),TRUE,_xlfn._xlws.SORT(IF((--($B146=Flowdown_BTE[[URS]:[URS]]))*(--(F$14=Flowdown_BTE[[Source.Name]:[Source.Name]])),Flowdown_BTE[[SyRS]:[SyRS]],"")))</f>
        <v/>
      </c>
      <c r="G146" s="12" t="str" cm="1">
        <f t="array" ref="G146">_xlfn.TEXTJOIN(CHAR(10),TRUE,_xlfn._xlws.SORT(IF((--($B146=Flowdown_BTE[[URS]:[URS]]))*(--(G$14=Flowdown_BTE[[Source.Name]:[Source.Name]])),Flowdown_BTE[[SyRS]:[SyRS]],"")))</f>
        <v/>
      </c>
      <c r="H146" s="12" t="str" cm="1">
        <f t="array" ref="H146">_xlfn.TEXTJOIN(CHAR(10),TRUE,_xlfn._xlws.SORT(IF((--($B146=Flowdown_BTE[[URS]:[URS]]))*(--(H$14=Flowdown_BTE[[Source.Name]:[Source.Name]])),Flowdown_BTE[[SyRS]:[SyRS]],"")))</f>
        <v/>
      </c>
      <c r="I146" s="12" t="str" cm="1">
        <f t="array" ref="I146">_xlfn.TEXTJOIN(CHAR(10),TRUE,_xlfn._xlws.SORT(IF((--($B146=Flowdown_BTE[[URS]:[URS]]))*(--(I$14=Flowdown_BTE[[Source.Name]:[Source.Name]])),Flowdown_BTE[[SyRS]:[SyRS]],"")))</f>
        <v>MASTER-6009</v>
      </c>
      <c r="J146" s="12" t="str" cm="1">
        <f t="array" ref="J146">_xlfn.TEXTJOIN(CHAR(10),TRUE,_xlfn._xlws.SORT(IF((--($B146=Flowdown_BTE[[URS]:[URS]]))*(--(J$14=Flowdown_BTE[[Source.Name]:[Source.Name]])),Flowdown_BTE[[SyRS]:[SyRS]],"")))</f>
        <v/>
      </c>
      <c r="K146" s="12" t="str" cm="1">
        <f t="array" ref="K146">_xlfn.TEXTJOIN(CHAR(10),TRUE,_xlfn._xlws.SORT(IF((--($B146=Flowdown_BTE[[URS]:[URS]]))*(--(K$14=Flowdown_BTE[[Source.Name]:[Source.Name]])),Flowdown_BTE[[SyRS]:[SyRS]],"")))</f>
        <v/>
      </c>
      <c r="L146" s="16" t="b" cm="1">
        <f t="array" ref="L146">OR(LEN(C146:K146)&gt;0)</f>
        <v>1</v>
      </c>
    </row>
    <row r="147" spans="2:12" ht="13.5" x14ac:dyDescent="0.2">
      <c r="B147" s="11" t="str">
        <v>MASTER-6312</v>
      </c>
      <c r="C147" s="12" t="str" cm="1">
        <f t="array" ref="C147">_xlfn.TEXTJOIN(CHAR(10),TRUE,_xlfn._xlws.SORT(IF((--($B147=Flowdown_BTE[[URS]:[URS]]))*(--(C$14=Flowdown_BTE[[Source.Name]:[Source.Name]])),Flowdown_BTE[[SyRS]:[SyRS]],"")))</f>
        <v/>
      </c>
      <c r="D147" s="12" t="str" cm="1">
        <f t="array" ref="D147">_xlfn.TEXTJOIN(CHAR(10),TRUE,_xlfn._xlws.SORT(IF((--($B147=Flowdown_BTE[[URS]:[URS]]))*(--(D$14=Flowdown_BTE[[Source.Name]:[Source.Name]])),Flowdown_BTE[[SyRS]:[SyRS]],"")))</f>
        <v/>
      </c>
      <c r="E147" s="12" t="str" cm="1">
        <f t="array" ref="E147">_xlfn.TEXTJOIN(CHAR(10),TRUE,_xlfn._xlws.SORT(IF((--($B147=Flowdown_BTE[[URS]:[URS]]))*(--(E$14=Flowdown_BTE[[Source.Name]:[Source.Name]])),Flowdown_BTE[[SyRS]:[SyRS]],"")))</f>
        <v/>
      </c>
      <c r="F147" s="12" t="str" cm="1">
        <f t="array" ref="F147">_xlfn.TEXTJOIN(CHAR(10),TRUE,_xlfn._xlws.SORT(IF((--($B147=Flowdown_BTE[[URS]:[URS]]))*(--(F$14=Flowdown_BTE[[Source.Name]:[Source.Name]])),Flowdown_BTE[[SyRS]:[SyRS]],"")))</f>
        <v/>
      </c>
      <c r="G147" s="12" t="str" cm="1">
        <f t="array" ref="G147">_xlfn.TEXTJOIN(CHAR(10),TRUE,_xlfn._xlws.SORT(IF((--($B147=Flowdown_BTE[[URS]:[URS]]))*(--(G$14=Flowdown_BTE[[Source.Name]:[Source.Name]])),Flowdown_BTE[[SyRS]:[SyRS]],"")))</f>
        <v/>
      </c>
      <c r="H147" s="12" t="str" cm="1">
        <f t="array" ref="H147">_xlfn.TEXTJOIN(CHAR(10),TRUE,_xlfn._xlws.SORT(IF((--($B147=Flowdown_BTE[[URS]:[URS]]))*(--(H$14=Flowdown_BTE[[Source.Name]:[Source.Name]])),Flowdown_BTE[[SyRS]:[SyRS]],"")))</f>
        <v/>
      </c>
      <c r="I147" s="12" t="str" cm="1">
        <f t="array" ref="I147">_xlfn.TEXTJOIN(CHAR(10),TRUE,_xlfn._xlws.SORT(IF((--($B147=Flowdown_BTE[[URS]:[URS]]))*(--(I$14=Flowdown_BTE[[Source.Name]:[Source.Name]])),Flowdown_BTE[[SyRS]:[SyRS]],"")))</f>
        <v>MASTER-6009</v>
      </c>
      <c r="J147" s="12" t="str" cm="1">
        <f t="array" ref="J147">_xlfn.TEXTJOIN(CHAR(10),TRUE,_xlfn._xlws.SORT(IF((--($B147=Flowdown_BTE[[URS]:[URS]]))*(--(J$14=Flowdown_BTE[[Source.Name]:[Source.Name]])),Flowdown_BTE[[SyRS]:[SyRS]],"")))</f>
        <v/>
      </c>
      <c r="K147" s="12" t="str" cm="1">
        <f t="array" ref="K147">_xlfn.TEXTJOIN(CHAR(10),TRUE,_xlfn._xlws.SORT(IF((--($B147=Flowdown_BTE[[URS]:[URS]]))*(--(K$14=Flowdown_BTE[[Source.Name]:[Source.Name]])),Flowdown_BTE[[SyRS]:[SyRS]],"")))</f>
        <v/>
      </c>
      <c r="L147" s="16" t="b" cm="1">
        <f t="array" ref="L147">OR(LEN(C147:K147)&gt;0)</f>
        <v>1</v>
      </c>
    </row>
    <row r="148" spans="2:12" ht="13.5" x14ac:dyDescent="0.2">
      <c r="B148" s="11" t="str">
        <v>MASTER-6315</v>
      </c>
      <c r="C148" s="12" t="str" cm="1">
        <f t="array" ref="C148">_xlfn.TEXTJOIN(CHAR(10),TRUE,_xlfn._xlws.SORT(IF((--($B148=Flowdown_BTE[[URS]:[URS]]))*(--(C$14=Flowdown_BTE[[Source.Name]:[Source.Name]])),Flowdown_BTE[[SyRS]:[SyRS]],"")))</f>
        <v>MASTER-20295</v>
      </c>
      <c r="D148" s="12" t="str" cm="1">
        <f t="array" ref="D148">_xlfn.TEXTJOIN(CHAR(10),TRUE,_xlfn._xlws.SORT(IF((--($B148=Flowdown_BTE[[URS]:[URS]]))*(--(D$14=Flowdown_BTE[[Source.Name]:[Source.Name]])),Flowdown_BTE[[SyRS]:[SyRS]],"")))</f>
        <v>MASTER-20295</v>
      </c>
      <c r="E148" s="12" t="str" cm="1">
        <f t="array" ref="E148">_xlfn.TEXTJOIN(CHAR(10),TRUE,_xlfn._xlws.SORT(IF((--($B148=Flowdown_BTE[[URS]:[URS]]))*(--(E$14=Flowdown_BTE[[Source.Name]:[Source.Name]])),Flowdown_BTE[[SyRS]:[SyRS]],"")))</f>
        <v>MASTER-20295</v>
      </c>
      <c r="F148" s="12" t="str" cm="1">
        <f t="array" ref="F148">_xlfn.TEXTJOIN(CHAR(10),TRUE,_xlfn._xlws.SORT(IF((--($B148=Flowdown_BTE[[URS]:[URS]]))*(--(F$14=Flowdown_BTE[[Source.Name]:[Source.Name]])),Flowdown_BTE[[SyRS]:[SyRS]],"")))</f>
        <v>MASTER-20295</v>
      </c>
      <c r="G148" s="12" t="str" cm="1">
        <f t="array" ref="G148">_xlfn.TEXTJOIN(CHAR(10),TRUE,_xlfn._xlws.SORT(IF((--($B148=Flowdown_BTE[[URS]:[URS]]))*(--(G$14=Flowdown_BTE[[Source.Name]:[Source.Name]])),Flowdown_BTE[[SyRS]:[SyRS]],"")))</f>
        <v>MASTER-20295</v>
      </c>
      <c r="H148" s="12" t="str" cm="1">
        <f t="array" ref="H148">_xlfn.TEXTJOIN(CHAR(10),TRUE,_xlfn._xlws.SORT(IF((--($B148=Flowdown_BTE[[URS]:[URS]]))*(--(H$14=Flowdown_BTE[[Source.Name]:[Source.Name]])),Flowdown_BTE[[SyRS]:[SyRS]],"")))</f>
        <v/>
      </c>
      <c r="I148" s="12" t="str" cm="1">
        <f t="array" ref="I148">_xlfn.TEXTJOIN(CHAR(10),TRUE,_xlfn._xlws.SORT(IF((--($B148=Flowdown_BTE[[URS]:[URS]]))*(--(I$14=Flowdown_BTE[[Source.Name]:[Source.Name]])),Flowdown_BTE[[SyRS]:[SyRS]],"")))</f>
        <v>MASTER-59956</v>
      </c>
      <c r="J148" s="12" t="str" cm="1">
        <f t="array" ref="J148">_xlfn.TEXTJOIN(CHAR(10),TRUE,_xlfn._xlws.SORT(IF((--($B148=Flowdown_BTE[[URS]:[URS]]))*(--(J$14=Flowdown_BTE[[Source.Name]:[Source.Name]])),Flowdown_BTE[[SyRS]:[SyRS]],"")))</f>
        <v>MASTER-59956</v>
      </c>
      <c r="K148" s="12" t="str" cm="1">
        <f t="array" ref="K148">_xlfn.TEXTJOIN(CHAR(10),TRUE,_xlfn._xlws.SORT(IF((--($B148=Flowdown_BTE[[URS]:[URS]]))*(--(K$14=Flowdown_BTE[[Source.Name]:[Source.Name]])),Flowdown_BTE[[SyRS]:[SyRS]],"")))</f>
        <v/>
      </c>
      <c r="L148" s="16" t="b" cm="1">
        <f t="array" ref="L148">OR(LEN(C148:K148)&gt;0)</f>
        <v>1</v>
      </c>
    </row>
    <row r="149" spans="2:12" ht="13.5" x14ac:dyDescent="0.2">
      <c r="B149" s="11" t="str">
        <v>MASTER-6318</v>
      </c>
      <c r="C149" s="12" t="str" cm="1">
        <f t="array" ref="C149">_xlfn.TEXTJOIN(CHAR(10),TRUE,_xlfn._xlws.SORT(IF((--($B149=Flowdown_BTE[[URS]:[URS]]))*(--(C$14=Flowdown_BTE[[Source.Name]:[Source.Name]])),Flowdown_BTE[[SyRS]:[SyRS]],"")))</f>
        <v/>
      </c>
      <c r="D149" s="12" t="str" cm="1">
        <f t="array" ref="D149">_xlfn.TEXTJOIN(CHAR(10),TRUE,_xlfn._xlws.SORT(IF((--($B149=Flowdown_BTE[[URS]:[URS]]))*(--(D$14=Flowdown_BTE[[Source.Name]:[Source.Name]])),Flowdown_BTE[[SyRS]:[SyRS]],"")))</f>
        <v/>
      </c>
      <c r="E149" s="12" t="str" cm="1">
        <f t="array" ref="E149">_xlfn.TEXTJOIN(CHAR(10),TRUE,_xlfn._xlws.SORT(IF((--($B149=Flowdown_BTE[[URS]:[URS]]))*(--(E$14=Flowdown_BTE[[Source.Name]:[Source.Name]])),Flowdown_BTE[[SyRS]:[SyRS]],"")))</f>
        <v/>
      </c>
      <c r="F149" s="12" t="str" cm="1">
        <f t="array" ref="F149">_xlfn.TEXTJOIN(CHAR(10),TRUE,_xlfn._xlws.SORT(IF((--($B149=Flowdown_BTE[[URS]:[URS]]))*(--(F$14=Flowdown_BTE[[Source.Name]:[Source.Name]])),Flowdown_BTE[[SyRS]:[SyRS]],"")))</f>
        <v/>
      </c>
      <c r="G149" s="12" t="str" cm="1">
        <f t="array" ref="G149">_xlfn.TEXTJOIN(CHAR(10),TRUE,_xlfn._xlws.SORT(IF((--($B149=Flowdown_BTE[[URS]:[URS]]))*(--(G$14=Flowdown_BTE[[Source.Name]:[Source.Name]])),Flowdown_BTE[[SyRS]:[SyRS]],"")))</f>
        <v/>
      </c>
      <c r="H149" s="12" t="str" cm="1">
        <f t="array" ref="H149">_xlfn.TEXTJOIN(CHAR(10),TRUE,_xlfn._xlws.SORT(IF((--($B149=Flowdown_BTE[[URS]:[URS]]))*(--(H$14=Flowdown_BTE[[Source.Name]:[Source.Name]])),Flowdown_BTE[[SyRS]:[SyRS]],"")))</f>
        <v/>
      </c>
      <c r="I149" s="12" t="str" cm="1">
        <f t="array" ref="I149">_xlfn.TEXTJOIN(CHAR(10),TRUE,_xlfn._xlws.SORT(IF((--($B149=Flowdown_BTE[[URS]:[URS]]))*(--(I$14=Flowdown_BTE[[Source.Name]:[Source.Name]])),Flowdown_BTE[[SyRS]:[SyRS]],"")))</f>
        <v>MASTER-59956</v>
      </c>
      <c r="J149" s="12" t="str" cm="1">
        <f t="array" ref="J149">_xlfn.TEXTJOIN(CHAR(10),TRUE,_xlfn._xlws.SORT(IF((--($B149=Flowdown_BTE[[URS]:[URS]]))*(--(J$14=Flowdown_BTE[[Source.Name]:[Source.Name]])),Flowdown_BTE[[SyRS]:[SyRS]],"")))</f>
        <v>MASTER-59956</v>
      </c>
      <c r="K149" s="12" t="str" cm="1">
        <f t="array" ref="K149">_xlfn.TEXTJOIN(CHAR(10),TRUE,_xlfn._xlws.SORT(IF((--($B149=Flowdown_BTE[[URS]:[URS]]))*(--(K$14=Flowdown_BTE[[Source.Name]:[Source.Name]])),Flowdown_BTE[[SyRS]:[SyRS]],"")))</f>
        <v/>
      </c>
      <c r="L149" s="16" t="b" cm="1">
        <f t="array" ref="L149">OR(LEN(C149:K149)&gt;0)</f>
        <v>1</v>
      </c>
    </row>
    <row r="150" spans="2:12" ht="40.5" x14ac:dyDescent="0.2">
      <c r="B150" s="11" t="str">
        <v>MASTER-6321</v>
      </c>
      <c r="C150" s="12" t="str" cm="1">
        <f t="array" ref="C150">_xlfn.TEXTJOIN(CHAR(10),TRUE,_xlfn._xlws.SORT(IF((--($B150=Flowdown_BTE[[URS]:[URS]]))*(--(C$14=Flowdown_BTE[[Source.Name]:[Source.Name]])),Flowdown_BTE[[SyRS]:[SyRS]],"")))</f>
        <v/>
      </c>
      <c r="D150" s="12" t="str" cm="1">
        <f t="array" ref="D150">_xlfn.TEXTJOIN(CHAR(10),TRUE,_xlfn._xlws.SORT(IF((--($B150=Flowdown_BTE[[URS]:[URS]]))*(--(D$14=Flowdown_BTE[[Source.Name]:[Source.Name]])),Flowdown_BTE[[SyRS]:[SyRS]],"")))</f>
        <v/>
      </c>
      <c r="E150" s="12" t="str" cm="1">
        <f t="array" ref="E150">_xlfn.TEXTJOIN(CHAR(10),TRUE,_xlfn._xlws.SORT(IF((--($B150=Flowdown_BTE[[URS]:[URS]]))*(--(E$14=Flowdown_BTE[[Source.Name]:[Source.Name]])),Flowdown_BTE[[SyRS]:[SyRS]],"")))</f>
        <v/>
      </c>
      <c r="F150" s="12" t="str" cm="1">
        <f t="array" ref="F150">_xlfn.TEXTJOIN(CHAR(10),TRUE,_xlfn._xlws.SORT(IF((--($B150=Flowdown_BTE[[URS]:[URS]]))*(--(F$14=Flowdown_BTE[[Source.Name]:[Source.Name]])),Flowdown_BTE[[SyRS]:[SyRS]],"")))</f>
        <v/>
      </c>
      <c r="G150" s="12" t="str" cm="1">
        <f t="array" ref="G150">_xlfn.TEXTJOIN(CHAR(10),TRUE,_xlfn._xlws.SORT(IF((--($B150=Flowdown_BTE[[URS]:[URS]]))*(--(G$14=Flowdown_BTE[[Source.Name]:[Source.Name]])),Flowdown_BTE[[SyRS]:[SyRS]],"")))</f>
        <v/>
      </c>
      <c r="H150" s="12" t="str" cm="1">
        <f t="array" ref="H150">_xlfn.TEXTJOIN(CHAR(10),TRUE,_xlfn._xlws.SORT(IF((--($B150=Flowdown_BTE[[URS]:[URS]]))*(--(H$14=Flowdown_BTE[[Source.Name]:[Source.Name]])),Flowdown_BTE[[SyRS]:[SyRS]],"")))</f>
        <v/>
      </c>
      <c r="I150" s="12" t="str" cm="1">
        <f t="array" ref="I150">_xlfn.TEXTJOIN(CHAR(10),TRUE,_xlfn._xlws.SORT(IF((--($B150=Flowdown_BTE[[URS]:[URS]]))*(--(I$14=Flowdown_BTE[[Source.Name]:[Source.Name]])),Flowdown_BTE[[SyRS]:[SyRS]],"")))</f>
        <v>MASTER-17573
MASTER-17575
MASTER-17577</v>
      </c>
      <c r="J150" s="12" t="str" cm="1">
        <f t="array" ref="J150">_xlfn.TEXTJOIN(CHAR(10),TRUE,_xlfn._xlws.SORT(IF((--($B150=Flowdown_BTE[[URS]:[URS]]))*(--(J$14=Flowdown_BTE[[Source.Name]:[Source.Name]])),Flowdown_BTE[[SyRS]:[SyRS]],"")))</f>
        <v/>
      </c>
      <c r="K150" s="12" t="str" cm="1">
        <f t="array" ref="K150">_xlfn.TEXTJOIN(CHAR(10),TRUE,_xlfn._xlws.SORT(IF((--($B150=Flowdown_BTE[[URS]:[URS]]))*(--(K$14=Flowdown_BTE[[Source.Name]:[Source.Name]])),Flowdown_BTE[[SyRS]:[SyRS]],"")))</f>
        <v/>
      </c>
      <c r="L150" s="16" t="b" cm="1">
        <f t="array" ref="L150">OR(LEN(C150:K150)&gt;0)</f>
        <v>1</v>
      </c>
    </row>
    <row r="151" spans="2:12" ht="13.5" x14ac:dyDescent="0.2">
      <c r="B151" s="11" t="str">
        <v>MASTER-6325</v>
      </c>
      <c r="C151" s="12" t="str" cm="1">
        <f t="array" ref="C151">_xlfn.TEXTJOIN(CHAR(10),TRUE,_xlfn._xlws.SORT(IF((--($B151=Flowdown_BTE[[URS]:[URS]]))*(--(C$14=Flowdown_BTE[[Source.Name]:[Source.Name]])),Flowdown_BTE[[SyRS]:[SyRS]],"")))</f>
        <v>MASTER-18707</v>
      </c>
      <c r="D151" s="12" t="str" cm="1">
        <f t="array" ref="D151">_xlfn.TEXTJOIN(CHAR(10),TRUE,_xlfn._xlws.SORT(IF((--($B151=Flowdown_BTE[[URS]:[URS]]))*(--(D$14=Flowdown_BTE[[Source.Name]:[Source.Name]])),Flowdown_BTE[[SyRS]:[SyRS]],"")))</f>
        <v>MASTER-18707</v>
      </c>
      <c r="E151" s="12" t="str" cm="1">
        <f t="array" ref="E151">_xlfn.TEXTJOIN(CHAR(10),TRUE,_xlfn._xlws.SORT(IF((--($B151=Flowdown_BTE[[URS]:[URS]]))*(--(E$14=Flowdown_BTE[[Source.Name]:[Source.Name]])),Flowdown_BTE[[SyRS]:[SyRS]],"")))</f>
        <v>MASTER-18707</v>
      </c>
      <c r="F151" s="12" t="str" cm="1">
        <f t="array" ref="F151">_xlfn.TEXTJOIN(CHAR(10),TRUE,_xlfn._xlws.SORT(IF((--($B151=Flowdown_BTE[[URS]:[URS]]))*(--(F$14=Flowdown_BTE[[Source.Name]:[Source.Name]])),Flowdown_BTE[[SyRS]:[SyRS]],"")))</f>
        <v>MASTER-18707</v>
      </c>
      <c r="G151" s="12" t="str" cm="1">
        <f t="array" ref="G151">_xlfn.TEXTJOIN(CHAR(10),TRUE,_xlfn._xlws.SORT(IF((--($B151=Flowdown_BTE[[URS]:[URS]]))*(--(G$14=Flowdown_BTE[[Source.Name]:[Source.Name]])),Flowdown_BTE[[SyRS]:[SyRS]],"")))</f>
        <v>MASTER-18707</v>
      </c>
      <c r="H151" s="12" t="str" cm="1">
        <f t="array" ref="H151">_xlfn.TEXTJOIN(CHAR(10),TRUE,_xlfn._xlws.SORT(IF((--($B151=Flowdown_BTE[[URS]:[URS]]))*(--(H$14=Flowdown_BTE[[Source.Name]:[Source.Name]])),Flowdown_BTE[[SyRS]:[SyRS]],"")))</f>
        <v/>
      </c>
      <c r="I151" s="12" t="str" cm="1">
        <f t="array" ref="I151">_xlfn.TEXTJOIN(CHAR(10),TRUE,_xlfn._xlws.SORT(IF((--($B151=Flowdown_BTE[[URS]:[URS]]))*(--(I$14=Flowdown_BTE[[Source.Name]:[Source.Name]])),Flowdown_BTE[[SyRS]:[SyRS]],"")))</f>
        <v>MASTER-17573</v>
      </c>
      <c r="J151" s="12" t="str" cm="1">
        <f t="array" ref="J151">_xlfn.TEXTJOIN(CHAR(10),TRUE,_xlfn._xlws.SORT(IF((--($B151=Flowdown_BTE[[URS]:[URS]]))*(--(J$14=Flowdown_BTE[[Source.Name]:[Source.Name]])),Flowdown_BTE[[SyRS]:[SyRS]],"")))</f>
        <v/>
      </c>
      <c r="K151" s="12" t="str" cm="1">
        <f t="array" ref="K151">_xlfn.TEXTJOIN(CHAR(10),TRUE,_xlfn._xlws.SORT(IF((--($B151=Flowdown_BTE[[URS]:[URS]]))*(--(K$14=Flowdown_BTE[[Source.Name]:[Source.Name]])),Flowdown_BTE[[SyRS]:[SyRS]],"")))</f>
        <v/>
      </c>
      <c r="L151" s="16" t="b" cm="1">
        <f t="array" ref="L151">OR(LEN(C151:K151)&gt;0)</f>
        <v>1</v>
      </c>
    </row>
    <row r="152" spans="2:12" ht="27" x14ac:dyDescent="0.2">
      <c r="B152" s="11" t="str">
        <v>MASTER-6326</v>
      </c>
      <c r="C152" s="12" t="str" cm="1">
        <f t="array" ref="C152">_xlfn.TEXTJOIN(CHAR(10),TRUE,_xlfn._xlws.SORT(IF((--($B152=Flowdown_BTE[[URS]:[URS]]))*(--(C$14=Flowdown_BTE[[Source.Name]:[Source.Name]])),Flowdown_BTE[[SyRS]:[SyRS]],"")))</f>
        <v/>
      </c>
      <c r="D152" s="12" t="str" cm="1">
        <f t="array" ref="D152">_xlfn.TEXTJOIN(CHAR(10),TRUE,_xlfn._xlws.SORT(IF((--($B152=Flowdown_BTE[[URS]:[URS]]))*(--(D$14=Flowdown_BTE[[Source.Name]:[Source.Name]])),Flowdown_BTE[[SyRS]:[SyRS]],"")))</f>
        <v/>
      </c>
      <c r="E152" s="12" t="str" cm="1">
        <f t="array" ref="E152">_xlfn.TEXTJOIN(CHAR(10),TRUE,_xlfn._xlws.SORT(IF((--($B152=Flowdown_BTE[[URS]:[URS]]))*(--(E$14=Flowdown_BTE[[Source.Name]:[Source.Name]])),Flowdown_BTE[[SyRS]:[SyRS]],"")))</f>
        <v/>
      </c>
      <c r="F152" s="12" t="str" cm="1">
        <f t="array" ref="F152">_xlfn.TEXTJOIN(CHAR(10),TRUE,_xlfn._xlws.SORT(IF((--($B152=Flowdown_BTE[[URS]:[URS]]))*(--(F$14=Flowdown_BTE[[Source.Name]:[Source.Name]])),Flowdown_BTE[[SyRS]:[SyRS]],"")))</f>
        <v/>
      </c>
      <c r="G152" s="12" t="str" cm="1">
        <f t="array" ref="G152">_xlfn.TEXTJOIN(CHAR(10),TRUE,_xlfn._xlws.SORT(IF((--($B152=Flowdown_BTE[[URS]:[URS]]))*(--(G$14=Flowdown_BTE[[Source.Name]:[Source.Name]])),Flowdown_BTE[[SyRS]:[SyRS]],"")))</f>
        <v/>
      </c>
      <c r="H152" s="12" t="str" cm="1">
        <f t="array" ref="H152">_xlfn.TEXTJOIN(CHAR(10),TRUE,_xlfn._xlws.SORT(IF((--($B152=Flowdown_BTE[[URS]:[URS]]))*(--(H$14=Flowdown_BTE[[Source.Name]:[Source.Name]])),Flowdown_BTE[[SyRS]:[SyRS]],"")))</f>
        <v/>
      </c>
      <c r="I152" s="12" t="str" cm="1">
        <f t="array" ref="I152">_xlfn.TEXTJOIN(CHAR(10),TRUE,_xlfn._xlws.SORT(IF((--($B152=Flowdown_BTE[[URS]:[URS]]))*(--(I$14=Flowdown_BTE[[Source.Name]:[Source.Name]])),Flowdown_BTE[[SyRS]:[SyRS]],"")))</f>
        <v>MASTER-17575
MASTER-17577</v>
      </c>
      <c r="J152" s="12" t="str" cm="1">
        <f t="array" ref="J152">_xlfn.TEXTJOIN(CHAR(10),TRUE,_xlfn._xlws.SORT(IF((--($B152=Flowdown_BTE[[URS]:[URS]]))*(--(J$14=Flowdown_BTE[[Source.Name]:[Source.Name]])),Flowdown_BTE[[SyRS]:[SyRS]],"")))</f>
        <v/>
      </c>
      <c r="K152" s="12" t="str" cm="1">
        <f t="array" ref="K152">_xlfn.TEXTJOIN(CHAR(10),TRUE,_xlfn._xlws.SORT(IF((--($B152=Flowdown_BTE[[URS]:[URS]]))*(--(K$14=Flowdown_BTE[[Source.Name]:[Source.Name]])),Flowdown_BTE[[SyRS]:[SyRS]],"")))</f>
        <v/>
      </c>
      <c r="L152" s="16" t="b" cm="1">
        <f t="array" ref="L152">OR(LEN(C152:K152)&gt;0)</f>
        <v>1</v>
      </c>
    </row>
    <row r="153" spans="2:12" ht="54" x14ac:dyDescent="0.2">
      <c r="B153" s="11" t="str">
        <v>MASTER-6327</v>
      </c>
      <c r="C153" s="12" t="str" cm="1">
        <f t="array" ref="C153">_xlfn.TEXTJOIN(CHAR(10),TRUE,_xlfn._xlws.SORT(IF((--($B153=Flowdown_BTE[[URS]:[URS]]))*(--(C$14=Flowdown_BTE[[Source.Name]:[Source.Name]])),Flowdown_BTE[[SyRS]:[SyRS]],"")))</f>
        <v/>
      </c>
      <c r="D153" s="12" t="str" cm="1">
        <f t="array" ref="D153">_xlfn.TEXTJOIN(CHAR(10),TRUE,_xlfn._xlws.SORT(IF((--($B153=Flowdown_BTE[[URS]:[URS]]))*(--(D$14=Flowdown_BTE[[Source.Name]:[Source.Name]])),Flowdown_BTE[[SyRS]:[SyRS]],"")))</f>
        <v/>
      </c>
      <c r="E153" s="12" t="str" cm="1">
        <f t="array" ref="E153">_xlfn.TEXTJOIN(CHAR(10),TRUE,_xlfn._xlws.SORT(IF((--($B153=Flowdown_BTE[[URS]:[URS]]))*(--(E$14=Flowdown_BTE[[Source.Name]:[Source.Name]])),Flowdown_BTE[[SyRS]:[SyRS]],"")))</f>
        <v/>
      </c>
      <c r="F153" s="12" t="str" cm="1">
        <f t="array" ref="F153">_xlfn.TEXTJOIN(CHAR(10),TRUE,_xlfn._xlws.SORT(IF((--($B153=Flowdown_BTE[[URS]:[URS]]))*(--(F$14=Flowdown_BTE[[Source.Name]:[Source.Name]])),Flowdown_BTE[[SyRS]:[SyRS]],"")))</f>
        <v/>
      </c>
      <c r="G153" s="12" t="str" cm="1">
        <f t="array" ref="G153">_xlfn.TEXTJOIN(CHAR(10),TRUE,_xlfn._xlws.SORT(IF((--($B153=Flowdown_BTE[[URS]:[URS]]))*(--(G$14=Flowdown_BTE[[Source.Name]:[Source.Name]])),Flowdown_BTE[[SyRS]:[SyRS]],"")))</f>
        <v/>
      </c>
      <c r="H153" s="12" t="str" cm="1">
        <f t="array" ref="H153">_xlfn.TEXTJOIN(CHAR(10),TRUE,_xlfn._xlws.SORT(IF((--($B153=Flowdown_BTE[[URS]:[URS]]))*(--(H$14=Flowdown_BTE[[Source.Name]:[Source.Name]])),Flowdown_BTE[[SyRS]:[SyRS]],"")))</f>
        <v/>
      </c>
      <c r="I153" s="12" t="str" cm="1">
        <f t="array" ref="I153">_xlfn.TEXTJOIN(CHAR(10),TRUE,_xlfn._xlws.SORT(IF((--($B153=Flowdown_BTE[[URS]:[URS]]))*(--(I$14=Flowdown_BTE[[Source.Name]:[Source.Name]])),Flowdown_BTE[[SyRS]:[SyRS]],"")))</f>
        <v>MASTER-20102
MASTER-20104
MASTER-48451
UTICA-2176</v>
      </c>
      <c r="J153" s="12" t="str" cm="1">
        <f t="array" ref="J153">_xlfn.TEXTJOIN(CHAR(10),TRUE,_xlfn._xlws.SORT(IF((--($B153=Flowdown_BTE[[URS]:[URS]]))*(--(J$14=Flowdown_BTE[[Source.Name]:[Source.Name]])),Flowdown_BTE[[SyRS]:[SyRS]],"")))</f>
        <v>MASTER-20102
MASTER-20104
MASTER-48451</v>
      </c>
      <c r="K153" s="12" t="str" cm="1">
        <f t="array" ref="K153">_xlfn.TEXTJOIN(CHAR(10),TRUE,_xlfn._xlws.SORT(IF((--($B153=Flowdown_BTE[[URS]:[URS]]))*(--(K$14=Flowdown_BTE[[Source.Name]:[Source.Name]])),Flowdown_BTE[[SyRS]:[SyRS]],"")))</f>
        <v/>
      </c>
      <c r="L153" s="16" t="b" cm="1">
        <f t="array" ref="L153">OR(LEN(C153:K153)&gt;0)</f>
        <v>1</v>
      </c>
    </row>
    <row r="154" spans="2:12" ht="27" x14ac:dyDescent="0.2">
      <c r="B154" s="11" t="str">
        <v>MASTER-6336</v>
      </c>
      <c r="C154" s="12" t="str" cm="1">
        <f t="array" ref="C154">_xlfn.TEXTJOIN(CHAR(10),TRUE,_xlfn._xlws.SORT(IF((--($B154=Flowdown_BTE[[URS]:[URS]]))*(--(C$14=Flowdown_BTE[[Source.Name]:[Source.Name]])),Flowdown_BTE[[SyRS]:[SyRS]],"")))</f>
        <v/>
      </c>
      <c r="D154" s="12" t="str" cm="1">
        <f t="array" ref="D154">_xlfn.TEXTJOIN(CHAR(10),TRUE,_xlfn._xlws.SORT(IF((--($B154=Flowdown_BTE[[URS]:[URS]]))*(--(D$14=Flowdown_BTE[[Source.Name]:[Source.Name]])),Flowdown_BTE[[SyRS]:[SyRS]],"")))</f>
        <v/>
      </c>
      <c r="E154" s="12" t="str" cm="1">
        <f t="array" ref="E154">_xlfn.TEXTJOIN(CHAR(10),TRUE,_xlfn._xlws.SORT(IF((--($B154=Flowdown_BTE[[URS]:[URS]]))*(--(E$14=Flowdown_BTE[[Source.Name]:[Source.Name]])),Flowdown_BTE[[SyRS]:[SyRS]],"")))</f>
        <v/>
      </c>
      <c r="F154" s="12" t="str" cm="1">
        <f t="array" ref="F154">_xlfn.TEXTJOIN(CHAR(10),TRUE,_xlfn._xlws.SORT(IF((--($B154=Flowdown_BTE[[URS]:[URS]]))*(--(F$14=Flowdown_BTE[[Source.Name]:[Source.Name]])),Flowdown_BTE[[SyRS]:[SyRS]],"")))</f>
        <v/>
      </c>
      <c r="G154" s="12" t="str" cm="1">
        <f t="array" ref="G154">_xlfn.TEXTJOIN(CHAR(10),TRUE,_xlfn._xlws.SORT(IF((--($B154=Flowdown_BTE[[URS]:[URS]]))*(--(G$14=Flowdown_BTE[[Source.Name]:[Source.Name]])),Flowdown_BTE[[SyRS]:[SyRS]],"")))</f>
        <v/>
      </c>
      <c r="H154" s="12" t="str" cm="1">
        <f t="array" ref="H154">_xlfn.TEXTJOIN(CHAR(10),TRUE,_xlfn._xlws.SORT(IF((--($B154=Flowdown_BTE[[URS]:[URS]]))*(--(H$14=Flowdown_BTE[[Source.Name]:[Source.Name]])),Flowdown_BTE[[SyRS]:[SyRS]],"")))</f>
        <v/>
      </c>
      <c r="I154" s="12" t="str" cm="1">
        <f t="array" ref="I154">_xlfn.TEXTJOIN(CHAR(10),TRUE,_xlfn._xlws.SORT(IF((--($B154=Flowdown_BTE[[URS]:[URS]]))*(--(I$14=Flowdown_BTE[[Source.Name]:[Source.Name]])),Flowdown_BTE[[SyRS]:[SyRS]],"")))</f>
        <v/>
      </c>
      <c r="J154" s="12" t="str" cm="1">
        <f t="array" ref="J154">_xlfn.TEXTJOIN(CHAR(10),TRUE,_xlfn._xlws.SORT(IF((--($B154=Flowdown_BTE[[URS]:[URS]]))*(--(J$14=Flowdown_BTE[[Source.Name]:[Source.Name]])),Flowdown_BTE[[SyRS]:[SyRS]],"")))</f>
        <v>MASTER-17662
UTICA-2470</v>
      </c>
      <c r="K154" s="12" t="str" cm="1">
        <f t="array" ref="K154">_xlfn.TEXTJOIN(CHAR(10),TRUE,_xlfn._xlws.SORT(IF((--($B154=Flowdown_BTE[[URS]:[URS]]))*(--(K$14=Flowdown_BTE[[Source.Name]:[Source.Name]])),Flowdown_BTE[[SyRS]:[SyRS]],"")))</f>
        <v/>
      </c>
      <c r="L154" s="16" t="b" cm="1">
        <f t="array" ref="L154">OR(LEN(C154:K154)&gt;0)</f>
        <v>1</v>
      </c>
    </row>
    <row r="155" spans="2:12" ht="67.5" x14ac:dyDescent="0.2">
      <c r="B155" s="11" t="str">
        <v>MASTER-6338</v>
      </c>
      <c r="C155" s="12" t="str" cm="1">
        <f t="array" ref="C155">_xlfn.TEXTJOIN(CHAR(10),TRUE,_xlfn._xlws.SORT(IF((--($B155=Flowdown_BTE[[URS]:[URS]]))*(--(C$14=Flowdown_BTE[[Source.Name]:[Source.Name]])),Flowdown_BTE[[SyRS]:[SyRS]],"")))</f>
        <v/>
      </c>
      <c r="D155" s="12" t="str" cm="1">
        <f t="array" ref="D155">_xlfn.TEXTJOIN(CHAR(10),TRUE,_xlfn._xlws.SORT(IF((--($B155=Flowdown_BTE[[URS]:[URS]]))*(--(D$14=Flowdown_BTE[[Source.Name]:[Source.Name]])),Flowdown_BTE[[SyRS]:[SyRS]],"")))</f>
        <v/>
      </c>
      <c r="E155" s="12" t="str" cm="1">
        <f t="array" ref="E155">_xlfn.TEXTJOIN(CHAR(10),TRUE,_xlfn._xlws.SORT(IF((--($B155=Flowdown_BTE[[URS]:[URS]]))*(--(E$14=Flowdown_BTE[[Source.Name]:[Source.Name]])),Flowdown_BTE[[SyRS]:[SyRS]],"")))</f>
        <v/>
      </c>
      <c r="F155" s="12" t="str" cm="1">
        <f t="array" ref="F155">_xlfn.TEXTJOIN(CHAR(10),TRUE,_xlfn._xlws.SORT(IF((--($B155=Flowdown_BTE[[URS]:[URS]]))*(--(F$14=Flowdown_BTE[[Source.Name]:[Source.Name]])),Flowdown_BTE[[SyRS]:[SyRS]],"")))</f>
        <v/>
      </c>
      <c r="G155" s="12" t="str" cm="1">
        <f t="array" ref="G155">_xlfn.TEXTJOIN(CHAR(10),TRUE,_xlfn._xlws.SORT(IF((--($B155=Flowdown_BTE[[URS]:[URS]]))*(--(G$14=Flowdown_BTE[[Source.Name]:[Source.Name]])),Flowdown_BTE[[SyRS]:[SyRS]],"")))</f>
        <v/>
      </c>
      <c r="H155" s="12" t="str" cm="1">
        <f t="array" ref="H155">_xlfn.TEXTJOIN(CHAR(10),TRUE,_xlfn._xlws.SORT(IF((--($B155=Flowdown_BTE[[URS]:[URS]]))*(--(H$14=Flowdown_BTE[[Source.Name]:[Source.Name]])),Flowdown_BTE[[SyRS]:[SyRS]],"")))</f>
        <v/>
      </c>
      <c r="I155" s="12" t="str" cm="1">
        <f t="array" ref="I155">_xlfn.TEXTJOIN(CHAR(10),TRUE,_xlfn._xlws.SORT(IF((--($B155=Flowdown_BTE[[URS]:[URS]]))*(--(I$14=Flowdown_BTE[[Source.Name]:[Source.Name]])),Flowdown_BTE[[SyRS]:[SyRS]],"")))</f>
        <v>MASTER-17654</v>
      </c>
      <c r="J155" s="12" t="str" cm="1">
        <f t="array" ref="J155">_xlfn.TEXTJOIN(CHAR(10),TRUE,_xlfn._xlws.SORT(IF((--($B155=Flowdown_BTE[[URS]:[URS]]))*(--(J$14=Flowdown_BTE[[Source.Name]:[Source.Name]])),Flowdown_BTE[[SyRS]:[SyRS]],"")))</f>
        <v>MASTER-17657
MASTER-17659
UTICA-2469
UTICA-2472
UTICA-2521</v>
      </c>
      <c r="K155" s="12" t="str" cm="1">
        <f t="array" ref="K155">_xlfn.TEXTJOIN(CHAR(10),TRUE,_xlfn._xlws.SORT(IF((--($B155=Flowdown_BTE[[URS]:[URS]]))*(--(K$14=Flowdown_BTE[[Source.Name]:[Source.Name]])),Flowdown_BTE[[SyRS]:[SyRS]],"")))</f>
        <v/>
      </c>
      <c r="L155" s="16" t="b" cm="1">
        <f t="array" ref="L155">OR(LEN(C155:K155)&gt;0)</f>
        <v>1</v>
      </c>
    </row>
    <row r="156" spans="2:12" ht="27" x14ac:dyDescent="0.2">
      <c r="B156" s="11" t="str">
        <v>MASTER-6339</v>
      </c>
      <c r="C156" s="12" t="str" cm="1">
        <f t="array" ref="C156">_xlfn.TEXTJOIN(CHAR(10),TRUE,_xlfn._xlws.SORT(IF((--($B156=Flowdown_BTE[[URS]:[URS]]))*(--(C$14=Flowdown_BTE[[Source.Name]:[Source.Name]])),Flowdown_BTE[[SyRS]:[SyRS]],"")))</f>
        <v/>
      </c>
      <c r="D156" s="12" t="str" cm="1">
        <f t="array" ref="D156">_xlfn.TEXTJOIN(CHAR(10),TRUE,_xlfn._xlws.SORT(IF((--($B156=Flowdown_BTE[[URS]:[URS]]))*(--(D$14=Flowdown_BTE[[Source.Name]:[Source.Name]])),Flowdown_BTE[[SyRS]:[SyRS]],"")))</f>
        <v/>
      </c>
      <c r="E156" s="12" t="str" cm="1">
        <f t="array" ref="E156">_xlfn.TEXTJOIN(CHAR(10),TRUE,_xlfn._xlws.SORT(IF((--($B156=Flowdown_BTE[[URS]:[URS]]))*(--(E$14=Flowdown_BTE[[Source.Name]:[Source.Name]])),Flowdown_BTE[[SyRS]:[SyRS]],"")))</f>
        <v/>
      </c>
      <c r="F156" s="12" t="str" cm="1">
        <f t="array" ref="F156">_xlfn.TEXTJOIN(CHAR(10),TRUE,_xlfn._xlws.SORT(IF((--($B156=Flowdown_BTE[[URS]:[URS]]))*(--(F$14=Flowdown_BTE[[Source.Name]:[Source.Name]])),Flowdown_BTE[[SyRS]:[SyRS]],"")))</f>
        <v/>
      </c>
      <c r="G156" s="12" t="str" cm="1">
        <f t="array" ref="G156">_xlfn.TEXTJOIN(CHAR(10),TRUE,_xlfn._xlws.SORT(IF((--($B156=Flowdown_BTE[[URS]:[URS]]))*(--(G$14=Flowdown_BTE[[Source.Name]:[Source.Name]])),Flowdown_BTE[[SyRS]:[SyRS]],"")))</f>
        <v/>
      </c>
      <c r="H156" s="12" t="str" cm="1">
        <f t="array" ref="H156">_xlfn.TEXTJOIN(CHAR(10),TRUE,_xlfn._xlws.SORT(IF((--($B156=Flowdown_BTE[[URS]:[URS]]))*(--(H$14=Flowdown_BTE[[Source.Name]:[Source.Name]])),Flowdown_BTE[[SyRS]:[SyRS]],"")))</f>
        <v/>
      </c>
      <c r="I156" s="12" t="str" cm="1">
        <f t="array" ref="I156">_xlfn.TEXTJOIN(CHAR(10),TRUE,_xlfn._xlws.SORT(IF((--($B156=Flowdown_BTE[[URS]:[URS]]))*(--(I$14=Flowdown_BTE[[Source.Name]:[Source.Name]])),Flowdown_BTE[[SyRS]:[SyRS]],"")))</f>
        <v/>
      </c>
      <c r="J156" s="12" t="str" cm="1">
        <f t="array" ref="J156">_xlfn.TEXTJOIN(CHAR(10),TRUE,_xlfn._xlws.SORT(IF((--($B156=Flowdown_BTE[[URS]:[URS]]))*(--(J$14=Flowdown_BTE[[Source.Name]:[Source.Name]])),Flowdown_BTE[[SyRS]:[SyRS]],"")))</f>
        <v>MASTER-17660
UTICA-2471</v>
      </c>
      <c r="K156" s="12" t="str" cm="1">
        <f t="array" ref="K156">_xlfn.TEXTJOIN(CHAR(10),TRUE,_xlfn._xlws.SORT(IF((--($B156=Flowdown_BTE[[URS]:[URS]]))*(--(K$14=Flowdown_BTE[[Source.Name]:[Source.Name]])),Flowdown_BTE[[SyRS]:[SyRS]],"")))</f>
        <v/>
      </c>
      <c r="L156" s="16" t="b" cm="1">
        <f t="array" ref="L156">OR(LEN(C156:K156)&gt;0)</f>
        <v>1</v>
      </c>
    </row>
    <row r="157" spans="2:12" ht="13.5" x14ac:dyDescent="0.2">
      <c r="B157" s="11" t="str">
        <v>MASTER-6345</v>
      </c>
      <c r="C157" s="12" t="str" cm="1">
        <f t="array" ref="C157">_xlfn.TEXTJOIN(CHAR(10),TRUE,_xlfn._xlws.SORT(IF((--($B157=Flowdown_BTE[[URS]:[URS]]))*(--(C$14=Flowdown_BTE[[Source.Name]:[Source.Name]])),Flowdown_BTE[[SyRS]:[SyRS]],"")))</f>
        <v/>
      </c>
      <c r="D157" s="12" t="str" cm="1">
        <f t="array" ref="D157">_xlfn.TEXTJOIN(CHAR(10),TRUE,_xlfn._xlws.SORT(IF((--($B157=Flowdown_BTE[[URS]:[URS]]))*(--(D$14=Flowdown_BTE[[Source.Name]:[Source.Name]])),Flowdown_BTE[[SyRS]:[SyRS]],"")))</f>
        <v/>
      </c>
      <c r="E157" s="12" t="str" cm="1">
        <f t="array" ref="E157">_xlfn.TEXTJOIN(CHAR(10),TRUE,_xlfn._xlws.SORT(IF((--($B157=Flowdown_BTE[[URS]:[URS]]))*(--(E$14=Flowdown_BTE[[Source.Name]:[Source.Name]])),Flowdown_BTE[[SyRS]:[SyRS]],"")))</f>
        <v/>
      </c>
      <c r="F157" s="12" t="str" cm="1">
        <f t="array" ref="F157">_xlfn.TEXTJOIN(CHAR(10),TRUE,_xlfn._xlws.SORT(IF((--($B157=Flowdown_BTE[[URS]:[URS]]))*(--(F$14=Flowdown_BTE[[Source.Name]:[Source.Name]])),Flowdown_BTE[[SyRS]:[SyRS]],"")))</f>
        <v/>
      </c>
      <c r="G157" s="12" t="str" cm="1">
        <f t="array" ref="G157">_xlfn.TEXTJOIN(CHAR(10),TRUE,_xlfn._xlws.SORT(IF((--($B157=Flowdown_BTE[[URS]:[URS]]))*(--(G$14=Flowdown_BTE[[Source.Name]:[Source.Name]])),Flowdown_BTE[[SyRS]:[SyRS]],"")))</f>
        <v/>
      </c>
      <c r="H157" s="12" t="str" cm="1">
        <f t="array" ref="H157">_xlfn.TEXTJOIN(CHAR(10),TRUE,_xlfn._xlws.SORT(IF((--($B157=Flowdown_BTE[[URS]:[URS]]))*(--(H$14=Flowdown_BTE[[Source.Name]:[Source.Name]])),Flowdown_BTE[[SyRS]:[SyRS]],"")))</f>
        <v/>
      </c>
      <c r="I157" s="12" t="str" cm="1">
        <f t="array" ref="I157">_xlfn.TEXTJOIN(CHAR(10),TRUE,_xlfn._xlws.SORT(IF((--($B157=Flowdown_BTE[[URS]:[URS]]))*(--(I$14=Flowdown_BTE[[Source.Name]:[Source.Name]])),Flowdown_BTE[[SyRS]:[SyRS]],"")))</f>
        <v>MASTER-19928</v>
      </c>
      <c r="J157" s="12" t="str" cm="1">
        <f t="array" ref="J157">_xlfn.TEXTJOIN(CHAR(10),TRUE,_xlfn._xlws.SORT(IF((--($B157=Flowdown_BTE[[URS]:[URS]]))*(--(J$14=Flowdown_BTE[[Source.Name]:[Source.Name]])),Flowdown_BTE[[SyRS]:[SyRS]],"")))</f>
        <v>MASTER-19928</v>
      </c>
      <c r="K157" s="12" t="str" cm="1">
        <f t="array" ref="K157">_xlfn.TEXTJOIN(CHAR(10),TRUE,_xlfn._xlws.SORT(IF((--($B157=Flowdown_BTE[[URS]:[URS]]))*(--(K$14=Flowdown_BTE[[Source.Name]:[Source.Name]])),Flowdown_BTE[[SyRS]:[SyRS]],"")))</f>
        <v/>
      </c>
      <c r="L157" s="16" t="b" cm="1">
        <f t="array" ref="L157">OR(LEN(C157:K157)&gt;0)</f>
        <v>1</v>
      </c>
    </row>
    <row r="158" spans="2:12" ht="13.5" x14ac:dyDescent="0.2">
      <c r="B158" s="11" t="str">
        <v>MASTER-6346</v>
      </c>
      <c r="C158" s="12" t="str" cm="1">
        <f t="array" ref="C158">_xlfn.TEXTJOIN(CHAR(10),TRUE,_xlfn._xlws.SORT(IF((--($B158=Flowdown_BTE[[URS]:[URS]]))*(--(C$14=Flowdown_BTE[[Source.Name]:[Source.Name]])),Flowdown_BTE[[SyRS]:[SyRS]],"")))</f>
        <v/>
      </c>
      <c r="D158" s="12" t="str" cm="1">
        <f t="array" ref="D158">_xlfn.TEXTJOIN(CHAR(10),TRUE,_xlfn._xlws.SORT(IF((--($B158=Flowdown_BTE[[URS]:[URS]]))*(--(D$14=Flowdown_BTE[[Source.Name]:[Source.Name]])),Flowdown_BTE[[SyRS]:[SyRS]],"")))</f>
        <v/>
      </c>
      <c r="E158" s="12" t="str" cm="1">
        <f t="array" ref="E158">_xlfn.TEXTJOIN(CHAR(10),TRUE,_xlfn._xlws.SORT(IF((--($B158=Flowdown_BTE[[URS]:[URS]]))*(--(E$14=Flowdown_BTE[[Source.Name]:[Source.Name]])),Flowdown_BTE[[SyRS]:[SyRS]],"")))</f>
        <v/>
      </c>
      <c r="F158" s="12" t="str" cm="1">
        <f t="array" ref="F158">_xlfn.TEXTJOIN(CHAR(10),TRUE,_xlfn._xlws.SORT(IF((--($B158=Flowdown_BTE[[URS]:[URS]]))*(--(F$14=Flowdown_BTE[[Source.Name]:[Source.Name]])),Flowdown_BTE[[SyRS]:[SyRS]],"")))</f>
        <v/>
      </c>
      <c r="G158" s="12" t="str" cm="1">
        <f t="array" ref="G158">_xlfn.TEXTJOIN(CHAR(10),TRUE,_xlfn._xlws.SORT(IF((--($B158=Flowdown_BTE[[URS]:[URS]]))*(--(G$14=Flowdown_BTE[[Source.Name]:[Source.Name]])),Flowdown_BTE[[SyRS]:[SyRS]],"")))</f>
        <v/>
      </c>
      <c r="H158" s="12" t="str" cm="1">
        <f t="array" ref="H158">_xlfn.TEXTJOIN(CHAR(10),TRUE,_xlfn._xlws.SORT(IF((--($B158=Flowdown_BTE[[URS]:[URS]]))*(--(H$14=Flowdown_BTE[[Source.Name]:[Source.Name]])),Flowdown_BTE[[SyRS]:[SyRS]],"")))</f>
        <v/>
      </c>
      <c r="I158" s="12" t="str" cm="1">
        <f t="array" ref="I158">_xlfn.TEXTJOIN(CHAR(10),TRUE,_xlfn._xlws.SORT(IF((--($B158=Flowdown_BTE[[URS]:[URS]]))*(--(I$14=Flowdown_BTE[[Source.Name]:[Source.Name]])),Flowdown_BTE[[SyRS]:[SyRS]],"")))</f>
        <v>MASTER-19928</v>
      </c>
      <c r="J158" s="12" t="str" cm="1">
        <f t="array" ref="J158">_xlfn.TEXTJOIN(CHAR(10),TRUE,_xlfn._xlws.SORT(IF((--($B158=Flowdown_BTE[[URS]:[URS]]))*(--(J$14=Flowdown_BTE[[Source.Name]:[Source.Name]])),Flowdown_BTE[[SyRS]:[SyRS]],"")))</f>
        <v>MASTER-19928</v>
      </c>
      <c r="K158" s="12" t="str" cm="1">
        <f t="array" ref="K158">_xlfn.TEXTJOIN(CHAR(10),TRUE,_xlfn._xlws.SORT(IF((--($B158=Flowdown_BTE[[URS]:[URS]]))*(--(K$14=Flowdown_BTE[[Source.Name]:[Source.Name]])),Flowdown_BTE[[SyRS]:[SyRS]],"")))</f>
        <v/>
      </c>
      <c r="L158" s="16" t="b" cm="1">
        <f t="array" ref="L158">OR(LEN(C158:K158)&gt;0)</f>
        <v>1</v>
      </c>
    </row>
    <row r="159" spans="2:12" ht="13.5" x14ac:dyDescent="0.2">
      <c r="B159" s="11" t="str">
        <v>MASTER-6347</v>
      </c>
      <c r="C159" s="12" t="str" cm="1">
        <f t="array" ref="C159">_xlfn.TEXTJOIN(CHAR(10),TRUE,_xlfn._xlws.SORT(IF((--($B159=Flowdown_BTE[[URS]:[URS]]))*(--(C$14=Flowdown_BTE[[Source.Name]:[Source.Name]])),Flowdown_BTE[[SyRS]:[SyRS]],"")))</f>
        <v/>
      </c>
      <c r="D159" s="12" t="str" cm="1">
        <f t="array" ref="D159">_xlfn.TEXTJOIN(CHAR(10),TRUE,_xlfn._xlws.SORT(IF((--($B159=Flowdown_BTE[[URS]:[URS]]))*(--(D$14=Flowdown_BTE[[Source.Name]:[Source.Name]])),Flowdown_BTE[[SyRS]:[SyRS]],"")))</f>
        <v/>
      </c>
      <c r="E159" s="12" t="str" cm="1">
        <f t="array" ref="E159">_xlfn.TEXTJOIN(CHAR(10),TRUE,_xlfn._xlws.SORT(IF((--($B159=Flowdown_BTE[[URS]:[URS]]))*(--(E$14=Flowdown_BTE[[Source.Name]:[Source.Name]])),Flowdown_BTE[[SyRS]:[SyRS]],"")))</f>
        <v/>
      </c>
      <c r="F159" s="12" t="str" cm="1">
        <f t="array" ref="F159">_xlfn.TEXTJOIN(CHAR(10),TRUE,_xlfn._xlws.SORT(IF((--($B159=Flowdown_BTE[[URS]:[URS]]))*(--(F$14=Flowdown_BTE[[Source.Name]:[Source.Name]])),Flowdown_BTE[[SyRS]:[SyRS]],"")))</f>
        <v/>
      </c>
      <c r="G159" s="12" t="str" cm="1">
        <f t="array" ref="G159">_xlfn.TEXTJOIN(CHAR(10),TRUE,_xlfn._xlws.SORT(IF((--($B159=Flowdown_BTE[[URS]:[URS]]))*(--(G$14=Flowdown_BTE[[Source.Name]:[Source.Name]])),Flowdown_BTE[[SyRS]:[SyRS]],"")))</f>
        <v/>
      </c>
      <c r="H159" s="12" t="str" cm="1">
        <f t="array" ref="H159">_xlfn.TEXTJOIN(CHAR(10),TRUE,_xlfn._xlws.SORT(IF((--($B159=Flowdown_BTE[[URS]:[URS]]))*(--(H$14=Flowdown_BTE[[Source.Name]:[Source.Name]])),Flowdown_BTE[[SyRS]:[SyRS]],"")))</f>
        <v/>
      </c>
      <c r="I159" s="12" t="str" cm="1">
        <f t="array" ref="I159">_xlfn.TEXTJOIN(CHAR(10),TRUE,_xlfn._xlws.SORT(IF((--($B159=Flowdown_BTE[[URS]:[URS]]))*(--(I$14=Flowdown_BTE[[Source.Name]:[Source.Name]])),Flowdown_BTE[[SyRS]:[SyRS]],"")))</f>
        <v>MASTER-19928</v>
      </c>
      <c r="J159" s="12" t="str" cm="1">
        <f t="array" ref="J159">_xlfn.TEXTJOIN(CHAR(10),TRUE,_xlfn._xlws.SORT(IF((--($B159=Flowdown_BTE[[URS]:[URS]]))*(--(J$14=Flowdown_BTE[[Source.Name]:[Source.Name]])),Flowdown_BTE[[SyRS]:[SyRS]],"")))</f>
        <v>MASTER-19928</v>
      </c>
      <c r="K159" s="12" t="str" cm="1">
        <f t="array" ref="K159">_xlfn.TEXTJOIN(CHAR(10),TRUE,_xlfn._xlws.SORT(IF((--($B159=Flowdown_BTE[[URS]:[URS]]))*(--(K$14=Flowdown_BTE[[Source.Name]:[Source.Name]])),Flowdown_BTE[[SyRS]:[SyRS]],"")))</f>
        <v/>
      </c>
      <c r="L159" s="16" t="b" cm="1">
        <f t="array" ref="L159">OR(LEN(C159:K159)&gt;0)</f>
        <v>1</v>
      </c>
    </row>
    <row r="160" spans="2:12" ht="13.5" x14ac:dyDescent="0.2">
      <c r="B160" s="11" t="str">
        <v>MASTER-6348</v>
      </c>
      <c r="C160" s="12" t="str" cm="1">
        <f t="array" ref="C160">_xlfn.TEXTJOIN(CHAR(10),TRUE,_xlfn._xlws.SORT(IF((--($B160=Flowdown_BTE[[URS]:[URS]]))*(--(C$14=Flowdown_BTE[[Source.Name]:[Source.Name]])),Flowdown_BTE[[SyRS]:[SyRS]],"")))</f>
        <v/>
      </c>
      <c r="D160" s="12" t="str" cm="1">
        <f t="array" ref="D160">_xlfn.TEXTJOIN(CHAR(10),TRUE,_xlfn._xlws.SORT(IF((--($B160=Flowdown_BTE[[URS]:[URS]]))*(--(D$14=Flowdown_BTE[[Source.Name]:[Source.Name]])),Flowdown_BTE[[SyRS]:[SyRS]],"")))</f>
        <v/>
      </c>
      <c r="E160" s="12" t="str" cm="1">
        <f t="array" ref="E160">_xlfn.TEXTJOIN(CHAR(10),TRUE,_xlfn._xlws.SORT(IF((--($B160=Flowdown_BTE[[URS]:[URS]]))*(--(E$14=Flowdown_BTE[[Source.Name]:[Source.Name]])),Flowdown_BTE[[SyRS]:[SyRS]],"")))</f>
        <v/>
      </c>
      <c r="F160" s="12" t="str" cm="1">
        <f t="array" ref="F160">_xlfn.TEXTJOIN(CHAR(10),TRUE,_xlfn._xlws.SORT(IF((--($B160=Flowdown_BTE[[URS]:[URS]]))*(--(F$14=Flowdown_BTE[[Source.Name]:[Source.Name]])),Flowdown_BTE[[SyRS]:[SyRS]],"")))</f>
        <v/>
      </c>
      <c r="G160" s="12" t="str" cm="1">
        <f t="array" ref="G160">_xlfn.TEXTJOIN(CHAR(10),TRUE,_xlfn._xlws.SORT(IF((--($B160=Flowdown_BTE[[URS]:[URS]]))*(--(G$14=Flowdown_BTE[[Source.Name]:[Source.Name]])),Flowdown_BTE[[SyRS]:[SyRS]],"")))</f>
        <v/>
      </c>
      <c r="H160" s="12" t="str" cm="1">
        <f t="array" ref="H160">_xlfn.TEXTJOIN(CHAR(10),TRUE,_xlfn._xlws.SORT(IF((--($B160=Flowdown_BTE[[URS]:[URS]]))*(--(H$14=Flowdown_BTE[[Source.Name]:[Source.Name]])),Flowdown_BTE[[SyRS]:[SyRS]],"")))</f>
        <v/>
      </c>
      <c r="I160" s="12" t="str" cm="1">
        <f t="array" ref="I160">_xlfn.TEXTJOIN(CHAR(10),TRUE,_xlfn._xlws.SORT(IF((--($B160=Flowdown_BTE[[URS]:[URS]]))*(--(I$14=Flowdown_BTE[[Source.Name]:[Source.Name]])),Flowdown_BTE[[SyRS]:[SyRS]],"")))</f>
        <v>MASTER-19928</v>
      </c>
      <c r="J160" s="12" t="str" cm="1">
        <f t="array" ref="J160">_xlfn.TEXTJOIN(CHAR(10),TRUE,_xlfn._xlws.SORT(IF((--($B160=Flowdown_BTE[[URS]:[URS]]))*(--(J$14=Flowdown_BTE[[Source.Name]:[Source.Name]])),Flowdown_BTE[[SyRS]:[SyRS]],"")))</f>
        <v>MASTER-19928</v>
      </c>
      <c r="K160" s="12" t="str" cm="1">
        <f t="array" ref="K160">_xlfn.TEXTJOIN(CHAR(10),TRUE,_xlfn._xlws.SORT(IF((--($B160=Flowdown_BTE[[URS]:[URS]]))*(--(K$14=Flowdown_BTE[[Source.Name]:[Source.Name]])),Flowdown_BTE[[SyRS]:[SyRS]],"")))</f>
        <v/>
      </c>
      <c r="L160" s="16" t="b" cm="1">
        <f t="array" ref="L160">OR(LEN(C160:K160)&gt;0)</f>
        <v>1</v>
      </c>
    </row>
    <row r="161" spans="2:12" ht="13.5" x14ac:dyDescent="0.2">
      <c r="B161" s="11" t="str">
        <v>MASTER-6353</v>
      </c>
      <c r="C161" s="12" t="str" cm="1">
        <f t="array" ref="C161">_xlfn.TEXTJOIN(CHAR(10),TRUE,_xlfn._xlws.SORT(IF((--($B161=Flowdown_BTE[[URS]:[URS]]))*(--(C$14=Flowdown_BTE[[Source.Name]:[Source.Name]])),Flowdown_BTE[[SyRS]:[SyRS]],"")))</f>
        <v/>
      </c>
      <c r="D161" s="12" t="str" cm="1">
        <f t="array" ref="D161">_xlfn.TEXTJOIN(CHAR(10),TRUE,_xlfn._xlws.SORT(IF((--($B161=Flowdown_BTE[[URS]:[URS]]))*(--(D$14=Flowdown_BTE[[Source.Name]:[Source.Name]])),Flowdown_BTE[[SyRS]:[SyRS]],"")))</f>
        <v/>
      </c>
      <c r="E161" s="12" t="str" cm="1">
        <f t="array" ref="E161">_xlfn.TEXTJOIN(CHAR(10),TRUE,_xlfn._xlws.SORT(IF((--($B161=Flowdown_BTE[[URS]:[URS]]))*(--(E$14=Flowdown_BTE[[Source.Name]:[Source.Name]])),Flowdown_BTE[[SyRS]:[SyRS]],"")))</f>
        <v/>
      </c>
      <c r="F161" s="12" t="str" cm="1">
        <f t="array" ref="F161">_xlfn.TEXTJOIN(CHAR(10),TRUE,_xlfn._xlws.SORT(IF((--($B161=Flowdown_BTE[[URS]:[URS]]))*(--(F$14=Flowdown_BTE[[Source.Name]:[Source.Name]])),Flowdown_BTE[[SyRS]:[SyRS]],"")))</f>
        <v/>
      </c>
      <c r="G161" s="12" t="str" cm="1">
        <f t="array" ref="G161">_xlfn.TEXTJOIN(CHAR(10),TRUE,_xlfn._xlws.SORT(IF((--($B161=Flowdown_BTE[[URS]:[URS]]))*(--(G$14=Flowdown_BTE[[Source.Name]:[Source.Name]])),Flowdown_BTE[[SyRS]:[SyRS]],"")))</f>
        <v/>
      </c>
      <c r="H161" s="12" t="str" cm="1">
        <f t="array" ref="H161">_xlfn.TEXTJOIN(CHAR(10),TRUE,_xlfn._xlws.SORT(IF((--($B161=Flowdown_BTE[[URS]:[URS]]))*(--(H$14=Flowdown_BTE[[Source.Name]:[Source.Name]])),Flowdown_BTE[[SyRS]:[SyRS]],"")))</f>
        <v/>
      </c>
      <c r="I161" s="12" t="str" cm="1">
        <f t="array" ref="I161">_xlfn.TEXTJOIN(CHAR(10),TRUE,_xlfn._xlws.SORT(IF((--($B161=Flowdown_BTE[[URS]:[URS]]))*(--(I$14=Flowdown_BTE[[Source.Name]:[Source.Name]])),Flowdown_BTE[[SyRS]:[SyRS]],"")))</f>
        <v>MASTER-19928</v>
      </c>
      <c r="J161" s="12" t="str" cm="1">
        <f t="array" ref="J161">_xlfn.TEXTJOIN(CHAR(10),TRUE,_xlfn._xlws.SORT(IF((--($B161=Flowdown_BTE[[URS]:[URS]]))*(--(J$14=Flowdown_BTE[[Source.Name]:[Source.Name]])),Flowdown_BTE[[SyRS]:[SyRS]],"")))</f>
        <v>MASTER-19928</v>
      </c>
      <c r="K161" s="12" t="str" cm="1">
        <f t="array" ref="K161">_xlfn.TEXTJOIN(CHAR(10),TRUE,_xlfn._xlws.SORT(IF((--($B161=Flowdown_BTE[[URS]:[URS]]))*(--(K$14=Flowdown_BTE[[Source.Name]:[Source.Name]])),Flowdown_BTE[[SyRS]:[SyRS]],"")))</f>
        <v/>
      </c>
      <c r="L161" s="16" t="b" cm="1">
        <f t="array" ref="L161">OR(LEN(C161:K161)&gt;0)</f>
        <v>1</v>
      </c>
    </row>
    <row r="162" spans="2:12" ht="13.5" x14ac:dyDescent="0.2">
      <c r="B162" s="11" t="str">
        <v>MASTER-6354</v>
      </c>
      <c r="C162" s="12" t="str" cm="1">
        <f t="array" ref="C162">_xlfn.TEXTJOIN(CHAR(10),TRUE,_xlfn._xlws.SORT(IF((--($B162=Flowdown_BTE[[URS]:[URS]]))*(--(C$14=Flowdown_BTE[[Source.Name]:[Source.Name]])),Flowdown_BTE[[SyRS]:[SyRS]],"")))</f>
        <v/>
      </c>
      <c r="D162" s="12" t="str" cm="1">
        <f t="array" ref="D162">_xlfn.TEXTJOIN(CHAR(10),TRUE,_xlfn._xlws.SORT(IF((--($B162=Flowdown_BTE[[URS]:[URS]]))*(--(D$14=Flowdown_BTE[[Source.Name]:[Source.Name]])),Flowdown_BTE[[SyRS]:[SyRS]],"")))</f>
        <v/>
      </c>
      <c r="E162" s="12" t="str" cm="1">
        <f t="array" ref="E162">_xlfn.TEXTJOIN(CHAR(10),TRUE,_xlfn._xlws.SORT(IF((--($B162=Flowdown_BTE[[URS]:[URS]]))*(--(E$14=Flowdown_BTE[[Source.Name]:[Source.Name]])),Flowdown_BTE[[SyRS]:[SyRS]],"")))</f>
        <v/>
      </c>
      <c r="F162" s="12" t="str" cm="1">
        <f t="array" ref="F162">_xlfn.TEXTJOIN(CHAR(10),TRUE,_xlfn._xlws.SORT(IF((--($B162=Flowdown_BTE[[URS]:[URS]]))*(--(F$14=Flowdown_BTE[[Source.Name]:[Source.Name]])),Flowdown_BTE[[SyRS]:[SyRS]],"")))</f>
        <v/>
      </c>
      <c r="G162" s="12" t="str" cm="1">
        <f t="array" ref="G162">_xlfn.TEXTJOIN(CHAR(10),TRUE,_xlfn._xlws.SORT(IF((--($B162=Flowdown_BTE[[URS]:[URS]]))*(--(G$14=Flowdown_BTE[[Source.Name]:[Source.Name]])),Flowdown_BTE[[SyRS]:[SyRS]],"")))</f>
        <v/>
      </c>
      <c r="H162" s="12" t="str" cm="1">
        <f t="array" ref="H162">_xlfn.TEXTJOIN(CHAR(10),TRUE,_xlfn._xlws.SORT(IF((--($B162=Flowdown_BTE[[URS]:[URS]]))*(--(H$14=Flowdown_BTE[[Source.Name]:[Source.Name]])),Flowdown_BTE[[SyRS]:[SyRS]],"")))</f>
        <v/>
      </c>
      <c r="I162" s="12" t="str" cm="1">
        <f t="array" ref="I162">_xlfn.TEXTJOIN(CHAR(10),TRUE,_xlfn._xlws.SORT(IF((--($B162=Flowdown_BTE[[URS]:[URS]]))*(--(I$14=Flowdown_BTE[[Source.Name]:[Source.Name]])),Flowdown_BTE[[SyRS]:[SyRS]],"")))</f>
        <v>MASTER-19928</v>
      </c>
      <c r="J162" s="12" t="str" cm="1">
        <f t="array" ref="J162">_xlfn.TEXTJOIN(CHAR(10),TRUE,_xlfn._xlws.SORT(IF((--($B162=Flowdown_BTE[[URS]:[URS]]))*(--(J$14=Flowdown_BTE[[Source.Name]:[Source.Name]])),Flowdown_BTE[[SyRS]:[SyRS]],"")))</f>
        <v>MASTER-19928</v>
      </c>
      <c r="K162" s="12" t="str" cm="1">
        <f t="array" ref="K162">_xlfn.TEXTJOIN(CHAR(10),TRUE,_xlfn._xlws.SORT(IF((--($B162=Flowdown_BTE[[URS]:[URS]]))*(--(K$14=Flowdown_BTE[[Source.Name]:[Source.Name]])),Flowdown_BTE[[SyRS]:[SyRS]],"")))</f>
        <v/>
      </c>
      <c r="L162" s="16" t="b" cm="1">
        <f t="array" ref="L162">OR(LEN(C162:K162)&gt;0)</f>
        <v>1</v>
      </c>
    </row>
    <row r="163" spans="2:12" ht="13.5" x14ac:dyDescent="0.2">
      <c r="B163" s="11" t="str">
        <v>MASTER-6355</v>
      </c>
      <c r="C163" s="12" t="str" cm="1">
        <f t="array" ref="C163">_xlfn.TEXTJOIN(CHAR(10),TRUE,_xlfn._xlws.SORT(IF((--($B163=Flowdown_BTE[[URS]:[URS]]))*(--(C$14=Flowdown_BTE[[Source.Name]:[Source.Name]])),Flowdown_BTE[[SyRS]:[SyRS]],"")))</f>
        <v/>
      </c>
      <c r="D163" s="12" t="str" cm="1">
        <f t="array" ref="D163">_xlfn.TEXTJOIN(CHAR(10),TRUE,_xlfn._xlws.SORT(IF((--($B163=Flowdown_BTE[[URS]:[URS]]))*(--(D$14=Flowdown_BTE[[Source.Name]:[Source.Name]])),Flowdown_BTE[[SyRS]:[SyRS]],"")))</f>
        <v/>
      </c>
      <c r="E163" s="12" t="str" cm="1">
        <f t="array" ref="E163">_xlfn.TEXTJOIN(CHAR(10),TRUE,_xlfn._xlws.SORT(IF((--($B163=Flowdown_BTE[[URS]:[URS]]))*(--(E$14=Flowdown_BTE[[Source.Name]:[Source.Name]])),Flowdown_BTE[[SyRS]:[SyRS]],"")))</f>
        <v/>
      </c>
      <c r="F163" s="12" t="str" cm="1">
        <f t="array" ref="F163">_xlfn.TEXTJOIN(CHAR(10),TRUE,_xlfn._xlws.SORT(IF((--($B163=Flowdown_BTE[[URS]:[URS]]))*(--(F$14=Flowdown_BTE[[Source.Name]:[Source.Name]])),Flowdown_BTE[[SyRS]:[SyRS]],"")))</f>
        <v/>
      </c>
      <c r="G163" s="12" t="str" cm="1">
        <f t="array" ref="G163">_xlfn.TEXTJOIN(CHAR(10),TRUE,_xlfn._xlws.SORT(IF((--($B163=Flowdown_BTE[[URS]:[URS]]))*(--(G$14=Flowdown_BTE[[Source.Name]:[Source.Name]])),Flowdown_BTE[[SyRS]:[SyRS]],"")))</f>
        <v/>
      </c>
      <c r="H163" s="12" t="str" cm="1">
        <f t="array" ref="H163">_xlfn.TEXTJOIN(CHAR(10),TRUE,_xlfn._xlws.SORT(IF((--($B163=Flowdown_BTE[[URS]:[URS]]))*(--(H$14=Flowdown_BTE[[Source.Name]:[Source.Name]])),Flowdown_BTE[[SyRS]:[SyRS]],"")))</f>
        <v/>
      </c>
      <c r="I163" s="12" t="str" cm="1">
        <f t="array" ref="I163">_xlfn.TEXTJOIN(CHAR(10),TRUE,_xlfn._xlws.SORT(IF((--($B163=Flowdown_BTE[[URS]:[URS]]))*(--(I$14=Flowdown_BTE[[Source.Name]:[Source.Name]])),Flowdown_BTE[[SyRS]:[SyRS]],"")))</f>
        <v>MASTER-19928</v>
      </c>
      <c r="J163" s="12" t="str" cm="1">
        <f t="array" ref="J163">_xlfn.TEXTJOIN(CHAR(10),TRUE,_xlfn._xlws.SORT(IF((--($B163=Flowdown_BTE[[URS]:[URS]]))*(--(J$14=Flowdown_BTE[[Source.Name]:[Source.Name]])),Flowdown_BTE[[SyRS]:[SyRS]],"")))</f>
        <v>MASTER-19928</v>
      </c>
      <c r="K163" s="12" t="str" cm="1">
        <f t="array" ref="K163">_xlfn.TEXTJOIN(CHAR(10),TRUE,_xlfn._xlws.SORT(IF((--($B163=Flowdown_BTE[[URS]:[URS]]))*(--(K$14=Flowdown_BTE[[Source.Name]:[Source.Name]])),Flowdown_BTE[[SyRS]:[SyRS]],"")))</f>
        <v/>
      </c>
      <c r="L163" s="16" t="b" cm="1">
        <f t="array" ref="L163">OR(LEN(C163:K163)&gt;0)</f>
        <v>1</v>
      </c>
    </row>
    <row r="164" spans="2:12" ht="27" x14ac:dyDescent="0.2">
      <c r="B164" s="11" t="str">
        <v>MASTER-6358</v>
      </c>
      <c r="C164" s="12" t="str" cm="1">
        <f t="array" ref="C164">_xlfn.TEXTJOIN(CHAR(10),TRUE,_xlfn._xlws.SORT(IF((--($B164=Flowdown_BTE[[URS]:[URS]]))*(--(C$14=Flowdown_BTE[[Source.Name]:[Source.Name]])),Flowdown_BTE[[SyRS]:[SyRS]],"")))</f>
        <v>MASTER-17676
MASTER-17679</v>
      </c>
      <c r="D164" s="12" t="str" cm="1">
        <f t="array" ref="D164">_xlfn.TEXTJOIN(CHAR(10),TRUE,_xlfn._xlws.SORT(IF((--($B164=Flowdown_BTE[[URS]:[URS]]))*(--(D$14=Flowdown_BTE[[Source.Name]:[Source.Name]])),Flowdown_BTE[[SyRS]:[SyRS]],"")))</f>
        <v>MASTER-17676
MASTER-17679</v>
      </c>
      <c r="E164" s="12" t="str" cm="1">
        <f t="array" ref="E164">_xlfn.TEXTJOIN(CHAR(10),TRUE,_xlfn._xlws.SORT(IF((--($B164=Flowdown_BTE[[URS]:[URS]]))*(--(E$14=Flowdown_BTE[[Source.Name]:[Source.Name]])),Flowdown_BTE[[SyRS]:[SyRS]],"")))</f>
        <v>MASTER-17676
MASTER-17679</v>
      </c>
      <c r="F164" s="12" t="str" cm="1">
        <f t="array" ref="F164">_xlfn.TEXTJOIN(CHAR(10),TRUE,_xlfn._xlws.SORT(IF((--($B164=Flowdown_BTE[[URS]:[URS]]))*(--(F$14=Flowdown_BTE[[Source.Name]:[Source.Name]])),Flowdown_BTE[[SyRS]:[SyRS]],"")))</f>
        <v>MASTER-17676
MASTER-17679</v>
      </c>
      <c r="G164" s="12" t="str" cm="1">
        <f t="array" ref="G164">_xlfn.TEXTJOIN(CHAR(10),TRUE,_xlfn._xlws.SORT(IF((--($B164=Flowdown_BTE[[URS]:[URS]]))*(--(G$14=Flowdown_BTE[[Source.Name]:[Source.Name]])),Flowdown_BTE[[SyRS]:[SyRS]],"")))</f>
        <v>MASTER-17676
MASTER-17679</v>
      </c>
      <c r="H164" s="12" t="str" cm="1">
        <f t="array" ref="H164">_xlfn.TEXTJOIN(CHAR(10),TRUE,_xlfn._xlws.SORT(IF((--($B164=Flowdown_BTE[[URS]:[URS]]))*(--(H$14=Flowdown_BTE[[Source.Name]:[Source.Name]])),Flowdown_BTE[[SyRS]:[SyRS]],"")))</f>
        <v>MASTER-21791</v>
      </c>
      <c r="I164" s="12" t="str" cm="1">
        <f t="array" ref="I164">_xlfn.TEXTJOIN(CHAR(10),TRUE,_xlfn._xlws.SORT(IF((--($B164=Flowdown_BTE[[URS]:[URS]]))*(--(I$14=Flowdown_BTE[[Source.Name]:[Source.Name]])),Flowdown_BTE[[SyRS]:[SyRS]],"")))</f>
        <v/>
      </c>
      <c r="J164" s="12" t="str" cm="1">
        <f t="array" ref="J164">_xlfn.TEXTJOIN(CHAR(10),TRUE,_xlfn._xlws.SORT(IF((--($B164=Flowdown_BTE[[URS]:[URS]]))*(--(J$14=Flowdown_BTE[[Source.Name]:[Source.Name]])),Flowdown_BTE[[SyRS]:[SyRS]],"")))</f>
        <v/>
      </c>
      <c r="K164" s="12" t="str" cm="1">
        <f t="array" ref="K164">_xlfn.TEXTJOIN(CHAR(10),TRUE,_xlfn._xlws.SORT(IF((--($B164=Flowdown_BTE[[URS]:[URS]]))*(--(K$14=Flowdown_BTE[[Source.Name]:[Source.Name]])),Flowdown_BTE[[SyRS]:[SyRS]],"")))</f>
        <v/>
      </c>
      <c r="L164" s="16" t="b" cm="1">
        <f t="array" ref="L164">OR(LEN(C164:K164)&gt;0)</f>
        <v>1</v>
      </c>
    </row>
    <row r="165" spans="2:12" ht="108" x14ac:dyDescent="0.2">
      <c r="B165" s="11" t="str">
        <v>MASTER-6359</v>
      </c>
      <c r="C165" s="12" t="str" cm="1">
        <f t="array" ref="C165">_xlfn.TEXTJOIN(CHAR(10),TRUE,_xlfn._xlws.SORT(IF((--($B165=Flowdown_BTE[[URS]:[URS]]))*(--(C$14=Flowdown_BTE[[Source.Name]:[Source.Name]])),Flowdown_BTE[[SyRS]:[SyRS]],"")))</f>
        <v>MASTER-18353</v>
      </c>
      <c r="D165" s="12" t="str" cm="1">
        <f t="array" ref="D165">_xlfn.TEXTJOIN(CHAR(10),TRUE,_xlfn._xlws.SORT(IF((--($B165=Flowdown_BTE[[URS]:[URS]]))*(--(D$14=Flowdown_BTE[[Source.Name]:[Source.Name]])),Flowdown_BTE[[SyRS]:[SyRS]],"")))</f>
        <v>MASTER-18353</v>
      </c>
      <c r="E165" s="12" t="str" cm="1">
        <f t="array" ref="E165">_xlfn.TEXTJOIN(CHAR(10),TRUE,_xlfn._xlws.SORT(IF((--($B165=Flowdown_BTE[[URS]:[URS]]))*(--(E$14=Flowdown_BTE[[Source.Name]:[Source.Name]])),Flowdown_BTE[[SyRS]:[SyRS]],"")))</f>
        <v>MASTER-18353</v>
      </c>
      <c r="F165" s="12" t="str" cm="1">
        <f t="array" ref="F165">_xlfn.TEXTJOIN(CHAR(10),TRUE,_xlfn._xlws.SORT(IF((--($B165=Flowdown_BTE[[URS]:[URS]]))*(--(F$14=Flowdown_BTE[[Source.Name]:[Source.Name]])),Flowdown_BTE[[SyRS]:[SyRS]],"")))</f>
        <v>MASTER-18353</v>
      </c>
      <c r="G165" s="12" t="str" cm="1">
        <f t="array" ref="G165">_xlfn.TEXTJOIN(CHAR(10),TRUE,_xlfn._xlws.SORT(IF((--($B165=Flowdown_BTE[[URS]:[URS]]))*(--(G$14=Flowdown_BTE[[Source.Name]:[Source.Name]])),Flowdown_BTE[[SyRS]:[SyRS]],"")))</f>
        <v>MASTER-18353</v>
      </c>
      <c r="H165" s="12" t="str" cm="1">
        <f t="array" ref="H165">_xlfn.TEXTJOIN(CHAR(10),TRUE,_xlfn._xlws.SORT(IF((--($B165=Flowdown_BTE[[URS]:[URS]]))*(--(H$14=Flowdown_BTE[[Source.Name]:[Source.Name]])),Flowdown_BTE[[SyRS]:[SyRS]],"")))</f>
        <v>MASTER-21791
MASTER-21792
MASTER-21793
MASTER-21794
MASTER-21795
MASTER-50255
MASTER-76083
UTICA-25681</v>
      </c>
      <c r="I165" s="12" t="str" cm="1">
        <f t="array" ref="I165">_xlfn.TEXTJOIN(CHAR(10),TRUE,_xlfn._xlws.SORT(IF((--($B165=Flowdown_BTE[[URS]:[URS]]))*(--(I$14=Flowdown_BTE[[Source.Name]:[Source.Name]])),Flowdown_BTE[[SyRS]:[SyRS]],"")))</f>
        <v/>
      </c>
      <c r="J165" s="12" t="str" cm="1">
        <f t="array" ref="J165">_xlfn.TEXTJOIN(CHAR(10),TRUE,_xlfn._xlws.SORT(IF((--($B165=Flowdown_BTE[[URS]:[URS]]))*(--(J$14=Flowdown_BTE[[Source.Name]:[Source.Name]])),Flowdown_BTE[[SyRS]:[SyRS]],"")))</f>
        <v/>
      </c>
      <c r="K165" s="12" t="str" cm="1">
        <f t="array" ref="K165">_xlfn.TEXTJOIN(CHAR(10),TRUE,_xlfn._xlws.SORT(IF((--($B165=Flowdown_BTE[[URS]:[URS]]))*(--(K$14=Flowdown_BTE[[Source.Name]:[Source.Name]])),Flowdown_BTE[[SyRS]:[SyRS]],"")))</f>
        <v/>
      </c>
      <c r="L165" s="16" t="b" cm="1">
        <f t="array" ref="L165">OR(LEN(C165:K165)&gt;0)</f>
        <v>1</v>
      </c>
    </row>
    <row r="166" spans="2:12" ht="67.5" x14ac:dyDescent="0.2">
      <c r="B166" s="11" t="str">
        <v>MASTER-6360</v>
      </c>
      <c r="C166" s="12" t="str" cm="1">
        <f t="array" ref="C166">_xlfn.TEXTJOIN(CHAR(10),TRUE,_xlfn._xlws.SORT(IF((--($B166=Flowdown_BTE[[URS]:[URS]]))*(--(C$14=Flowdown_BTE[[Source.Name]:[Source.Name]])),Flowdown_BTE[[SyRS]:[SyRS]],"")))</f>
        <v>MASTER-17676
MASTER-17679
MASTER-18684</v>
      </c>
      <c r="D166" s="12" t="str" cm="1">
        <f t="array" ref="D166">_xlfn.TEXTJOIN(CHAR(10),TRUE,_xlfn._xlws.SORT(IF((--($B166=Flowdown_BTE[[URS]:[URS]]))*(--(D$14=Flowdown_BTE[[Source.Name]:[Source.Name]])),Flowdown_BTE[[SyRS]:[SyRS]],"")))</f>
        <v>MASTER-17676
MASTER-17679
MASTER-18684</v>
      </c>
      <c r="E166" s="12" t="str" cm="1">
        <f t="array" ref="E166">_xlfn.TEXTJOIN(CHAR(10),TRUE,_xlfn._xlws.SORT(IF((--($B166=Flowdown_BTE[[URS]:[URS]]))*(--(E$14=Flowdown_BTE[[Source.Name]:[Source.Name]])),Flowdown_BTE[[SyRS]:[SyRS]],"")))</f>
        <v>MASTER-17676
MASTER-17679
MASTER-18684</v>
      </c>
      <c r="F166" s="12" t="str" cm="1">
        <f t="array" ref="F166">_xlfn.TEXTJOIN(CHAR(10),TRUE,_xlfn._xlws.SORT(IF((--($B166=Flowdown_BTE[[URS]:[URS]]))*(--(F$14=Flowdown_BTE[[Source.Name]:[Source.Name]])),Flowdown_BTE[[SyRS]:[SyRS]],"")))</f>
        <v>MASTER-17676
MASTER-17679
MASTER-18684</v>
      </c>
      <c r="G166" s="12" t="str" cm="1">
        <f t="array" ref="G166">_xlfn.TEXTJOIN(CHAR(10),TRUE,_xlfn._xlws.SORT(IF((--($B166=Flowdown_BTE[[URS]:[URS]]))*(--(G$14=Flowdown_BTE[[Source.Name]:[Source.Name]])),Flowdown_BTE[[SyRS]:[SyRS]],"")))</f>
        <v>MASTER-17676
MASTER-17679
MASTER-18684</v>
      </c>
      <c r="H166" s="12" t="str" cm="1">
        <f t="array" ref="H166">_xlfn.TEXTJOIN(CHAR(10),TRUE,_xlfn._xlws.SORT(IF((--($B166=Flowdown_BTE[[URS]:[URS]]))*(--(H$14=Flowdown_BTE[[Source.Name]:[Source.Name]])),Flowdown_BTE[[SyRS]:[SyRS]],"")))</f>
        <v>MASTER-21791
MASTER-21792
MASTER-21793
MASTER-21794
MASTER-21795</v>
      </c>
      <c r="I166" s="12" t="str" cm="1">
        <f t="array" ref="I166">_xlfn.TEXTJOIN(CHAR(10),TRUE,_xlfn._xlws.SORT(IF((--($B166=Flowdown_BTE[[URS]:[URS]]))*(--(I$14=Flowdown_BTE[[Source.Name]:[Source.Name]])),Flowdown_BTE[[SyRS]:[SyRS]],"")))</f>
        <v/>
      </c>
      <c r="J166" s="12" t="str" cm="1">
        <f t="array" ref="J166">_xlfn.TEXTJOIN(CHAR(10),TRUE,_xlfn._xlws.SORT(IF((--($B166=Flowdown_BTE[[URS]:[URS]]))*(--(J$14=Flowdown_BTE[[Source.Name]:[Source.Name]])),Flowdown_BTE[[SyRS]:[SyRS]],"")))</f>
        <v/>
      </c>
      <c r="K166" s="12" t="str" cm="1">
        <f t="array" ref="K166">_xlfn.TEXTJOIN(CHAR(10),TRUE,_xlfn._xlws.SORT(IF((--($B166=Flowdown_BTE[[URS]:[URS]]))*(--(K$14=Flowdown_BTE[[Source.Name]:[Source.Name]])),Flowdown_BTE[[SyRS]:[SyRS]],"")))</f>
        <v/>
      </c>
      <c r="L166" s="16" t="b" cm="1">
        <f t="array" ref="L166">OR(LEN(C166:K166)&gt;0)</f>
        <v>1</v>
      </c>
    </row>
    <row r="167" spans="2:12" ht="27" x14ac:dyDescent="0.2">
      <c r="B167" s="11" t="str">
        <v>MASTER-6362</v>
      </c>
      <c r="C167" s="12" t="str" cm="1">
        <f t="array" ref="C167">_xlfn.TEXTJOIN(CHAR(10),TRUE,_xlfn._xlws.SORT(IF((--($B167=Flowdown_BTE[[URS]:[URS]]))*(--(C$14=Flowdown_BTE[[Source.Name]:[Source.Name]])),Flowdown_BTE[[SyRS]:[SyRS]],"")))</f>
        <v>MASTER-19181
MASTER-19249</v>
      </c>
      <c r="D167" s="12" t="str" cm="1">
        <f t="array" ref="D167">_xlfn.TEXTJOIN(CHAR(10),TRUE,_xlfn._xlws.SORT(IF((--($B167=Flowdown_BTE[[URS]:[URS]]))*(--(D$14=Flowdown_BTE[[Source.Name]:[Source.Name]])),Flowdown_BTE[[SyRS]:[SyRS]],"")))</f>
        <v>MASTER-19181
MASTER-19249</v>
      </c>
      <c r="E167" s="12" t="str" cm="1">
        <f t="array" ref="E167">_xlfn.TEXTJOIN(CHAR(10),TRUE,_xlfn._xlws.SORT(IF((--($B167=Flowdown_BTE[[URS]:[URS]]))*(--(E$14=Flowdown_BTE[[Source.Name]:[Source.Name]])),Flowdown_BTE[[SyRS]:[SyRS]],"")))</f>
        <v>MASTER-19181
MASTER-19249</v>
      </c>
      <c r="F167" s="12" t="str" cm="1">
        <f t="array" ref="F167">_xlfn.TEXTJOIN(CHAR(10),TRUE,_xlfn._xlws.SORT(IF((--($B167=Flowdown_BTE[[URS]:[URS]]))*(--(F$14=Flowdown_BTE[[Source.Name]:[Source.Name]])),Flowdown_BTE[[SyRS]:[SyRS]],"")))</f>
        <v>MASTER-19181
MASTER-19249</v>
      </c>
      <c r="G167" s="12" t="str" cm="1">
        <f t="array" ref="G167">_xlfn.TEXTJOIN(CHAR(10),TRUE,_xlfn._xlws.SORT(IF((--($B167=Flowdown_BTE[[URS]:[URS]]))*(--(G$14=Flowdown_BTE[[Source.Name]:[Source.Name]])),Flowdown_BTE[[SyRS]:[SyRS]],"")))</f>
        <v>MASTER-19181
MASTER-19249</v>
      </c>
      <c r="H167" s="12" t="str" cm="1">
        <f t="array" ref="H167">_xlfn.TEXTJOIN(CHAR(10),TRUE,_xlfn._xlws.SORT(IF((--($B167=Flowdown_BTE[[URS]:[URS]]))*(--(H$14=Flowdown_BTE[[Source.Name]:[Source.Name]])),Flowdown_BTE[[SyRS]:[SyRS]],"")))</f>
        <v>MASTER-22580
MASTER-22581</v>
      </c>
      <c r="I167" s="12" t="str" cm="1">
        <f t="array" ref="I167">_xlfn.TEXTJOIN(CHAR(10),TRUE,_xlfn._xlws.SORT(IF((--($B167=Flowdown_BTE[[URS]:[URS]]))*(--(I$14=Flowdown_BTE[[Source.Name]:[Source.Name]])),Flowdown_BTE[[SyRS]:[SyRS]],"")))</f>
        <v>MASTER-20027
UTICA-210</v>
      </c>
      <c r="J167" s="12" t="str" cm="1">
        <f t="array" ref="J167">_xlfn.TEXTJOIN(CHAR(10),TRUE,_xlfn._xlws.SORT(IF((--($B167=Flowdown_BTE[[URS]:[URS]]))*(--(J$14=Flowdown_BTE[[Source.Name]:[Source.Name]])),Flowdown_BTE[[SyRS]:[SyRS]],"")))</f>
        <v>MASTER-20027</v>
      </c>
      <c r="K167" s="12" t="str" cm="1">
        <f t="array" ref="K167">_xlfn.TEXTJOIN(CHAR(10),TRUE,_xlfn._xlws.SORT(IF((--($B167=Flowdown_BTE[[URS]:[URS]]))*(--(K$14=Flowdown_BTE[[Source.Name]:[Source.Name]])),Flowdown_BTE[[SyRS]:[SyRS]],"")))</f>
        <v/>
      </c>
      <c r="L167" s="16" t="b" cm="1">
        <f t="array" ref="L167">OR(LEN(C167:K167)&gt;0)</f>
        <v>1</v>
      </c>
    </row>
    <row r="168" spans="2:12" ht="27" x14ac:dyDescent="0.2">
      <c r="B168" s="11" t="str">
        <v>MASTER-6363</v>
      </c>
      <c r="C168" s="12" t="str" cm="1">
        <f t="array" ref="C168">_xlfn.TEXTJOIN(CHAR(10),TRUE,_xlfn._xlws.SORT(IF((--($B168=Flowdown_BTE[[URS]:[URS]]))*(--(C$14=Flowdown_BTE[[Source.Name]:[Source.Name]])),Flowdown_BTE[[SyRS]:[SyRS]],"")))</f>
        <v>MASTER-19181</v>
      </c>
      <c r="D168" s="12" t="str" cm="1">
        <f t="array" ref="D168">_xlfn.TEXTJOIN(CHAR(10),TRUE,_xlfn._xlws.SORT(IF((--($B168=Flowdown_BTE[[URS]:[URS]]))*(--(D$14=Flowdown_BTE[[Source.Name]:[Source.Name]])),Flowdown_BTE[[SyRS]:[SyRS]],"")))</f>
        <v>MASTER-19181</v>
      </c>
      <c r="E168" s="12" t="str" cm="1">
        <f t="array" ref="E168">_xlfn.TEXTJOIN(CHAR(10),TRUE,_xlfn._xlws.SORT(IF((--($B168=Flowdown_BTE[[URS]:[URS]]))*(--(E$14=Flowdown_BTE[[Source.Name]:[Source.Name]])),Flowdown_BTE[[SyRS]:[SyRS]],"")))</f>
        <v>MASTER-19181</v>
      </c>
      <c r="F168" s="12" t="str" cm="1">
        <f t="array" ref="F168">_xlfn.TEXTJOIN(CHAR(10),TRUE,_xlfn._xlws.SORT(IF((--($B168=Flowdown_BTE[[URS]:[URS]]))*(--(F$14=Flowdown_BTE[[Source.Name]:[Source.Name]])),Flowdown_BTE[[SyRS]:[SyRS]],"")))</f>
        <v>MASTER-19181</v>
      </c>
      <c r="G168" s="12" t="str" cm="1">
        <f t="array" ref="G168">_xlfn.TEXTJOIN(CHAR(10),TRUE,_xlfn._xlws.SORT(IF((--($B168=Flowdown_BTE[[URS]:[URS]]))*(--(G$14=Flowdown_BTE[[Source.Name]:[Source.Name]])),Flowdown_BTE[[SyRS]:[SyRS]],"")))</f>
        <v>MASTER-19181</v>
      </c>
      <c r="H168" s="12" t="str" cm="1">
        <f t="array" ref="H168">_xlfn.TEXTJOIN(CHAR(10),TRUE,_xlfn._xlws.SORT(IF((--($B168=Flowdown_BTE[[URS]:[URS]]))*(--(H$14=Flowdown_BTE[[Source.Name]:[Source.Name]])),Flowdown_BTE[[SyRS]:[SyRS]],"")))</f>
        <v/>
      </c>
      <c r="I168" s="12" t="str" cm="1">
        <f t="array" ref="I168">_xlfn.TEXTJOIN(CHAR(10),TRUE,_xlfn._xlws.SORT(IF((--($B168=Flowdown_BTE[[URS]:[URS]]))*(--(I$14=Flowdown_BTE[[Source.Name]:[Source.Name]])),Flowdown_BTE[[SyRS]:[SyRS]],"")))</f>
        <v>MASTER-20027
UTICA-210</v>
      </c>
      <c r="J168" s="12" t="str" cm="1">
        <f t="array" ref="J168">_xlfn.TEXTJOIN(CHAR(10),TRUE,_xlfn._xlws.SORT(IF((--($B168=Flowdown_BTE[[URS]:[URS]]))*(--(J$14=Flowdown_BTE[[Source.Name]:[Source.Name]])),Flowdown_BTE[[SyRS]:[SyRS]],"")))</f>
        <v>MASTER-20027</v>
      </c>
      <c r="K168" s="12" t="str" cm="1">
        <f t="array" ref="K168">_xlfn.TEXTJOIN(CHAR(10),TRUE,_xlfn._xlws.SORT(IF((--($B168=Flowdown_BTE[[URS]:[URS]]))*(--(K$14=Flowdown_BTE[[Source.Name]:[Source.Name]])),Flowdown_BTE[[SyRS]:[SyRS]],"")))</f>
        <v/>
      </c>
      <c r="L168" s="16" t="b" cm="1">
        <f t="array" ref="L168">OR(LEN(C168:K168)&gt;0)</f>
        <v>1</v>
      </c>
    </row>
    <row r="169" spans="2:12" ht="54" x14ac:dyDescent="0.2">
      <c r="B169" s="11" t="str">
        <v>MASTER-6365</v>
      </c>
      <c r="C169" s="12" t="str" cm="1">
        <f t="array" ref="C169">_xlfn.TEXTJOIN(CHAR(10),TRUE,_xlfn._xlws.SORT(IF((--($B169=Flowdown_BTE[[URS]:[URS]]))*(--(C$14=Flowdown_BTE[[Source.Name]:[Source.Name]])),Flowdown_BTE[[SyRS]:[SyRS]],"")))</f>
        <v>MASTER-19216
MASTER-19217
MASTER-42144
MASTER-42145</v>
      </c>
      <c r="D169" s="12" t="str" cm="1">
        <f t="array" ref="D169">_xlfn.TEXTJOIN(CHAR(10),TRUE,_xlfn._xlws.SORT(IF((--($B169=Flowdown_BTE[[URS]:[URS]]))*(--(D$14=Flowdown_BTE[[Source.Name]:[Source.Name]])),Flowdown_BTE[[SyRS]:[SyRS]],"")))</f>
        <v>MASTER-19217
MASTER-42144
MASTER-42145</v>
      </c>
      <c r="E169" s="12" t="str" cm="1">
        <f t="array" ref="E169">_xlfn.TEXTJOIN(CHAR(10),TRUE,_xlfn._xlws.SORT(IF((--($B169=Flowdown_BTE[[URS]:[URS]]))*(--(E$14=Flowdown_BTE[[Source.Name]:[Source.Name]])),Flowdown_BTE[[SyRS]:[SyRS]],"")))</f>
        <v>MASTER-19217
MASTER-42144
MASTER-42145</v>
      </c>
      <c r="F169" s="12" t="str" cm="1">
        <f t="array" ref="F169">_xlfn.TEXTJOIN(CHAR(10),TRUE,_xlfn._xlws.SORT(IF((--($B169=Flowdown_BTE[[URS]:[URS]]))*(--(F$14=Flowdown_BTE[[Source.Name]:[Source.Name]])),Flowdown_BTE[[SyRS]:[SyRS]],"")))</f>
        <v>MASTER-19217
MASTER-42144
MASTER-42145</v>
      </c>
      <c r="G169" s="12" t="str" cm="1">
        <f t="array" ref="G169">_xlfn.TEXTJOIN(CHAR(10),TRUE,_xlfn._xlws.SORT(IF((--($B169=Flowdown_BTE[[URS]:[URS]]))*(--(G$14=Flowdown_BTE[[Source.Name]:[Source.Name]])),Flowdown_BTE[[SyRS]:[SyRS]],"")))</f>
        <v>MASTER-19217
MASTER-42144
MASTER-42145</v>
      </c>
      <c r="H169" s="12" t="str" cm="1">
        <f t="array" ref="H169">_xlfn.TEXTJOIN(CHAR(10),TRUE,_xlfn._xlws.SORT(IF((--($B169=Flowdown_BTE[[URS]:[URS]]))*(--(H$14=Flowdown_BTE[[Source.Name]:[Source.Name]])),Flowdown_BTE[[SyRS]:[SyRS]],"")))</f>
        <v>MASTER-22275
MASTER-22276</v>
      </c>
      <c r="I169" s="12" t="str" cm="1">
        <f t="array" ref="I169">_xlfn.TEXTJOIN(CHAR(10),TRUE,_xlfn._xlws.SORT(IF((--($B169=Flowdown_BTE[[URS]:[URS]]))*(--(I$14=Flowdown_BTE[[Source.Name]:[Source.Name]])),Flowdown_BTE[[SyRS]:[SyRS]],"")))</f>
        <v/>
      </c>
      <c r="J169" s="12" t="str" cm="1">
        <f t="array" ref="J169">_xlfn.TEXTJOIN(CHAR(10),TRUE,_xlfn._xlws.SORT(IF((--($B169=Flowdown_BTE[[URS]:[URS]]))*(--(J$14=Flowdown_BTE[[Source.Name]:[Source.Name]])),Flowdown_BTE[[SyRS]:[SyRS]],"")))</f>
        <v/>
      </c>
      <c r="K169" s="12" t="str" cm="1">
        <f t="array" ref="K169">_xlfn.TEXTJOIN(CHAR(10),TRUE,_xlfn._xlws.SORT(IF((--($B169=Flowdown_BTE[[URS]:[URS]]))*(--(K$14=Flowdown_BTE[[Source.Name]:[Source.Name]])),Flowdown_BTE[[SyRS]:[SyRS]],"")))</f>
        <v/>
      </c>
      <c r="L169" s="16" t="b" cm="1">
        <f t="array" ref="L169">OR(LEN(C169:K169)&gt;0)</f>
        <v>1</v>
      </c>
    </row>
    <row r="170" spans="2:12" ht="409.5" x14ac:dyDescent="0.2">
      <c r="B170" s="11" t="str">
        <v>MASTER-6370</v>
      </c>
      <c r="C170" s="12" t="str" cm="1">
        <f t="array" ref="C170">_xlfn.TEXTJOIN(CHAR(10),TRUE,_xlfn._xlws.SORT(IF((--($B170=Flowdown_BTE[[URS]:[URS]]))*(--(C$14=Flowdown_BTE[[Source.Name]:[Source.Name]])),Flowdown_BTE[[SyRS]:[SyRS]],"")))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70" s="12" t="str" cm="1">
        <f t="array" ref="D170">_xlfn.TEXTJOIN(CHAR(10),TRUE,_xlfn._xlws.SORT(IF((--($B170=Flowdown_BTE[[URS]:[URS]]))*(--(D$14=Flowdown_BTE[[Source.Name]:[Source.Name]])),Flowdown_BTE[[SyRS]:[SyRS]],"")))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70" s="12" t="str" cm="1">
        <f t="array" ref="E170">_xlfn.TEXTJOIN(CHAR(10),TRUE,_xlfn._xlws.SORT(IF((--($B170=Flowdown_BTE[[URS]:[URS]]))*(--(E$14=Flowdown_BTE[[Source.Name]:[Source.Name]])),Flowdown_BTE[[SyRS]:[SyRS]],"")))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70" s="12" t="str" cm="1">
        <f t="array" ref="F170">_xlfn.TEXTJOIN(CHAR(10),TRUE,_xlfn._xlws.SORT(IF((--($B170=Flowdown_BTE[[URS]:[URS]]))*(--(F$14=Flowdown_BTE[[Source.Name]:[Source.Name]])),Flowdown_BTE[[SyRS]:[SyRS]],"")))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70" s="12" t="str" cm="1">
        <f t="array" ref="G170">_xlfn.TEXTJOIN(CHAR(10),TRUE,_xlfn._xlws.SORT(IF((--($B170=Flowdown_BTE[[URS]:[URS]]))*(--(G$14=Flowdown_BTE[[Source.Name]:[Source.Name]])),Flowdown_BTE[[SyRS]:[SyRS]],"")))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70" s="12" t="str" cm="1">
        <f t="array" ref="H170">_xlfn.TEXTJOIN(CHAR(10),TRUE,_xlfn._xlws.SORT(IF((--($B170=Flowdown_BTE[[URS]:[URS]]))*(--(H$14=Flowdown_BTE[[Source.Name]:[Source.Name]])),Flowdown_BTE[[SyRS]:[SyRS]],"")))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70" s="12" t="str" cm="1">
        <f t="array" ref="I170">_xlfn.TEXTJOIN(CHAR(10),TRUE,_xlfn._xlws.SORT(IF((--($B170=Flowdown_BTE[[URS]:[URS]]))*(--(I$14=Flowdown_BTE[[Source.Name]:[Source.Name]])),Flowdown_BTE[[SyRS]:[SyRS]],"")))</f>
        <v/>
      </c>
      <c r="J170" s="12" t="str" cm="1">
        <f t="array" ref="J170">_xlfn.TEXTJOIN(CHAR(10),TRUE,_xlfn._xlws.SORT(IF((--($B170=Flowdown_BTE[[URS]:[URS]]))*(--(J$14=Flowdown_BTE[[Source.Name]:[Source.Name]])),Flowdown_BTE[[SyRS]:[SyRS]],"")))</f>
        <v/>
      </c>
      <c r="K170" s="12" t="str" cm="1">
        <f t="array" ref="K170">_xlfn.TEXTJOIN(CHAR(10),TRUE,_xlfn._xlws.SORT(IF((--($B170=Flowdown_BTE[[URS]:[URS]]))*(--(K$14=Flowdown_BTE[[Source.Name]:[Source.Name]])),Flowdown_BTE[[SyRS]:[SyRS]],"")))</f>
        <v/>
      </c>
      <c r="L170" s="16" t="b" cm="1">
        <f t="array" ref="L170">OR(LEN(C170:K170)&gt;0)</f>
        <v>1</v>
      </c>
    </row>
    <row r="171" spans="2:12" ht="108" x14ac:dyDescent="0.2">
      <c r="B171" s="11" t="str">
        <v>MASTER-6375</v>
      </c>
      <c r="C171" s="12" t="str" cm="1">
        <f t="array" ref="C171">_xlfn.TEXTJOIN(CHAR(10),TRUE,_xlfn._xlws.SORT(IF((--($B171=Flowdown_BTE[[URS]:[URS]]))*(--(C$14=Flowdown_BTE[[Source.Name]:[Source.Name]])),Flowdown_BTE[[SyRS]:[SyRS]],"")))</f>
        <v>MASTER-19249
MASTER-50013
MASTER-50021</v>
      </c>
      <c r="D171" s="12" t="str" cm="1">
        <f t="array" ref="D171">_xlfn.TEXTJOIN(CHAR(10),TRUE,_xlfn._xlws.SORT(IF((--($B171=Flowdown_BTE[[URS]:[URS]]))*(--(D$14=Flowdown_BTE[[Source.Name]:[Source.Name]])),Flowdown_BTE[[SyRS]:[SyRS]],"")))</f>
        <v>MASTER-19249
MASTER-50013
MASTER-50021</v>
      </c>
      <c r="E171" s="12" t="str" cm="1">
        <f t="array" ref="E171">_xlfn.TEXTJOIN(CHAR(10),TRUE,_xlfn._xlws.SORT(IF((--($B171=Flowdown_BTE[[URS]:[URS]]))*(--(E$14=Flowdown_BTE[[Source.Name]:[Source.Name]])),Flowdown_BTE[[SyRS]:[SyRS]],"")))</f>
        <v>MASTER-19249
MASTER-50013
MASTER-50021</v>
      </c>
      <c r="F171" s="12" t="str" cm="1">
        <f t="array" ref="F171">_xlfn.TEXTJOIN(CHAR(10),TRUE,_xlfn._xlws.SORT(IF((--($B171=Flowdown_BTE[[URS]:[URS]]))*(--(F$14=Flowdown_BTE[[Source.Name]:[Source.Name]])),Flowdown_BTE[[SyRS]:[SyRS]],"")))</f>
        <v>MASTER-19249
MASTER-50013
MASTER-50021</v>
      </c>
      <c r="G171" s="12" t="str" cm="1">
        <f t="array" ref="G171">_xlfn.TEXTJOIN(CHAR(10),TRUE,_xlfn._xlws.SORT(IF((--($B171=Flowdown_BTE[[URS]:[URS]]))*(--(G$14=Flowdown_BTE[[Source.Name]:[Source.Name]])),Flowdown_BTE[[SyRS]:[SyRS]],"")))</f>
        <v>MASTER-19249
MASTER-50013
MASTER-50021</v>
      </c>
      <c r="H171" s="12" t="str" cm="1">
        <f t="array" ref="H171">_xlfn.TEXTJOIN(CHAR(10),TRUE,_xlfn._xlws.SORT(IF((--($B171=Flowdown_BTE[[URS]:[URS]]))*(--(H$14=Flowdown_BTE[[Source.Name]:[Source.Name]])),Flowdown_BTE[[SyRS]:[SyRS]],"")))</f>
        <v>MASTER-60782
MASTER-60784
MASTER-60785
MASTER-60786
MASTER-60787
MASTER-60788
MASTER-60793
MASTER-60796</v>
      </c>
      <c r="I171" s="12" t="str" cm="1">
        <f t="array" ref="I171">_xlfn.TEXTJOIN(CHAR(10),TRUE,_xlfn._xlws.SORT(IF((--($B171=Flowdown_BTE[[URS]:[URS]]))*(--(I$14=Flowdown_BTE[[Source.Name]:[Source.Name]])),Flowdown_BTE[[SyRS]:[SyRS]],"")))</f>
        <v>MASTER-20021
MASTER-64822
UTICA-209</v>
      </c>
      <c r="J171" s="12" t="str" cm="1">
        <f t="array" ref="J171">_xlfn.TEXTJOIN(CHAR(10),TRUE,_xlfn._xlws.SORT(IF((--($B171=Flowdown_BTE[[URS]:[URS]]))*(--(J$14=Flowdown_BTE[[Source.Name]:[Source.Name]])),Flowdown_BTE[[SyRS]:[SyRS]],"")))</f>
        <v/>
      </c>
      <c r="K171" s="12" t="str" cm="1">
        <f t="array" ref="K171">_xlfn.TEXTJOIN(CHAR(10),TRUE,_xlfn._xlws.SORT(IF((--($B171=Flowdown_BTE[[URS]:[URS]]))*(--(K$14=Flowdown_BTE[[Source.Name]:[Source.Name]])),Flowdown_BTE[[SyRS]:[SyRS]],"")))</f>
        <v/>
      </c>
      <c r="L171" s="16" t="b" cm="1">
        <f t="array" ref="L171">OR(LEN(C171:K171)&gt;0)</f>
        <v>1</v>
      </c>
    </row>
    <row r="172" spans="2:12" ht="54" x14ac:dyDescent="0.2">
      <c r="B172" s="11" t="str">
        <v>MASTER-6376</v>
      </c>
      <c r="C172" s="12" t="str" cm="1">
        <f t="array" ref="C172">_xlfn.TEXTJOIN(CHAR(10),TRUE,_xlfn._xlws.SORT(IF((--($B172=Flowdown_BTE[[URS]:[URS]]))*(--(C$14=Flowdown_BTE[[Source.Name]:[Source.Name]])),Flowdown_BTE[[SyRS]:[SyRS]],"")))</f>
        <v>MASTER-60679
MASTER-60680
MASTER-60681</v>
      </c>
      <c r="D172" s="12" t="str" cm="1">
        <f t="array" ref="D172">_xlfn.TEXTJOIN(CHAR(10),TRUE,_xlfn._xlws.SORT(IF((--($B172=Flowdown_BTE[[URS]:[URS]]))*(--(D$14=Flowdown_BTE[[Source.Name]:[Source.Name]])),Flowdown_BTE[[SyRS]:[SyRS]],"")))</f>
        <v>MASTER-60675
MASTER-60679
MASTER-60680
MASTER-60681</v>
      </c>
      <c r="E172" s="12" t="str" cm="1">
        <f t="array" ref="E172">_xlfn.TEXTJOIN(CHAR(10),TRUE,_xlfn._xlws.SORT(IF((--($B172=Flowdown_BTE[[URS]:[URS]]))*(--(E$14=Flowdown_BTE[[Source.Name]:[Source.Name]])),Flowdown_BTE[[SyRS]:[SyRS]],"")))</f>
        <v>MASTER-60675
MASTER-60679
MASTER-60685</v>
      </c>
      <c r="F172" s="12" t="str" cm="1">
        <f t="array" ref="F172">_xlfn.TEXTJOIN(CHAR(10),TRUE,_xlfn._xlws.SORT(IF((--($B172=Flowdown_BTE[[URS]:[URS]]))*(--(F$14=Flowdown_BTE[[Source.Name]:[Source.Name]])),Flowdown_BTE[[SyRS]:[SyRS]],"")))</f>
        <v>MASTER-60675
MASTER-60679
MASTER-60681</v>
      </c>
      <c r="G172" s="12" t="str" cm="1">
        <f t="array" ref="G172">_xlfn.TEXTJOIN(CHAR(10),TRUE,_xlfn._xlws.SORT(IF((--($B172=Flowdown_BTE[[URS]:[URS]]))*(--(G$14=Flowdown_BTE[[Source.Name]:[Source.Name]])),Flowdown_BTE[[SyRS]:[SyRS]],"")))</f>
        <v>MASTER-60675
MASTER-60679
MASTER-60680
MASTER-60681</v>
      </c>
      <c r="H172" s="12" t="str" cm="1">
        <f t="array" ref="H172">_xlfn.TEXTJOIN(CHAR(10),TRUE,_xlfn._xlws.SORT(IF((--($B172=Flowdown_BTE[[URS]:[URS]]))*(--(H$14=Flowdown_BTE[[Source.Name]:[Source.Name]])),Flowdown_BTE[[SyRS]:[SyRS]],"")))</f>
        <v>MASTER-60779</v>
      </c>
      <c r="I172" s="12" t="str" cm="1">
        <f t="array" ref="I172">_xlfn.TEXTJOIN(CHAR(10),TRUE,_xlfn._xlws.SORT(IF((--($B172=Flowdown_BTE[[URS]:[URS]]))*(--(I$14=Flowdown_BTE[[Source.Name]:[Source.Name]])),Flowdown_BTE[[SyRS]:[SyRS]],"")))</f>
        <v/>
      </c>
      <c r="J172" s="12" t="str" cm="1">
        <f t="array" ref="J172">_xlfn.TEXTJOIN(CHAR(10),TRUE,_xlfn._xlws.SORT(IF((--($B172=Flowdown_BTE[[URS]:[URS]]))*(--(J$14=Flowdown_BTE[[Source.Name]:[Source.Name]])),Flowdown_BTE[[SyRS]:[SyRS]],"")))</f>
        <v/>
      </c>
      <c r="K172" s="12" t="str" cm="1">
        <f t="array" ref="K172">_xlfn.TEXTJOIN(CHAR(10),TRUE,_xlfn._xlws.SORT(IF((--($B172=Flowdown_BTE[[URS]:[URS]]))*(--(K$14=Flowdown_BTE[[Source.Name]:[Source.Name]])),Flowdown_BTE[[SyRS]:[SyRS]],"")))</f>
        <v/>
      </c>
      <c r="L172" s="16" t="b" cm="1">
        <f t="array" ref="L172">OR(LEN(C172:K172)&gt;0)</f>
        <v>1</v>
      </c>
    </row>
    <row r="173" spans="2:12" ht="256.5" x14ac:dyDescent="0.2">
      <c r="B173" s="11" t="str">
        <v>MASTER-6381</v>
      </c>
      <c r="C173" s="12" t="str" cm="1">
        <f t="array" ref="C173">_xlfn.TEXTJOIN(CHAR(10),TRUE,_xlfn._xlws.SORT(IF((--($B173=Flowdown_BTE[[URS]:[URS]]))*(--(C$14=Flowdown_BTE[[Source.Name]:[Source.Name]])),Flowdown_BTE[[SyRS]:[SyRS]],"")))</f>
        <v>MASTER-18254
MASTER-18255
MASTER-18259
MASTER-18262
MASTER-18264
MASTER-18267</v>
      </c>
      <c r="D173" s="12" t="str" cm="1">
        <f t="array" ref="D173">_xlfn.TEXTJOIN(CHAR(10),TRUE,_xlfn._xlws.SORT(IF((--($B173=Flowdown_BTE[[URS]:[URS]]))*(--(D$14=Flowdown_BTE[[Source.Name]:[Source.Name]])),Flowdown_BTE[[SyRS]:[SyRS]],"")))</f>
        <v>MASTER-18254
MASTER-18255
MASTER-18259
MASTER-18262
MASTER-18264
MASTER-18267</v>
      </c>
      <c r="E173" s="12" t="str" cm="1">
        <f t="array" ref="E173">_xlfn.TEXTJOIN(CHAR(10),TRUE,_xlfn._xlws.SORT(IF((--($B173=Flowdown_BTE[[URS]:[URS]]))*(--(E$14=Flowdown_BTE[[Source.Name]:[Source.Name]])),Flowdown_BTE[[SyRS]:[SyRS]],"")))</f>
        <v>MASTER-18254
MASTER-18255
MASTER-18259
MASTER-18262
MASTER-18264
MASTER-18267</v>
      </c>
      <c r="F173" s="12" t="str" cm="1">
        <f t="array" ref="F173">_xlfn.TEXTJOIN(CHAR(10),TRUE,_xlfn._xlws.SORT(IF((--($B173=Flowdown_BTE[[URS]:[URS]]))*(--(F$14=Flowdown_BTE[[Source.Name]:[Source.Name]])),Flowdown_BTE[[SyRS]:[SyRS]],"")))</f>
        <v>MASTER-18254
MASTER-18255
MASTER-18259
MASTER-18262
MASTER-18264
MASTER-18267</v>
      </c>
      <c r="G173" s="12" t="str" cm="1">
        <f t="array" ref="G173">_xlfn.TEXTJOIN(CHAR(10),TRUE,_xlfn._xlws.SORT(IF((--($B173=Flowdown_BTE[[URS]:[URS]]))*(--(G$14=Flowdown_BTE[[Source.Name]:[Source.Name]])),Flowdown_BTE[[SyRS]:[SyRS]],"")))</f>
        <v>MASTER-18254
MASTER-18255
MASTER-18259
MASTER-18262
MASTER-18264
MASTER-18267</v>
      </c>
      <c r="H173" s="12" t="str" cm="1">
        <f t="array" ref="H173">_xlfn.TEXTJOIN(CHAR(10),TRUE,_xlfn._xlws.SORT(IF((--($B173=Flowdown_BTE[[URS]:[URS]]))*(--(H$14=Flowdown_BTE[[Source.Name]:[Source.Name]])),Flowdown_BTE[[SyRS]:[SyRS]],"")))</f>
        <v/>
      </c>
      <c r="I173" s="12" t="str" cm="1">
        <f t="array" ref="I173">_xlfn.TEXTJOIN(CHAR(10),TRUE,_xlfn._xlws.SORT(IF((--($B173=Flowdown_BTE[[URS]:[URS]]))*(--(I$14=Flowdown_BTE[[Source.Name]:[Source.Name]])),Flowdown_BTE[[SyRS]:[SyRS]],"")))</f>
        <v/>
      </c>
      <c r="J173" s="12" t="str" cm="1">
        <f t="array" ref="J173">_xlfn.TEXTJOIN(CHAR(10),TRUE,_xlfn._xlws.SORT(IF((--($B173=Flowdown_BTE[[URS]:[URS]]))*(--(J$14=Flowdown_BTE[[Source.Name]:[Source.Name]])),Flowdown_BTE[[SyRS]:[SyRS]],"")))</f>
        <v/>
      </c>
      <c r="K173" s="12" t="str" cm="1">
        <f t="array" ref="K173">_xlfn.TEXTJOIN(CHAR(10),TRUE,_xlfn._xlws.SORT(IF((--($B173=Flowdown_BTE[[URS]:[URS]]))*(--(K$14=Flowdown_BTE[[Source.Name]:[Source.Name]])),Flowdown_BTE[[SyRS]:[SyRS]],"")))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73" s="16" t="b" cm="1">
        <f t="array" ref="L173">OR(LEN(C173:K173)&gt;0)</f>
        <v>1</v>
      </c>
    </row>
    <row r="174" spans="2:12" ht="81" x14ac:dyDescent="0.2">
      <c r="B174" s="11" t="str">
        <v>MASTER-6382</v>
      </c>
      <c r="C174" s="12" t="str" cm="1">
        <f t="array" ref="C174">_xlfn.TEXTJOIN(CHAR(10),TRUE,_xlfn._xlws.SORT(IF((--($B174=Flowdown_BTE[[URS]:[URS]]))*(--(C$14=Flowdown_BTE[[Source.Name]:[Source.Name]])),Flowdown_BTE[[SyRS]:[SyRS]],"")))</f>
        <v>MASTER-18254
MASTER-18255
MASTER-18262
MASTER-18264
MASTER-18283
MASTER-18284</v>
      </c>
      <c r="D174" s="12" t="str" cm="1">
        <f t="array" ref="D174">_xlfn.TEXTJOIN(CHAR(10),TRUE,_xlfn._xlws.SORT(IF((--($B174=Flowdown_BTE[[URS]:[URS]]))*(--(D$14=Flowdown_BTE[[Source.Name]:[Source.Name]])),Flowdown_BTE[[SyRS]:[SyRS]],"")))</f>
        <v>MASTER-18254
MASTER-18255
MASTER-18262
MASTER-18264
MASTER-18283
MASTER-18284</v>
      </c>
      <c r="E174" s="12" t="str" cm="1">
        <f t="array" ref="E174">_xlfn.TEXTJOIN(CHAR(10),TRUE,_xlfn._xlws.SORT(IF((--($B174=Flowdown_BTE[[URS]:[URS]]))*(--(E$14=Flowdown_BTE[[Source.Name]:[Source.Name]])),Flowdown_BTE[[SyRS]:[SyRS]],"")))</f>
        <v>MASTER-18254
MASTER-18255
MASTER-18262
MASTER-18264
MASTER-18283
MASTER-18284</v>
      </c>
      <c r="F174" s="12" t="str" cm="1">
        <f t="array" ref="F174">_xlfn.TEXTJOIN(CHAR(10),TRUE,_xlfn._xlws.SORT(IF((--($B174=Flowdown_BTE[[URS]:[URS]]))*(--(F$14=Flowdown_BTE[[Source.Name]:[Source.Name]])),Flowdown_BTE[[SyRS]:[SyRS]],"")))</f>
        <v>MASTER-18254
MASTER-18255
MASTER-18262
MASTER-18264
MASTER-18283
MASTER-18284</v>
      </c>
      <c r="G174" s="12" t="str" cm="1">
        <f t="array" ref="G174">_xlfn.TEXTJOIN(CHAR(10),TRUE,_xlfn._xlws.SORT(IF((--($B174=Flowdown_BTE[[URS]:[URS]]))*(--(G$14=Flowdown_BTE[[Source.Name]:[Source.Name]])),Flowdown_BTE[[SyRS]:[SyRS]],"")))</f>
        <v>MASTER-18254
MASTER-18255
MASTER-18262
MASTER-18264
MASTER-18283
MASTER-18284</v>
      </c>
      <c r="H174" s="12" t="str" cm="1">
        <f t="array" ref="H174">_xlfn.TEXTJOIN(CHAR(10),TRUE,_xlfn._xlws.SORT(IF((--($B174=Flowdown_BTE[[URS]:[URS]]))*(--(H$14=Flowdown_BTE[[Source.Name]:[Source.Name]])),Flowdown_BTE[[SyRS]:[SyRS]],"")))</f>
        <v/>
      </c>
      <c r="I174" s="12" t="str" cm="1">
        <f t="array" ref="I174">_xlfn.TEXTJOIN(CHAR(10),TRUE,_xlfn._xlws.SORT(IF((--($B174=Flowdown_BTE[[URS]:[URS]]))*(--(I$14=Flowdown_BTE[[Source.Name]:[Source.Name]])),Flowdown_BTE[[SyRS]:[SyRS]],"")))</f>
        <v/>
      </c>
      <c r="J174" s="12" t="str" cm="1">
        <f t="array" ref="J174">_xlfn.TEXTJOIN(CHAR(10),TRUE,_xlfn._xlws.SORT(IF((--($B174=Flowdown_BTE[[URS]:[URS]]))*(--(J$14=Flowdown_BTE[[Source.Name]:[Source.Name]])),Flowdown_BTE[[SyRS]:[SyRS]],"")))</f>
        <v/>
      </c>
      <c r="K174" s="12" t="str" cm="1">
        <f t="array" ref="K174">_xlfn.TEXTJOIN(CHAR(10),TRUE,_xlfn._xlws.SORT(IF((--($B174=Flowdown_BTE[[URS]:[URS]]))*(--(K$14=Flowdown_BTE[[Source.Name]:[Source.Name]])),Flowdown_BTE[[SyRS]:[SyRS]],"")))</f>
        <v/>
      </c>
      <c r="L174" s="16" t="b" cm="1">
        <f t="array" ref="L174">OR(LEN(C174:K174)&gt;0)</f>
        <v>1</v>
      </c>
    </row>
    <row r="175" spans="2:12" ht="81" x14ac:dyDescent="0.2">
      <c r="B175" s="11" t="str">
        <v>MASTER-6383</v>
      </c>
      <c r="C175" s="12" t="str" cm="1">
        <f t="array" ref="C175">_xlfn.TEXTJOIN(CHAR(10),TRUE,_xlfn._xlws.SORT(IF((--($B175=Flowdown_BTE[[URS]:[URS]]))*(--(C$14=Flowdown_BTE[[Source.Name]:[Source.Name]])),Flowdown_BTE[[SyRS]:[SyRS]],"")))</f>
        <v>MASTER-18114
MASTER-18225
MASTER-18227
MASTER-18282
MASTER-18283
MASTER-18284</v>
      </c>
      <c r="D175" s="12" t="str" cm="1">
        <f t="array" ref="D175">_xlfn.TEXTJOIN(CHAR(10),TRUE,_xlfn._xlws.SORT(IF((--($B175=Flowdown_BTE[[URS]:[URS]]))*(--(D$14=Flowdown_BTE[[Source.Name]:[Source.Name]])),Flowdown_BTE[[SyRS]:[SyRS]],"")))</f>
        <v>MASTER-18114
MASTER-18225
MASTER-18227
MASTER-18282
MASTER-18283
MASTER-18284</v>
      </c>
      <c r="E175" s="12" t="str" cm="1">
        <f t="array" ref="E175">_xlfn.TEXTJOIN(CHAR(10),TRUE,_xlfn._xlws.SORT(IF((--($B175=Flowdown_BTE[[URS]:[URS]]))*(--(E$14=Flowdown_BTE[[Source.Name]:[Source.Name]])),Flowdown_BTE[[SyRS]:[SyRS]],"")))</f>
        <v>MASTER-18114
MASTER-18225
MASTER-18227
MASTER-18282
MASTER-18283
MASTER-18284</v>
      </c>
      <c r="F175" s="12" t="str" cm="1">
        <f t="array" ref="F175">_xlfn.TEXTJOIN(CHAR(10),TRUE,_xlfn._xlws.SORT(IF((--($B175=Flowdown_BTE[[URS]:[URS]]))*(--(F$14=Flowdown_BTE[[Source.Name]:[Source.Name]])),Flowdown_BTE[[SyRS]:[SyRS]],"")))</f>
        <v>MASTER-18114
MASTER-18225
MASTER-18227
MASTER-18282
MASTER-18283
MASTER-18284</v>
      </c>
      <c r="G175" s="12" t="str" cm="1">
        <f t="array" ref="G175">_xlfn.TEXTJOIN(CHAR(10),TRUE,_xlfn._xlws.SORT(IF((--($B175=Flowdown_BTE[[URS]:[URS]]))*(--(G$14=Flowdown_BTE[[Source.Name]:[Source.Name]])),Flowdown_BTE[[SyRS]:[SyRS]],"")))</f>
        <v>MASTER-18114
MASTER-18225
MASTER-18227
MASTER-18282
MASTER-18283
MASTER-18284</v>
      </c>
      <c r="H175" s="12" t="str" cm="1">
        <f t="array" ref="H175">_xlfn.TEXTJOIN(CHAR(10),TRUE,_xlfn._xlws.SORT(IF((--($B175=Flowdown_BTE[[URS]:[URS]]))*(--(H$14=Flowdown_BTE[[Source.Name]:[Source.Name]])),Flowdown_BTE[[SyRS]:[SyRS]],"")))</f>
        <v/>
      </c>
      <c r="I175" s="12" t="str" cm="1">
        <f t="array" ref="I175">_xlfn.TEXTJOIN(CHAR(10),TRUE,_xlfn._xlws.SORT(IF((--($B175=Flowdown_BTE[[URS]:[URS]]))*(--(I$14=Flowdown_BTE[[Source.Name]:[Source.Name]])),Flowdown_BTE[[SyRS]:[SyRS]],"")))</f>
        <v/>
      </c>
      <c r="J175" s="12" t="str" cm="1">
        <f t="array" ref="J175">_xlfn.TEXTJOIN(CHAR(10),TRUE,_xlfn._xlws.SORT(IF((--($B175=Flowdown_BTE[[URS]:[URS]]))*(--(J$14=Flowdown_BTE[[Source.Name]:[Source.Name]])),Flowdown_BTE[[SyRS]:[SyRS]],"")))</f>
        <v/>
      </c>
      <c r="K175" s="12" t="str" cm="1">
        <f t="array" ref="K175">_xlfn.TEXTJOIN(CHAR(10),TRUE,_xlfn._xlws.SORT(IF((--($B175=Flowdown_BTE[[URS]:[URS]]))*(--(K$14=Flowdown_BTE[[Source.Name]:[Source.Name]])),Flowdown_BTE[[SyRS]:[SyRS]],"")))</f>
        <v>MASTER-16552
MASTER-16553
MASTER-16561</v>
      </c>
      <c r="L175" s="16" t="b" cm="1">
        <f t="array" ref="L175">OR(LEN(C175:K175)&gt;0)</f>
        <v>1</v>
      </c>
    </row>
    <row r="176" spans="2:12" ht="27" x14ac:dyDescent="0.2">
      <c r="B176" s="11" t="str">
        <v>MASTER-6385</v>
      </c>
      <c r="C176" s="12" t="str" cm="1">
        <f t="array" ref="C176">_xlfn.TEXTJOIN(CHAR(10),TRUE,_xlfn._xlws.SORT(IF((--($B176=Flowdown_BTE[[URS]:[URS]]))*(--(C$14=Flowdown_BTE[[Source.Name]:[Source.Name]])),Flowdown_BTE[[SyRS]:[SyRS]],"")))</f>
        <v>MASTER-60681</v>
      </c>
      <c r="D176" s="12" t="str" cm="1">
        <f t="array" ref="D176">_xlfn.TEXTJOIN(CHAR(10),TRUE,_xlfn._xlws.SORT(IF((--($B176=Flowdown_BTE[[URS]:[URS]]))*(--(D$14=Flowdown_BTE[[Source.Name]:[Source.Name]])),Flowdown_BTE[[SyRS]:[SyRS]],"")))</f>
        <v>MASTER-60675
MASTER-60681</v>
      </c>
      <c r="E176" s="12" t="str" cm="1">
        <f t="array" ref="E176">_xlfn.TEXTJOIN(CHAR(10),TRUE,_xlfn._xlws.SORT(IF((--($B176=Flowdown_BTE[[URS]:[URS]]))*(--(E$14=Flowdown_BTE[[Source.Name]:[Source.Name]])),Flowdown_BTE[[SyRS]:[SyRS]],"")))</f>
        <v>MASTER-60675
MASTER-60685</v>
      </c>
      <c r="F176" s="12" t="str" cm="1">
        <f t="array" ref="F176">_xlfn.TEXTJOIN(CHAR(10),TRUE,_xlfn._xlws.SORT(IF((--($B176=Flowdown_BTE[[URS]:[URS]]))*(--(F$14=Flowdown_BTE[[Source.Name]:[Source.Name]])),Flowdown_BTE[[SyRS]:[SyRS]],"")))</f>
        <v>MASTER-60675
MASTER-60681</v>
      </c>
      <c r="G176" s="12" t="str" cm="1">
        <f t="array" ref="G176">_xlfn.TEXTJOIN(CHAR(10),TRUE,_xlfn._xlws.SORT(IF((--($B176=Flowdown_BTE[[URS]:[URS]]))*(--(G$14=Flowdown_BTE[[Source.Name]:[Source.Name]])),Flowdown_BTE[[SyRS]:[SyRS]],"")))</f>
        <v>MASTER-60675
MASTER-60681</v>
      </c>
      <c r="H176" s="12" t="str" cm="1">
        <f t="array" ref="H176">_xlfn.TEXTJOIN(CHAR(10),TRUE,_xlfn._xlws.SORT(IF((--($B176=Flowdown_BTE[[URS]:[URS]]))*(--(H$14=Flowdown_BTE[[Source.Name]:[Source.Name]])),Flowdown_BTE[[SyRS]:[SyRS]],"")))</f>
        <v>MASTER-22345</v>
      </c>
      <c r="I176" s="12" t="str" cm="1">
        <f t="array" ref="I176">_xlfn.TEXTJOIN(CHAR(10),TRUE,_xlfn._xlws.SORT(IF((--($B176=Flowdown_BTE[[URS]:[URS]]))*(--(I$14=Flowdown_BTE[[Source.Name]:[Source.Name]])),Flowdown_BTE[[SyRS]:[SyRS]],"")))</f>
        <v/>
      </c>
      <c r="J176" s="12" t="str" cm="1">
        <f t="array" ref="J176">_xlfn.TEXTJOIN(CHAR(10),TRUE,_xlfn._xlws.SORT(IF((--($B176=Flowdown_BTE[[URS]:[URS]]))*(--(J$14=Flowdown_BTE[[Source.Name]:[Source.Name]])),Flowdown_BTE[[SyRS]:[SyRS]],"")))</f>
        <v/>
      </c>
      <c r="K176" s="12" t="str" cm="1">
        <f t="array" ref="K176">_xlfn.TEXTJOIN(CHAR(10),TRUE,_xlfn._xlws.SORT(IF((--($B176=Flowdown_BTE[[URS]:[URS]]))*(--(K$14=Flowdown_BTE[[Source.Name]:[Source.Name]])),Flowdown_BTE[[SyRS]:[SyRS]],"")))</f>
        <v/>
      </c>
      <c r="L176" s="16" t="b" cm="1">
        <f t="array" ref="L176">OR(LEN(C176:K176)&gt;0)</f>
        <v>1</v>
      </c>
    </row>
    <row r="177" spans="2:12" ht="40.5" x14ac:dyDescent="0.2">
      <c r="B177" s="11" t="str">
        <v>MASTER-6386</v>
      </c>
      <c r="C177" s="12" t="str" cm="1">
        <f t="array" ref="C177">_xlfn.TEXTJOIN(CHAR(10),TRUE,_xlfn._xlws.SORT(IF((--($B177=Flowdown_BTE[[URS]:[URS]]))*(--(C$14=Flowdown_BTE[[Source.Name]:[Source.Name]])),Flowdown_BTE[[SyRS]:[SyRS]],"")))</f>
        <v>MASTER-19249</v>
      </c>
      <c r="D177" s="12" t="str" cm="1">
        <f t="array" ref="D177">_xlfn.TEXTJOIN(CHAR(10),TRUE,_xlfn._xlws.SORT(IF((--($B177=Flowdown_BTE[[URS]:[URS]]))*(--(D$14=Flowdown_BTE[[Source.Name]:[Source.Name]])),Flowdown_BTE[[SyRS]:[SyRS]],"")))</f>
        <v>MASTER-19249</v>
      </c>
      <c r="E177" s="12" t="str" cm="1">
        <f t="array" ref="E177">_xlfn.TEXTJOIN(CHAR(10),TRUE,_xlfn._xlws.SORT(IF((--($B177=Flowdown_BTE[[URS]:[URS]]))*(--(E$14=Flowdown_BTE[[Source.Name]:[Source.Name]])),Flowdown_BTE[[SyRS]:[SyRS]],"")))</f>
        <v>MASTER-19249</v>
      </c>
      <c r="F177" s="12" t="str" cm="1">
        <f t="array" ref="F177">_xlfn.TEXTJOIN(CHAR(10),TRUE,_xlfn._xlws.SORT(IF((--($B177=Flowdown_BTE[[URS]:[URS]]))*(--(F$14=Flowdown_BTE[[Source.Name]:[Source.Name]])),Flowdown_BTE[[SyRS]:[SyRS]],"")))</f>
        <v>MASTER-19249</v>
      </c>
      <c r="G177" s="12" t="str" cm="1">
        <f t="array" ref="G177">_xlfn.TEXTJOIN(CHAR(10),TRUE,_xlfn._xlws.SORT(IF((--($B177=Flowdown_BTE[[URS]:[URS]]))*(--(G$14=Flowdown_BTE[[Source.Name]:[Source.Name]])),Flowdown_BTE[[SyRS]:[SyRS]],"")))</f>
        <v>MASTER-19249</v>
      </c>
      <c r="H177" s="12" t="str" cm="1">
        <f t="array" ref="H177">_xlfn.TEXTJOIN(CHAR(10),TRUE,_xlfn._xlws.SORT(IF((--($B177=Flowdown_BTE[[URS]:[URS]]))*(--(H$14=Flowdown_BTE[[Source.Name]:[Source.Name]])),Flowdown_BTE[[SyRS]:[SyRS]],"")))</f>
        <v/>
      </c>
      <c r="I177" s="12" t="str" cm="1">
        <f t="array" ref="I177">_xlfn.TEXTJOIN(CHAR(10),TRUE,_xlfn._xlws.SORT(IF((--($B177=Flowdown_BTE[[URS]:[URS]]))*(--(I$14=Flowdown_BTE[[Source.Name]:[Source.Name]])),Flowdown_BTE[[SyRS]:[SyRS]],"")))</f>
        <v>MASTER-20021
MASTER-64822
UTICA-209</v>
      </c>
      <c r="J177" s="12" t="str" cm="1">
        <f t="array" ref="J177">_xlfn.TEXTJOIN(CHAR(10),TRUE,_xlfn._xlws.SORT(IF((--($B177=Flowdown_BTE[[URS]:[URS]]))*(--(J$14=Flowdown_BTE[[Source.Name]:[Source.Name]])),Flowdown_BTE[[SyRS]:[SyRS]],"")))</f>
        <v/>
      </c>
      <c r="K177" s="12" t="str" cm="1">
        <f t="array" ref="K177">_xlfn.TEXTJOIN(CHAR(10),TRUE,_xlfn._xlws.SORT(IF((--($B177=Flowdown_BTE[[URS]:[URS]]))*(--(K$14=Flowdown_BTE[[Source.Name]:[Source.Name]])),Flowdown_BTE[[SyRS]:[SyRS]],"")))</f>
        <v/>
      </c>
      <c r="L177" s="16" t="b" cm="1">
        <f t="array" ref="L177">OR(LEN(C177:K177)&gt;0)</f>
        <v>1</v>
      </c>
    </row>
    <row r="178" spans="2:12" ht="243" x14ac:dyDescent="0.2">
      <c r="B178" s="11" t="str">
        <v>MASTER-6387</v>
      </c>
      <c r="C178" s="12" t="str" cm="1">
        <f t="array" ref="C178">_xlfn.TEXTJOIN(CHAR(10),TRUE,_xlfn._xlws.SORT(IF((--($B178=Flowdown_BTE[[URS]:[URS]]))*(--(C$14=Flowdown_BTE[[Source.Name]:[Source.Name]])),Flowdown_BTE[[SyRS]:[SyRS]],"")))</f>
        <v>MASTER-18248
MASTER-18249</v>
      </c>
      <c r="D178" s="12" t="str" cm="1">
        <f t="array" ref="D178">_xlfn.TEXTJOIN(CHAR(10),TRUE,_xlfn._xlws.SORT(IF((--($B178=Flowdown_BTE[[URS]:[URS]]))*(--(D$14=Flowdown_BTE[[Source.Name]:[Source.Name]])),Flowdown_BTE[[SyRS]:[SyRS]],"")))</f>
        <v>MASTER-18248
MASTER-18249</v>
      </c>
      <c r="E178" s="12" t="str" cm="1">
        <f t="array" ref="E178">_xlfn.TEXTJOIN(CHAR(10),TRUE,_xlfn._xlws.SORT(IF((--($B178=Flowdown_BTE[[URS]:[URS]]))*(--(E$14=Flowdown_BTE[[Source.Name]:[Source.Name]])),Flowdown_BTE[[SyRS]:[SyRS]],"")))</f>
        <v>MASTER-18248
MASTER-18249</v>
      </c>
      <c r="F178" s="12" t="str" cm="1">
        <f t="array" ref="F178">_xlfn.TEXTJOIN(CHAR(10),TRUE,_xlfn._xlws.SORT(IF((--($B178=Flowdown_BTE[[URS]:[URS]]))*(--(F$14=Flowdown_BTE[[Source.Name]:[Source.Name]])),Flowdown_BTE[[SyRS]:[SyRS]],"")))</f>
        <v>MASTER-18248
MASTER-18249</v>
      </c>
      <c r="G178" s="12" t="str" cm="1">
        <f t="array" ref="G178">_xlfn.TEXTJOIN(CHAR(10),TRUE,_xlfn._xlws.SORT(IF((--($B178=Flowdown_BTE[[URS]:[URS]]))*(--(G$14=Flowdown_BTE[[Source.Name]:[Source.Name]])),Flowdown_BTE[[SyRS]:[SyRS]],"")))</f>
        <v>MASTER-18248
MASTER-18249</v>
      </c>
      <c r="H178" s="12" t="str" cm="1">
        <f t="array" ref="H178">_xlfn.TEXTJOIN(CHAR(10),TRUE,_xlfn._xlws.SORT(IF((--($B178=Flowdown_BTE[[URS]:[URS]]))*(--(H$14=Flowdown_BTE[[Source.Name]:[Source.Name]])),Flowdown_BTE[[SyRS]:[SyRS]],"")))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78" s="12" t="str" cm="1">
        <f t="array" ref="I178">_xlfn.TEXTJOIN(CHAR(10),TRUE,_xlfn._xlws.SORT(IF((--($B178=Flowdown_BTE[[URS]:[URS]]))*(--(I$14=Flowdown_BTE[[Source.Name]:[Source.Name]])),Flowdown_BTE[[SyRS]:[SyRS]],"")))</f>
        <v/>
      </c>
      <c r="J178" s="12" t="str" cm="1">
        <f t="array" ref="J178">_xlfn.TEXTJOIN(CHAR(10),TRUE,_xlfn._xlws.SORT(IF((--($B178=Flowdown_BTE[[URS]:[URS]]))*(--(J$14=Flowdown_BTE[[Source.Name]:[Source.Name]])),Flowdown_BTE[[SyRS]:[SyRS]],"")))</f>
        <v/>
      </c>
      <c r="K178" s="12" t="str" cm="1">
        <f t="array" ref="K178">_xlfn.TEXTJOIN(CHAR(10),TRUE,_xlfn._xlws.SORT(IF((--($B178=Flowdown_BTE[[URS]:[URS]]))*(--(K$14=Flowdown_BTE[[Source.Name]:[Source.Name]])),Flowdown_BTE[[SyRS]:[SyRS]],"")))</f>
        <v/>
      </c>
      <c r="L178" s="16" t="b" cm="1">
        <f t="array" ref="L178">OR(LEN(C178:K178)&gt;0)</f>
        <v>1</v>
      </c>
    </row>
    <row r="179" spans="2:12" ht="148.5" x14ac:dyDescent="0.2">
      <c r="B179" s="11" t="str">
        <v>MASTER-6389</v>
      </c>
      <c r="C179" s="12" t="str" cm="1">
        <f t="array" ref="C179">_xlfn.TEXTJOIN(CHAR(10),TRUE,_xlfn._xlws.SORT(IF((--($B179=Flowdown_BTE[[URS]:[URS]]))*(--(C$14=Flowdown_BTE[[Source.Name]:[Source.Name]])),Flowdown_BTE[[SyRS]:[SyRS]],"")))</f>
        <v>MASTER-18182
MASTER-18190
MASTER-18200
MASTER-18201
MASTER-18203
MASTER-18208
MASTER-18209
MASTER-18210
MASTER-18211
MASTER-18212
MASTER-20296</v>
      </c>
      <c r="D179" s="12" t="str" cm="1">
        <f t="array" ref="D179">_xlfn.TEXTJOIN(CHAR(10),TRUE,_xlfn._xlws.SORT(IF((--($B179=Flowdown_BTE[[URS]:[URS]]))*(--(D$14=Flowdown_BTE[[Source.Name]:[Source.Name]])),Flowdown_BTE[[SyRS]:[SyRS]],"")))</f>
        <v>MASTER-18182
MASTER-18190
MASTER-18200
MASTER-18201
MASTER-18203
MASTER-18208
MASTER-18209
MASTER-18210
MASTER-18211
MASTER-18212
MASTER-20296</v>
      </c>
      <c r="E179" s="12" t="str" cm="1">
        <f t="array" ref="E179">_xlfn.TEXTJOIN(CHAR(10),TRUE,_xlfn._xlws.SORT(IF((--($B179=Flowdown_BTE[[URS]:[URS]]))*(--(E$14=Flowdown_BTE[[Source.Name]:[Source.Name]])),Flowdown_BTE[[SyRS]:[SyRS]],"")))</f>
        <v>MASTER-18182
MASTER-18190
MASTER-18200
MASTER-18201
MASTER-18203
MASTER-18208
MASTER-18209
MASTER-18210
MASTER-18211
MASTER-18212
MASTER-20296</v>
      </c>
      <c r="F179" s="12" t="str" cm="1">
        <f t="array" ref="F179">_xlfn.TEXTJOIN(CHAR(10),TRUE,_xlfn._xlws.SORT(IF((--($B179=Flowdown_BTE[[URS]:[URS]]))*(--(F$14=Flowdown_BTE[[Source.Name]:[Source.Name]])),Flowdown_BTE[[SyRS]:[SyRS]],"")))</f>
        <v>MASTER-18182
MASTER-18190
MASTER-18200
MASTER-18201
MASTER-18203
MASTER-18208
MASTER-18209
MASTER-18210
MASTER-18211
MASTER-18212
MASTER-20296</v>
      </c>
      <c r="G179" s="12" t="str" cm="1">
        <f t="array" ref="G179">_xlfn.TEXTJOIN(CHAR(10),TRUE,_xlfn._xlws.SORT(IF((--($B179=Flowdown_BTE[[URS]:[URS]]))*(--(G$14=Flowdown_BTE[[Source.Name]:[Source.Name]])),Flowdown_BTE[[SyRS]:[SyRS]],"")))</f>
        <v>MASTER-18182
MASTER-18190
MASTER-18200
MASTER-18201
MASTER-18203
MASTER-18208
MASTER-18209
MASTER-18210
MASTER-18211
MASTER-18212
MASTER-20296</v>
      </c>
      <c r="H179" s="12" t="str" cm="1">
        <f t="array" ref="H179">_xlfn.TEXTJOIN(CHAR(10),TRUE,_xlfn._xlws.SORT(IF((--($B179=Flowdown_BTE[[URS]:[URS]]))*(--(H$14=Flowdown_BTE[[Source.Name]:[Source.Name]])),Flowdown_BTE[[SyRS]:[SyRS]],"")))</f>
        <v/>
      </c>
      <c r="I179" s="12" t="str" cm="1">
        <f t="array" ref="I179">_xlfn.TEXTJOIN(CHAR(10),TRUE,_xlfn._xlws.SORT(IF((--($B179=Flowdown_BTE[[URS]:[URS]]))*(--(I$14=Flowdown_BTE[[Source.Name]:[Source.Name]])),Flowdown_BTE[[SyRS]:[SyRS]],"")))</f>
        <v/>
      </c>
      <c r="J179" s="12" t="str" cm="1">
        <f t="array" ref="J179">_xlfn.TEXTJOIN(CHAR(10),TRUE,_xlfn._xlws.SORT(IF((--($B179=Flowdown_BTE[[URS]:[URS]]))*(--(J$14=Flowdown_BTE[[Source.Name]:[Source.Name]])),Flowdown_BTE[[SyRS]:[SyRS]],"")))</f>
        <v/>
      </c>
      <c r="K179" s="12" t="str" cm="1">
        <f t="array" ref="K179">_xlfn.TEXTJOIN(CHAR(10),TRUE,_xlfn._xlws.SORT(IF((--($B179=Flowdown_BTE[[URS]:[URS]]))*(--(K$14=Flowdown_BTE[[Source.Name]:[Source.Name]])),Flowdown_BTE[[SyRS]:[SyRS]],"")))</f>
        <v>MASTER-16704</v>
      </c>
      <c r="L179" s="16" t="b" cm="1">
        <f t="array" ref="L179">OR(LEN(C179:K179)&gt;0)</f>
        <v>1</v>
      </c>
    </row>
    <row r="180" spans="2:12" ht="108" x14ac:dyDescent="0.2">
      <c r="B180" s="11" t="str">
        <v>MASTER-6391</v>
      </c>
      <c r="C180" s="12" t="str" cm="1">
        <f t="array" ref="C180">_xlfn.TEXTJOIN(CHAR(10),TRUE,_xlfn._xlws.SORT(IF((--($B180=Flowdown_BTE[[URS]:[URS]]))*(--(C$14=Flowdown_BTE[[Source.Name]:[Source.Name]])),Flowdown_BTE[[SyRS]:[SyRS]],"")))</f>
        <v>MASTER-60681</v>
      </c>
      <c r="D180" s="12" t="str" cm="1">
        <f t="array" ref="D180">_xlfn.TEXTJOIN(CHAR(10),TRUE,_xlfn._xlws.SORT(IF((--($B180=Flowdown_BTE[[URS]:[URS]]))*(--(D$14=Flowdown_BTE[[Source.Name]:[Source.Name]])),Flowdown_BTE[[SyRS]:[SyRS]],"")))</f>
        <v>MASTER-60675
MASTER-60681</v>
      </c>
      <c r="E180" s="12" t="str" cm="1">
        <f t="array" ref="E180">_xlfn.TEXTJOIN(CHAR(10),TRUE,_xlfn._xlws.SORT(IF((--($B180=Flowdown_BTE[[URS]:[URS]]))*(--(E$14=Flowdown_BTE[[Source.Name]:[Source.Name]])),Flowdown_BTE[[SyRS]:[SyRS]],"")))</f>
        <v>MASTER-60675</v>
      </c>
      <c r="F180" s="12" t="str" cm="1">
        <f t="array" ref="F180">_xlfn.TEXTJOIN(CHAR(10),TRUE,_xlfn._xlws.SORT(IF((--($B180=Flowdown_BTE[[URS]:[URS]]))*(--(F$14=Flowdown_BTE[[Source.Name]:[Source.Name]])),Flowdown_BTE[[SyRS]:[SyRS]],"")))</f>
        <v>MASTER-60675
MASTER-60681</v>
      </c>
      <c r="G180" s="12" t="str" cm="1">
        <f t="array" ref="G180">_xlfn.TEXTJOIN(CHAR(10),TRUE,_xlfn._xlws.SORT(IF((--($B180=Flowdown_BTE[[URS]:[URS]]))*(--(G$14=Flowdown_BTE[[Source.Name]:[Source.Name]])),Flowdown_BTE[[SyRS]:[SyRS]],"")))</f>
        <v>MASTER-60675
MASTER-60681</v>
      </c>
      <c r="H180" s="12" t="str" cm="1">
        <f t="array" ref="H180">_xlfn.TEXTJOIN(CHAR(10),TRUE,_xlfn._xlws.SORT(IF((--($B180=Flowdown_BTE[[URS]:[URS]]))*(--(H$14=Flowdown_BTE[[Source.Name]:[Source.Name]])),Flowdown_BTE[[SyRS]:[SyRS]],"")))</f>
        <v>MASTER-21877
MASTER-21878
MASTER-21930
MASTER-21935
MASTER-21937
MASTER-21939
MASTER-21941
MASTER-21951</v>
      </c>
      <c r="I180" s="12" t="str" cm="1">
        <f t="array" ref="I180">_xlfn.TEXTJOIN(CHAR(10),TRUE,_xlfn._xlws.SORT(IF((--($B180=Flowdown_BTE[[URS]:[URS]]))*(--(I$14=Flowdown_BTE[[Source.Name]:[Source.Name]])),Flowdown_BTE[[SyRS]:[SyRS]],"")))</f>
        <v/>
      </c>
      <c r="J180" s="12" t="str" cm="1">
        <f t="array" ref="J180">_xlfn.TEXTJOIN(CHAR(10),TRUE,_xlfn._xlws.SORT(IF((--($B180=Flowdown_BTE[[URS]:[URS]]))*(--(J$14=Flowdown_BTE[[Source.Name]:[Source.Name]])),Flowdown_BTE[[SyRS]:[SyRS]],"")))</f>
        <v/>
      </c>
      <c r="K180" s="12" t="str" cm="1">
        <f t="array" ref="K180">_xlfn.TEXTJOIN(CHAR(10),TRUE,_xlfn._xlws.SORT(IF((--($B180=Flowdown_BTE[[URS]:[URS]]))*(--(K$14=Flowdown_BTE[[Source.Name]:[Source.Name]])),Flowdown_BTE[[SyRS]:[SyRS]],"")))</f>
        <v/>
      </c>
      <c r="L180" s="16" t="b" cm="1">
        <f t="array" ref="L180">OR(LEN(C180:K180)&gt;0)</f>
        <v>1</v>
      </c>
    </row>
    <row r="181" spans="2:12" ht="67.5" x14ac:dyDescent="0.2">
      <c r="B181" s="11" t="str">
        <v>MASTER-6392</v>
      </c>
      <c r="C181" s="12" t="str" cm="1">
        <f t="array" ref="C181">_xlfn.TEXTJOIN(CHAR(10),TRUE,_xlfn._xlws.SORT(IF((--($B181=Flowdown_BTE[[URS]:[URS]]))*(--(C$14=Flowdown_BTE[[Source.Name]:[Source.Name]])),Flowdown_BTE[[SyRS]:[SyRS]],"")))</f>
        <v>MASTER-19249
MASTER-60732
MASTER-60733
MASTER-60735
MASTER-60737</v>
      </c>
      <c r="D181" s="12" t="str" cm="1">
        <f t="array" ref="D181">_xlfn.TEXTJOIN(CHAR(10),TRUE,_xlfn._xlws.SORT(IF((--($B181=Flowdown_BTE[[URS]:[URS]]))*(--(D$14=Flowdown_BTE[[Source.Name]:[Source.Name]])),Flowdown_BTE[[SyRS]:[SyRS]],"")))</f>
        <v>MASTER-19249
MASTER-60732
MASTER-60733
MASTER-60735
MASTER-60737</v>
      </c>
      <c r="E181" s="12" t="str" cm="1">
        <f t="array" ref="E181">_xlfn.TEXTJOIN(CHAR(10),TRUE,_xlfn._xlws.SORT(IF((--($B181=Flowdown_BTE[[URS]:[URS]]))*(--(E$14=Flowdown_BTE[[Source.Name]:[Source.Name]])),Flowdown_BTE[[SyRS]:[SyRS]],"")))</f>
        <v>MASTER-19249
MASTER-60732
MASTER-60733
MASTER-60735</v>
      </c>
      <c r="F181" s="12" t="str" cm="1">
        <f t="array" ref="F181">_xlfn.TEXTJOIN(CHAR(10),TRUE,_xlfn._xlws.SORT(IF((--($B181=Flowdown_BTE[[URS]:[URS]]))*(--(F$14=Flowdown_BTE[[Source.Name]:[Source.Name]])),Flowdown_BTE[[SyRS]:[SyRS]],"")))</f>
        <v>MASTER-19249
MASTER-60732
MASTER-60733
MASTER-60735</v>
      </c>
      <c r="G181" s="12" t="str" cm="1">
        <f t="array" ref="G181">_xlfn.TEXTJOIN(CHAR(10),TRUE,_xlfn._xlws.SORT(IF((--($B181=Flowdown_BTE[[URS]:[URS]]))*(--(G$14=Flowdown_BTE[[Source.Name]:[Source.Name]])),Flowdown_BTE[[SyRS]:[SyRS]],"")))</f>
        <v>MASTER-19249
MASTER-60732
MASTER-60733
MASTER-60735</v>
      </c>
      <c r="H181" s="12" t="str" cm="1">
        <f t="array" ref="H181">_xlfn.TEXTJOIN(CHAR(10),TRUE,_xlfn._xlws.SORT(IF((--($B181=Flowdown_BTE[[URS]:[URS]]))*(--(H$14=Flowdown_BTE[[Source.Name]:[Source.Name]])),Flowdown_BTE[[SyRS]:[SyRS]],"")))</f>
        <v/>
      </c>
      <c r="I181" s="12" t="str" cm="1">
        <f t="array" ref="I181">_xlfn.TEXTJOIN(CHAR(10),TRUE,_xlfn._xlws.SORT(IF((--($B181=Flowdown_BTE[[URS]:[URS]]))*(--(I$14=Flowdown_BTE[[Source.Name]:[Source.Name]])),Flowdown_BTE[[SyRS]:[SyRS]],"")))</f>
        <v>MASTER-64822</v>
      </c>
      <c r="J181" s="12" t="str" cm="1">
        <f t="array" ref="J181">_xlfn.TEXTJOIN(CHAR(10),TRUE,_xlfn._xlws.SORT(IF((--($B181=Flowdown_BTE[[URS]:[URS]]))*(--(J$14=Flowdown_BTE[[Source.Name]:[Source.Name]])),Flowdown_BTE[[SyRS]:[SyRS]],"")))</f>
        <v/>
      </c>
      <c r="K181" s="12" t="str" cm="1">
        <f t="array" ref="K181">_xlfn.TEXTJOIN(CHAR(10),TRUE,_xlfn._xlws.SORT(IF((--($B181=Flowdown_BTE[[URS]:[URS]]))*(--(K$14=Flowdown_BTE[[Source.Name]:[Source.Name]])),Flowdown_BTE[[SyRS]:[SyRS]],"")))</f>
        <v>MASTER-16739</v>
      </c>
      <c r="L181" s="16" t="b" cm="1">
        <f t="array" ref="L181">OR(LEN(C181:K181)&gt;0)</f>
        <v>1</v>
      </c>
    </row>
    <row r="182" spans="2:12" ht="40.5" x14ac:dyDescent="0.2">
      <c r="B182" s="11" t="str">
        <v>MASTER-6393</v>
      </c>
      <c r="C182" s="12" t="str" cm="1">
        <f t="array" ref="C182">_xlfn.TEXTJOIN(CHAR(10),TRUE,_xlfn._xlws.SORT(IF((--($B182=Flowdown_BTE[[URS]:[URS]]))*(--(C$14=Flowdown_BTE[[Source.Name]:[Source.Name]])),Flowdown_BTE[[SyRS]:[SyRS]],"")))</f>
        <v/>
      </c>
      <c r="D182" s="12" t="str" cm="1">
        <f t="array" ref="D182">_xlfn.TEXTJOIN(CHAR(10),TRUE,_xlfn._xlws.SORT(IF((--($B182=Flowdown_BTE[[URS]:[URS]]))*(--(D$14=Flowdown_BTE[[Source.Name]:[Source.Name]])),Flowdown_BTE[[SyRS]:[SyRS]],"")))</f>
        <v/>
      </c>
      <c r="E182" s="12" t="str" cm="1">
        <f t="array" ref="E182">_xlfn.TEXTJOIN(CHAR(10),TRUE,_xlfn._xlws.SORT(IF((--($B182=Flowdown_BTE[[URS]:[URS]]))*(--(E$14=Flowdown_BTE[[Source.Name]:[Source.Name]])),Flowdown_BTE[[SyRS]:[SyRS]],"")))</f>
        <v/>
      </c>
      <c r="F182" s="12" t="str" cm="1">
        <f t="array" ref="F182">_xlfn.TEXTJOIN(CHAR(10),TRUE,_xlfn._xlws.SORT(IF((--($B182=Flowdown_BTE[[URS]:[URS]]))*(--(F$14=Flowdown_BTE[[Source.Name]:[Source.Name]])),Flowdown_BTE[[SyRS]:[SyRS]],"")))</f>
        <v/>
      </c>
      <c r="G182" s="12" t="str" cm="1">
        <f t="array" ref="G182">_xlfn.TEXTJOIN(CHAR(10),TRUE,_xlfn._xlws.SORT(IF((--($B182=Flowdown_BTE[[URS]:[URS]]))*(--(G$14=Flowdown_BTE[[Source.Name]:[Source.Name]])),Flowdown_BTE[[SyRS]:[SyRS]],"")))</f>
        <v/>
      </c>
      <c r="H182" s="12" t="str" cm="1">
        <f t="array" ref="H182">_xlfn.TEXTJOIN(CHAR(10),TRUE,_xlfn._xlws.SORT(IF((--($B182=Flowdown_BTE[[URS]:[URS]]))*(--(H$14=Flowdown_BTE[[Source.Name]:[Source.Name]])),Flowdown_BTE[[SyRS]:[SyRS]],"")))</f>
        <v>MASTER-21937
MASTER-21941</v>
      </c>
      <c r="I182" s="12" t="str" cm="1">
        <f t="array" ref="I182">_xlfn.TEXTJOIN(CHAR(10),TRUE,_xlfn._xlws.SORT(IF((--($B182=Flowdown_BTE[[URS]:[URS]]))*(--(I$14=Flowdown_BTE[[Source.Name]:[Source.Name]])),Flowdown_BTE[[SyRS]:[SyRS]],"")))</f>
        <v>MASTER-20021
MASTER-64822
UTICA-209</v>
      </c>
      <c r="J182" s="12" t="str" cm="1">
        <f t="array" ref="J182">_xlfn.TEXTJOIN(CHAR(10),TRUE,_xlfn._xlws.SORT(IF((--($B182=Flowdown_BTE[[URS]:[URS]]))*(--(J$14=Flowdown_BTE[[Source.Name]:[Source.Name]])),Flowdown_BTE[[SyRS]:[SyRS]],"")))</f>
        <v/>
      </c>
      <c r="K182" s="12" t="str" cm="1">
        <f t="array" ref="K182">_xlfn.TEXTJOIN(CHAR(10),TRUE,_xlfn._xlws.SORT(IF((--($B182=Flowdown_BTE[[URS]:[URS]]))*(--(K$14=Flowdown_BTE[[Source.Name]:[Source.Name]])),Flowdown_BTE[[SyRS]:[SyRS]],"")))</f>
        <v/>
      </c>
      <c r="L182" s="16" t="b" cm="1">
        <f t="array" ref="L182">OR(LEN(C182:K182)&gt;0)</f>
        <v>1</v>
      </c>
    </row>
    <row r="183" spans="2:12" ht="409.5" x14ac:dyDescent="0.2">
      <c r="B183" s="11" t="str">
        <v>MASTER-6394</v>
      </c>
      <c r="C183" s="12" t="str" cm="1">
        <f t="array" ref="C183">_xlfn.TEXTJOIN(CHAR(10),TRUE,_xlfn._xlws.SORT(IF((--($B183=Flowdown_BTE[[URS]:[URS]]))*(--(C$14=Flowdown_BTE[[Source.Name]:[Source.Name]])),Flowdown_BTE[[SyRS]:[SyRS]],"")))</f>
        <v>MASTER-18050
MASTER-18203
MASTER-18210
MASTER-18211
MASTER-18212</v>
      </c>
      <c r="D183" s="12" t="str" cm="1">
        <f t="array" ref="D183">_xlfn.TEXTJOIN(CHAR(10),TRUE,_xlfn._xlws.SORT(IF((--($B183=Flowdown_BTE[[URS]:[URS]]))*(--(D$14=Flowdown_BTE[[Source.Name]:[Source.Name]])),Flowdown_BTE[[SyRS]:[SyRS]],"")))</f>
        <v>MASTER-18050
MASTER-18203
MASTER-18210
MASTER-18211
MASTER-18212</v>
      </c>
      <c r="E183" s="12" t="str" cm="1">
        <f t="array" ref="E183">_xlfn.TEXTJOIN(CHAR(10),TRUE,_xlfn._xlws.SORT(IF((--($B183=Flowdown_BTE[[URS]:[URS]]))*(--(E$14=Flowdown_BTE[[Source.Name]:[Source.Name]])),Flowdown_BTE[[SyRS]:[SyRS]],"")))</f>
        <v>MASTER-18050
MASTER-18203
MASTER-18210
MASTER-18211
MASTER-18212</v>
      </c>
      <c r="F183" s="12" t="str" cm="1">
        <f t="array" ref="F183">_xlfn.TEXTJOIN(CHAR(10),TRUE,_xlfn._xlws.SORT(IF((--($B183=Flowdown_BTE[[URS]:[URS]]))*(--(F$14=Flowdown_BTE[[Source.Name]:[Source.Name]])),Flowdown_BTE[[SyRS]:[SyRS]],"")))</f>
        <v>MASTER-18050
MASTER-18203
MASTER-18210
MASTER-18211
MASTER-18212</v>
      </c>
      <c r="G183" s="12" t="str" cm="1">
        <f t="array" ref="G183">_xlfn.TEXTJOIN(CHAR(10),TRUE,_xlfn._xlws.SORT(IF((--($B183=Flowdown_BTE[[URS]:[URS]]))*(--(G$14=Flowdown_BTE[[Source.Name]:[Source.Name]])),Flowdown_BTE[[SyRS]:[SyRS]],"")))</f>
        <v>MASTER-18050
MASTER-18203
MASTER-18210
MASTER-18211
MASTER-18212</v>
      </c>
      <c r="H183" s="12" t="str" cm="1">
        <f t="array" ref="H183">_xlfn.TEXTJOIN(CHAR(10),TRUE,_xlfn._xlws.SORT(IF((--($B183=Flowdown_BTE[[URS]:[URS]]))*(--(H$14=Flowdown_BTE[[Source.Name]:[Source.Name]])),Flowdown_BTE[[SyRS]:[SyRS]],"")))</f>
        <v/>
      </c>
      <c r="I183" s="12" t="str" cm="1">
        <f t="array" ref="I183">_xlfn.TEXTJOIN(CHAR(10),TRUE,_xlfn._xlws.SORT(IF((--($B183=Flowdown_BTE[[URS]:[URS]]))*(--(I$14=Flowdown_BTE[[Source.Name]:[Source.Name]])),Flowdown_BTE[[SyRS]:[SyRS]],"")))</f>
        <v/>
      </c>
      <c r="J183" s="12" t="str" cm="1">
        <f t="array" ref="J183">_xlfn.TEXTJOIN(CHAR(10),TRUE,_xlfn._xlws.SORT(IF((--($B183=Flowdown_BTE[[URS]:[URS]]))*(--(J$14=Flowdown_BTE[[Source.Name]:[Source.Name]])),Flowdown_BTE[[SyRS]:[SyRS]],"")))</f>
        <v/>
      </c>
      <c r="K183" s="12" t="str" cm="1">
        <f t="array" ref="K183">_xlfn.TEXTJOIN(CHAR(10),TRUE,_xlfn._xlws.SORT(IF((--($B183=Flowdown_BTE[[URS]:[URS]]))*(--(K$14=Flowdown_BTE[[Source.Name]:[Source.Name]])),Flowdown_BTE[[SyRS]:[SyRS]],"")))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83" s="16" t="b" cm="1">
        <f t="array" ref="L183">OR(LEN(C183:K183)&gt;0)</f>
        <v>1</v>
      </c>
    </row>
    <row r="184" spans="2:12" ht="67.5" x14ac:dyDescent="0.2">
      <c r="B184" s="11" t="str">
        <v>MASTER-6396</v>
      </c>
      <c r="C184" s="12" t="str" cm="1">
        <f t="array" ref="C184">_xlfn.TEXTJOIN(CHAR(10),TRUE,_xlfn._xlws.SORT(IF((--($B184=Flowdown_BTE[[URS]:[URS]]))*(--(C$14=Flowdown_BTE[[Source.Name]:[Source.Name]])),Flowdown_BTE[[SyRS]:[SyRS]],"")))</f>
        <v>MASTER-18189
MASTER-18200
MASTER-18201
MASTER-19314
MASTER-50183</v>
      </c>
      <c r="D184" s="12" t="str" cm="1">
        <f t="array" ref="D184">_xlfn.TEXTJOIN(CHAR(10),TRUE,_xlfn._xlws.SORT(IF((--($B184=Flowdown_BTE[[URS]:[URS]]))*(--(D$14=Flowdown_BTE[[Source.Name]:[Source.Name]])),Flowdown_BTE[[SyRS]:[SyRS]],"")))</f>
        <v>MASTER-18189
MASTER-18200
MASTER-18201
MASTER-19314
MASTER-50183</v>
      </c>
      <c r="E184" s="12" t="str" cm="1">
        <f t="array" ref="E184">_xlfn.TEXTJOIN(CHAR(10),TRUE,_xlfn._xlws.SORT(IF((--($B184=Flowdown_BTE[[URS]:[URS]]))*(--(E$14=Flowdown_BTE[[Source.Name]:[Source.Name]])),Flowdown_BTE[[SyRS]:[SyRS]],"")))</f>
        <v>MASTER-18189
MASTER-18200
MASTER-18201
MASTER-19314
MASTER-50183</v>
      </c>
      <c r="F184" s="12" t="str" cm="1">
        <f t="array" ref="F184">_xlfn.TEXTJOIN(CHAR(10),TRUE,_xlfn._xlws.SORT(IF((--($B184=Flowdown_BTE[[URS]:[URS]]))*(--(F$14=Flowdown_BTE[[Source.Name]:[Source.Name]])),Flowdown_BTE[[SyRS]:[SyRS]],"")))</f>
        <v>MASTER-18189
MASTER-18200
MASTER-18201
MASTER-19314
MASTER-50183</v>
      </c>
      <c r="G184" s="12" t="str" cm="1">
        <f t="array" ref="G184">_xlfn.TEXTJOIN(CHAR(10),TRUE,_xlfn._xlws.SORT(IF((--($B184=Flowdown_BTE[[URS]:[URS]]))*(--(G$14=Flowdown_BTE[[Source.Name]:[Source.Name]])),Flowdown_BTE[[SyRS]:[SyRS]],"")))</f>
        <v>MASTER-18189
MASTER-18200
MASTER-18201
MASTER-19314
MASTER-50183</v>
      </c>
      <c r="H184" s="12" t="str" cm="1">
        <f t="array" ref="H184">_xlfn.TEXTJOIN(CHAR(10),TRUE,_xlfn._xlws.SORT(IF((--($B184=Flowdown_BTE[[URS]:[URS]]))*(--(H$14=Flowdown_BTE[[Source.Name]:[Source.Name]])),Flowdown_BTE[[SyRS]:[SyRS]],"")))</f>
        <v>MASTER-20651
MASTER-20652</v>
      </c>
      <c r="I184" s="12" t="str" cm="1">
        <f t="array" ref="I184">_xlfn.TEXTJOIN(CHAR(10),TRUE,_xlfn._xlws.SORT(IF((--($B184=Flowdown_BTE[[URS]:[URS]]))*(--(I$14=Flowdown_BTE[[Source.Name]:[Source.Name]])),Flowdown_BTE[[SyRS]:[SyRS]],"")))</f>
        <v/>
      </c>
      <c r="J184" s="12" t="str" cm="1">
        <f t="array" ref="J184">_xlfn.TEXTJOIN(CHAR(10),TRUE,_xlfn._xlws.SORT(IF((--($B184=Flowdown_BTE[[URS]:[URS]]))*(--(J$14=Flowdown_BTE[[Source.Name]:[Source.Name]])),Flowdown_BTE[[SyRS]:[SyRS]],"")))</f>
        <v/>
      </c>
      <c r="K184" s="12" t="str" cm="1">
        <f t="array" ref="K184">_xlfn.TEXTJOIN(CHAR(10),TRUE,_xlfn._xlws.SORT(IF((--($B184=Flowdown_BTE[[URS]:[URS]]))*(--(K$14=Flowdown_BTE[[Source.Name]:[Source.Name]])),Flowdown_BTE[[SyRS]:[SyRS]],"")))</f>
        <v/>
      </c>
      <c r="L184" s="16" t="b" cm="1">
        <f t="array" ref="L184">OR(LEN(C184:K184)&gt;0)</f>
        <v>1</v>
      </c>
    </row>
    <row r="185" spans="2:12" ht="409.5" x14ac:dyDescent="0.2">
      <c r="B185" s="11" t="str">
        <v>MASTER-6397</v>
      </c>
      <c r="C185" s="12" t="str" cm="1">
        <f t="array" ref="C185">_xlfn.TEXTJOIN(CHAR(10),TRUE,_xlfn._xlws.SORT(IF((--($B185=Flowdown_BTE[[URS]:[URS]]))*(--(C$14=Flowdown_BTE[[Source.Name]:[Source.Name]])),Flowdown_BTE[[SyRS]:[SyRS]],"")))</f>
        <v>MASTER-18190
MASTER-18200</v>
      </c>
      <c r="D185" s="12" t="str" cm="1">
        <f t="array" ref="D185">_xlfn.TEXTJOIN(CHAR(10),TRUE,_xlfn._xlws.SORT(IF((--($B185=Flowdown_BTE[[URS]:[URS]]))*(--(D$14=Flowdown_BTE[[Source.Name]:[Source.Name]])),Flowdown_BTE[[SyRS]:[SyRS]],"")))</f>
        <v>MASTER-18190
MASTER-18200</v>
      </c>
      <c r="E185" s="12" t="str" cm="1">
        <f t="array" ref="E185">_xlfn.TEXTJOIN(CHAR(10),TRUE,_xlfn._xlws.SORT(IF((--($B185=Flowdown_BTE[[URS]:[URS]]))*(--(E$14=Flowdown_BTE[[Source.Name]:[Source.Name]])),Flowdown_BTE[[SyRS]:[SyRS]],"")))</f>
        <v>MASTER-18190
MASTER-18200</v>
      </c>
      <c r="F185" s="12" t="str" cm="1">
        <f t="array" ref="F185">_xlfn.TEXTJOIN(CHAR(10),TRUE,_xlfn._xlws.SORT(IF((--($B185=Flowdown_BTE[[URS]:[URS]]))*(--(F$14=Flowdown_BTE[[Source.Name]:[Source.Name]])),Flowdown_BTE[[SyRS]:[SyRS]],"")))</f>
        <v>MASTER-18190
MASTER-18200</v>
      </c>
      <c r="G185" s="12" t="str" cm="1">
        <f t="array" ref="G185">_xlfn.TEXTJOIN(CHAR(10),TRUE,_xlfn._xlws.SORT(IF((--($B185=Flowdown_BTE[[URS]:[URS]]))*(--(G$14=Flowdown_BTE[[Source.Name]:[Source.Name]])),Flowdown_BTE[[SyRS]:[SyRS]],"")))</f>
        <v>MASTER-18190
MASTER-18200</v>
      </c>
      <c r="H185" s="12" t="str" cm="1">
        <f t="array" ref="H185">_xlfn.TEXTJOIN(CHAR(10),TRUE,_xlfn._xlws.SORT(IF((--($B185=Flowdown_BTE[[URS]:[URS]]))*(--(H$14=Flowdown_BTE[[Source.Name]:[Source.Name]])),Flowdown_BTE[[SyRS]:[SyRS]],"")))</f>
        <v>MASTER-20657</v>
      </c>
      <c r="I185" s="12" t="str" cm="1">
        <f t="array" ref="I185">_xlfn.TEXTJOIN(CHAR(10),TRUE,_xlfn._xlws.SORT(IF((--($B185=Flowdown_BTE[[URS]:[URS]]))*(--(I$14=Flowdown_BTE[[Source.Name]:[Source.Name]])),Flowdown_BTE[[SyRS]:[SyRS]],"")))</f>
        <v/>
      </c>
      <c r="J185" s="12" t="str" cm="1">
        <f t="array" ref="J185">_xlfn.TEXTJOIN(CHAR(10),TRUE,_xlfn._xlws.SORT(IF((--($B185=Flowdown_BTE[[URS]:[URS]]))*(--(J$14=Flowdown_BTE[[Source.Name]:[Source.Name]])),Flowdown_BTE[[SyRS]:[SyRS]],"")))</f>
        <v/>
      </c>
      <c r="K185" s="12" t="str" cm="1">
        <f t="array" ref="K185">_xlfn.TEXTJOIN(CHAR(10),TRUE,_xlfn._xlws.SORT(IF((--($B185=Flowdown_BTE[[URS]:[URS]]))*(--(K$14=Flowdown_BTE[[Source.Name]:[Source.Name]])),Flowdown_BTE[[SyRS]:[SyRS]],"")))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85" s="16" t="b" cm="1">
        <f t="array" ref="L185">OR(LEN(C185:K185)&gt;0)</f>
        <v>1</v>
      </c>
    </row>
    <row r="186" spans="2:12" ht="13.5" x14ac:dyDescent="0.2">
      <c r="B186" s="11" t="str">
        <v>MASTER-6398</v>
      </c>
      <c r="C186" s="12" t="str" cm="1">
        <f t="array" ref="C186">_xlfn.TEXTJOIN(CHAR(10),TRUE,_xlfn._xlws.SORT(IF((--($B186=Flowdown_BTE[[URS]:[URS]]))*(--(C$14=Flowdown_BTE[[Source.Name]:[Source.Name]])),Flowdown_BTE[[SyRS]:[SyRS]],"")))</f>
        <v/>
      </c>
      <c r="D186" s="12" t="str" cm="1">
        <f t="array" ref="D186">_xlfn.TEXTJOIN(CHAR(10),TRUE,_xlfn._xlws.SORT(IF((--($B186=Flowdown_BTE[[URS]:[URS]]))*(--(D$14=Flowdown_BTE[[Source.Name]:[Source.Name]])),Flowdown_BTE[[SyRS]:[SyRS]],"")))</f>
        <v/>
      </c>
      <c r="E186" s="12" t="str" cm="1">
        <f t="array" ref="E186">_xlfn.TEXTJOIN(CHAR(10),TRUE,_xlfn._xlws.SORT(IF((--($B186=Flowdown_BTE[[URS]:[URS]]))*(--(E$14=Flowdown_BTE[[Source.Name]:[Source.Name]])),Flowdown_BTE[[SyRS]:[SyRS]],"")))</f>
        <v/>
      </c>
      <c r="F186" s="12" t="str" cm="1">
        <f t="array" ref="F186">_xlfn.TEXTJOIN(CHAR(10),TRUE,_xlfn._xlws.SORT(IF((--($B186=Flowdown_BTE[[URS]:[URS]]))*(--(F$14=Flowdown_BTE[[Source.Name]:[Source.Name]])),Flowdown_BTE[[SyRS]:[SyRS]],"")))</f>
        <v/>
      </c>
      <c r="G186" s="12" t="str" cm="1">
        <f t="array" ref="G186">_xlfn.TEXTJOIN(CHAR(10),TRUE,_xlfn._xlws.SORT(IF((--($B186=Flowdown_BTE[[URS]:[URS]]))*(--(G$14=Flowdown_BTE[[Source.Name]:[Source.Name]])),Flowdown_BTE[[SyRS]:[SyRS]],"")))</f>
        <v/>
      </c>
      <c r="H186" s="12" t="str" cm="1">
        <f t="array" ref="H186">_xlfn.TEXTJOIN(CHAR(10),TRUE,_xlfn._xlws.SORT(IF((--($B186=Flowdown_BTE[[URS]:[URS]]))*(--(H$14=Flowdown_BTE[[Source.Name]:[Source.Name]])),Flowdown_BTE[[SyRS]:[SyRS]],"")))</f>
        <v/>
      </c>
      <c r="I186" s="12" t="str" cm="1">
        <f t="array" ref="I186">_xlfn.TEXTJOIN(CHAR(10),TRUE,_xlfn._xlws.SORT(IF((--($B186=Flowdown_BTE[[URS]:[URS]]))*(--(I$14=Flowdown_BTE[[Source.Name]:[Source.Name]])),Flowdown_BTE[[SyRS]:[SyRS]],"")))</f>
        <v/>
      </c>
      <c r="J186" s="12" t="str" cm="1">
        <f t="array" ref="J186">_xlfn.TEXTJOIN(CHAR(10),TRUE,_xlfn._xlws.SORT(IF((--($B186=Flowdown_BTE[[URS]:[URS]]))*(--(J$14=Flowdown_BTE[[Source.Name]:[Source.Name]])),Flowdown_BTE[[SyRS]:[SyRS]],"")))</f>
        <v/>
      </c>
      <c r="K186" s="12" t="str" cm="1">
        <f t="array" ref="K186">_xlfn.TEXTJOIN(CHAR(10),TRUE,_xlfn._xlws.SORT(IF((--($B186=Flowdown_BTE[[URS]:[URS]]))*(--(K$14=Flowdown_BTE[[Source.Name]:[Source.Name]])),Flowdown_BTE[[SyRS]:[SyRS]],"")))</f>
        <v>UTICA-6120</v>
      </c>
      <c r="L186" s="16" t="b" cm="1">
        <f t="array" ref="L186">OR(LEN(C186:K186)&gt;0)</f>
        <v>1</v>
      </c>
    </row>
    <row r="187" spans="2:12" ht="229.5" x14ac:dyDescent="0.2">
      <c r="B187" s="11" t="str">
        <v>MASTER-6400</v>
      </c>
      <c r="C187" s="12" t="str" cm="1">
        <f t="array" ref="C187">_xlfn.TEXTJOIN(CHAR(10),TRUE,_xlfn._xlws.SORT(IF((--($B187=Flowdown_BTE[[URS]:[URS]]))*(--(C$14=Flowdown_BTE[[Source.Name]:[Source.Name]])),Flowdown_BTE[[SyRS]:[SyRS]],"")))</f>
        <v>MASTER-18144
MASTER-18152
MASTER-18682
MASTER-42113
MASTER-42114
MASTER-50013
MASTER-50021</v>
      </c>
      <c r="D187" s="12" t="str" cm="1">
        <f t="array" ref="D187">_xlfn.TEXTJOIN(CHAR(10),TRUE,_xlfn._xlws.SORT(IF((--($B187=Flowdown_BTE[[URS]:[URS]]))*(--(D$14=Flowdown_BTE[[Source.Name]:[Source.Name]])),Flowdown_BTE[[SyRS]:[SyRS]],"")))</f>
        <v>MASTER-18144
MASTER-18152
MASTER-18155
MASTER-18682
MASTER-42113
MASTER-42114
MASTER-50013
MASTER-50021</v>
      </c>
      <c r="E187" s="12" t="str" cm="1">
        <f t="array" ref="E187">_xlfn.TEXTJOIN(CHAR(10),TRUE,_xlfn._xlws.SORT(IF((--($B187=Flowdown_BTE[[URS]:[URS]]))*(--(E$14=Flowdown_BTE[[Source.Name]:[Source.Name]])),Flowdown_BTE[[SyRS]:[SyRS]],"")))</f>
        <v>MASTER-18144
MASTER-18152
MASTER-18682
MASTER-42113
MASTER-42114
MASTER-50013
MASTER-50021</v>
      </c>
      <c r="F187" s="12" t="str" cm="1">
        <f t="array" ref="F187">_xlfn.TEXTJOIN(CHAR(10),TRUE,_xlfn._xlws.SORT(IF((--($B187=Flowdown_BTE[[URS]:[URS]]))*(--(F$14=Flowdown_BTE[[Source.Name]:[Source.Name]])),Flowdown_BTE[[SyRS]:[SyRS]],"")))</f>
        <v>MASTER-18144
MASTER-18152
MASTER-18682
MASTER-42113
MASTER-42114
MASTER-50013
MASTER-50021</v>
      </c>
      <c r="G187" s="12" t="str" cm="1">
        <f t="array" ref="G187">_xlfn.TEXTJOIN(CHAR(10),TRUE,_xlfn._xlws.SORT(IF((--($B187=Flowdown_BTE[[URS]:[URS]]))*(--(G$14=Flowdown_BTE[[Source.Name]:[Source.Name]])),Flowdown_BTE[[SyRS]:[SyRS]],"")))</f>
        <v>MASTER-18144
MASTER-18152
MASTER-18682
MASTER-42113
MASTER-42114
MASTER-50013
MASTER-50021</v>
      </c>
      <c r="H187" s="12" t="str" cm="1">
        <f t="array" ref="H187">_xlfn.TEXTJOIN(CHAR(10),TRUE,_xlfn._xlws.SORT(IF((--($B187=Flowdown_BTE[[URS]:[URS]]))*(--(H$14=Flowdown_BTE[[Source.Name]:[Source.Name]])),Flowdown_BTE[[SyRS]:[SyRS]],"")))</f>
        <v/>
      </c>
      <c r="I187" s="12" t="str" cm="1">
        <f t="array" ref="I187">_xlfn.TEXTJOIN(CHAR(10),TRUE,_xlfn._xlws.SORT(IF((--($B187=Flowdown_BTE[[URS]:[URS]]))*(--(I$14=Flowdown_BTE[[Source.Name]:[Source.Name]])),Flowdown_BTE[[SyRS]:[SyRS]],"")))</f>
        <v/>
      </c>
      <c r="J187" s="12" t="str" cm="1">
        <f t="array" ref="J187">_xlfn.TEXTJOIN(CHAR(10),TRUE,_xlfn._xlws.SORT(IF((--($B187=Flowdown_BTE[[URS]:[URS]]))*(--(J$14=Flowdown_BTE[[Source.Name]:[Source.Name]])),Flowdown_BTE[[SyRS]:[SyRS]],"")))</f>
        <v/>
      </c>
      <c r="K187" s="12" t="str" cm="1">
        <f t="array" ref="K187">_xlfn.TEXTJOIN(CHAR(10),TRUE,_xlfn._xlws.SORT(IF((--($B187=Flowdown_BTE[[URS]:[URS]]))*(--(K$14=Flowdown_BTE[[Source.Name]:[Source.Name]])),Flowdown_BTE[[SyRS]:[SyRS]],"")))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87" s="16" t="b" cm="1">
        <f t="array" ref="L187">OR(LEN(C187:K187)&gt;0)</f>
        <v>1</v>
      </c>
    </row>
    <row r="188" spans="2:12" ht="54" x14ac:dyDescent="0.2">
      <c r="B188" s="11" t="str">
        <v>MASTER-6401</v>
      </c>
      <c r="C188" s="12" t="str" cm="1">
        <f t="array" ref="C188">_xlfn.TEXTJOIN(CHAR(10),TRUE,_xlfn._xlws.SORT(IF((--($B188=Flowdown_BTE[[URS]:[URS]]))*(--(C$14=Flowdown_BTE[[Source.Name]:[Source.Name]])),Flowdown_BTE[[SyRS]:[SyRS]],"")))</f>
        <v>MASTER-60681</v>
      </c>
      <c r="D188" s="12" t="str" cm="1">
        <f t="array" ref="D188">_xlfn.TEXTJOIN(CHAR(10),TRUE,_xlfn._xlws.SORT(IF((--($B188=Flowdown_BTE[[URS]:[URS]]))*(--(D$14=Flowdown_BTE[[Source.Name]:[Source.Name]])),Flowdown_BTE[[SyRS]:[SyRS]],"")))</f>
        <v>MASTER-60675
MASTER-60681</v>
      </c>
      <c r="E188" s="12" t="str" cm="1">
        <f t="array" ref="E188">_xlfn.TEXTJOIN(CHAR(10),TRUE,_xlfn._xlws.SORT(IF((--($B188=Flowdown_BTE[[URS]:[URS]]))*(--(E$14=Flowdown_BTE[[Source.Name]:[Source.Name]])),Flowdown_BTE[[SyRS]:[SyRS]],"")))</f>
        <v>MASTER-60675
MASTER-60685</v>
      </c>
      <c r="F188" s="12" t="str" cm="1">
        <f t="array" ref="F188">_xlfn.TEXTJOIN(CHAR(10),TRUE,_xlfn._xlws.SORT(IF((--($B188=Flowdown_BTE[[URS]:[URS]]))*(--(F$14=Flowdown_BTE[[Source.Name]:[Source.Name]])),Flowdown_BTE[[SyRS]:[SyRS]],"")))</f>
        <v>MASTER-60675
MASTER-60681</v>
      </c>
      <c r="G188" s="12" t="str" cm="1">
        <f t="array" ref="G188">_xlfn.TEXTJOIN(CHAR(10),TRUE,_xlfn._xlws.SORT(IF((--($B188=Flowdown_BTE[[URS]:[URS]]))*(--(G$14=Flowdown_BTE[[Source.Name]:[Source.Name]])),Flowdown_BTE[[SyRS]:[SyRS]],"")))</f>
        <v>MASTER-60675
MASTER-60681</v>
      </c>
      <c r="H188" s="12" t="str" cm="1">
        <f t="array" ref="H188">_xlfn.TEXTJOIN(CHAR(10),TRUE,_xlfn._xlws.SORT(IF((--($B188=Flowdown_BTE[[URS]:[URS]]))*(--(H$14=Flowdown_BTE[[Source.Name]:[Source.Name]])),Flowdown_BTE[[SyRS]:[SyRS]],"")))</f>
        <v/>
      </c>
      <c r="I188" s="12" t="str" cm="1">
        <f t="array" ref="I188">_xlfn.TEXTJOIN(CHAR(10),TRUE,_xlfn._xlws.SORT(IF((--($B188=Flowdown_BTE[[URS]:[URS]]))*(--(I$14=Flowdown_BTE[[Source.Name]:[Source.Name]])),Flowdown_BTE[[SyRS]:[SyRS]],"")))</f>
        <v/>
      </c>
      <c r="J188" s="12" t="str" cm="1">
        <f t="array" ref="J188">_xlfn.TEXTJOIN(CHAR(10),TRUE,_xlfn._xlws.SORT(IF((--($B188=Flowdown_BTE[[URS]:[URS]]))*(--(J$14=Flowdown_BTE[[Source.Name]:[Source.Name]])),Flowdown_BTE[[SyRS]:[SyRS]],"")))</f>
        <v/>
      </c>
      <c r="K188" s="12" t="str" cm="1">
        <f t="array" ref="K188">_xlfn.TEXTJOIN(CHAR(10),TRUE,_xlfn._xlws.SORT(IF((--($B188=Flowdown_BTE[[URS]:[URS]]))*(--(K$14=Flowdown_BTE[[Source.Name]:[Source.Name]])),Flowdown_BTE[[SyRS]:[SyRS]],"")))</f>
        <v>MASTER-16489
MASTER-16490
MASTER-16491
MASTER-16492</v>
      </c>
      <c r="L188" s="16" t="b" cm="1">
        <f t="array" ref="L188">OR(LEN(C188:K188)&gt;0)</f>
        <v>1</v>
      </c>
    </row>
    <row r="189" spans="2:12" ht="54" x14ac:dyDescent="0.2">
      <c r="B189" s="11" t="str">
        <v>MASTER-6402</v>
      </c>
      <c r="C189" s="12" t="str" cm="1">
        <f t="array" ref="C189">_xlfn.TEXTJOIN(CHAR(10),TRUE,_xlfn._xlws.SORT(IF((--($B189=Flowdown_BTE[[URS]:[URS]]))*(--(C$14=Flowdown_BTE[[Source.Name]:[Source.Name]])),Flowdown_BTE[[SyRS]:[SyRS]],"")))</f>
        <v>MASTER-18118
MASTER-18162
MASTER-18163
MASTER-18167</v>
      </c>
      <c r="D189" s="12" t="str" cm="1">
        <f t="array" ref="D189">_xlfn.TEXTJOIN(CHAR(10),TRUE,_xlfn._xlws.SORT(IF((--($B189=Flowdown_BTE[[URS]:[URS]]))*(--(D$14=Flowdown_BTE[[Source.Name]:[Source.Name]])),Flowdown_BTE[[SyRS]:[SyRS]],"")))</f>
        <v>MASTER-18118
MASTER-18162
MASTER-18163
MASTER-18167</v>
      </c>
      <c r="E189" s="12" t="str" cm="1">
        <f t="array" ref="E189">_xlfn.TEXTJOIN(CHAR(10),TRUE,_xlfn._xlws.SORT(IF((--($B189=Flowdown_BTE[[URS]:[URS]]))*(--(E$14=Flowdown_BTE[[Source.Name]:[Source.Name]])),Flowdown_BTE[[SyRS]:[SyRS]],"")))</f>
        <v>MASTER-18118
MASTER-18162
MASTER-18163
MASTER-18167</v>
      </c>
      <c r="F189" s="12" t="str" cm="1">
        <f t="array" ref="F189">_xlfn.TEXTJOIN(CHAR(10),TRUE,_xlfn._xlws.SORT(IF((--($B189=Flowdown_BTE[[URS]:[URS]]))*(--(F$14=Flowdown_BTE[[Source.Name]:[Source.Name]])),Flowdown_BTE[[SyRS]:[SyRS]],"")))</f>
        <v>MASTER-18118
MASTER-18162
MASTER-18163
MASTER-18167</v>
      </c>
      <c r="G189" s="12" t="str" cm="1">
        <f t="array" ref="G189">_xlfn.TEXTJOIN(CHAR(10),TRUE,_xlfn._xlws.SORT(IF((--($B189=Flowdown_BTE[[URS]:[URS]]))*(--(G$14=Flowdown_BTE[[Source.Name]:[Source.Name]])),Flowdown_BTE[[SyRS]:[SyRS]],"")))</f>
        <v>MASTER-18118
MASTER-18162
MASTER-18163
MASTER-18167</v>
      </c>
      <c r="H189" s="12" t="str" cm="1">
        <f t="array" ref="H189">_xlfn.TEXTJOIN(CHAR(10),TRUE,_xlfn._xlws.SORT(IF((--($B189=Flowdown_BTE[[URS]:[URS]]))*(--(H$14=Flowdown_BTE[[Source.Name]:[Source.Name]])),Flowdown_BTE[[SyRS]:[SyRS]],"")))</f>
        <v/>
      </c>
      <c r="I189" s="12" t="str" cm="1">
        <f t="array" ref="I189">_xlfn.TEXTJOIN(CHAR(10),TRUE,_xlfn._xlws.SORT(IF((--($B189=Flowdown_BTE[[URS]:[URS]]))*(--(I$14=Flowdown_BTE[[Source.Name]:[Source.Name]])),Flowdown_BTE[[SyRS]:[SyRS]],"")))</f>
        <v/>
      </c>
      <c r="J189" s="12" t="str" cm="1">
        <f t="array" ref="J189">_xlfn.TEXTJOIN(CHAR(10),TRUE,_xlfn._xlws.SORT(IF((--($B189=Flowdown_BTE[[URS]:[URS]]))*(--(J$14=Flowdown_BTE[[Source.Name]:[Source.Name]])),Flowdown_BTE[[SyRS]:[SyRS]],"")))</f>
        <v/>
      </c>
      <c r="K189" s="12" t="str" cm="1">
        <f t="array" ref="K189">_xlfn.TEXTJOIN(CHAR(10),TRUE,_xlfn._xlws.SORT(IF((--($B189=Flowdown_BTE[[URS]:[URS]]))*(--(K$14=Flowdown_BTE[[Source.Name]:[Source.Name]])),Flowdown_BTE[[SyRS]:[SyRS]],"")))</f>
        <v>MASTER-16505</v>
      </c>
      <c r="L189" s="16" t="b" cm="1">
        <f t="array" ref="L189">OR(LEN(C189:K189)&gt;0)</f>
        <v>1</v>
      </c>
    </row>
    <row r="190" spans="2:12" ht="40.5" x14ac:dyDescent="0.2">
      <c r="B190" s="11" t="str">
        <v>MASTER-6404</v>
      </c>
      <c r="C190" s="12" t="str" cm="1">
        <f t="array" ref="C190">_xlfn.TEXTJOIN(CHAR(10),TRUE,_xlfn._xlws.SORT(IF((--($B190=Flowdown_BTE[[URS]:[URS]]))*(--(C$14=Flowdown_BTE[[Source.Name]:[Source.Name]])),Flowdown_BTE[[SyRS]:[SyRS]],"")))</f>
        <v>MASTER-19249</v>
      </c>
      <c r="D190" s="12" t="str" cm="1">
        <f t="array" ref="D190">_xlfn.TEXTJOIN(CHAR(10),TRUE,_xlfn._xlws.SORT(IF((--($B190=Flowdown_BTE[[URS]:[URS]]))*(--(D$14=Flowdown_BTE[[Source.Name]:[Source.Name]])),Flowdown_BTE[[SyRS]:[SyRS]],"")))</f>
        <v>MASTER-19249</v>
      </c>
      <c r="E190" s="12" t="str" cm="1">
        <f t="array" ref="E190">_xlfn.TEXTJOIN(CHAR(10),TRUE,_xlfn._xlws.SORT(IF((--($B190=Flowdown_BTE[[URS]:[URS]]))*(--(E$14=Flowdown_BTE[[Source.Name]:[Source.Name]])),Flowdown_BTE[[SyRS]:[SyRS]],"")))</f>
        <v>MASTER-19249</v>
      </c>
      <c r="F190" s="12" t="str" cm="1">
        <f t="array" ref="F190">_xlfn.TEXTJOIN(CHAR(10),TRUE,_xlfn._xlws.SORT(IF((--($B190=Flowdown_BTE[[URS]:[URS]]))*(--(F$14=Flowdown_BTE[[Source.Name]:[Source.Name]])),Flowdown_BTE[[SyRS]:[SyRS]],"")))</f>
        <v>MASTER-19249</v>
      </c>
      <c r="G190" s="12" t="str" cm="1">
        <f t="array" ref="G190">_xlfn.TEXTJOIN(CHAR(10),TRUE,_xlfn._xlws.SORT(IF((--($B190=Flowdown_BTE[[URS]:[URS]]))*(--(G$14=Flowdown_BTE[[Source.Name]:[Source.Name]])),Flowdown_BTE[[SyRS]:[SyRS]],"")))</f>
        <v>MASTER-19249</v>
      </c>
      <c r="H190" s="12" t="str" cm="1">
        <f t="array" ref="H190">_xlfn.TEXTJOIN(CHAR(10),TRUE,_xlfn._xlws.SORT(IF((--($B190=Flowdown_BTE[[URS]:[URS]]))*(--(H$14=Flowdown_BTE[[Source.Name]:[Source.Name]])),Flowdown_BTE[[SyRS]:[SyRS]],"")))</f>
        <v>MASTER-21897
MASTER-21900
MASTER-21901</v>
      </c>
      <c r="I190" s="12" t="str" cm="1">
        <f t="array" ref="I190">_xlfn.TEXTJOIN(CHAR(10),TRUE,_xlfn._xlws.SORT(IF((--($B190=Flowdown_BTE[[URS]:[URS]]))*(--(I$14=Flowdown_BTE[[Source.Name]:[Source.Name]])),Flowdown_BTE[[SyRS]:[SyRS]],"")))</f>
        <v>MASTER-20021
MASTER-64822
UTICA-209</v>
      </c>
      <c r="J190" s="12" t="str" cm="1">
        <f t="array" ref="J190">_xlfn.TEXTJOIN(CHAR(10),TRUE,_xlfn._xlws.SORT(IF((--($B190=Flowdown_BTE[[URS]:[URS]]))*(--(J$14=Flowdown_BTE[[Source.Name]:[Source.Name]])),Flowdown_BTE[[SyRS]:[SyRS]],"")))</f>
        <v/>
      </c>
      <c r="K190" s="12" t="str" cm="1">
        <f t="array" ref="K190">_xlfn.TEXTJOIN(CHAR(10),TRUE,_xlfn._xlws.SORT(IF((--($B190=Flowdown_BTE[[URS]:[URS]]))*(--(K$14=Flowdown_BTE[[Source.Name]:[Source.Name]])),Flowdown_BTE[[SyRS]:[SyRS]],"")))</f>
        <v>MASTER-16739</v>
      </c>
      <c r="L190" s="16" t="b" cm="1">
        <f t="array" ref="L190">OR(LEN(C190:K190)&gt;0)</f>
        <v>1</v>
      </c>
    </row>
    <row r="191" spans="2:12" ht="229.5" x14ac:dyDescent="0.2">
      <c r="B191" s="11" t="str">
        <v>MASTER-6405</v>
      </c>
      <c r="C191" s="12" t="str" cm="1">
        <f t="array" ref="C191">_xlfn.TEXTJOIN(CHAR(10),TRUE,_xlfn._xlws.SORT(IF((--($B191=Flowdown_BTE[[URS]:[URS]]))*(--(C$14=Flowdown_BTE[[Source.Name]:[Source.Name]])),Flowdown_BTE[[SyRS]:[SyRS]],"")))</f>
        <v>MASTER-18116
MASTER-18160
MASTER-18162
MASTER-18167
MASTER-24072
MASTER-50015
MASTER-50017
MASTER-64681</v>
      </c>
      <c r="D191" s="12" t="str" cm="1">
        <f t="array" ref="D191">_xlfn.TEXTJOIN(CHAR(10),TRUE,_xlfn._xlws.SORT(IF((--($B191=Flowdown_BTE[[URS]:[URS]]))*(--(D$14=Flowdown_BTE[[Source.Name]:[Source.Name]])),Flowdown_BTE[[SyRS]:[SyRS]],"")))</f>
        <v>MASTER-18116
MASTER-18160
MASTER-18162
MASTER-18167
MASTER-24072
MASTER-50015
MASTER-50017
MASTER-64681</v>
      </c>
      <c r="E191" s="12" t="str" cm="1">
        <f t="array" ref="E191">_xlfn.TEXTJOIN(CHAR(10),TRUE,_xlfn._xlws.SORT(IF((--($B191=Flowdown_BTE[[URS]:[URS]]))*(--(E$14=Flowdown_BTE[[Source.Name]:[Source.Name]])),Flowdown_BTE[[SyRS]:[SyRS]],"")))</f>
        <v>MASTER-18116
MASTER-18132
MASTER-18160
MASTER-18162
MASTER-18167
MASTER-24072
MASTER-50015
MASTER-50017
MASTER-64681</v>
      </c>
      <c r="F191" s="12" t="str" cm="1">
        <f t="array" ref="F191">_xlfn.TEXTJOIN(CHAR(10),TRUE,_xlfn._xlws.SORT(IF((--($B191=Flowdown_BTE[[URS]:[URS]]))*(--(F$14=Flowdown_BTE[[Source.Name]:[Source.Name]])),Flowdown_BTE[[SyRS]:[SyRS]],"")))</f>
        <v>MASTER-18116
MASTER-18160
MASTER-18162
MASTER-18167
MASTER-24072
MASTER-50015
MASTER-50017
MASTER-64681</v>
      </c>
      <c r="G191" s="12" t="str" cm="1">
        <f t="array" ref="G191">_xlfn.TEXTJOIN(CHAR(10),TRUE,_xlfn._xlws.SORT(IF((--($B191=Flowdown_BTE[[URS]:[URS]]))*(--(G$14=Flowdown_BTE[[Source.Name]:[Source.Name]])),Flowdown_BTE[[SyRS]:[SyRS]],"")))</f>
        <v>MASTER-18116
MASTER-18160
MASTER-18162
MASTER-18167
MASTER-24072
MASTER-50015
MASTER-50017
MASTER-64681</v>
      </c>
      <c r="H191" s="12" t="str" cm="1">
        <f t="array" ref="H191">_xlfn.TEXTJOIN(CHAR(10),TRUE,_xlfn._xlws.SORT(IF((--($B191=Flowdown_BTE[[URS]:[URS]]))*(--(H$14=Flowdown_BTE[[Source.Name]:[Source.Name]])),Flowdown_BTE[[SyRS]:[SyRS]],"")))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91" s="12" t="str" cm="1">
        <f t="array" ref="I191">_xlfn.TEXTJOIN(CHAR(10),TRUE,_xlfn._xlws.SORT(IF((--($B191=Flowdown_BTE[[URS]:[URS]]))*(--(I$14=Flowdown_BTE[[Source.Name]:[Source.Name]])),Flowdown_BTE[[SyRS]:[SyRS]],"")))</f>
        <v/>
      </c>
      <c r="J191" s="12" t="str" cm="1">
        <f t="array" ref="J191">_xlfn.TEXTJOIN(CHAR(10),TRUE,_xlfn._xlws.SORT(IF((--($B191=Flowdown_BTE[[URS]:[URS]]))*(--(J$14=Flowdown_BTE[[Source.Name]:[Source.Name]])),Flowdown_BTE[[SyRS]:[SyRS]],"")))</f>
        <v/>
      </c>
      <c r="K191" s="12" t="str" cm="1">
        <f t="array" ref="K191">_xlfn.TEXTJOIN(CHAR(10),TRUE,_xlfn._xlws.SORT(IF((--($B191=Flowdown_BTE[[URS]:[URS]]))*(--(K$14=Flowdown_BTE[[Source.Name]:[Source.Name]])),Flowdown_BTE[[SyRS]:[SyRS]],"")))</f>
        <v/>
      </c>
      <c r="L191" s="16" t="b" cm="1">
        <f t="array" ref="L191">OR(LEN(C191:K191)&gt;0)</f>
        <v>1</v>
      </c>
    </row>
    <row r="192" spans="2:12" ht="94.5" x14ac:dyDescent="0.2">
      <c r="B192" s="11" t="str">
        <v>MASTER-6406</v>
      </c>
      <c r="C192" s="12" t="str" cm="1">
        <f t="array" ref="C192">_xlfn.TEXTJOIN(CHAR(10),TRUE,_xlfn._xlws.SORT(IF((--($B192=Flowdown_BTE[[URS]:[URS]]))*(--(C$14=Flowdown_BTE[[Source.Name]:[Source.Name]])),Flowdown_BTE[[SyRS]:[SyRS]],"")))</f>
        <v>MASTER-18119
MASTER-18144
MASTER-18152
MASTER-42113
MASTER-42114
MASTER-50018</v>
      </c>
      <c r="D192" s="12" t="str" cm="1">
        <f t="array" ref="D192">_xlfn.TEXTJOIN(CHAR(10),TRUE,_xlfn._xlws.SORT(IF((--($B192=Flowdown_BTE[[URS]:[URS]]))*(--(D$14=Flowdown_BTE[[Source.Name]:[Source.Name]])),Flowdown_BTE[[SyRS]:[SyRS]],"")))</f>
        <v>MASTER-18119
MASTER-18144
MASTER-18152
MASTER-18155
MASTER-42113
MASTER-42114
MASTER-50018</v>
      </c>
      <c r="E192" s="12" t="str" cm="1">
        <f t="array" ref="E192">_xlfn.TEXTJOIN(CHAR(10),TRUE,_xlfn._xlws.SORT(IF((--($B192=Flowdown_BTE[[URS]:[URS]]))*(--(E$14=Flowdown_BTE[[Source.Name]:[Source.Name]])),Flowdown_BTE[[SyRS]:[SyRS]],"")))</f>
        <v>MASTER-18119
MASTER-18144
MASTER-18152
MASTER-42113
MASTER-42114
MASTER-50018</v>
      </c>
      <c r="F192" s="12" t="str" cm="1">
        <f t="array" ref="F192">_xlfn.TEXTJOIN(CHAR(10),TRUE,_xlfn._xlws.SORT(IF((--($B192=Flowdown_BTE[[URS]:[URS]]))*(--(F$14=Flowdown_BTE[[Source.Name]:[Source.Name]])),Flowdown_BTE[[SyRS]:[SyRS]],"")))</f>
        <v>MASTER-18119
MASTER-18144
MASTER-18152
MASTER-42113
MASTER-42114
MASTER-50018</v>
      </c>
      <c r="G192" s="12" t="str" cm="1">
        <f t="array" ref="G192">_xlfn.TEXTJOIN(CHAR(10),TRUE,_xlfn._xlws.SORT(IF((--($B192=Flowdown_BTE[[URS]:[URS]]))*(--(G$14=Flowdown_BTE[[Source.Name]:[Source.Name]])),Flowdown_BTE[[SyRS]:[SyRS]],"")))</f>
        <v>MASTER-18119
MASTER-18144
MASTER-18152
MASTER-42113
MASTER-42114
MASTER-50018</v>
      </c>
      <c r="H192" s="12" t="str" cm="1">
        <f t="array" ref="H192">_xlfn.TEXTJOIN(CHAR(10),TRUE,_xlfn._xlws.SORT(IF((--($B192=Flowdown_BTE[[URS]:[URS]]))*(--(H$14=Flowdown_BTE[[Source.Name]:[Source.Name]])),Flowdown_BTE[[SyRS]:[SyRS]],"")))</f>
        <v>MASTER-21894
MASTER-21904</v>
      </c>
      <c r="I192" s="12" t="str" cm="1">
        <f t="array" ref="I192">_xlfn.TEXTJOIN(CHAR(10),TRUE,_xlfn._xlws.SORT(IF((--($B192=Flowdown_BTE[[URS]:[URS]]))*(--(I$14=Flowdown_BTE[[Source.Name]:[Source.Name]])),Flowdown_BTE[[SyRS]:[SyRS]],"")))</f>
        <v/>
      </c>
      <c r="J192" s="12" t="str" cm="1">
        <f t="array" ref="J192">_xlfn.TEXTJOIN(CHAR(10),TRUE,_xlfn._xlws.SORT(IF((--($B192=Flowdown_BTE[[URS]:[URS]]))*(--(J$14=Flowdown_BTE[[Source.Name]:[Source.Name]])),Flowdown_BTE[[SyRS]:[SyRS]],"")))</f>
        <v/>
      </c>
      <c r="K192" s="12" t="str" cm="1">
        <f t="array" ref="K192">_xlfn.TEXTJOIN(CHAR(10),TRUE,_xlfn._xlws.SORT(IF((--($B192=Flowdown_BTE[[URS]:[URS]]))*(--(K$14=Flowdown_BTE[[Source.Name]:[Source.Name]])),Flowdown_BTE[[SyRS]:[SyRS]],"")))</f>
        <v/>
      </c>
      <c r="L192" s="16" t="b" cm="1">
        <f t="array" ref="L192">OR(LEN(C192:K192)&gt;0)</f>
        <v>1</v>
      </c>
    </row>
    <row r="193" spans="2:12" ht="67.5" x14ac:dyDescent="0.2">
      <c r="B193" s="11" t="str">
        <v>MASTER-6407</v>
      </c>
      <c r="C193" s="12" t="str" cm="1">
        <f t="array" ref="C193">_xlfn.TEXTJOIN(CHAR(10),TRUE,_xlfn._xlws.SORT(IF((--($B193=Flowdown_BTE[[URS]:[URS]]))*(--(C$14=Flowdown_BTE[[Source.Name]:[Source.Name]])),Flowdown_BTE[[SyRS]:[SyRS]],"")))</f>
        <v>MASTER-18118
MASTER-18119
MASTER-18163
MASTER-18164
MASTER-50018</v>
      </c>
      <c r="D193" s="12" t="str" cm="1">
        <f t="array" ref="D193">_xlfn.TEXTJOIN(CHAR(10),TRUE,_xlfn._xlws.SORT(IF((--($B193=Flowdown_BTE[[URS]:[URS]]))*(--(D$14=Flowdown_BTE[[Source.Name]:[Source.Name]])),Flowdown_BTE[[SyRS]:[SyRS]],"")))</f>
        <v>MASTER-18118
MASTER-18119
MASTER-18163
MASTER-18164
MASTER-50018</v>
      </c>
      <c r="E193" s="12" t="str" cm="1">
        <f t="array" ref="E193">_xlfn.TEXTJOIN(CHAR(10),TRUE,_xlfn._xlws.SORT(IF((--($B193=Flowdown_BTE[[URS]:[URS]]))*(--(E$14=Flowdown_BTE[[Source.Name]:[Source.Name]])),Flowdown_BTE[[SyRS]:[SyRS]],"")))</f>
        <v>MASTER-18118
MASTER-18119
MASTER-18163
MASTER-18164
MASTER-50018</v>
      </c>
      <c r="F193" s="12" t="str" cm="1">
        <f t="array" ref="F193">_xlfn.TEXTJOIN(CHAR(10),TRUE,_xlfn._xlws.SORT(IF((--($B193=Flowdown_BTE[[URS]:[URS]]))*(--(F$14=Flowdown_BTE[[Source.Name]:[Source.Name]])),Flowdown_BTE[[SyRS]:[SyRS]],"")))</f>
        <v>MASTER-18118
MASTER-18119
MASTER-18163
MASTER-18164
MASTER-50018</v>
      </c>
      <c r="G193" s="12" t="str" cm="1">
        <f t="array" ref="G193">_xlfn.TEXTJOIN(CHAR(10),TRUE,_xlfn._xlws.SORT(IF((--($B193=Flowdown_BTE[[URS]:[URS]]))*(--(G$14=Flowdown_BTE[[Source.Name]:[Source.Name]])),Flowdown_BTE[[SyRS]:[SyRS]],"")))</f>
        <v>MASTER-18118
MASTER-18119
MASTER-18163
MASTER-18164
MASTER-50018</v>
      </c>
      <c r="H193" s="12" t="str" cm="1">
        <f t="array" ref="H193">_xlfn.TEXTJOIN(CHAR(10),TRUE,_xlfn._xlws.SORT(IF((--($B193=Flowdown_BTE[[URS]:[URS]]))*(--(H$14=Flowdown_BTE[[Source.Name]:[Source.Name]])),Flowdown_BTE[[SyRS]:[SyRS]],"")))</f>
        <v>MASTER-21899
MASTER-21900
MASTER-21901
MASTER-22555
MASTER-22556</v>
      </c>
      <c r="I193" s="12" t="str" cm="1">
        <f t="array" ref="I193">_xlfn.TEXTJOIN(CHAR(10),TRUE,_xlfn._xlws.SORT(IF((--($B193=Flowdown_BTE[[URS]:[URS]]))*(--(I$14=Flowdown_BTE[[Source.Name]:[Source.Name]])),Flowdown_BTE[[SyRS]:[SyRS]],"")))</f>
        <v/>
      </c>
      <c r="J193" s="12" t="str" cm="1">
        <f t="array" ref="J193">_xlfn.TEXTJOIN(CHAR(10),TRUE,_xlfn._xlws.SORT(IF((--($B193=Flowdown_BTE[[URS]:[URS]]))*(--(J$14=Flowdown_BTE[[Source.Name]:[Source.Name]])),Flowdown_BTE[[SyRS]:[SyRS]],"")))</f>
        <v/>
      </c>
      <c r="K193" s="12" t="str" cm="1">
        <f t="array" ref="K193">_xlfn.TEXTJOIN(CHAR(10),TRUE,_xlfn._xlws.SORT(IF((--($B193=Flowdown_BTE[[URS]:[URS]]))*(--(K$14=Flowdown_BTE[[Source.Name]:[Source.Name]])),Flowdown_BTE[[SyRS]:[SyRS]],"")))</f>
        <v/>
      </c>
      <c r="L193" s="16" t="b" cm="1">
        <f t="array" ref="L193">OR(LEN(C193:K193)&gt;0)</f>
        <v>1</v>
      </c>
    </row>
    <row r="194" spans="2:12" ht="337.5" x14ac:dyDescent="0.2">
      <c r="B194" s="11" t="str">
        <v>MASTER-6409</v>
      </c>
      <c r="C194" s="12" t="str" cm="1">
        <f t="array" ref="C194">_xlfn.TEXTJOIN(CHAR(10),TRUE,_xlfn._xlws.SORT(IF((--($B194=Flowdown_BTE[[URS]:[URS]]))*(--(C$14=Flowdown_BTE[[Source.Name]:[Source.Name]])),Flowdown_BTE[[SyRS]:[SyRS]],"")))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94" s="12" t="str" cm="1">
        <f t="array" ref="D194">_xlfn.TEXTJOIN(CHAR(10),TRUE,_xlfn._xlws.SORT(IF((--($B194=Flowdown_BTE[[URS]:[URS]]))*(--(D$14=Flowdown_BTE[[Source.Name]:[Source.Name]])),Flowdown_BTE[[SyRS]:[SyRS]],"")))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94" s="12" t="str" cm="1">
        <f t="array" ref="E194">_xlfn.TEXTJOIN(CHAR(10),TRUE,_xlfn._xlws.SORT(IF((--($B194=Flowdown_BTE[[URS]:[URS]]))*(--(E$14=Flowdown_BTE[[Source.Name]:[Source.Name]])),Flowdown_BTE[[SyRS]:[SyRS]],"")))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94" s="12" t="str" cm="1">
        <f t="array" ref="F194">_xlfn.TEXTJOIN(CHAR(10),TRUE,_xlfn._xlws.SORT(IF((--($B194=Flowdown_BTE[[URS]:[URS]]))*(--(F$14=Flowdown_BTE[[Source.Name]:[Source.Name]])),Flowdown_BTE[[SyRS]:[SyRS]],"")))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94" s="12" t="str" cm="1">
        <f t="array" ref="G194">_xlfn.TEXTJOIN(CHAR(10),TRUE,_xlfn._xlws.SORT(IF((--($B194=Flowdown_BTE[[URS]:[URS]]))*(--(G$14=Flowdown_BTE[[Source.Name]:[Source.Name]])),Flowdown_BTE[[SyRS]:[SyRS]],"")))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94" s="12" t="str" cm="1">
        <f t="array" ref="H194">_xlfn.TEXTJOIN(CHAR(10),TRUE,_xlfn._xlws.SORT(IF((--($B194=Flowdown_BTE[[URS]:[URS]]))*(--(H$14=Flowdown_BTE[[Source.Name]:[Source.Name]])),Flowdown_BTE[[SyRS]:[SyRS]],"")))</f>
        <v>MASTER-55413
MASTER-55414
MASTER-55415</v>
      </c>
      <c r="I194" s="12" t="str" cm="1">
        <f t="array" ref="I194">_xlfn.TEXTJOIN(CHAR(10),TRUE,_xlfn._xlws.SORT(IF((--($B194=Flowdown_BTE[[URS]:[URS]]))*(--(I$14=Flowdown_BTE[[Source.Name]:[Source.Name]])),Flowdown_BTE[[SyRS]:[SyRS]],"")))</f>
        <v/>
      </c>
      <c r="J194" s="12" t="str" cm="1">
        <f t="array" ref="J194">_xlfn.TEXTJOIN(CHAR(10),TRUE,_xlfn._xlws.SORT(IF((--($B194=Flowdown_BTE[[URS]:[URS]]))*(--(J$14=Flowdown_BTE[[Source.Name]:[Source.Name]])),Flowdown_BTE[[SyRS]:[SyRS]],"")))</f>
        <v/>
      </c>
      <c r="K194" s="12" t="str" cm="1">
        <f t="array" ref="K194">_xlfn.TEXTJOIN(CHAR(10),TRUE,_xlfn._xlws.SORT(IF((--($B194=Flowdown_BTE[[URS]:[URS]]))*(--(K$14=Flowdown_BTE[[Source.Name]:[Source.Name]])),Flowdown_BTE[[SyRS]:[SyRS]],"")))</f>
        <v/>
      </c>
      <c r="L194" s="16" t="b" cm="1">
        <f t="array" ref="L194">OR(LEN(C194:K194)&gt;0)</f>
        <v>1</v>
      </c>
    </row>
    <row r="195" spans="2:12" ht="121.5" x14ac:dyDescent="0.2">
      <c r="B195" s="11" t="str">
        <v>MASTER-6411</v>
      </c>
      <c r="C195" s="12" t="str" cm="1">
        <f t="array" ref="C195">_xlfn.TEXTJOIN(CHAR(10),TRUE,_xlfn._xlws.SORT(IF((--($B195=Flowdown_BTE[[URS]:[URS]]))*(--(C$14=Flowdown_BTE[[Source.Name]:[Source.Name]])),Flowdown_BTE[[SyRS]:[SyRS]],"")))</f>
        <v>MASTER-18368
MASTER-18369
MASTER-18370
MASTER-18382
MASTER-18383
MASTER-18388
MASTER-18389
MASTER-18394
MASTER-18398</v>
      </c>
      <c r="D195" s="12" t="str" cm="1">
        <f t="array" ref="D195">_xlfn.TEXTJOIN(CHAR(10),TRUE,_xlfn._xlws.SORT(IF((--($B195=Flowdown_BTE[[URS]:[URS]]))*(--(D$14=Flowdown_BTE[[Source.Name]:[Source.Name]])),Flowdown_BTE[[SyRS]:[SyRS]],"")))</f>
        <v>MASTER-18368
MASTER-18369
MASTER-18370
MASTER-18382
MASTER-18383
MASTER-18388
MASTER-18389
MASTER-18394
MASTER-18398</v>
      </c>
      <c r="E195" s="12" t="str" cm="1">
        <f t="array" ref="E195">_xlfn.TEXTJOIN(CHAR(10),TRUE,_xlfn._xlws.SORT(IF((--($B195=Flowdown_BTE[[URS]:[URS]]))*(--(E$14=Flowdown_BTE[[Source.Name]:[Source.Name]])),Flowdown_BTE[[SyRS]:[SyRS]],"")))</f>
        <v>MASTER-18368
MASTER-18369
MASTER-18370
MASTER-18382
MASTER-18383
MASTER-18388
MASTER-18389
MASTER-18394
MASTER-18398</v>
      </c>
      <c r="F195" s="12" t="str" cm="1">
        <f t="array" ref="F195">_xlfn.TEXTJOIN(CHAR(10),TRUE,_xlfn._xlws.SORT(IF((--($B195=Flowdown_BTE[[URS]:[URS]]))*(--(F$14=Flowdown_BTE[[Source.Name]:[Source.Name]])),Flowdown_BTE[[SyRS]:[SyRS]],"")))</f>
        <v>MASTER-18368
MASTER-18369
MASTER-18370
MASTER-18382
MASTER-18383
MASTER-18388
MASTER-18389
MASTER-18394
MASTER-18398</v>
      </c>
      <c r="G195" s="12" t="str" cm="1">
        <f t="array" ref="G195">_xlfn.TEXTJOIN(CHAR(10),TRUE,_xlfn._xlws.SORT(IF((--($B195=Flowdown_BTE[[URS]:[URS]]))*(--(G$14=Flowdown_BTE[[Source.Name]:[Source.Name]])),Flowdown_BTE[[SyRS]:[SyRS]],"")))</f>
        <v>MASTER-18368
MASTER-18369
MASTER-18370
MASTER-18382
MASTER-18383
MASTER-18388
MASTER-18389
MASTER-18394
MASTER-18398</v>
      </c>
      <c r="H195" s="12" t="str" cm="1">
        <f t="array" ref="H195">_xlfn.TEXTJOIN(CHAR(10),TRUE,_xlfn._xlws.SORT(IF((--($B195=Flowdown_BTE[[URS]:[URS]]))*(--(H$14=Flowdown_BTE[[Source.Name]:[Source.Name]])),Flowdown_BTE[[SyRS]:[SyRS]],"")))</f>
        <v/>
      </c>
      <c r="I195" s="12" t="str" cm="1">
        <f t="array" ref="I195">_xlfn.TEXTJOIN(CHAR(10),TRUE,_xlfn._xlws.SORT(IF((--($B195=Flowdown_BTE[[URS]:[URS]]))*(--(I$14=Flowdown_BTE[[Source.Name]:[Source.Name]])),Flowdown_BTE[[SyRS]:[SyRS]],"")))</f>
        <v/>
      </c>
      <c r="J195" s="12" t="str" cm="1">
        <f t="array" ref="J195">_xlfn.TEXTJOIN(CHAR(10),TRUE,_xlfn._xlws.SORT(IF((--($B195=Flowdown_BTE[[URS]:[URS]]))*(--(J$14=Flowdown_BTE[[Source.Name]:[Source.Name]])),Flowdown_BTE[[SyRS]:[SyRS]],"")))</f>
        <v/>
      </c>
      <c r="K195" s="12" t="str" cm="1">
        <f t="array" ref="K195">_xlfn.TEXTJOIN(CHAR(10),TRUE,_xlfn._xlws.SORT(IF((--($B195=Flowdown_BTE[[URS]:[URS]]))*(--(K$14=Flowdown_BTE[[Source.Name]:[Source.Name]])),Flowdown_BTE[[SyRS]:[SyRS]],"")))</f>
        <v/>
      </c>
      <c r="L195" s="16" t="b" cm="1">
        <f t="array" ref="L195">OR(LEN(C195:K195)&gt;0)</f>
        <v>1</v>
      </c>
    </row>
    <row r="196" spans="2:12" ht="229.5" x14ac:dyDescent="0.2">
      <c r="B196" s="11" t="str">
        <v>MASTER-6412</v>
      </c>
      <c r="C196" s="12" t="str" cm="1">
        <f t="array" ref="C196">_xlfn.TEXTJOIN(CHAR(10),TRUE,_xlfn._xlws.SORT(IF((--($B196=Flowdown_BTE[[URS]:[URS]]))*(--(C$14=Flowdown_BTE[[Source.Name]:[Source.Name]])),Flowdown_BTE[[SyRS]:[SyRS]],"")))</f>
        <v>MASTER-18351
MASTER-18354
MASTER-18357
MASTER-18359
MASTER-18361
MASTER-18362
MASTER-18363
MASTER-55395</v>
      </c>
      <c r="D196" s="12" t="str" cm="1">
        <f t="array" ref="D196">_xlfn.TEXTJOIN(CHAR(10),TRUE,_xlfn._xlws.SORT(IF((--($B196=Flowdown_BTE[[URS]:[URS]]))*(--(D$14=Flowdown_BTE[[Source.Name]:[Source.Name]])),Flowdown_BTE[[SyRS]:[SyRS]],"")))</f>
        <v>MASTER-18351
MASTER-18354
MASTER-18357
MASTER-18359
MASTER-18361
MASTER-18362
MASTER-18363
MASTER-55395</v>
      </c>
      <c r="E196" s="12" t="str" cm="1">
        <f t="array" ref="E196">_xlfn.TEXTJOIN(CHAR(10),TRUE,_xlfn._xlws.SORT(IF((--($B196=Flowdown_BTE[[URS]:[URS]]))*(--(E$14=Flowdown_BTE[[Source.Name]:[Source.Name]])),Flowdown_BTE[[SyRS]:[SyRS]],"")))</f>
        <v>MASTER-18351
MASTER-18354
MASTER-18357
MASTER-18359
MASTER-18361
MASTER-18362
MASTER-18363</v>
      </c>
      <c r="F196" s="12" t="str" cm="1">
        <f t="array" ref="F196">_xlfn.TEXTJOIN(CHAR(10),TRUE,_xlfn._xlws.SORT(IF((--($B196=Flowdown_BTE[[URS]:[URS]]))*(--(F$14=Flowdown_BTE[[Source.Name]:[Source.Name]])),Flowdown_BTE[[SyRS]:[SyRS]],"")))</f>
        <v>MASTER-18351
MASTER-18354
MASTER-18357
MASTER-18359
MASTER-18361
MASTER-18362
MASTER-18363</v>
      </c>
      <c r="G196" s="12" t="str" cm="1">
        <f t="array" ref="G196">_xlfn.TEXTJOIN(CHAR(10),TRUE,_xlfn._xlws.SORT(IF((--($B196=Flowdown_BTE[[URS]:[URS]]))*(--(G$14=Flowdown_BTE[[Source.Name]:[Source.Name]])),Flowdown_BTE[[SyRS]:[SyRS]],"")))</f>
        <v>MASTER-18351
MASTER-18354
MASTER-18357
MASTER-18359
MASTER-18361
MASTER-18362
MASTER-18363</v>
      </c>
      <c r="H196" s="12" t="str" cm="1">
        <f t="array" ref="H196">_xlfn.TEXTJOIN(CHAR(10),TRUE,_xlfn._xlws.SORT(IF((--($B196=Flowdown_BTE[[URS]:[URS]]))*(--(H$14=Flowdown_BTE[[Source.Name]:[Source.Name]])),Flowdown_BTE[[SyRS]:[SyRS]],"")))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96" s="12" t="str" cm="1">
        <f t="array" ref="I196">_xlfn.TEXTJOIN(CHAR(10),TRUE,_xlfn._xlws.SORT(IF((--($B196=Flowdown_BTE[[URS]:[URS]]))*(--(I$14=Flowdown_BTE[[Source.Name]:[Source.Name]])),Flowdown_BTE[[SyRS]:[SyRS]],"")))</f>
        <v/>
      </c>
      <c r="J196" s="12" t="str" cm="1">
        <f t="array" ref="J196">_xlfn.TEXTJOIN(CHAR(10),TRUE,_xlfn._xlws.SORT(IF((--($B196=Flowdown_BTE[[URS]:[URS]]))*(--(J$14=Flowdown_BTE[[Source.Name]:[Source.Name]])),Flowdown_BTE[[SyRS]:[SyRS]],"")))</f>
        <v/>
      </c>
      <c r="K196" s="12" t="str" cm="1">
        <f t="array" ref="K196">_xlfn.TEXTJOIN(CHAR(10),TRUE,_xlfn._xlws.SORT(IF((--($B196=Flowdown_BTE[[URS]:[URS]]))*(--(K$14=Flowdown_BTE[[Source.Name]:[Source.Name]])),Flowdown_BTE[[SyRS]:[SyRS]],"")))</f>
        <v/>
      </c>
      <c r="L196" s="16" t="b" cm="1">
        <f t="array" ref="L196">OR(LEN(C196:K196)&gt;0)</f>
        <v>1</v>
      </c>
    </row>
    <row r="197" spans="2:12" ht="40.5" x14ac:dyDescent="0.2">
      <c r="B197" s="11" t="str">
        <v>MASTER-6414</v>
      </c>
      <c r="C197" s="12" t="str" cm="1">
        <f t="array" ref="C197">_xlfn.TEXTJOIN(CHAR(10),TRUE,_xlfn._xlws.SORT(IF((--($B197=Flowdown_BTE[[URS]:[URS]]))*(--(C$14=Flowdown_BTE[[Source.Name]:[Source.Name]])),Flowdown_BTE[[SyRS]:[SyRS]],"")))</f>
        <v>MASTER-18352
MASTER-18360
MASTER-19249</v>
      </c>
      <c r="D197" s="12" t="str" cm="1">
        <f t="array" ref="D197">_xlfn.TEXTJOIN(CHAR(10),TRUE,_xlfn._xlws.SORT(IF((--($B197=Flowdown_BTE[[URS]:[URS]]))*(--(D$14=Flowdown_BTE[[Source.Name]:[Source.Name]])),Flowdown_BTE[[SyRS]:[SyRS]],"")))</f>
        <v>MASTER-18352
MASTER-18360
MASTER-19249</v>
      </c>
      <c r="E197" s="12" t="str" cm="1">
        <f t="array" ref="E197">_xlfn.TEXTJOIN(CHAR(10),TRUE,_xlfn._xlws.SORT(IF((--($B197=Flowdown_BTE[[URS]:[URS]]))*(--(E$14=Flowdown_BTE[[Source.Name]:[Source.Name]])),Flowdown_BTE[[SyRS]:[SyRS]],"")))</f>
        <v>MASTER-18352
MASTER-18360
MASTER-19249</v>
      </c>
      <c r="F197" s="12" t="str" cm="1">
        <f t="array" ref="F197">_xlfn.TEXTJOIN(CHAR(10),TRUE,_xlfn._xlws.SORT(IF((--($B197=Flowdown_BTE[[URS]:[URS]]))*(--(F$14=Flowdown_BTE[[Source.Name]:[Source.Name]])),Flowdown_BTE[[SyRS]:[SyRS]],"")))</f>
        <v>MASTER-18352
MASTER-18360
MASTER-19249</v>
      </c>
      <c r="G197" s="12" t="str" cm="1">
        <f t="array" ref="G197">_xlfn.TEXTJOIN(CHAR(10),TRUE,_xlfn._xlws.SORT(IF((--($B197=Flowdown_BTE[[URS]:[URS]]))*(--(G$14=Flowdown_BTE[[Source.Name]:[Source.Name]])),Flowdown_BTE[[SyRS]:[SyRS]],"")))</f>
        <v>MASTER-18352
MASTER-18360
MASTER-19249</v>
      </c>
      <c r="H197" s="12" t="str" cm="1">
        <f t="array" ref="H197">_xlfn.TEXTJOIN(CHAR(10),TRUE,_xlfn._xlws.SORT(IF((--($B197=Flowdown_BTE[[URS]:[URS]]))*(--(H$14=Flowdown_BTE[[Source.Name]:[Source.Name]])),Flowdown_BTE[[SyRS]:[SyRS]],"")))</f>
        <v>MASTER-21984
MASTER-21993
MASTER-22002</v>
      </c>
      <c r="I197" s="12" t="str" cm="1">
        <f t="array" ref="I197">_xlfn.TEXTJOIN(CHAR(10),TRUE,_xlfn._xlws.SORT(IF((--($B197=Flowdown_BTE[[URS]:[URS]]))*(--(I$14=Flowdown_BTE[[Source.Name]:[Source.Name]])),Flowdown_BTE[[SyRS]:[SyRS]],"")))</f>
        <v/>
      </c>
      <c r="J197" s="12" t="str" cm="1">
        <f t="array" ref="J197">_xlfn.TEXTJOIN(CHAR(10),TRUE,_xlfn._xlws.SORT(IF((--($B197=Flowdown_BTE[[URS]:[URS]]))*(--(J$14=Flowdown_BTE[[Source.Name]:[Source.Name]])),Flowdown_BTE[[SyRS]:[SyRS]],"")))</f>
        <v/>
      </c>
      <c r="K197" s="12" t="str" cm="1">
        <f t="array" ref="K197">_xlfn.TEXTJOIN(CHAR(10),TRUE,_xlfn._xlws.SORT(IF((--($B197=Flowdown_BTE[[URS]:[URS]]))*(--(K$14=Flowdown_BTE[[Source.Name]:[Source.Name]])),Flowdown_BTE[[SyRS]:[SyRS]],"")))</f>
        <v/>
      </c>
      <c r="L197" s="16" t="b" cm="1">
        <f t="array" ref="L197">OR(LEN(C197:K197)&gt;0)</f>
        <v>1</v>
      </c>
    </row>
    <row r="198" spans="2:12" ht="27" x14ac:dyDescent="0.2">
      <c r="B198" s="11" t="str">
        <v>MASTER-6415</v>
      </c>
      <c r="C198" s="12" t="str" cm="1">
        <f t="array" ref="C198">_xlfn.TEXTJOIN(CHAR(10),TRUE,_xlfn._xlws.SORT(IF((--($B198=Flowdown_BTE[[URS]:[URS]]))*(--(C$14=Flowdown_BTE[[Source.Name]:[Source.Name]])),Flowdown_BTE[[SyRS]:[SyRS]],"")))</f>
        <v>MASTER-18634
MASTER-18638</v>
      </c>
      <c r="D198" s="12" t="str" cm="1">
        <f t="array" ref="D198">_xlfn.TEXTJOIN(CHAR(10),TRUE,_xlfn._xlws.SORT(IF((--($B198=Flowdown_BTE[[URS]:[URS]]))*(--(D$14=Flowdown_BTE[[Source.Name]:[Source.Name]])),Flowdown_BTE[[SyRS]:[SyRS]],"")))</f>
        <v>MASTER-18634
MASTER-18638</v>
      </c>
      <c r="E198" s="12" t="str" cm="1">
        <f t="array" ref="E198">_xlfn.TEXTJOIN(CHAR(10),TRUE,_xlfn._xlws.SORT(IF((--($B198=Flowdown_BTE[[URS]:[URS]]))*(--(E$14=Flowdown_BTE[[Source.Name]:[Source.Name]])),Flowdown_BTE[[SyRS]:[SyRS]],"")))</f>
        <v>MASTER-18634
MASTER-18638</v>
      </c>
      <c r="F198" s="12" t="str" cm="1">
        <f t="array" ref="F198">_xlfn.TEXTJOIN(CHAR(10),TRUE,_xlfn._xlws.SORT(IF((--($B198=Flowdown_BTE[[URS]:[URS]]))*(--(F$14=Flowdown_BTE[[Source.Name]:[Source.Name]])),Flowdown_BTE[[SyRS]:[SyRS]],"")))</f>
        <v>MASTER-18634
MASTER-18638</v>
      </c>
      <c r="G198" s="12" t="str" cm="1">
        <f t="array" ref="G198">_xlfn.TEXTJOIN(CHAR(10),TRUE,_xlfn._xlws.SORT(IF((--($B198=Flowdown_BTE[[URS]:[URS]]))*(--(G$14=Flowdown_BTE[[Source.Name]:[Source.Name]])),Flowdown_BTE[[SyRS]:[SyRS]],"")))</f>
        <v>MASTER-18634
MASTER-18638</v>
      </c>
      <c r="H198" s="12" t="str" cm="1">
        <f t="array" ref="H198">_xlfn.TEXTJOIN(CHAR(10),TRUE,_xlfn._xlws.SORT(IF((--($B198=Flowdown_BTE[[URS]:[URS]]))*(--(H$14=Flowdown_BTE[[Source.Name]:[Source.Name]])),Flowdown_BTE[[SyRS]:[SyRS]],"")))</f>
        <v>MASTER-51789</v>
      </c>
      <c r="I198" s="12" t="str" cm="1">
        <f t="array" ref="I198">_xlfn.TEXTJOIN(CHAR(10),TRUE,_xlfn._xlws.SORT(IF((--($B198=Flowdown_BTE[[URS]:[URS]]))*(--(I$14=Flowdown_BTE[[Source.Name]:[Source.Name]])),Flowdown_BTE[[SyRS]:[SyRS]],"")))</f>
        <v/>
      </c>
      <c r="J198" s="12" t="str" cm="1">
        <f t="array" ref="J198">_xlfn.TEXTJOIN(CHAR(10),TRUE,_xlfn._xlws.SORT(IF((--($B198=Flowdown_BTE[[URS]:[URS]]))*(--(J$14=Flowdown_BTE[[Source.Name]:[Source.Name]])),Flowdown_BTE[[SyRS]:[SyRS]],"")))</f>
        <v/>
      </c>
      <c r="K198" s="12" t="str" cm="1">
        <f t="array" ref="K198">_xlfn.TEXTJOIN(CHAR(10),TRUE,_xlfn._xlws.SORT(IF((--($B198=Flowdown_BTE[[URS]:[URS]]))*(--(K$14=Flowdown_BTE[[Source.Name]:[Source.Name]])),Flowdown_BTE[[SyRS]:[SyRS]],"")))</f>
        <v/>
      </c>
      <c r="L198" s="16" t="b" cm="1">
        <f t="array" ref="L198">OR(LEN(C198:K198)&gt;0)</f>
        <v>1</v>
      </c>
    </row>
    <row r="199" spans="2:12" ht="175.5" x14ac:dyDescent="0.2">
      <c r="B199" s="11" t="str">
        <v>MASTER-6432</v>
      </c>
      <c r="C199" s="12" t="str" cm="1">
        <f t="array" ref="C199">_xlfn.TEXTJOIN(CHAR(10),TRUE,_xlfn._xlws.SORT(IF((--($B199=Flowdown_BTE[[URS]:[URS]]))*(--(C$14=Flowdown_BTE[[Source.Name]:[Source.Name]])),Flowdown_BTE[[SyRS]:[SyRS]],"")))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D199" s="12" t="str" cm="1">
        <f t="array" ref="D199">_xlfn.TEXTJOIN(CHAR(10),TRUE,_xlfn._xlws.SORT(IF((--($B199=Flowdown_BTE[[URS]:[URS]]))*(--(D$14=Flowdown_BTE[[Source.Name]:[Source.Name]])),Flowdown_BTE[[SyRS]:[SyRS]],"")))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E199" s="12" t="str" cm="1">
        <f t="array" ref="E199">_xlfn.TEXTJOIN(CHAR(10),TRUE,_xlfn._xlws.SORT(IF((--($B199=Flowdown_BTE[[URS]:[URS]]))*(--(E$14=Flowdown_BTE[[Source.Name]:[Source.Name]])),Flowdown_BTE[[SyRS]:[SyRS]],"")))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F199" s="12" t="str" cm="1">
        <f t="array" ref="F199">_xlfn.TEXTJOIN(CHAR(10),TRUE,_xlfn._xlws.SORT(IF((--($B199=Flowdown_BTE[[URS]:[URS]]))*(--(F$14=Flowdown_BTE[[Source.Name]:[Source.Name]])),Flowdown_BTE[[SyRS]:[SyRS]],"")))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G199" s="12" t="str" cm="1">
        <f t="array" ref="G199">_xlfn.TEXTJOIN(CHAR(10),TRUE,_xlfn._xlws.SORT(IF((--($B199=Flowdown_BTE[[URS]:[URS]]))*(--(G$14=Flowdown_BTE[[Source.Name]:[Source.Name]])),Flowdown_BTE[[SyRS]:[SyRS]],"")))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H199" s="12" t="str" cm="1">
        <f t="array" ref="H199">_xlfn.TEXTJOIN(CHAR(10),TRUE,_xlfn._xlws.SORT(IF((--($B199=Flowdown_BTE[[URS]:[URS]]))*(--(H$14=Flowdown_BTE[[Source.Name]:[Source.Name]])),Flowdown_BTE[[SyRS]:[SyRS]],"")))</f>
        <v>MASTER-55416</v>
      </c>
      <c r="I199" s="12" t="str" cm="1">
        <f t="array" ref="I199">_xlfn.TEXTJOIN(CHAR(10),TRUE,_xlfn._xlws.SORT(IF((--($B199=Flowdown_BTE[[URS]:[URS]]))*(--(I$14=Flowdown_BTE[[Source.Name]:[Source.Name]])),Flowdown_BTE[[SyRS]:[SyRS]],"")))</f>
        <v>MASTER-19848
MASTER-19849
MASTER-19853
MASTER-19854
MASTER-19859
MASTER-19861
MASTER-19862
MASTER-19863</v>
      </c>
      <c r="J199" s="12" t="str" cm="1">
        <f t="array" ref="J199">_xlfn.TEXTJOIN(CHAR(10),TRUE,_xlfn._xlws.SORT(IF((--($B199=Flowdown_BTE[[URS]:[URS]]))*(--(J$14=Flowdown_BTE[[Source.Name]:[Source.Name]])),Flowdown_BTE[[SyRS]:[SyRS]],"")))</f>
        <v/>
      </c>
      <c r="K199" s="12" t="str" cm="1">
        <f t="array" ref="K199">_xlfn.TEXTJOIN(CHAR(10),TRUE,_xlfn._xlws.SORT(IF((--($B199=Flowdown_BTE[[URS]:[URS]]))*(--(K$14=Flowdown_BTE[[Source.Name]:[Source.Name]])),Flowdown_BTE[[SyRS]:[SyRS]],"")))</f>
        <v/>
      </c>
      <c r="L199" s="16" t="b" cm="1">
        <f t="array" ref="L199">OR(LEN(C199:K199)&gt;0)</f>
        <v>1</v>
      </c>
    </row>
    <row r="200" spans="2:12" ht="81" x14ac:dyDescent="0.2">
      <c r="B200" s="11" t="str">
        <v>MASTER-6433</v>
      </c>
      <c r="C200" s="12" t="str" cm="1">
        <f t="array" ref="C200">_xlfn.TEXTJOIN(CHAR(10),TRUE,_xlfn._xlws.SORT(IF((--($B200=Flowdown_BTE[[URS]:[URS]]))*(--(C$14=Flowdown_BTE[[Source.Name]:[Source.Name]])),Flowdown_BTE[[SyRS]:[SyRS]],"")))</f>
        <v>MASTER-18465
MASTER-18466
MASTER-18477
MASTER-18482
MASTER-18484
MASTER-18486</v>
      </c>
      <c r="D200" s="12" t="str" cm="1">
        <f t="array" ref="D200">_xlfn.TEXTJOIN(CHAR(10),TRUE,_xlfn._xlws.SORT(IF((--($B200=Flowdown_BTE[[URS]:[URS]]))*(--(D$14=Flowdown_BTE[[Source.Name]:[Source.Name]])),Flowdown_BTE[[SyRS]:[SyRS]],"")))</f>
        <v>MASTER-18465
MASTER-18466
MASTER-18477
MASTER-18482
MASTER-18484
MASTER-18486</v>
      </c>
      <c r="E200" s="12" t="str" cm="1">
        <f t="array" ref="E200">_xlfn.TEXTJOIN(CHAR(10),TRUE,_xlfn._xlws.SORT(IF((--($B200=Flowdown_BTE[[URS]:[URS]]))*(--(E$14=Flowdown_BTE[[Source.Name]:[Source.Name]])),Flowdown_BTE[[SyRS]:[SyRS]],"")))</f>
        <v>MASTER-18465
MASTER-18466
MASTER-18477
MASTER-18482
MASTER-18484
MASTER-18486</v>
      </c>
      <c r="F200" s="12" t="str" cm="1">
        <f t="array" ref="F200">_xlfn.TEXTJOIN(CHAR(10),TRUE,_xlfn._xlws.SORT(IF((--($B200=Flowdown_BTE[[URS]:[URS]]))*(--(F$14=Flowdown_BTE[[Source.Name]:[Source.Name]])),Flowdown_BTE[[SyRS]:[SyRS]],"")))</f>
        <v>MASTER-18465
MASTER-18466
MASTER-18477
MASTER-18482
MASTER-18484
MASTER-18486</v>
      </c>
      <c r="G200" s="12" t="str" cm="1">
        <f t="array" ref="G200">_xlfn.TEXTJOIN(CHAR(10),TRUE,_xlfn._xlws.SORT(IF((--($B200=Flowdown_BTE[[URS]:[URS]]))*(--(G$14=Flowdown_BTE[[Source.Name]:[Source.Name]])),Flowdown_BTE[[SyRS]:[SyRS]],"")))</f>
        <v>MASTER-18465
MASTER-18466
MASTER-18477
MASTER-18482
MASTER-18484
MASTER-18486</v>
      </c>
      <c r="H200" s="12" t="str" cm="1">
        <f t="array" ref="H200">_xlfn.TEXTJOIN(CHAR(10),TRUE,_xlfn._xlws.SORT(IF((--($B200=Flowdown_BTE[[URS]:[URS]]))*(--(H$14=Flowdown_BTE[[Source.Name]:[Source.Name]])),Flowdown_BTE[[SyRS]:[SyRS]],"")))</f>
        <v/>
      </c>
      <c r="I200" s="12" t="str" cm="1">
        <f t="array" ref="I200">_xlfn.TEXTJOIN(CHAR(10),TRUE,_xlfn._xlws.SORT(IF((--($B200=Flowdown_BTE[[URS]:[URS]]))*(--(I$14=Flowdown_BTE[[Source.Name]:[Source.Name]])),Flowdown_BTE[[SyRS]:[SyRS]],"")))</f>
        <v/>
      </c>
      <c r="J200" s="12" t="str" cm="1">
        <f t="array" ref="J200">_xlfn.TEXTJOIN(CHAR(10),TRUE,_xlfn._xlws.SORT(IF((--($B200=Flowdown_BTE[[URS]:[URS]]))*(--(J$14=Flowdown_BTE[[Source.Name]:[Source.Name]])),Flowdown_BTE[[SyRS]:[SyRS]],"")))</f>
        <v/>
      </c>
      <c r="K200" s="12" t="str" cm="1">
        <f t="array" ref="K200">_xlfn.TEXTJOIN(CHAR(10),TRUE,_xlfn._xlws.SORT(IF((--($B200=Flowdown_BTE[[URS]:[URS]]))*(--(K$14=Flowdown_BTE[[Source.Name]:[Source.Name]])),Flowdown_BTE[[SyRS]:[SyRS]],"")))</f>
        <v/>
      </c>
      <c r="L200" s="16" t="b" cm="1">
        <f t="array" ref="L200">OR(LEN(C200:K200)&gt;0)</f>
        <v>1</v>
      </c>
    </row>
    <row r="201" spans="2:12" ht="229.5" x14ac:dyDescent="0.2">
      <c r="B201" s="11" t="str">
        <v>MASTER-6434</v>
      </c>
      <c r="C201" s="12" t="str" cm="1">
        <f t="array" ref="C201">_xlfn.TEXTJOIN(CHAR(10),TRUE,_xlfn._xlws.SORT(IF((--($B201=Flowdown_BTE[[URS]:[URS]]))*(--(C$14=Flowdown_BTE[[Source.Name]:[Source.Name]])),Flowdown_BTE[[SyRS]:[SyRS]],"")))</f>
        <v>MASTER-18465</v>
      </c>
      <c r="D201" s="12" t="str" cm="1">
        <f t="array" ref="D201">_xlfn.TEXTJOIN(CHAR(10),TRUE,_xlfn._xlws.SORT(IF((--($B201=Flowdown_BTE[[URS]:[URS]]))*(--(D$14=Flowdown_BTE[[Source.Name]:[Source.Name]])),Flowdown_BTE[[SyRS]:[SyRS]],"")))</f>
        <v>MASTER-18465</v>
      </c>
      <c r="E201" s="12" t="str" cm="1">
        <f t="array" ref="E201">_xlfn.TEXTJOIN(CHAR(10),TRUE,_xlfn._xlws.SORT(IF((--($B201=Flowdown_BTE[[URS]:[URS]]))*(--(E$14=Flowdown_BTE[[Source.Name]:[Source.Name]])),Flowdown_BTE[[SyRS]:[SyRS]],"")))</f>
        <v>MASTER-18465</v>
      </c>
      <c r="F201" s="12" t="str" cm="1">
        <f t="array" ref="F201">_xlfn.TEXTJOIN(CHAR(10),TRUE,_xlfn._xlws.SORT(IF((--($B201=Flowdown_BTE[[URS]:[URS]]))*(--(F$14=Flowdown_BTE[[Source.Name]:[Source.Name]])),Flowdown_BTE[[SyRS]:[SyRS]],"")))</f>
        <v>MASTER-18465</v>
      </c>
      <c r="G201" s="12" t="str" cm="1">
        <f t="array" ref="G201">_xlfn.TEXTJOIN(CHAR(10),TRUE,_xlfn._xlws.SORT(IF((--($B201=Flowdown_BTE[[URS]:[URS]]))*(--(G$14=Flowdown_BTE[[Source.Name]:[Source.Name]])),Flowdown_BTE[[SyRS]:[SyRS]],"")))</f>
        <v>MASTER-18465</v>
      </c>
      <c r="H201" s="12" t="str" cm="1">
        <f t="array" ref="H201">_xlfn.TEXTJOIN(CHAR(10),TRUE,_xlfn._xlws.SORT(IF((--($B201=Flowdown_BTE[[URS]:[URS]]))*(--(H$14=Flowdown_BTE[[Source.Name]:[Source.Name]])),Flowdown_BTE[[SyRS]:[SyRS]],"")))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201" s="12" t="str" cm="1">
        <f t="array" ref="I201">_xlfn.TEXTJOIN(CHAR(10),TRUE,_xlfn._xlws.SORT(IF((--($B201=Flowdown_BTE[[URS]:[URS]]))*(--(I$14=Flowdown_BTE[[Source.Name]:[Source.Name]])),Flowdown_BTE[[SyRS]:[SyRS]],"")))</f>
        <v/>
      </c>
      <c r="J201" s="12" t="str" cm="1">
        <f t="array" ref="J201">_xlfn.TEXTJOIN(CHAR(10),TRUE,_xlfn._xlws.SORT(IF((--($B201=Flowdown_BTE[[URS]:[URS]]))*(--(J$14=Flowdown_BTE[[Source.Name]:[Source.Name]])),Flowdown_BTE[[SyRS]:[SyRS]],"")))</f>
        <v/>
      </c>
      <c r="K201" s="12" t="str" cm="1">
        <f t="array" ref="K201">_xlfn.TEXTJOIN(CHAR(10),TRUE,_xlfn._xlws.SORT(IF((--($B201=Flowdown_BTE[[URS]:[URS]]))*(--(K$14=Flowdown_BTE[[Source.Name]:[Source.Name]])),Flowdown_BTE[[SyRS]:[SyRS]],"")))</f>
        <v/>
      </c>
      <c r="L201" s="16" t="b" cm="1">
        <f t="array" ref="L201">OR(LEN(C201:K201)&gt;0)</f>
        <v>1</v>
      </c>
    </row>
    <row r="202" spans="2:12" ht="121.5" x14ac:dyDescent="0.2">
      <c r="B202" s="11" t="str">
        <v>MASTER-6435</v>
      </c>
      <c r="C202" s="12" t="str" cm="1">
        <f t="array" ref="C202">_xlfn.TEXTJOIN(CHAR(10),TRUE,_xlfn._xlws.SORT(IF((--($B202=Flowdown_BTE[[URS]:[URS]]))*(--(C$14=Flowdown_BTE[[Source.Name]:[Source.Name]])),Flowdown_BTE[[SyRS]:[SyRS]],"")))</f>
        <v>MASTER-18463
MASTER-18464
MASTER-18471
MASTER-18473
MASTER-18474
MASTER-18476
MASTER-18478</v>
      </c>
      <c r="D202" s="12" t="str" cm="1">
        <f t="array" ref="D202">_xlfn.TEXTJOIN(CHAR(10),TRUE,_xlfn._xlws.SORT(IF((--($B202=Flowdown_BTE[[URS]:[URS]]))*(--(D$14=Flowdown_BTE[[Source.Name]:[Source.Name]])),Flowdown_BTE[[SyRS]:[SyRS]],"")))</f>
        <v>MASTER-18463
MASTER-18464
MASTER-18471
MASTER-18473
MASTER-18474
MASTER-18476
MASTER-18478</v>
      </c>
      <c r="E202" s="12" t="str" cm="1">
        <f t="array" ref="E202">_xlfn.TEXTJOIN(CHAR(10),TRUE,_xlfn._xlws.SORT(IF((--($B202=Flowdown_BTE[[URS]:[URS]]))*(--(E$14=Flowdown_BTE[[Source.Name]:[Source.Name]])),Flowdown_BTE[[SyRS]:[SyRS]],"")))</f>
        <v>MASTER-18463
MASTER-18464
MASTER-18471
MASTER-18473
MASTER-18474
MASTER-18476
MASTER-18478</v>
      </c>
      <c r="F202" s="12" t="str" cm="1">
        <f t="array" ref="F202">_xlfn.TEXTJOIN(CHAR(10),TRUE,_xlfn._xlws.SORT(IF((--($B202=Flowdown_BTE[[URS]:[URS]]))*(--(F$14=Flowdown_BTE[[Source.Name]:[Source.Name]])),Flowdown_BTE[[SyRS]:[SyRS]],"")))</f>
        <v>MASTER-18463
MASTER-18464
MASTER-18471
MASTER-18473
MASTER-18474
MASTER-18476
MASTER-18478</v>
      </c>
      <c r="G202" s="12" t="str" cm="1">
        <f t="array" ref="G202">_xlfn.TEXTJOIN(CHAR(10),TRUE,_xlfn._xlws.SORT(IF((--($B202=Flowdown_BTE[[URS]:[URS]]))*(--(G$14=Flowdown_BTE[[Source.Name]:[Source.Name]])),Flowdown_BTE[[SyRS]:[SyRS]],"")))</f>
        <v>MASTER-18463
MASTER-18464
MASTER-18471
MASTER-18473
MASTER-18474
MASTER-18476
MASTER-18478</v>
      </c>
      <c r="H202" s="12" t="str" cm="1">
        <f t="array" ref="H202">_xlfn.TEXTJOIN(CHAR(10),TRUE,_xlfn._xlws.SORT(IF((--($B202=Flowdown_BTE[[URS]:[URS]]))*(--(H$14=Flowdown_BTE[[Source.Name]:[Source.Name]])),Flowdown_BTE[[SyRS]:[SyRS]],"")))</f>
        <v>MASTER-22008
MASTER-22009
MASTER-22010
MASTER-22011
MASTER-22012
MASTER-22013
MASTER-49934
MASTER-49935
MASTER-49937</v>
      </c>
      <c r="I202" s="12" t="str" cm="1">
        <f t="array" ref="I202">_xlfn.TEXTJOIN(CHAR(10),TRUE,_xlfn._xlws.SORT(IF((--($B202=Flowdown_BTE[[URS]:[URS]]))*(--(I$14=Flowdown_BTE[[Source.Name]:[Source.Name]])),Flowdown_BTE[[SyRS]:[SyRS]],"")))</f>
        <v/>
      </c>
      <c r="J202" s="12" t="str" cm="1">
        <f t="array" ref="J202">_xlfn.TEXTJOIN(CHAR(10),TRUE,_xlfn._xlws.SORT(IF((--($B202=Flowdown_BTE[[URS]:[URS]]))*(--(J$14=Flowdown_BTE[[Source.Name]:[Source.Name]])),Flowdown_BTE[[SyRS]:[SyRS]],"")))</f>
        <v/>
      </c>
      <c r="K202" s="12" t="str" cm="1">
        <f t="array" ref="K202">_xlfn.TEXTJOIN(CHAR(10),TRUE,_xlfn._xlws.SORT(IF((--($B202=Flowdown_BTE[[URS]:[URS]]))*(--(K$14=Flowdown_BTE[[Source.Name]:[Source.Name]])),Flowdown_BTE[[SyRS]:[SyRS]],"")))</f>
        <v/>
      </c>
      <c r="L202" s="16" t="b" cm="1">
        <f t="array" ref="L202">OR(LEN(C202:K202)&gt;0)</f>
        <v>1</v>
      </c>
    </row>
    <row r="203" spans="2:12" ht="94.5" x14ac:dyDescent="0.2">
      <c r="B203" s="11" t="str">
        <v>MASTER-6436</v>
      </c>
      <c r="C203" s="12" t="str" cm="1">
        <f t="array" ref="C203">_xlfn.TEXTJOIN(CHAR(10),TRUE,_xlfn._xlws.SORT(IF((--($B203=Flowdown_BTE[[URS]:[URS]]))*(--(C$14=Flowdown_BTE[[Source.Name]:[Source.Name]])),Flowdown_BTE[[SyRS]:[SyRS]],"")))</f>
        <v>MASTER-18472
MASTER-18483</v>
      </c>
      <c r="D203" s="12" t="str" cm="1">
        <f t="array" ref="D203">_xlfn.TEXTJOIN(CHAR(10),TRUE,_xlfn._xlws.SORT(IF((--($B203=Flowdown_BTE[[URS]:[URS]]))*(--(D$14=Flowdown_BTE[[Source.Name]:[Source.Name]])),Flowdown_BTE[[SyRS]:[SyRS]],"")))</f>
        <v>MASTER-18472
MASTER-18483</v>
      </c>
      <c r="E203" s="12" t="str" cm="1">
        <f t="array" ref="E203">_xlfn.TEXTJOIN(CHAR(10),TRUE,_xlfn._xlws.SORT(IF((--($B203=Flowdown_BTE[[URS]:[URS]]))*(--(E$14=Flowdown_BTE[[Source.Name]:[Source.Name]])),Flowdown_BTE[[SyRS]:[SyRS]],"")))</f>
        <v>MASTER-18472
MASTER-18483</v>
      </c>
      <c r="F203" s="12" t="str" cm="1">
        <f t="array" ref="F203">_xlfn.TEXTJOIN(CHAR(10),TRUE,_xlfn._xlws.SORT(IF((--($B203=Flowdown_BTE[[URS]:[URS]]))*(--(F$14=Flowdown_BTE[[Source.Name]:[Source.Name]])),Flowdown_BTE[[SyRS]:[SyRS]],"")))</f>
        <v>MASTER-18472
MASTER-18483</v>
      </c>
      <c r="G203" s="12" t="str" cm="1">
        <f t="array" ref="G203">_xlfn.TEXTJOIN(CHAR(10),TRUE,_xlfn._xlws.SORT(IF((--($B203=Flowdown_BTE[[URS]:[URS]]))*(--(G$14=Flowdown_BTE[[Source.Name]:[Source.Name]])),Flowdown_BTE[[SyRS]:[SyRS]],"")))</f>
        <v>MASTER-18472
MASTER-18483</v>
      </c>
      <c r="H203" s="12" t="str" cm="1">
        <f t="array" ref="H203">_xlfn.TEXTJOIN(CHAR(10),TRUE,_xlfn._xlws.SORT(IF((--($B203=Flowdown_BTE[[URS]:[URS]]))*(--(H$14=Flowdown_BTE[[Source.Name]:[Source.Name]])),Flowdown_BTE[[SyRS]:[SyRS]],"")))</f>
        <v>MASTER-22008
MASTER-22009
MASTER-22012
MASTER-22013
MASTER-49934
MASTER-49935
MASTER-49937</v>
      </c>
      <c r="I203" s="12" t="str" cm="1">
        <f t="array" ref="I203">_xlfn.TEXTJOIN(CHAR(10),TRUE,_xlfn._xlws.SORT(IF((--($B203=Flowdown_BTE[[URS]:[URS]]))*(--(I$14=Flowdown_BTE[[Source.Name]:[Source.Name]])),Flowdown_BTE[[SyRS]:[SyRS]],"")))</f>
        <v/>
      </c>
      <c r="J203" s="12" t="str" cm="1">
        <f t="array" ref="J203">_xlfn.TEXTJOIN(CHAR(10),TRUE,_xlfn._xlws.SORT(IF((--($B203=Flowdown_BTE[[URS]:[URS]]))*(--(J$14=Flowdown_BTE[[Source.Name]:[Source.Name]])),Flowdown_BTE[[SyRS]:[SyRS]],"")))</f>
        <v/>
      </c>
      <c r="K203" s="12" t="str" cm="1">
        <f t="array" ref="K203">_xlfn.TEXTJOIN(CHAR(10),TRUE,_xlfn._xlws.SORT(IF((--($B203=Flowdown_BTE[[URS]:[URS]]))*(--(K$14=Flowdown_BTE[[Source.Name]:[Source.Name]])),Flowdown_BTE[[SyRS]:[SyRS]],"")))</f>
        <v/>
      </c>
      <c r="L203" s="16" t="b" cm="1">
        <f t="array" ref="L203">OR(LEN(C203:K203)&gt;0)</f>
        <v>1</v>
      </c>
    </row>
    <row r="204" spans="2:12" ht="54" x14ac:dyDescent="0.2">
      <c r="B204" s="11" t="str">
        <v>MASTER-64368</v>
      </c>
      <c r="C204" s="12" t="str" cm="1">
        <f t="array" ref="C204">_xlfn.TEXTJOIN(CHAR(10),TRUE,_xlfn._xlws.SORT(IF((--($B204=Flowdown_BTE[[URS]:[URS]]))*(--(C$14=Flowdown_BTE[[Source.Name]:[Source.Name]])),Flowdown_BTE[[SyRS]:[SyRS]],"")))</f>
        <v/>
      </c>
      <c r="D204" s="12" t="str" cm="1">
        <f t="array" ref="D204">_xlfn.TEXTJOIN(CHAR(10),TRUE,_xlfn._xlws.SORT(IF((--($B204=Flowdown_BTE[[URS]:[URS]]))*(--(D$14=Flowdown_BTE[[Source.Name]:[Source.Name]])),Flowdown_BTE[[SyRS]:[SyRS]],"")))</f>
        <v/>
      </c>
      <c r="E204" s="12" t="str" cm="1">
        <f t="array" ref="E204">_xlfn.TEXTJOIN(CHAR(10),TRUE,_xlfn._xlws.SORT(IF((--($B204=Flowdown_BTE[[URS]:[URS]]))*(--(E$14=Flowdown_BTE[[Source.Name]:[Source.Name]])),Flowdown_BTE[[SyRS]:[SyRS]],"")))</f>
        <v/>
      </c>
      <c r="F204" s="12" t="str" cm="1">
        <f t="array" ref="F204">_xlfn.TEXTJOIN(CHAR(10),TRUE,_xlfn._xlws.SORT(IF((--($B204=Flowdown_BTE[[URS]:[URS]]))*(--(F$14=Flowdown_BTE[[Source.Name]:[Source.Name]])),Flowdown_BTE[[SyRS]:[SyRS]],"")))</f>
        <v/>
      </c>
      <c r="G204" s="12" t="str" cm="1">
        <f t="array" ref="G204">_xlfn.TEXTJOIN(CHAR(10),TRUE,_xlfn._xlws.SORT(IF((--($B204=Flowdown_BTE[[URS]:[URS]]))*(--(G$14=Flowdown_BTE[[Source.Name]:[Source.Name]])),Flowdown_BTE[[SyRS]:[SyRS]],"")))</f>
        <v/>
      </c>
      <c r="H204" s="12" t="str" cm="1">
        <f t="array" ref="H204">_xlfn.TEXTJOIN(CHAR(10),TRUE,_xlfn._xlws.SORT(IF((--($B204=Flowdown_BTE[[URS]:[URS]]))*(--(H$14=Flowdown_BTE[[Source.Name]:[Source.Name]])),Flowdown_BTE[[SyRS]:[SyRS]],"")))</f>
        <v>MASTER-63153
MASTER-63155
MASTER-63164
MASTER-63165</v>
      </c>
      <c r="I204" s="12" t="str" cm="1">
        <f t="array" ref="I204">_xlfn.TEXTJOIN(CHAR(10),TRUE,_xlfn._xlws.SORT(IF((--($B204=Flowdown_BTE[[URS]:[URS]]))*(--(I$14=Flowdown_BTE[[Source.Name]:[Source.Name]])),Flowdown_BTE[[SyRS]:[SyRS]],"")))</f>
        <v/>
      </c>
      <c r="J204" s="12" t="str" cm="1">
        <f t="array" ref="J204">_xlfn.TEXTJOIN(CHAR(10),TRUE,_xlfn._xlws.SORT(IF((--($B204=Flowdown_BTE[[URS]:[URS]]))*(--(J$14=Flowdown_BTE[[Source.Name]:[Source.Name]])),Flowdown_BTE[[SyRS]:[SyRS]],"")))</f>
        <v/>
      </c>
      <c r="K204" s="12" t="str" cm="1">
        <f t="array" ref="K204">_xlfn.TEXTJOIN(CHAR(10),TRUE,_xlfn._xlws.SORT(IF((--($B204=Flowdown_BTE[[URS]:[URS]]))*(--(K$14=Flowdown_BTE[[Source.Name]:[Source.Name]])),Flowdown_BTE[[SyRS]:[SyRS]],"")))</f>
        <v/>
      </c>
      <c r="L204" s="16" t="b" cm="1">
        <f t="array" ref="L204">OR(LEN(C204:K204)&gt;0)</f>
        <v>1</v>
      </c>
    </row>
    <row r="205" spans="2:12" ht="108" x14ac:dyDescent="0.2">
      <c r="B205" s="11" t="str">
        <v>MASTER-6437</v>
      </c>
      <c r="C205" s="12" t="str" cm="1">
        <f t="array" ref="C205">_xlfn.TEXTJOIN(CHAR(10),TRUE,_xlfn._xlws.SORT(IF((--($B205=Flowdown_BTE[[URS]:[URS]]))*(--(C$14=Flowdown_BTE[[Source.Name]:[Source.Name]])),Flowdown_BTE[[SyRS]:[SyRS]],"")))</f>
        <v>MASTER-18467
MASTER-18562
MASTER-19249</v>
      </c>
      <c r="D205" s="12" t="str" cm="1">
        <f t="array" ref="D205">_xlfn.TEXTJOIN(CHAR(10),TRUE,_xlfn._xlws.SORT(IF((--($B205=Flowdown_BTE[[URS]:[URS]]))*(--(D$14=Flowdown_BTE[[Source.Name]:[Source.Name]])),Flowdown_BTE[[SyRS]:[SyRS]],"")))</f>
        <v>MASTER-18467
MASTER-18562
MASTER-19249</v>
      </c>
      <c r="E205" s="12" t="str" cm="1">
        <f t="array" ref="E205">_xlfn.TEXTJOIN(CHAR(10),TRUE,_xlfn._xlws.SORT(IF((--($B205=Flowdown_BTE[[URS]:[URS]]))*(--(E$14=Flowdown_BTE[[Source.Name]:[Source.Name]])),Flowdown_BTE[[SyRS]:[SyRS]],"")))</f>
        <v>MASTER-18467
MASTER-18562
MASTER-19249</v>
      </c>
      <c r="F205" s="12" t="str" cm="1">
        <f t="array" ref="F205">_xlfn.TEXTJOIN(CHAR(10),TRUE,_xlfn._xlws.SORT(IF((--($B205=Flowdown_BTE[[URS]:[URS]]))*(--(F$14=Flowdown_BTE[[Source.Name]:[Source.Name]])),Flowdown_BTE[[SyRS]:[SyRS]],"")))</f>
        <v>MASTER-18467
MASTER-18562
MASTER-19249</v>
      </c>
      <c r="G205" s="12" t="str" cm="1">
        <f t="array" ref="G205">_xlfn.TEXTJOIN(CHAR(10),TRUE,_xlfn._xlws.SORT(IF((--($B205=Flowdown_BTE[[URS]:[URS]]))*(--(G$14=Flowdown_BTE[[Source.Name]:[Source.Name]])),Flowdown_BTE[[SyRS]:[SyRS]],"")))</f>
        <v>MASTER-18467
MASTER-18562
MASTER-19249</v>
      </c>
      <c r="H205" s="12" t="str" cm="1">
        <f t="array" ref="H205">_xlfn.TEXTJOIN(CHAR(10),TRUE,_xlfn._xlws.SORT(IF((--($B205=Flowdown_BTE[[URS]:[URS]]))*(--(H$14=Flowdown_BTE[[Source.Name]:[Source.Name]])),Flowdown_BTE[[SyRS]:[SyRS]],"")))</f>
        <v>MASTER-22008
MASTER-22009
MASTER-22010
MASTER-22015
MASTER-22017
MASTER-22018
MASTER-22023
MASTER-55416</v>
      </c>
      <c r="I205" s="12" t="str" cm="1">
        <f t="array" ref="I205">_xlfn.TEXTJOIN(CHAR(10),TRUE,_xlfn._xlws.SORT(IF((--($B205=Flowdown_BTE[[URS]:[URS]]))*(--(I$14=Flowdown_BTE[[Source.Name]:[Source.Name]])),Flowdown_BTE[[SyRS]:[SyRS]],"")))</f>
        <v/>
      </c>
      <c r="J205" s="12" t="str" cm="1">
        <f t="array" ref="J205">_xlfn.TEXTJOIN(CHAR(10),TRUE,_xlfn._xlws.SORT(IF((--($B205=Flowdown_BTE[[URS]:[URS]]))*(--(J$14=Flowdown_BTE[[Source.Name]:[Source.Name]])),Flowdown_BTE[[SyRS]:[SyRS]],"")))</f>
        <v/>
      </c>
      <c r="K205" s="12" t="str" cm="1">
        <f t="array" ref="K205">_xlfn.TEXTJOIN(CHAR(10),TRUE,_xlfn._xlws.SORT(IF((--($B205=Flowdown_BTE[[URS]:[URS]]))*(--(K$14=Flowdown_BTE[[Source.Name]:[Source.Name]])),Flowdown_BTE[[SyRS]:[SyRS]],"")))</f>
        <v/>
      </c>
      <c r="L205" s="16" t="b" cm="1">
        <f t="array" ref="L205">OR(LEN(C205:K205)&gt;0)</f>
        <v>1</v>
      </c>
    </row>
    <row r="206" spans="2:12" ht="27" x14ac:dyDescent="0.2">
      <c r="B206" s="11" t="str">
        <v>MASTER-6438</v>
      </c>
      <c r="C206" s="12" t="str" cm="1">
        <f t="array" ref="C206">_xlfn.TEXTJOIN(CHAR(10),TRUE,_xlfn._xlws.SORT(IF((--($B206=Flowdown_BTE[[URS]:[URS]]))*(--(C$14=Flowdown_BTE[[Source.Name]:[Source.Name]])),Flowdown_BTE[[SyRS]:[SyRS]],"")))</f>
        <v>MASTER-18557
MASTER-18562</v>
      </c>
      <c r="D206" s="12" t="str" cm="1">
        <f t="array" ref="D206">_xlfn.TEXTJOIN(CHAR(10),TRUE,_xlfn._xlws.SORT(IF((--($B206=Flowdown_BTE[[URS]:[URS]]))*(--(D$14=Flowdown_BTE[[Source.Name]:[Source.Name]])),Flowdown_BTE[[SyRS]:[SyRS]],"")))</f>
        <v>MASTER-18557
MASTER-18562</v>
      </c>
      <c r="E206" s="12" t="str" cm="1">
        <f t="array" ref="E206">_xlfn.TEXTJOIN(CHAR(10),TRUE,_xlfn._xlws.SORT(IF((--($B206=Flowdown_BTE[[URS]:[URS]]))*(--(E$14=Flowdown_BTE[[Source.Name]:[Source.Name]])),Flowdown_BTE[[SyRS]:[SyRS]],"")))</f>
        <v>MASTER-18557
MASTER-18562</v>
      </c>
      <c r="F206" s="12" t="str" cm="1">
        <f t="array" ref="F206">_xlfn.TEXTJOIN(CHAR(10),TRUE,_xlfn._xlws.SORT(IF((--($B206=Flowdown_BTE[[URS]:[URS]]))*(--(F$14=Flowdown_BTE[[Source.Name]:[Source.Name]])),Flowdown_BTE[[SyRS]:[SyRS]],"")))</f>
        <v>MASTER-18557
MASTER-18562</v>
      </c>
      <c r="G206" s="12" t="str" cm="1">
        <f t="array" ref="G206">_xlfn.TEXTJOIN(CHAR(10),TRUE,_xlfn._xlws.SORT(IF((--($B206=Flowdown_BTE[[URS]:[URS]]))*(--(G$14=Flowdown_BTE[[Source.Name]:[Source.Name]])),Flowdown_BTE[[SyRS]:[SyRS]],"")))</f>
        <v>MASTER-18557
MASTER-18562</v>
      </c>
      <c r="H206" s="12" t="str" cm="1">
        <f t="array" ref="H206">_xlfn.TEXTJOIN(CHAR(10),TRUE,_xlfn._xlws.SORT(IF((--($B206=Flowdown_BTE[[URS]:[URS]]))*(--(H$14=Flowdown_BTE[[Source.Name]:[Source.Name]])),Flowdown_BTE[[SyRS]:[SyRS]],"")))</f>
        <v/>
      </c>
      <c r="I206" s="12" t="str" cm="1">
        <f t="array" ref="I206">_xlfn.TEXTJOIN(CHAR(10),TRUE,_xlfn._xlws.SORT(IF((--($B206=Flowdown_BTE[[URS]:[URS]]))*(--(I$14=Flowdown_BTE[[Source.Name]:[Source.Name]])),Flowdown_BTE[[SyRS]:[SyRS]],"")))</f>
        <v/>
      </c>
      <c r="J206" s="12" t="str" cm="1">
        <f t="array" ref="J206">_xlfn.TEXTJOIN(CHAR(10),TRUE,_xlfn._xlws.SORT(IF((--($B206=Flowdown_BTE[[URS]:[URS]]))*(--(J$14=Flowdown_BTE[[Source.Name]:[Source.Name]])),Flowdown_BTE[[SyRS]:[SyRS]],"")))</f>
        <v/>
      </c>
      <c r="K206" s="12" t="str" cm="1">
        <f t="array" ref="K206">_xlfn.TEXTJOIN(CHAR(10),TRUE,_xlfn._xlws.SORT(IF((--($B206=Flowdown_BTE[[URS]:[URS]]))*(--(K$14=Flowdown_BTE[[Source.Name]:[Source.Name]])),Flowdown_BTE[[SyRS]:[SyRS]],"")))</f>
        <v/>
      </c>
      <c r="L206" s="16" t="b" cm="1">
        <f t="array" ref="L206">OR(LEN(C206:K206)&gt;0)</f>
        <v>1</v>
      </c>
    </row>
    <row r="207" spans="2:12" ht="13.5" x14ac:dyDescent="0.2">
      <c r="B207" s="11" t="str">
        <v>MASTER-6439</v>
      </c>
      <c r="C207" s="12" t="str" cm="1">
        <f t="array" ref="C207">_xlfn.TEXTJOIN(CHAR(10),TRUE,_xlfn._xlws.SORT(IF((--($B207=Flowdown_BTE[[URS]:[URS]]))*(--(C$14=Flowdown_BTE[[Source.Name]:[Source.Name]])),Flowdown_BTE[[SyRS]:[SyRS]],"")))</f>
        <v>MASTER-18562</v>
      </c>
      <c r="D207" s="12" t="str" cm="1">
        <f t="array" ref="D207">_xlfn.TEXTJOIN(CHAR(10),TRUE,_xlfn._xlws.SORT(IF((--($B207=Flowdown_BTE[[URS]:[URS]]))*(--(D$14=Flowdown_BTE[[Source.Name]:[Source.Name]])),Flowdown_BTE[[SyRS]:[SyRS]],"")))</f>
        <v>MASTER-18562</v>
      </c>
      <c r="E207" s="12" t="str" cm="1">
        <f t="array" ref="E207">_xlfn.TEXTJOIN(CHAR(10),TRUE,_xlfn._xlws.SORT(IF((--($B207=Flowdown_BTE[[URS]:[URS]]))*(--(E$14=Flowdown_BTE[[Source.Name]:[Source.Name]])),Flowdown_BTE[[SyRS]:[SyRS]],"")))</f>
        <v>MASTER-18562</v>
      </c>
      <c r="F207" s="12" t="str" cm="1">
        <f t="array" ref="F207">_xlfn.TEXTJOIN(CHAR(10),TRUE,_xlfn._xlws.SORT(IF((--($B207=Flowdown_BTE[[URS]:[URS]]))*(--(F$14=Flowdown_BTE[[Source.Name]:[Source.Name]])),Flowdown_BTE[[SyRS]:[SyRS]],"")))</f>
        <v>MASTER-18562</v>
      </c>
      <c r="G207" s="12" t="str" cm="1">
        <f t="array" ref="G207">_xlfn.TEXTJOIN(CHAR(10),TRUE,_xlfn._xlws.SORT(IF((--($B207=Flowdown_BTE[[URS]:[URS]]))*(--(G$14=Flowdown_BTE[[Source.Name]:[Source.Name]])),Flowdown_BTE[[SyRS]:[SyRS]],"")))</f>
        <v>MASTER-18562</v>
      </c>
      <c r="H207" s="12" t="str" cm="1">
        <f t="array" ref="H207">_xlfn.TEXTJOIN(CHAR(10),TRUE,_xlfn._xlws.SORT(IF((--($B207=Flowdown_BTE[[URS]:[URS]]))*(--(H$14=Flowdown_BTE[[Source.Name]:[Source.Name]])),Flowdown_BTE[[SyRS]:[SyRS]],"")))</f>
        <v/>
      </c>
      <c r="I207" s="12" t="str" cm="1">
        <f t="array" ref="I207">_xlfn.TEXTJOIN(CHAR(10),TRUE,_xlfn._xlws.SORT(IF((--($B207=Flowdown_BTE[[URS]:[URS]]))*(--(I$14=Flowdown_BTE[[Source.Name]:[Source.Name]])),Flowdown_BTE[[SyRS]:[SyRS]],"")))</f>
        <v/>
      </c>
      <c r="J207" s="12" t="str" cm="1">
        <f t="array" ref="J207">_xlfn.TEXTJOIN(CHAR(10),TRUE,_xlfn._xlws.SORT(IF((--($B207=Flowdown_BTE[[URS]:[URS]]))*(--(J$14=Flowdown_BTE[[Source.Name]:[Source.Name]])),Flowdown_BTE[[SyRS]:[SyRS]],"")))</f>
        <v/>
      </c>
      <c r="K207" s="12" t="str" cm="1">
        <f t="array" ref="K207">_xlfn.TEXTJOIN(CHAR(10),TRUE,_xlfn._xlws.SORT(IF((--($B207=Flowdown_BTE[[URS]:[URS]]))*(--(K$14=Flowdown_BTE[[Source.Name]:[Source.Name]])),Flowdown_BTE[[SyRS]:[SyRS]],"")))</f>
        <v/>
      </c>
      <c r="L207" s="16" t="b" cm="1">
        <f t="array" ref="L207">OR(LEN(C207:K207)&gt;0)</f>
        <v>1</v>
      </c>
    </row>
    <row r="208" spans="2:12" ht="27" x14ac:dyDescent="0.2">
      <c r="B208" s="11" t="str">
        <v>MASTER-6448</v>
      </c>
      <c r="C208" s="12" t="str" cm="1">
        <f t="array" ref="C208">_xlfn.TEXTJOIN(CHAR(10),TRUE,_xlfn._xlws.SORT(IF((--($B208=Flowdown_BTE[[URS]:[URS]]))*(--(C$14=Flowdown_BTE[[Source.Name]:[Source.Name]])),Flowdown_BTE[[SyRS]:[SyRS]],"")))</f>
        <v>MASTER-17679
MASTER-18634</v>
      </c>
      <c r="D208" s="12" t="str" cm="1">
        <f t="array" ref="D208">_xlfn.TEXTJOIN(CHAR(10),TRUE,_xlfn._xlws.SORT(IF((--($B208=Flowdown_BTE[[URS]:[URS]]))*(--(D$14=Flowdown_BTE[[Source.Name]:[Source.Name]])),Flowdown_BTE[[SyRS]:[SyRS]],"")))</f>
        <v>MASTER-17679
MASTER-18634</v>
      </c>
      <c r="E208" s="12" t="str" cm="1">
        <f t="array" ref="E208">_xlfn.TEXTJOIN(CHAR(10),TRUE,_xlfn._xlws.SORT(IF((--($B208=Flowdown_BTE[[URS]:[URS]]))*(--(E$14=Flowdown_BTE[[Source.Name]:[Source.Name]])),Flowdown_BTE[[SyRS]:[SyRS]],"")))</f>
        <v>MASTER-17679
MASTER-18634</v>
      </c>
      <c r="F208" s="12" t="str" cm="1">
        <f t="array" ref="F208">_xlfn.TEXTJOIN(CHAR(10),TRUE,_xlfn._xlws.SORT(IF((--($B208=Flowdown_BTE[[URS]:[URS]]))*(--(F$14=Flowdown_BTE[[Source.Name]:[Source.Name]])),Flowdown_BTE[[SyRS]:[SyRS]],"")))</f>
        <v>MASTER-17679
MASTER-18634</v>
      </c>
      <c r="G208" s="12" t="str" cm="1">
        <f t="array" ref="G208">_xlfn.TEXTJOIN(CHAR(10),TRUE,_xlfn._xlws.SORT(IF((--($B208=Flowdown_BTE[[URS]:[URS]]))*(--(G$14=Flowdown_BTE[[Source.Name]:[Source.Name]])),Flowdown_BTE[[SyRS]:[SyRS]],"")))</f>
        <v>MASTER-17679
MASTER-18634</v>
      </c>
      <c r="H208" s="12" t="str" cm="1">
        <f t="array" ref="H208">_xlfn.TEXTJOIN(CHAR(10),TRUE,_xlfn._xlws.SORT(IF((--($B208=Flowdown_BTE[[URS]:[URS]]))*(--(H$14=Flowdown_BTE[[Source.Name]:[Source.Name]])),Flowdown_BTE[[SyRS]:[SyRS]],"")))</f>
        <v>MASTER-22547</v>
      </c>
      <c r="I208" s="12" t="str" cm="1">
        <f t="array" ref="I208">_xlfn.TEXTJOIN(CHAR(10),TRUE,_xlfn._xlws.SORT(IF((--($B208=Flowdown_BTE[[URS]:[URS]]))*(--(I$14=Flowdown_BTE[[Source.Name]:[Source.Name]])),Flowdown_BTE[[SyRS]:[SyRS]],"")))</f>
        <v/>
      </c>
      <c r="J208" s="12" t="str" cm="1">
        <f t="array" ref="J208">_xlfn.TEXTJOIN(CHAR(10),TRUE,_xlfn._xlws.SORT(IF((--($B208=Flowdown_BTE[[URS]:[URS]]))*(--(J$14=Flowdown_BTE[[Source.Name]:[Source.Name]])),Flowdown_BTE[[SyRS]:[SyRS]],"")))</f>
        <v>UTICA-2474</v>
      </c>
      <c r="K208" s="12" t="str" cm="1">
        <f t="array" ref="K208">_xlfn.TEXTJOIN(CHAR(10),TRUE,_xlfn._xlws.SORT(IF((--($B208=Flowdown_BTE[[URS]:[URS]]))*(--(K$14=Flowdown_BTE[[Source.Name]:[Source.Name]])),Flowdown_BTE[[SyRS]:[SyRS]],"")))</f>
        <v/>
      </c>
      <c r="L208" s="16" t="b" cm="1">
        <f t="array" ref="L208">OR(LEN(C208:K208)&gt;0)</f>
        <v>1</v>
      </c>
    </row>
    <row r="209" spans="2:12" ht="81" x14ac:dyDescent="0.2">
      <c r="B209" s="11" t="str">
        <v>MASTER-6449</v>
      </c>
      <c r="C209" s="12" t="str" cm="1">
        <f t="array" ref="C209">_xlfn.TEXTJOIN(CHAR(10),TRUE,_xlfn._xlws.SORT(IF((--($B209=Flowdown_BTE[[URS]:[URS]]))*(--(C$14=Flowdown_BTE[[Source.Name]:[Source.Name]])),Flowdown_BTE[[SyRS]:[SyRS]],"")))</f>
        <v>MASTER-18638
MASTER-18640
MASTER-18642
MASTER-18644</v>
      </c>
      <c r="D209" s="12" t="str" cm="1">
        <f t="array" ref="D209">_xlfn.TEXTJOIN(CHAR(10),TRUE,_xlfn._xlws.SORT(IF((--($B209=Flowdown_BTE[[URS]:[URS]]))*(--(D$14=Flowdown_BTE[[Source.Name]:[Source.Name]])),Flowdown_BTE[[SyRS]:[SyRS]],"")))</f>
        <v>MASTER-18638
MASTER-18640
MASTER-18642
MASTER-18644</v>
      </c>
      <c r="E209" s="12" t="str" cm="1">
        <f t="array" ref="E209">_xlfn.TEXTJOIN(CHAR(10),TRUE,_xlfn._xlws.SORT(IF((--($B209=Flowdown_BTE[[URS]:[URS]]))*(--(E$14=Flowdown_BTE[[Source.Name]:[Source.Name]])),Flowdown_BTE[[SyRS]:[SyRS]],"")))</f>
        <v>MASTER-18638
MASTER-18640
MASTER-18642
MASTER-18644</v>
      </c>
      <c r="F209" s="12" t="str" cm="1">
        <f t="array" ref="F209">_xlfn.TEXTJOIN(CHAR(10),TRUE,_xlfn._xlws.SORT(IF((--($B209=Flowdown_BTE[[URS]:[URS]]))*(--(F$14=Flowdown_BTE[[Source.Name]:[Source.Name]])),Flowdown_BTE[[SyRS]:[SyRS]],"")))</f>
        <v>MASTER-18638
MASTER-18640
MASTER-18642
MASTER-18644
MASTER-18646
MASTER-18648</v>
      </c>
      <c r="G209" s="12" t="str" cm="1">
        <f t="array" ref="G209">_xlfn.TEXTJOIN(CHAR(10),TRUE,_xlfn._xlws.SORT(IF((--($B209=Flowdown_BTE[[URS]:[URS]]))*(--(G$14=Flowdown_BTE[[Source.Name]:[Source.Name]])),Flowdown_BTE[[SyRS]:[SyRS]],"")))</f>
        <v>MASTER-18638
MASTER-18640
MASTER-18642
MASTER-18644
MASTER-18646
MASTER-18648</v>
      </c>
      <c r="H209" s="12" t="str" cm="1">
        <f t="array" ref="H209">_xlfn.TEXTJOIN(CHAR(10),TRUE,_xlfn._xlws.SORT(IF((--($B209=Flowdown_BTE[[URS]:[URS]]))*(--(H$14=Flowdown_BTE[[Source.Name]:[Source.Name]])),Flowdown_BTE[[SyRS]:[SyRS]],"")))</f>
        <v/>
      </c>
      <c r="I209" s="12" t="str" cm="1">
        <f t="array" ref="I209">_xlfn.TEXTJOIN(CHAR(10),TRUE,_xlfn._xlws.SORT(IF((--($B209=Flowdown_BTE[[URS]:[URS]]))*(--(I$14=Flowdown_BTE[[Source.Name]:[Source.Name]])),Flowdown_BTE[[SyRS]:[SyRS]],"")))</f>
        <v/>
      </c>
      <c r="J209" s="12" t="str" cm="1">
        <f t="array" ref="J209">_xlfn.TEXTJOIN(CHAR(10),TRUE,_xlfn._xlws.SORT(IF((--($B209=Flowdown_BTE[[URS]:[URS]]))*(--(J$14=Flowdown_BTE[[Source.Name]:[Source.Name]])),Flowdown_BTE[[SyRS]:[SyRS]],"")))</f>
        <v/>
      </c>
      <c r="K209" s="12" t="str" cm="1">
        <f t="array" ref="K209">_xlfn.TEXTJOIN(CHAR(10),TRUE,_xlfn._xlws.SORT(IF((--($B209=Flowdown_BTE[[URS]:[URS]]))*(--(K$14=Flowdown_BTE[[Source.Name]:[Source.Name]])),Flowdown_BTE[[SyRS]:[SyRS]],"")))</f>
        <v/>
      </c>
      <c r="L209" s="16" t="b" cm="1">
        <f t="array" ref="L209">OR(LEN(C209:K209)&gt;0)</f>
        <v>1</v>
      </c>
    </row>
    <row r="210" spans="2:12" ht="40.5" x14ac:dyDescent="0.2">
      <c r="B210" s="11" t="str">
        <v>MASTER-6450</v>
      </c>
      <c r="C210" s="12" t="str" cm="1">
        <f t="array" ref="C210">_xlfn.TEXTJOIN(CHAR(10),TRUE,_xlfn._xlws.SORT(IF((--($B210=Flowdown_BTE[[URS]:[URS]]))*(--(C$14=Flowdown_BTE[[Source.Name]:[Source.Name]])),Flowdown_BTE[[SyRS]:[SyRS]],"")))</f>
        <v>MASTER-18617</v>
      </c>
      <c r="D210" s="12" t="str" cm="1">
        <f t="array" ref="D210">_xlfn.TEXTJOIN(CHAR(10),TRUE,_xlfn._xlws.SORT(IF((--($B210=Flowdown_BTE[[URS]:[URS]]))*(--(D$14=Flowdown_BTE[[Source.Name]:[Source.Name]])),Flowdown_BTE[[SyRS]:[SyRS]],"")))</f>
        <v>MASTER-18617</v>
      </c>
      <c r="E210" s="12" t="str" cm="1">
        <f t="array" ref="E210">_xlfn.TEXTJOIN(CHAR(10),TRUE,_xlfn._xlws.SORT(IF((--($B210=Flowdown_BTE[[URS]:[URS]]))*(--(E$14=Flowdown_BTE[[Source.Name]:[Source.Name]])),Flowdown_BTE[[SyRS]:[SyRS]],"")))</f>
        <v>MASTER-18617</v>
      </c>
      <c r="F210" s="12" t="str" cm="1">
        <f t="array" ref="F210">_xlfn.TEXTJOIN(CHAR(10),TRUE,_xlfn._xlws.SORT(IF((--($B210=Flowdown_BTE[[URS]:[URS]]))*(--(F$14=Flowdown_BTE[[Source.Name]:[Source.Name]])),Flowdown_BTE[[SyRS]:[SyRS]],"")))</f>
        <v>MASTER-18617</v>
      </c>
      <c r="G210" s="12" t="str" cm="1">
        <f t="array" ref="G210">_xlfn.TEXTJOIN(CHAR(10),TRUE,_xlfn._xlws.SORT(IF((--($B210=Flowdown_BTE[[URS]:[URS]]))*(--(G$14=Flowdown_BTE[[Source.Name]:[Source.Name]])),Flowdown_BTE[[SyRS]:[SyRS]],"")))</f>
        <v>MASTER-18617</v>
      </c>
      <c r="H210" s="12" t="str" cm="1">
        <f t="array" ref="H210">_xlfn.TEXTJOIN(CHAR(10),TRUE,_xlfn._xlws.SORT(IF((--($B210=Flowdown_BTE[[URS]:[URS]]))*(--(H$14=Flowdown_BTE[[Source.Name]:[Source.Name]])),Flowdown_BTE[[SyRS]:[SyRS]],"")))</f>
        <v/>
      </c>
      <c r="I210" s="12" t="str" cm="1">
        <f t="array" ref="I210">_xlfn.TEXTJOIN(CHAR(10),TRUE,_xlfn._xlws.SORT(IF((--($B210=Flowdown_BTE[[URS]:[URS]]))*(--(I$14=Flowdown_BTE[[Source.Name]:[Source.Name]])),Flowdown_BTE[[SyRS]:[SyRS]],"")))</f>
        <v>MASTER-48451
UTICA-202</v>
      </c>
      <c r="J210" s="12" t="str" cm="1">
        <f t="array" ref="J210">_xlfn.TEXTJOIN(CHAR(10),TRUE,_xlfn._xlws.SORT(IF((--($B210=Flowdown_BTE[[URS]:[URS]]))*(--(J$14=Flowdown_BTE[[Source.Name]:[Source.Name]])),Flowdown_BTE[[SyRS]:[SyRS]],"")))</f>
        <v>MASTER-48451
UTICA-2476
UTICA-25732</v>
      </c>
      <c r="K210" s="12" t="str" cm="1">
        <f t="array" ref="K210">_xlfn.TEXTJOIN(CHAR(10),TRUE,_xlfn._xlws.SORT(IF((--($B210=Flowdown_BTE[[URS]:[URS]]))*(--(K$14=Flowdown_BTE[[Source.Name]:[Source.Name]])),Flowdown_BTE[[SyRS]:[SyRS]],"")))</f>
        <v/>
      </c>
      <c r="L210" s="16" t="b" cm="1">
        <f t="array" ref="L210">OR(LEN(C210:K210)&gt;0)</f>
        <v>1</v>
      </c>
    </row>
    <row r="211" spans="2:12" ht="27" x14ac:dyDescent="0.2">
      <c r="B211" s="11" t="str">
        <v>MASTER-6451</v>
      </c>
      <c r="C211" s="12" t="str" cm="1">
        <f t="array" ref="C211">_xlfn.TEXTJOIN(CHAR(10),TRUE,_xlfn._xlws.SORT(IF((--($B211=Flowdown_BTE[[URS]:[URS]]))*(--(C$14=Flowdown_BTE[[Source.Name]:[Source.Name]])),Flowdown_BTE[[SyRS]:[SyRS]],"")))</f>
        <v>MASTER-18634
MASTER-18638</v>
      </c>
      <c r="D211" s="12" t="str" cm="1">
        <f t="array" ref="D211">_xlfn.TEXTJOIN(CHAR(10),TRUE,_xlfn._xlws.SORT(IF((--($B211=Flowdown_BTE[[URS]:[URS]]))*(--(D$14=Flowdown_BTE[[Source.Name]:[Source.Name]])),Flowdown_BTE[[SyRS]:[SyRS]],"")))</f>
        <v>MASTER-18634
MASTER-18638</v>
      </c>
      <c r="E211" s="12" t="str" cm="1">
        <f t="array" ref="E211">_xlfn.TEXTJOIN(CHAR(10),TRUE,_xlfn._xlws.SORT(IF((--($B211=Flowdown_BTE[[URS]:[URS]]))*(--(E$14=Flowdown_BTE[[Source.Name]:[Source.Name]])),Flowdown_BTE[[SyRS]:[SyRS]],"")))</f>
        <v>MASTER-18634
MASTER-18638</v>
      </c>
      <c r="F211" s="12" t="str" cm="1">
        <f t="array" ref="F211">_xlfn.TEXTJOIN(CHAR(10),TRUE,_xlfn._xlws.SORT(IF((--($B211=Flowdown_BTE[[URS]:[URS]]))*(--(F$14=Flowdown_BTE[[Source.Name]:[Source.Name]])),Flowdown_BTE[[SyRS]:[SyRS]],"")))</f>
        <v>MASTER-18634
MASTER-18638</v>
      </c>
      <c r="G211" s="12" t="str" cm="1">
        <f t="array" ref="G211">_xlfn.TEXTJOIN(CHAR(10),TRUE,_xlfn._xlws.SORT(IF((--($B211=Flowdown_BTE[[URS]:[URS]]))*(--(G$14=Flowdown_BTE[[Source.Name]:[Source.Name]])),Flowdown_BTE[[SyRS]:[SyRS]],"")))</f>
        <v>MASTER-18634
MASTER-18638</v>
      </c>
      <c r="H211" s="12" t="str" cm="1">
        <f t="array" ref="H211">_xlfn.TEXTJOIN(CHAR(10),TRUE,_xlfn._xlws.SORT(IF((--($B211=Flowdown_BTE[[URS]:[URS]]))*(--(H$14=Flowdown_BTE[[Source.Name]:[Source.Name]])),Flowdown_BTE[[SyRS]:[SyRS]],"")))</f>
        <v/>
      </c>
      <c r="I211" s="12" t="str" cm="1">
        <f t="array" ref="I211">_xlfn.TEXTJOIN(CHAR(10),TRUE,_xlfn._xlws.SORT(IF((--($B211=Flowdown_BTE[[URS]:[URS]]))*(--(I$14=Flowdown_BTE[[Source.Name]:[Source.Name]])),Flowdown_BTE[[SyRS]:[SyRS]],"")))</f>
        <v/>
      </c>
      <c r="J211" s="12" t="str" cm="1">
        <f t="array" ref="J211">_xlfn.TEXTJOIN(CHAR(10),TRUE,_xlfn._xlws.SORT(IF((--($B211=Flowdown_BTE[[URS]:[URS]]))*(--(J$14=Flowdown_BTE[[Source.Name]:[Source.Name]])),Flowdown_BTE[[SyRS]:[SyRS]],"")))</f>
        <v/>
      </c>
      <c r="K211" s="12" t="str" cm="1">
        <f t="array" ref="K211">_xlfn.TEXTJOIN(CHAR(10),TRUE,_xlfn._xlws.SORT(IF((--($B211=Flowdown_BTE[[URS]:[URS]]))*(--(K$14=Flowdown_BTE[[Source.Name]:[Source.Name]])),Flowdown_BTE[[SyRS]:[SyRS]],"")))</f>
        <v/>
      </c>
      <c r="L211" s="16" t="b" cm="1">
        <f t="array" ref="L211">OR(LEN(C211:K211)&gt;0)</f>
        <v>1</v>
      </c>
    </row>
    <row r="212" spans="2:12" ht="54" x14ac:dyDescent="0.2">
      <c r="B212" s="11" t="str">
        <v>MASTER-6452</v>
      </c>
      <c r="C212" s="12" t="str" cm="1">
        <f t="array" ref="C212">_xlfn.TEXTJOIN(CHAR(10),TRUE,_xlfn._xlws.SORT(IF((--($B212=Flowdown_BTE[[URS]:[URS]]))*(--(C$14=Flowdown_BTE[[Source.Name]:[Source.Name]])),Flowdown_BTE[[SyRS]:[SyRS]],"")))</f>
        <v>MASTER-18638
MASTER-51774
MASTER-51777
MASTER-51778</v>
      </c>
      <c r="D212" s="12" t="str" cm="1">
        <f t="array" ref="D212">_xlfn.TEXTJOIN(CHAR(10),TRUE,_xlfn._xlws.SORT(IF((--($B212=Flowdown_BTE[[URS]:[URS]]))*(--(D$14=Flowdown_BTE[[Source.Name]:[Source.Name]])),Flowdown_BTE[[SyRS]:[SyRS]],"")))</f>
        <v>MASTER-18638
MASTER-51777
MASTER-51778</v>
      </c>
      <c r="E212" s="12" t="str" cm="1">
        <f t="array" ref="E212">_xlfn.TEXTJOIN(CHAR(10),TRUE,_xlfn._xlws.SORT(IF((--($B212=Flowdown_BTE[[URS]:[URS]]))*(--(E$14=Flowdown_BTE[[Source.Name]:[Source.Name]])),Flowdown_BTE[[SyRS]:[SyRS]],"")))</f>
        <v>MASTER-18638
MASTER-51774
MASTER-51777
MASTER-51778</v>
      </c>
      <c r="F212" s="12" t="str" cm="1">
        <f t="array" ref="F212">_xlfn.TEXTJOIN(CHAR(10),TRUE,_xlfn._xlws.SORT(IF((--($B212=Flowdown_BTE[[URS]:[URS]]))*(--(F$14=Flowdown_BTE[[Source.Name]:[Source.Name]])),Flowdown_BTE[[SyRS]:[SyRS]],"")))</f>
        <v>MASTER-18638
MASTER-51774
MASTER-51777
MASTER-51778</v>
      </c>
      <c r="G212" s="12" t="str" cm="1">
        <f t="array" ref="G212">_xlfn.TEXTJOIN(CHAR(10),TRUE,_xlfn._xlws.SORT(IF((--($B212=Flowdown_BTE[[URS]:[URS]]))*(--(G$14=Flowdown_BTE[[Source.Name]:[Source.Name]])),Flowdown_BTE[[SyRS]:[SyRS]],"")))</f>
        <v>MASTER-18638
MASTER-51774
MASTER-51777
MASTER-51778</v>
      </c>
      <c r="H212" s="12" t="str" cm="1">
        <f t="array" ref="H212">_xlfn.TEXTJOIN(CHAR(10),TRUE,_xlfn._xlws.SORT(IF((--($B212=Flowdown_BTE[[URS]:[URS]]))*(--(H$14=Flowdown_BTE[[Source.Name]:[Source.Name]])),Flowdown_BTE[[SyRS]:[SyRS]],"")))</f>
        <v/>
      </c>
      <c r="I212" s="12" t="str" cm="1">
        <f t="array" ref="I212">_xlfn.TEXTJOIN(CHAR(10),TRUE,_xlfn._xlws.SORT(IF((--($B212=Flowdown_BTE[[URS]:[URS]]))*(--(I$14=Flowdown_BTE[[Source.Name]:[Source.Name]])),Flowdown_BTE[[SyRS]:[SyRS]],"")))</f>
        <v/>
      </c>
      <c r="J212" s="12" t="str" cm="1">
        <f t="array" ref="J212">_xlfn.TEXTJOIN(CHAR(10),TRUE,_xlfn._xlws.SORT(IF((--($B212=Flowdown_BTE[[URS]:[URS]]))*(--(J$14=Flowdown_BTE[[Source.Name]:[Source.Name]])),Flowdown_BTE[[SyRS]:[SyRS]],"")))</f>
        <v/>
      </c>
      <c r="K212" s="12" t="str" cm="1">
        <f t="array" ref="K212">_xlfn.TEXTJOIN(CHAR(10),TRUE,_xlfn._xlws.SORT(IF((--($B212=Flowdown_BTE[[URS]:[URS]]))*(--(K$14=Flowdown_BTE[[Source.Name]:[Source.Name]])),Flowdown_BTE[[SyRS]:[SyRS]],"")))</f>
        <v/>
      </c>
      <c r="L212" s="16" t="b" cm="1">
        <f t="array" ref="L212">OR(LEN(C212:K212)&gt;0)</f>
        <v>1</v>
      </c>
    </row>
    <row r="213" spans="2:12" ht="40.5" x14ac:dyDescent="0.2">
      <c r="B213" s="11" t="str">
        <v>MASTER-6453</v>
      </c>
      <c r="C213" s="12" t="str" cm="1">
        <f t="array" ref="C213">_xlfn.TEXTJOIN(CHAR(10),TRUE,_xlfn._xlws.SORT(IF((--($B213=Flowdown_BTE[[URS]:[URS]]))*(--(C$14=Flowdown_BTE[[Source.Name]:[Source.Name]])),Flowdown_BTE[[SyRS]:[SyRS]],"")))</f>
        <v>MASTER-18640
MASTER-18642
MASTER-18644</v>
      </c>
      <c r="D213" s="12" t="str" cm="1">
        <f t="array" ref="D213">_xlfn.TEXTJOIN(CHAR(10),TRUE,_xlfn._xlws.SORT(IF((--($B213=Flowdown_BTE[[URS]:[URS]]))*(--(D$14=Flowdown_BTE[[Source.Name]:[Source.Name]])),Flowdown_BTE[[SyRS]:[SyRS]],"")))</f>
        <v>MASTER-18640
MASTER-18642
MASTER-18644</v>
      </c>
      <c r="E213" s="12" t="str" cm="1">
        <f t="array" ref="E213">_xlfn.TEXTJOIN(CHAR(10),TRUE,_xlfn._xlws.SORT(IF((--($B213=Flowdown_BTE[[URS]:[URS]]))*(--(E$14=Flowdown_BTE[[Source.Name]:[Source.Name]])),Flowdown_BTE[[SyRS]:[SyRS]],"")))</f>
        <v>MASTER-18640
MASTER-18642
MASTER-18644</v>
      </c>
      <c r="F213" s="12" t="str" cm="1">
        <f t="array" ref="F213">_xlfn.TEXTJOIN(CHAR(10),TRUE,_xlfn._xlws.SORT(IF((--($B213=Flowdown_BTE[[URS]:[URS]]))*(--(F$14=Flowdown_BTE[[Source.Name]:[Source.Name]])),Flowdown_BTE[[SyRS]:[SyRS]],"")))</f>
        <v>MASTER-18640
MASTER-18642
MASTER-18644</v>
      </c>
      <c r="G213" s="12" t="str" cm="1">
        <f t="array" ref="G213">_xlfn.TEXTJOIN(CHAR(10),TRUE,_xlfn._xlws.SORT(IF((--($B213=Flowdown_BTE[[URS]:[URS]]))*(--(G$14=Flowdown_BTE[[Source.Name]:[Source.Name]])),Flowdown_BTE[[SyRS]:[SyRS]],"")))</f>
        <v>MASTER-18640
MASTER-18642
MASTER-18644</v>
      </c>
      <c r="H213" s="12" t="str" cm="1">
        <f t="array" ref="H213">_xlfn.TEXTJOIN(CHAR(10),TRUE,_xlfn._xlws.SORT(IF((--($B213=Flowdown_BTE[[URS]:[URS]]))*(--(H$14=Flowdown_BTE[[Source.Name]:[Source.Name]])),Flowdown_BTE[[SyRS]:[SyRS]],"")))</f>
        <v/>
      </c>
      <c r="I213" s="12" t="str" cm="1">
        <f t="array" ref="I213">_xlfn.TEXTJOIN(CHAR(10),TRUE,_xlfn._xlws.SORT(IF((--($B213=Flowdown_BTE[[URS]:[URS]]))*(--(I$14=Flowdown_BTE[[Source.Name]:[Source.Name]])),Flowdown_BTE[[SyRS]:[SyRS]],"")))</f>
        <v/>
      </c>
      <c r="J213" s="12" t="str" cm="1">
        <f t="array" ref="J213">_xlfn.TEXTJOIN(CHAR(10),TRUE,_xlfn._xlws.SORT(IF((--($B213=Flowdown_BTE[[URS]:[URS]]))*(--(J$14=Flowdown_BTE[[Source.Name]:[Source.Name]])),Flowdown_BTE[[SyRS]:[SyRS]],"")))</f>
        <v/>
      </c>
      <c r="K213" s="12" t="str" cm="1">
        <f t="array" ref="K213">_xlfn.TEXTJOIN(CHAR(10),TRUE,_xlfn._xlws.SORT(IF((--($B213=Flowdown_BTE[[URS]:[URS]]))*(--(K$14=Flowdown_BTE[[Source.Name]:[Source.Name]])),Flowdown_BTE[[SyRS]:[SyRS]],"")))</f>
        <v/>
      </c>
      <c r="L213" s="16" t="b" cm="1">
        <f t="array" ref="L213">OR(LEN(C213:K213)&gt;0)</f>
        <v>1</v>
      </c>
    </row>
    <row r="214" spans="2:12" ht="54" x14ac:dyDescent="0.2">
      <c r="B214" s="11" t="str">
        <v>MASTER-6454</v>
      </c>
      <c r="C214" s="12" t="str" cm="1">
        <f t="array" ref="C214">_xlfn.TEXTJOIN(CHAR(10),TRUE,_xlfn._xlws.SORT(IF((--($B214=Flowdown_BTE[[URS]:[URS]]))*(--(C$14=Flowdown_BTE[[Source.Name]:[Source.Name]])),Flowdown_BTE[[SyRS]:[SyRS]],"")))</f>
        <v>MASTER-18634</v>
      </c>
      <c r="D214" s="12" t="str" cm="1">
        <f t="array" ref="D214">_xlfn.TEXTJOIN(CHAR(10),TRUE,_xlfn._xlws.SORT(IF((--($B214=Flowdown_BTE[[URS]:[URS]]))*(--(D$14=Flowdown_BTE[[Source.Name]:[Source.Name]])),Flowdown_BTE[[SyRS]:[SyRS]],"")))</f>
        <v>MASTER-18634</v>
      </c>
      <c r="E214" s="12" t="str" cm="1">
        <f t="array" ref="E214">_xlfn.TEXTJOIN(CHAR(10),TRUE,_xlfn._xlws.SORT(IF((--($B214=Flowdown_BTE[[URS]:[URS]]))*(--(E$14=Flowdown_BTE[[Source.Name]:[Source.Name]])),Flowdown_BTE[[SyRS]:[SyRS]],"")))</f>
        <v>MASTER-18634</v>
      </c>
      <c r="F214" s="12" t="str" cm="1">
        <f t="array" ref="F214">_xlfn.TEXTJOIN(CHAR(10),TRUE,_xlfn._xlws.SORT(IF((--($B214=Flowdown_BTE[[URS]:[URS]]))*(--(F$14=Flowdown_BTE[[Source.Name]:[Source.Name]])),Flowdown_BTE[[SyRS]:[SyRS]],"")))</f>
        <v>MASTER-18634
MASTER-18646
MASTER-18647
MASTER-18648</v>
      </c>
      <c r="G214" s="12" t="str" cm="1">
        <f t="array" ref="G214">_xlfn.TEXTJOIN(CHAR(10),TRUE,_xlfn._xlws.SORT(IF((--($B214=Flowdown_BTE[[URS]:[URS]]))*(--(G$14=Flowdown_BTE[[Source.Name]:[Source.Name]])),Flowdown_BTE[[SyRS]:[SyRS]],"")))</f>
        <v>MASTER-18634
MASTER-18646
MASTER-18647
MASTER-18648</v>
      </c>
      <c r="H214" s="12" t="str" cm="1">
        <f t="array" ref="H214">_xlfn.TEXTJOIN(CHAR(10),TRUE,_xlfn._xlws.SORT(IF((--($B214=Flowdown_BTE[[URS]:[URS]]))*(--(H$14=Flowdown_BTE[[Source.Name]:[Source.Name]])),Flowdown_BTE[[SyRS]:[SyRS]],"")))</f>
        <v/>
      </c>
      <c r="I214" s="12" t="str" cm="1">
        <f t="array" ref="I214">_xlfn.TEXTJOIN(CHAR(10),TRUE,_xlfn._xlws.SORT(IF((--($B214=Flowdown_BTE[[URS]:[URS]]))*(--(I$14=Flowdown_BTE[[Source.Name]:[Source.Name]])),Flowdown_BTE[[SyRS]:[SyRS]],"")))</f>
        <v/>
      </c>
      <c r="J214" s="12" t="str" cm="1">
        <f t="array" ref="J214">_xlfn.TEXTJOIN(CHAR(10),TRUE,_xlfn._xlws.SORT(IF((--($B214=Flowdown_BTE[[URS]:[URS]]))*(--(J$14=Flowdown_BTE[[Source.Name]:[Source.Name]])),Flowdown_BTE[[SyRS]:[SyRS]],"")))</f>
        <v/>
      </c>
      <c r="K214" s="12" t="str" cm="1">
        <f t="array" ref="K214">_xlfn.TEXTJOIN(CHAR(10),TRUE,_xlfn._xlws.SORT(IF((--($B214=Flowdown_BTE[[URS]:[URS]]))*(--(K$14=Flowdown_BTE[[Source.Name]:[Source.Name]])),Flowdown_BTE[[SyRS]:[SyRS]],"")))</f>
        <v/>
      </c>
      <c r="L214" s="16" t="b" cm="1">
        <f t="array" ref="L214">OR(LEN(C214:K214)&gt;0)</f>
        <v>1</v>
      </c>
    </row>
    <row r="215" spans="2:12" ht="13.5" x14ac:dyDescent="0.2">
      <c r="B215" s="11" t="str">
        <v>MASTER-6455</v>
      </c>
      <c r="C215" s="12" t="str" cm="1">
        <f t="array" ref="C215">_xlfn.TEXTJOIN(CHAR(10),TRUE,_xlfn._xlws.SORT(IF((--($B215=Flowdown_BTE[[URS]:[URS]]))*(--(C$14=Flowdown_BTE[[Source.Name]:[Source.Name]])),Flowdown_BTE[[SyRS]:[SyRS]],"")))</f>
        <v>MASTER-18681</v>
      </c>
      <c r="D215" s="12" t="str" cm="1">
        <f t="array" ref="D215">_xlfn.TEXTJOIN(CHAR(10),TRUE,_xlfn._xlws.SORT(IF((--($B215=Flowdown_BTE[[URS]:[URS]]))*(--(D$14=Flowdown_BTE[[Source.Name]:[Source.Name]])),Flowdown_BTE[[SyRS]:[SyRS]],"")))</f>
        <v>MASTER-18681</v>
      </c>
      <c r="E215" s="12" t="str" cm="1">
        <f t="array" ref="E215">_xlfn.TEXTJOIN(CHAR(10),TRUE,_xlfn._xlws.SORT(IF((--($B215=Flowdown_BTE[[URS]:[URS]]))*(--(E$14=Flowdown_BTE[[Source.Name]:[Source.Name]])),Flowdown_BTE[[SyRS]:[SyRS]],"")))</f>
        <v>MASTER-18681</v>
      </c>
      <c r="F215" s="12" t="str" cm="1">
        <f t="array" ref="F215">_xlfn.TEXTJOIN(CHAR(10),TRUE,_xlfn._xlws.SORT(IF((--($B215=Flowdown_BTE[[URS]:[URS]]))*(--(F$14=Flowdown_BTE[[Source.Name]:[Source.Name]])),Flowdown_BTE[[SyRS]:[SyRS]],"")))</f>
        <v>MASTER-18681</v>
      </c>
      <c r="G215" s="12" t="str" cm="1">
        <f t="array" ref="G215">_xlfn.TEXTJOIN(CHAR(10),TRUE,_xlfn._xlws.SORT(IF((--($B215=Flowdown_BTE[[URS]:[URS]]))*(--(G$14=Flowdown_BTE[[Source.Name]:[Source.Name]])),Flowdown_BTE[[SyRS]:[SyRS]],"")))</f>
        <v>MASTER-18681</v>
      </c>
      <c r="H215" s="12" t="str" cm="1">
        <f t="array" ref="H215">_xlfn.TEXTJOIN(CHAR(10),TRUE,_xlfn._xlws.SORT(IF((--($B215=Flowdown_BTE[[URS]:[URS]]))*(--(H$14=Flowdown_BTE[[Source.Name]:[Source.Name]])),Flowdown_BTE[[SyRS]:[SyRS]],"")))</f>
        <v/>
      </c>
      <c r="I215" s="12" t="str" cm="1">
        <f t="array" ref="I215">_xlfn.TEXTJOIN(CHAR(10),TRUE,_xlfn._xlws.SORT(IF((--($B215=Flowdown_BTE[[URS]:[URS]]))*(--(I$14=Flowdown_BTE[[Source.Name]:[Source.Name]])),Flowdown_BTE[[SyRS]:[SyRS]],"")))</f>
        <v/>
      </c>
      <c r="J215" s="12" t="str" cm="1">
        <f t="array" ref="J215">_xlfn.TEXTJOIN(CHAR(10),TRUE,_xlfn._xlws.SORT(IF((--($B215=Flowdown_BTE[[URS]:[URS]]))*(--(J$14=Flowdown_BTE[[Source.Name]:[Source.Name]])),Flowdown_BTE[[SyRS]:[SyRS]],"")))</f>
        <v/>
      </c>
      <c r="K215" s="12" t="str" cm="1">
        <f t="array" ref="K215">_xlfn.TEXTJOIN(CHAR(10),TRUE,_xlfn._xlws.SORT(IF((--($B215=Flowdown_BTE[[URS]:[URS]]))*(--(K$14=Flowdown_BTE[[Source.Name]:[Source.Name]])),Flowdown_BTE[[SyRS]:[SyRS]],"")))</f>
        <v/>
      </c>
      <c r="L215" s="16" t="b" cm="1">
        <f t="array" ref="L215">OR(LEN(C215:K215)&gt;0)</f>
        <v>1</v>
      </c>
    </row>
    <row r="216" spans="2:12" ht="13.5" x14ac:dyDescent="0.2">
      <c r="B216" s="11" t="str">
        <v>MASTER-6456</v>
      </c>
      <c r="C216" s="12" t="str" cm="1">
        <f t="array" ref="C216">_xlfn.TEXTJOIN(CHAR(10),TRUE,_xlfn._xlws.SORT(IF((--($B216=Flowdown_BTE[[URS]:[URS]]))*(--(C$14=Flowdown_BTE[[Source.Name]:[Source.Name]])),Flowdown_BTE[[SyRS]:[SyRS]],"")))</f>
        <v/>
      </c>
      <c r="D216" s="12" t="str" cm="1">
        <f t="array" ref="D216">_xlfn.TEXTJOIN(CHAR(10),TRUE,_xlfn._xlws.SORT(IF((--($B216=Flowdown_BTE[[URS]:[URS]]))*(--(D$14=Flowdown_BTE[[Source.Name]:[Source.Name]])),Flowdown_BTE[[SyRS]:[SyRS]],"")))</f>
        <v/>
      </c>
      <c r="E216" s="12" t="str" cm="1">
        <f t="array" ref="E216">_xlfn.TEXTJOIN(CHAR(10),TRUE,_xlfn._xlws.SORT(IF((--($B216=Flowdown_BTE[[URS]:[URS]]))*(--(E$14=Flowdown_BTE[[Source.Name]:[Source.Name]])),Flowdown_BTE[[SyRS]:[SyRS]],"")))</f>
        <v/>
      </c>
      <c r="F216" s="12" t="str" cm="1">
        <f t="array" ref="F216">_xlfn.TEXTJOIN(CHAR(10),TRUE,_xlfn._xlws.SORT(IF((--($B216=Flowdown_BTE[[URS]:[URS]]))*(--(F$14=Flowdown_BTE[[Source.Name]:[Source.Name]])),Flowdown_BTE[[SyRS]:[SyRS]],"")))</f>
        <v/>
      </c>
      <c r="G216" s="12" t="str" cm="1">
        <f t="array" ref="G216">_xlfn.TEXTJOIN(CHAR(10),TRUE,_xlfn._xlws.SORT(IF((--($B216=Flowdown_BTE[[URS]:[URS]]))*(--(G$14=Flowdown_BTE[[Source.Name]:[Source.Name]])),Flowdown_BTE[[SyRS]:[SyRS]],"")))</f>
        <v/>
      </c>
      <c r="H216" s="12" t="str" cm="1">
        <f t="array" ref="H216">_xlfn.TEXTJOIN(CHAR(10),TRUE,_xlfn._xlws.SORT(IF((--($B216=Flowdown_BTE[[URS]:[URS]]))*(--(H$14=Flowdown_BTE[[Source.Name]:[Source.Name]])),Flowdown_BTE[[SyRS]:[SyRS]],"")))</f>
        <v/>
      </c>
      <c r="I216" s="12" t="str" cm="1">
        <f t="array" ref="I216">_xlfn.TEXTJOIN(CHAR(10),TRUE,_xlfn._xlws.SORT(IF((--($B216=Flowdown_BTE[[URS]:[URS]]))*(--(I$14=Flowdown_BTE[[Source.Name]:[Source.Name]])),Flowdown_BTE[[SyRS]:[SyRS]],"")))</f>
        <v>MASTER-19678</v>
      </c>
      <c r="J216" s="12" t="str" cm="1">
        <f t="array" ref="J216">_xlfn.TEXTJOIN(CHAR(10),TRUE,_xlfn._xlws.SORT(IF((--($B216=Flowdown_BTE[[URS]:[URS]]))*(--(J$14=Flowdown_BTE[[Source.Name]:[Source.Name]])),Flowdown_BTE[[SyRS]:[SyRS]],"")))</f>
        <v/>
      </c>
      <c r="K216" s="12" t="str" cm="1">
        <f t="array" ref="K216">_xlfn.TEXTJOIN(CHAR(10),TRUE,_xlfn._xlws.SORT(IF((--($B216=Flowdown_BTE[[URS]:[URS]]))*(--(K$14=Flowdown_BTE[[Source.Name]:[Source.Name]])),Flowdown_BTE[[SyRS]:[SyRS]],"")))</f>
        <v/>
      </c>
      <c r="L216" s="16" t="b" cm="1">
        <f t="array" ref="L216">OR(LEN(C216:K216)&gt;0)</f>
        <v>1</v>
      </c>
    </row>
    <row r="217" spans="2:12" ht="94.5" x14ac:dyDescent="0.2">
      <c r="B217" s="11" t="str">
        <v>MASTER-6458</v>
      </c>
      <c r="C217" s="12" t="str" cm="1">
        <f t="array" ref="C217">_xlfn.TEXTJOIN(CHAR(10),TRUE,_xlfn._xlws.SORT(IF((--($B217=Flowdown_BTE[[URS]:[URS]]))*(--(C$14=Flowdown_BTE[[Source.Name]:[Source.Name]])),Flowdown_BTE[[SyRS]:[SyRS]],"")))</f>
        <v>MASTER-53031
MASTER-53034
MASTER-53035
MASTER-53036
MASTER-53038
MASTER-53039
MASTER-53040</v>
      </c>
      <c r="D217" s="12" t="str" cm="1">
        <f t="array" ref="D217">_xlfn.TEXTJOIN(CHAR(10),TRUE,_xlfn._xlws.SORT(IF((--($B217=Flowdown_BTE[[URS]:[URS]]))*(--(D$14=Flowdown_BTE[[Source.Name]:[Source.Name]])),Flowdown_BTE[[SyRS]:[SyRS]],"")))</f>
        <v>MASTER-53031
MASTER-53034
MASTER-53035
MASTER-53036
MASTER-53038
MASTER-53039
MASTER-53040</v>
      </c>
      <c r="E217" s="12" t="str" cm="1">
        <f t="array" ref="E217">_xlfn.TEXTJOIN(CHAR(10),TRUE,_xlfn._xlws.SORT(IF((--($B217=Flowdown_BTE[[URS]:[URS]]))*(--(E$14=Flowdown_BTE[[Source.Name]:[Source.Name]])),Flowdown_BTE[[SyRS]:[SyRS]],"")))</f>
        <v>MASTER-53031
MASTER-53034
MASTER-53035
MASTER-53036
MASTER-53038
MASTER-53039
MASTER-53040</v>
      </c>
      <c r="F217" s="12" t="str" cm="1">
        <f t="array" ref="F217">_xlfn.TEXTJOIN(CHAR(10),TRUE,_xlfn._xlws.SORT(IF((--($B217=Flowdown_BTE[[URS]:[URS]]))*(--(F$14=Flowdown_BTE[[Source.Name]:[Source.Name]])),Flowdown_BTE[[SyRS]:[SyRS]],"")))</f>
        <v>MASTER-53031
MASTER-53034
MASTER-53035
MASTER-53036
MASTER-53038
MASTER-53039
MASTER-53040</v>
      </c>
      <c r="G217" s="12" t="str" cm="1">
        <f t="array" ref="G217">_xlfn.TEXTJOIN(CHAR(10),TRUE,_xlfn._xlws.SORT(IF((--($B217=Flowdown_BTE[[URS]:[URS]]))*(--(G$14=Flowdown_BTE[[Source.Name]:[Source.Name]])),Flowdown_BTE[[SyRS]:[SyRS]],"")))</f>
        <v>MASTER-53031
MASTER-53034
MASTER-53035
MASTER-53036
MASTER-53038
MASTER-53039
MASTER-53040</v>
      </c>
      <c r="H217" s="12" t="str" cm="1">
        <f t="array" ref="H217">_xlfn.TEXTJOIN(CHAR(10),TRUE,_xlfn._xlws.SORT(IF((--($B217=Flowdown_BTE[[URS]:[URS]]))*(--(H$14=Flowdown_BTE[[Source.Name]:[Source.Name]])),Flowdown_BTE[[SyRS]:[SyRS]],"")))</f>
        <v>MASTER-22025
MASTER-53019
MASTER-53021
MASTER-53022
MASTER-53023
MASTER-53025</v>
      </c>
      <c r="I217" s="12" t="str" cm="1">
        <f t="array" ref="I217">_xlfn.TEXTJOIN(CHAR(10),TRUE,_xlfn._xlws.SORT(IF((--($B217=Flowdown_BTE[[URS]:[URS]]))*(--(I$14=Flowdown_BTE[[Source.Name]:[Source.Name]])),Flowdown_BTE[[SyRS]:[SyRS]],"")))</f>
        <v/>
      </c>
      <c r="J217" s="12" t="str" cm="1">
        <f t="array" ref="J217">_xlfn.TEXTJOIN(CHAR(10),TRUE,_xlfn._xlws.SORT(IF((--($B217=Flowdown_BTE[[URS]:[URS]]))*(--(J$14=Flowdown_BTE[[Source.Name]:[Source.Name]])),Flowdown_BTE[[SyRS]:[SyRS]],"")))</f>
        <v/>
      </c>
      <c r="K217" s="12" t="str" cm="1">
        <f t="array" ref="K217">_xlfn.TEXTJOIN(CHAR(10),TRUE,_xlfn._xlws.SORT(IF((--($B217=Flowdown_BTE[[URS]:[URS]]))*(--(K$14=Flowdown_BTE[[Source.Name]:[Source.Name]])),Flowdown_BTE[[SyRS]:[SyRS]],"")))</f>
        <v/>
      </c>
      <c r="L217" s="16" t="b" cm="1">
        <f t="array" ref="L217">OR(LEN(C217:K217)&gt;0)</f>
        <v>1</v>
      </c>
    </row>
    <row r="218" spans="2:12" ht="27" x14ac:dyDescent="0.2">
      <c r="B218" s="11" t="str">
        <v>MASTER-6459</v>
      </c>
      <c r="C218" s="12" t="str" cm="1">
        <f t="array" ref="C218">_xlfn.TEXTJOIN(CHAR(10),TRUE,_xlfn._xlws.SORT(IF((--($B218=Flowdown_BTE[[URS]:[URS]]))*(--(C$14=Flowdown_BTE[[Source.Name]:[Source.Name]])),Flowdown_BTE[[SyRS]:[SyRS]],"")))</f>
        <v/>
      </c>
      <c r="D218" s="12" t="str" cm="1">
        <f t="array" ref="D218">_xlfn.TEXTJOIN(CHAR(10),TRUE,_xlfn._xlws.SORT(IF((--($B218=Flowdown_BTE[[URS]:[URS]]))*(--(D$14=Flowdown_BTE[[Source.Name]:[Source.Name]])),Flowdown_BTE[[SyRS]:[SyRS]],"")))</f>
        <v/>
      </c>
      <c r="E218" s="12" t="str" cm="1">
        <f t="array" ref="E218">_xlfn.TEXTJOIN(CHAR(10),TRUE,_xlfn._xlws.SORT(IF((--($B218=Flowdown_BTE[[URS]:[URS]]))*(--(E$14=Flowdown_BTE[[Source.Name]:[Source.Name]])),Flowdown_BTE[[SyRS]:[SyRS]],"")))</f>
        <v/>
      </c>
      <c r="F218" s="12" t="str" cm="1">
        <f t="array" ref="F218">_xlfn.TEXTJOIN(CHAR(10),TRUE,_xlfn._xlws.SORT(IF((--($B218=Flowdown_BTE[[URS]:[URS]]))*(--(F$14=Flowdown_BTE[[Source.Name]:[Source.Name]])),Flowdown_BTE[[SyRS]:[SyRS]],"")))</f>
        <v/>
      </c>
      <c r="G218" s="12" t="str" cm="1">
        <f t="array" ref="G218">_xlfn.TEXTJOIN(CHAR(10),TRUE,_xlfn._xlws.SORT(IF((--($B218=Flowdown_BTE[[URS]:[URS]]))*(--(G$14=Flowdown_BTE[[Source.Name]:[Source.Name]])),Flowdown_BTE[[SyRS]:[SyRS]],"")))</f>
        <v/>
      </c>
      <c r="H218" s="12" t="str" cm="1">
        <f t="array" ref="H218">_xlfn.TEXTJOIN(CHAR(10),TRUE,_xlfn._xlws.SORT(IF((--($B218=Flowdown_BTE[[URS]:[URS]]))*(--(H$14=Flowdown_BTE[[Source.Name]:[Source.Name]])),Flowdown_BTE[[SyRS]:[SyRS]],"")))</f>
        <v>MASTER-53025
MASTER-53026</v>
      </c>
      <c r="I218" s="12" t="str" cm="1">
        <f t="array" ref="I218">_xlfn.TEXTJOIN(CHAR(10),TRUE,_xlfn._xlws.SORT(IF((--($B218=Flowdown_BTE[[URS]:[URS]]))*(--(I$14=Flowdown_BTE[[Source.Name]:[Source.Name]])),Flowdown_BTE[[SyRS]:[SyRS]],"")))</f>
        <v/>
      </c>
      <c r="J218" s="12" t="str" cm="1">
        <f t="array" ref="J218">_xlfn.TEXTJOIN(CHAR(10),TRUE,_xlfn._xlws.SORT(IF((--($B218=Flowdown_BTE[[URS]:[URS]]))*(--(J$14=Flowdown_BTE[[Source.Name]:[Source.Name]])),Flowdown_BTE[[SyRS]:[SyRS]],"")))</f>
        <v/>
      </c>
      <c r="K218" s="12" t="str" cm="1">
        <f t="array" ref="K218">_xlfn.TEXTJOIN(CHAR(10),TRUE,_xlfn._xlws.SORT(IF((--($B218=Flowdown_BTE[[URS]:[URS]]))*(--(K$14=Flowdown_BTE[[Source.Name]:[Source.Name]])),Flowdown_BTE[[SyRS]:[SyRS]],"")))</f>
        <v/>
      </c>
      <c r="L218" s="16" t="b" cm="1">
        <f t="array" ref="L218">OR(LEN(C218:K218)&gt;0)</f>
        <v>1</v>
      </c>
    </row>
    <row r="219" spans="2:12" ht="135" x14ac:dyDescent="0.2">
      <c r="B219" s="11" t="str">
        <v>MASTER-6460</v>
      </c>
      <c r="C219" s="12" t="str" cm="1">
        <f t="array" ref="C219">_xlfn.TEXTJOIN(CHAR(10),TRUE,_xlfn._xlws.SORT(IF((--($B219=Flowdown_BTE[[URS]:[URS]]))*(--(C$14=Flowdown_BTE[[Source.Name]:[Source.Name]])),Flowdown_BTE[[SyRS]:[SyRS]],"")))</f>
        <v/>
      </c>
      <c r="D219" s="12" t="str" cm="1">
        <f t="array" ref="D219">_xlfn.TEXTJOIN(CHAR(10),TRUE,_xlfn._xlws.SORT(IF((--($B219=Flowdown_BTE[[URS]:[URS]]))*(--(D$14=Flowdown_BTE[[Source.Name]:[Source.Name]])),Flowdown_BTE[[SyRS]:[SyRS]],"")))</f>
        <v/>
      </c>
      <c r="E219" s="12" t="str" cm="1">
        <f t="array" ref="E219">_xlfn.TEXTJOIN(CHAR(10),TRUE,_xlfn._xlws.SORT(IF((--($B219=Flowdown_BTE[[URS]:[URS]]))*(--(E$14=Flowdown_BTE[[Source.Name]:[Source.Name]])),Flowdown_BTE[[SyRS]:[SyRS]],"")))</f>
        <v/>
      </c>
      <c r="F219" s="12" t="str" cm="1">
        <f t="array" ref="F219">_xlfn.TEXTJOIN(CHAR(10),TRUE,_xlfn._xlws.SORT(IF((--($B219=Flowdown_BTE[[URS]:[URS]]))*(--(F$14=Flowdown_BTE[[Source.Name]:[Source.Name]])),Flowdown_BTE[[SyRS]:[SyRS]],"")))</f>
        <v/>
      </c>
      <c r="G219" s="12" t="str" cm="1">
        <f t="array" ref="G219">_xlfn.TEXTJOIN(CHAR(10),TRUE,_xlfn._xlws.SORT(IF((--($B219=Flowdown_BTE[[URS]:[URS]]))*(--(G$14=Flowdown_BTE[[Source.Name]:[Source.Name]])),Flowdown_BTE[[SyRS]:[SyRS]],"")))</f>
        <v/>
      </c>
      <c r="H219" s="12" t="str" cm="1">
        <f t="array" ref="H219">_xlfn.TEXTJOIN(CHAR(10),TRUE,_xlfn._xlws.SORT(IF((--($B219=Flowdown_BTE[[URS]:[URS]]))*(--(H$14=Flowdown_BTE[[Source.Name]:[Source.Name]])),Flowdown_BTE[[SyRS]:[SyRS]],"")))</f>
        <v>MASTER-53015
MASTER-53019
MASTER-53020
MASTER-53021
MASTER-53022
MASTER-53023
MASTER-53024
MASTER-53025
MASTER-53027
MASTER-53029</v>
      </c>
      <c r="I219" s="12" t="str" cm="1">
        <f t="array" ref="I219">_xlfn.TEXTJOIN(CHAR(10),TRUE,_xlfn._xlws.SORT(IF((--($B219=Flowdown_BTE[[URS]:[URS]]))*(--(I$14=Flowdown_BTE[[Source.Name]:[Source.Name]])),Flowdown_BTE[[SyRS]:[SyRS]],"")))</f>
        <v/>
      </c>
      <c r="J219" s="12" t="str" cm="1">
        <f t="array" ref="J219">_xlfn.TEXTJOIN(CHAR(10),TRUE,_xlfn._xlws.SORT(IF((--($B219=Flowdown_BTE[[URS]:[URS]]))*(--(J$14=Flowdown_BTE[[Source.Name]:[Source.Name]])),Flowdown_BTE[[SyRS]:[SyRS]],"")))</f>
        <v/>
      </c>
      <c r="K219" s="12" t="str" cm="1">
        <f t="array" ref="K219">_xlfn.TEXTJOIN(CHAR(10),TRUE,_xlfn._xlws.SORT(IF((--($B219=Flowdown_BTE[[URS]:[URS]]))*(--(K$14=Flowdown_BTE[[Source.Name]:[Source.Name]])),Flowdown_BTE[[SyRS]:[SyRS]],"")))</f>
        <v/>
      </c>
      <c r="L219" s="16" t="b" cm="1">
        <f t="array" ref="L219">OR(LEN(C219:K219)&gt;0)</f>
        <v>1</v>
      </c>
    </row>
    <row r="220" spans="2:12" ht="13.5" x14ac:dyDescent="0.2">
      <c r="B220" s="11" t="str">
        <v>MASTER-6461</v>
      </c>
      <c r="C220" s="12" t="str" cm="1">
        <f t="array" ref="C220">_xlfn.TEXTJOIN(CHAR(10),TRUE,_xlfn._xlws.SORT(IF((--($B220=Flowdown_BTE[[URS]:[URS]]))*(--(C$14=Flowdown_BTE[[Source.Name]:[Source.Name]])),Flowdown_BTE[[SyRS]:[SyRS]],"")))</f>
        <v/>
      </c>
      <c r="D220" s="12" t="str" cm="1">
        <f t="array" ref="D220">_xlfn.TEXTJOIN(CHAR(10),TRUE,_xlfn._xlws.SORT(IF((--($B220=Flowdown_BTE[[URS]:[URS]]))*(--(D$14=Flowdown_BTE[[Source.Name]:[Source.Name]])),Flowdown_BTE[[SyRS]:[SyRS]],"")))</f>
        <v/>
      </c>
      <c r="E220" s="12" t="str" cm="1">
        <f t="array" ref="E220">_xlfn.TEXTJOIN(CHAR(10),TRUE,_xlfn._xlws.SORT(IF((--($B220=Flowdown_BTE[[URS]:[URS]]))*(--(E$14=Flowdown_BTE[[Source.Name]:[Source.Name]])),Flowdown_BTE[[SyRS]:[SyRS]],"")))</f>
        <v/>
      </c>
      <c r="F220" s="12" t="str" cm="1">
        <f t="array" ref="F220">_xlfn.TEXTJOIN(CHAR(10),TRUE,_xlfn._xlws.SORT(IF((--($B220=Flowdown_BTE[[URS]:[URS]]))*(--(F$14=Flowdown_BTE[[Source.Name]:[Source.Name]])),Flowdown_BTE[[SyRS]:[SyRS]],"")))</f>
        <v/>
      </c>
      <c r="G220" s="12" t="str" cm="1">
        <f t="array" ref="G220">_xlfn.TEXTJOIN(CHAR(10),TRUE,_xlfn._xlws.SORT(IF((--($B220=Flowdown_BTE[[URS]:[URS]]))*(--(G$14=Flowdown_BTE[[Source.Name]:[Source.Name]])),Flowdown_BTE[[SyRS]:[SyRS]],"")))</f>
        <v/>
      </c>
      <c r="H220" s="12" t="str" cm="1">
        <f t="array" ref="H220">_xlfn.TEXTJOIN(CHAR(10),TRUE,_xlfn._xlws.SORT(IF((--($B220=Flowdown_BTE[[URS]:[URS]]))*(--(H$14=Flowdown_BTE[[Source.Name]:[Source.Name]])),Flowdown_BTE[[SyRS]:[SyRS]],"")))</f>
        <v>MASTER-53028</v>
      </c>
      <c r="I220" s="12" t="str" cm="1">
        <f t="array" ref="I220">_xlfn.TEXTJOIN(CHAR(10),TRUE,_xlfn._xlws.SORT(IF((--($B220=Flowdown_BTE[[URS]:[URS]]))*(--(I$14=Flowdown_BTE[[Source.Name]:[Source.Name]])),Flowdown_BTE[[SyRS]:[SyRS]],"")))</f>
        <v/>
      </c>
      <c r="J220" s="12" t="str" cm="1">
        <f t="array" ref="J220">_xlfn.TEXTJOIN(CHAR(10),TRUE,_xlfn._xlws.SORT(IF((--($B220=Flowdown_BTE[[URS]:[URS]]))*(--(J$14=Flowdown_BTE[[Source.Name]:[Source.Name]])),Flowdown_BTE[[SyRS]:[SyRS]],"")))</f>
        <v/>
      </c>
      <c r="K220" s="12" t="str" cm="1">
        <f t="array" ref="K220">_xlfn.TEXTJOIN(CHAR(10),TRUE,_xlfn._xlws.SORT(IF((--($B220=Flowdown_BTE[[URS]:[URS]]))*(--(K$14=Flowdown_BTE[[Source.Name]:[Source.Name]])),Flowdown_BTE[[SyRS]:[SyRS]],"")))</f>
        <v/>
      </c>
      <c r="L220" s="16" t="b" cm="1">
        <f t="array" ref="L220">OR(LEN(C220:K220)&gt;0)</f>
        <v>1</v>
      </c>
    </row>
    <row r="221" spans="2:12" ht="229.5" x14ac:dyDescent="0.2">
      <c r="B221" s="11" t="str">
        <v>MASTER-6463</v>
      </c>
      <c r="C221" s="12" t="str" cm="1">
        <f t="array" ref="C221">_xlfn.TEXTJOIN(CHAR(10),TRUE,_xlfn._xlws.SORT(IF((--($B221=Flowdown_BTE[[URS]:[URS]]))*(--(C$14=Flowdown_BTE[[Source.Name]:[Source.Name]])),Flowdown_BTE[[SyRS]:[SyRS]],"")))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21" s="12" t="str" cm="1">
        <f t="array" ref="D221">_xlfn.TEXTJOIN(CHAR(10),TRUE,_xlfn._xlws.SORT(IF((--($B221=Flowdown_BTE[[URS]:[URS]]))*(--(D$14=Flowdown_BTE[[Source.Name]:[Source.Name]])),Flowdown_BTE[[SyRS]:[SyRS]],"")))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21" s="12" t="str" cm="1">
        <f t="array" ref="E221">_xlfn.TEXTJOIN(CHAR(10),TRUE,_xlfn._xlws.SORT(IF((--($B221=Flowdown_BTE[[URS]:[URS]]))*(--(E$14=Flowdown_BTE[[Source.Name]:[Source.Name]])),Flowdown_BTE[[SyRS]:[SyRS]],"")))</f>
        <v>MASTER-18702
MASTER-18704</v>
      </c>
      <c r="F221" s="12" t="str" cm="1">
        <f t="array" ref="F221">_xlfn.TEXTJOIN(CHAR(10),TRUE,_xlfn._xlws.SORT(IF((--($B221=Flowdown_BTE[[URS]:[URS]]))*(--(F$14=Flowdown_BTE[[Source.Name]:[Source.Name]])),Flowdown_BTE[[SyRS]:[SyRS]],"")))</f>
        <v>MASTER-18702
MASTER-18704</v>
      </c>
      <c r="G221" s="12" t="str" cm="1">
        <f t="array" ref="G221">_xlfn.TEXTJOIN(CHAR(10),TRUE,_xlfn._xlws.SORT(IF((--($B221=Flowdown_BTE[[URS]:[URS]]))*(--(G$14=Flowdown_BTE[[Source.Name]:[Source.Name]])),Flowdown_BTE[[SyRS]:[SyRS]],"")))</f>
        <v>MASTER-18702
MASTER-18704</v>
      </c>
      <c r="H221" s="12" t="str" cm="1">
        <f t="array" ref="H221">_xlfn.TEXTJOIN(CHAR(10),TRUE,_xlfn._xlws.SORT(IF((--($B221=Flowdown_BTE[[URS]:[URS]]))*(--(H$14=Flowdown_BTE[[Source.Name]:[Source.Name]])),Flowdown_BTE[[SyRS]:[SyRS]],"")))</f>
        <v/>
      </c>
      <c r="I221" s="12" t="str" cm="1">
        <f t="array" ref="I221">_xlfn.TEXTJOIN(CHAR(10),TRUE,_xlfn._xlws.SORT(IF((--($B221=Flowdown_BTE[[URS]:[URS]]))*(--(I$14=Flowdown_BTE[[Source.Name]:[Source.Name]])),Flowdown_BTE[[SyRS]:[SyRS]],"")))</f>
        <v/>
      </c>
      <c r="J221" s="12" t="str" cm="1">
        <f t="array" ref="J221">_xlfn.TEXTJOIN(CHAR(10),TRUE,_xlfn._xlws.SORT(IF((--($B221=Flowdown_BTE[[URS]:[URS]]))*(--(J$14=Flowdown_BTE[[Source.Name]:[Source.Name]])),Flowdown_BTE[[SyRS]:[SyRS]],"")))</f>
        <v/>
      </c>
      <c r="K221" s="12" t="str" cm="1">
        <f t="array" ref="K221">_xlfn.TEXTJOIN(CHAR(10),TRUE,_xlfn._xlws.SORT(IF((--($B221=Flowdown_BTE[[URS]:[URS]]))*(--(K$14=Flowdown_BTE[[Source.Name]:[Source.Name]])),Flowdown_BTE[[SyRS]:[SyRS]],"")))</f>
        <v/>
      </c>
      <c r="L221" s="16" t="b" cm="1">
        <f t="array" ref="L221">OR(LEN(C221:K221)&gt;0)</f>
        <v>1</v>
      </c>
    </row>
    <row r="222" spans="2:12" ht="54" x14ac:dyDescent="0.2">
      <c r="B222" s="11" t="str">
        <v>MASTER-6464</v>
      </c>
      <c r="C222" s="12" t="str" cm="1">
        <f t="array" ref="C222">_xlfn.TEXTJOIN(CHAR(10),TRUE,_xlfn._xlws.SORT(IF((--($B222=Flowdown_BTE[[URS]:[URS]]))*(--(C$14=Flowdown_BTE[[Source.Name]:[Source.Name]])),Flowdown_BTE[[SyRS]:[SyRS]],"")))</f>
        <v>MASTER-18700
MASTER-18702
MASTER-18704
MASTER-18705</v>
      </c>
      <c r="D222" s="12" t="str" cm="1">
        <f t="array" ref="D222">_xlfn.TEXTJOIN(CHAR(10),TRUE,_xlfn._xlws.SORT(IF((--($B222=Flowdown_BTE[[URS]:[URS]]))*(--(D$14=Flowdown_BTE[[Source.Name]:[Source.Name]])),Flowdown_BTE[[SyRS]:[SyRS]],"")))</f>
        <v>MASTER-18700
MASTER-18702
MASTER-18704
MASTER-18705</v>
      </c>
      <c r="E222" s="12" t="str" cm="1">
        <f t="array" ref="E222">_xlfn.TEXTJOIN(CHAR(10),TRUE,_xlfn._xlws.SORT(IF((--($B222=Flowdown_BTE[[URS]:[URS]]))*(--(E$14=Flowdown_BTE[[Source.Name]:[Source.Name]])),Flowdown_BTE[[SyRS]:[SyRS]],"")))</f>
        <v>MASTER-18700
MASTER-18702
MASTER-18704
MASTER-18705</v>
      </c>
      <c r="F222" s="12" t="str" cm="1">
        <f t="array" ref="F222">_xlfn.TEXTJOIN(CHAR(10),TRUE,_xlfn._xlws.SORT(IF((--($B222=Flowdown_BTE[[URS]:[URS]]))*(--(F$14=Flowdown_BTE[[Source.Name]:[Source.Name]])),Flowdown_BTE[[SyRS]:[SyRS]],"")))</f>
        <v>MASTER-18700
MASTER-18702
MASTER-18704
MASTER-18705</v>
      </c>
      <c r="G222" s="12" t="str" cm="1">
        <f t="array" ref="G222">_xlfn.TEXTJOIN(CHAR(10),TRUE,_xlfn._xlws.SORT(IF((--($B222=Flowdown_BTE[[URS]:[URS]]))*(--(G$14=Flowdown_BTE[[Source.Name]:[Source.Name]])),Flowdown_BTE[[SyRS]:[SyRS]],"")))</f>
        <v>MASTER-18700
MASTER-18702
MASTER-18704
MASTER-18705</v>
      </c>
      <c r="H222" s="12" t="str" cm="1">
        <f t="array" ref="H222">_xlfn.TEXTJOIN(CHAR(10),TRUE,_xlfn._xlws.SORT(IF((--($B222=Flowdown_BTE[[URS]:[URS]]))*(--(H$14=Flowdown_BTE[[Source.Name]:[Source.Name]])),Flowdown_BTE[[SyRS]:[SyRS]],"")))</f>
        <v/>
      </c>
      <c r="I222" s="12" t="str" cm="1">
        <f t="array" ref="I222">_xlfn.TEXTJOIN(CHAR(10),TRUE,_xlfn._xlws.SORT(IF((--($B222=Flowdown_BTE[[URS]:[URS]]))*(--(I$14=Flowdown_BTE[[Source.Name]:[Source.Name]])),Flowdown_BTE[[SyRS]:[SyRS]],"")))</f>
        <v/>
      </c>
      <c r="J222" s="12" t="str" cm="1">
        <f t="array" ref="J222">_xlfn.TEXTJOIN(CHAR(10),TRUE,_xlfn._xlws.SORT(IF((--($B222=Flowdown_BTE[[URS]:[URS]]))*(--(J$14=Flowdown_BTE[[Source.Name]:[Source.Name]])),Flowdown_BTE[[SyRS]:[SyRS]],"")))</f>
        <v/>
      </c>
      <c r="K222" s="12" t="str" cm="1">
        <f t="array" ref="K222">_xlfn.TEXTJOIN(CHAR(10),TRUE,_xlfn._xlws.SORT(IF((--($B222=Flowdown_BTE[[URS]:[URS]]))*(--(K$14=Flowdown_BTE[[Source.Name]:[Source.Name]])),Flowdown_BTE[[SyRS]:[SyRS]],"")))</f>
        <v/>
      </c>
      <c r="L222" s="16" t="b" cm="1">
        <f t="array" ref="L222">OR(LEN(C222:K222)&gt;0)</f>
        <v>1</v>
      </c>
    </row>
    <row r="223" spans="2:12" ht="54" x14ac:dyDescent="0.2">
      <c r="B223" s="11" t="str">
        <v>MASTER-6465</v>
      </c>
      <c r="C223" s="12" t="str" cm="1">
        <f t="array" ref="C223">_xlfn.TEXTJOIN(CHAR(10),TRUE,_xlfn._xlws.SORT(IF((--($B223=Flowdown_BTE[[URS]:[URS]]))*(--(C$14=Flowdown_BTE[[Source.Name]:[Source.Name]])),Flowdown_BTE[[SyRS]:[SyRS]],"")))</f>
        <v>MASTER-18701
MASTER-18704
MASTER-18705
MASTER-18706</v>
      </c>
      <c r="D223" s="12" t="str" cm="1">
        <f t="array" ref="D223">_xlfn.TEXTJOIN(CHAR(10),TRUE,_xlfn._xlws.SORT(IF((--($B223=Flowdown_BTE[[URS]:[URS]]))*(--(D$14=Flowdown_BTE[[Source.Name]:[Source.Name]])),Flowdown_BTE[[SyRS]:[SyRS]],"")))</f>
        <v>MASTER-18701
MASTER-18704
MASTER-18705
MASTER-18706</v>
      </c>
      <c r="E223" s="12" t="str" cm="1">
        <f t="array" ref="E223">_xlfn.TEXTJOIN(CHAR(10),TRUE,_xlfn._xlws.SORT(IF((--($B223=Flowdown_BTE[[URS]:[URS]]))*(--(E$14=Flowdown_BTE[[Source.Name]:[Source.Name]])),Flowdown_BTE[[SyRS]:[SyRS]],"")))</f>
        <v>MASTER-18701
MASTER-18704
MASTER-18705
MASTER-18706</v>
      </c>
      <c r="F223" s="12" t="str" cm="1">
        <f t="array" ref="F223">_xlfn.TEXTJOIN(CHAR(10),TRUE,_xlfn._xlws.SORT(IF((--($B223=Flowdown_BTE[[URS]:[URS]]))*(--(F$14=Flowdown_BTE[[Source.Name]:[Source.Name]])),Flowdown_BTE[[SyRS]:[SyRS]],"")))</f>
        <v>MASTER-18701
MASTER-18704
MASTER-18705
MASTER-18706</v>
      </c>
      <c r="G223" s="12" t="str" cm="1">
        <f t="array" ref="G223">_xlfn.TEXTJOIN(CHAR(10),TRUE,_xlfn._xlws.SORT(IF((--($B223=Flowdown_BTE[[URS]:[URS]]))*(--(G$14=Flowdown_BTE[[Source.Name]:[Source.Name]])),Flowdown_BTE[[SyRS]:[SyRS]],"")))</f>
        <v>MASTER-18701
MASTER-18704
MASTER-18705
MASTER-18706</v>
      </c>
      <c r="H223" s="12" t="str" cm="1">
        <f t="array" ref="H223">_xlfn.TEXTJOIN(CHAR(10),TRUE,_xlfn._xlws.SORT(IF((--($B223=Flowdown_BTE[[URS]:[URS]]))*(--(H$14=Flowdown_BTE[[Source.Name]:[Source.Name]])),Flowdown_BTE[[SyRS]:[SyRS]],"")))</f>
        <v/>
      </c>
      <c r="I223" s="12" t="str" cm="1">
        <f t="array" ref="I223">_xlfn.TEXTJOIN(CHAR(10),TRUE,_xlfn._xlws.SORT(IF((--($B223=Flowdown_BTE[[URS]:[URS]]))*(--(I$14=Flowdown_BTE[[Source.Name]:[Source.Name]])),Flowdown_BTE[[SyRS]:[SyRS]],"")))</f>
        <v/>
      </c>
      <c r="J223" s="12" t="str" cm="1">
        <f t="array" ref="J223">_xlfn.TEXTJOIN(CHAR(10),TRUE,_xlfn._xlws.SORT(IF((--($B223=Flowdown_BTE[[URS]:[URS]]))*(--(J$14=Flowdown_BTE[[Source.Name]:[Source.Name]])),Flowdown_BTE[[SyRS]:[SyRS]],"")))</f>
        <v/>
      </c>
      <c r="K223" s="12" t="str" cm="1">
        <f t="array" ref="K223">_xlfn.TEXTJOIN(CHAR(10),TRUE,_xlfn._xlws.SORT(IF((--($B223=Flowdown_BTE[[URS]:[URS]]))*(--(K$14=Flowdown_BTE[[Source.Name]:[Source.Name]])),Flowdown_BTE[[SyRS]:[SyRS]],"")))</f>
        <v/>
      </c>
      <c r="L223" s="16" t="b" cm="1">
        <f t="array" ref="L223">OR(LEN(C223:K223)&gt;0)</f>
        <v>1</v>
      </c>
    </row>
    <row r="224" spans="2:12" ht="81" x14ac:dyDescent="0.2">
      <c r="B224" s="11" t="str">
        <v>MASTER-6466</v>
      </c>
      <c r="C224" s="12" t="str" cm="1">
        <f t="array" ref="C224">_xlfn.TEXTJOIN(CHAR(10),TRUE,_xlfn._xlws.SORT(IF((--($B224=Flowdown_BTE[[URS]:[URS]]))*(--(C$14=Flowdown_BTE[[Source.Name]:[Source.Name]])),Flowdown_BTE[[SyRS]:[SyRS]],"")))</f>
        <v>MASTER-18713
MASTER-19318
MASTER-19322
MASTER-19328
MASTER-42167
MASTER-50296</v>
      </c>
      <c r="D224" s="12" t="str" cm="1">
        <f t="array" ref="D224">_xlfn.TEXTJOIN(CHAR(10),TRUE,_xlfn._xlws.SORT(IF((--($B224=Flowdown_BTE[[URS]:[URS]]))*(--(D$14=Flowdown_BTE[[Source.Name]:[Source.Name]])),Flowdown_BTE[[SyRS]:[SyRS]],"")))</f>
        <v>MASTER-18713
MASTER-19318
MASTER-19322
MASTER-19328
MASTER-42167
MASTER-50296</v>
      </c>
      <c r="E224" s="12" t="str" cm="1">
        <f t="array" ref="E224">_xlfn.TEXTJOIN(CHAR(10),TRUE,_xlfn._xlws.SORT(IF((--($B224=Flowdown_BTE[[URS]:[URS]]))*(--(E$14=Flowdown_BTE[[Source.Name]:[Source.Name]])),Flowdown_BTE[[SyRS]:[SyRS]],"")))</f>
        <v>MASTER-18713
MASTER-19318
MASTER-19322
MASTER-19328
MASTER-42167
MASTER-50296</v>
      </c>
      <c r="F224" s="12" t="str" cm="1">
        <f t="array" ref="F224">_xlfn.TEXTJOIN(CHAR(10),TRUE,_xlfn._xlws.SORT(IF((--($B224=Flowdown_BTE[[URS]:[URS]]))*(--(F$14=Flowdown_BTE[[Source.Name]:[Source.Name]])),Flowdown_BTE[[SyRS]:[SyRS]],"")))</f>
        <v>MASTER-18713
MASTER-19318
MASTER-19322
MASTER-19328
MASTER-42167
MASTER-50296</v>
      </c>
      <c r="G224" s="12" t="str" cm="1">
        <f t="array" ref="G224">_xlfn.TEXTJOIN(CHAR(10),TRUE,_xlfn._xlws.SORT(IF((--($B224=Flowdown_BTE[[URS]:[URS]]))*(--(G$14=Flowdown_BTE[[Source.Name]:[Source.Name]])),Flowdown_BTE[[SyRS]:[SyRS]],"")))</f>
        <v>MASTER-18713
MASTER-19318
MASTER-19322
MASTER-19328
MASTER-42167
MASTER-50296</v>
      </c>
      <c r="H224" s="12" t="str" cm="1">
        <f t="array" ref="H224">_xlfn.TEXTJOIN(CHAR(10),TRUE,_xlfn._xlws.SORT(IF((--($B224=Flowdown_BTE[[URS]:[URS]]))*(--(H$14=Flowdown_BTE[[Source.Name]:[Source.Name]])),Flowdown_BTE[[SyRS]:[SyRS]],"")))</f>
        <v/>
      </c>
      <c r="I224" s="12" t="str" cm="1">
        <f t="array" ref="I224">_xlfn.TEXTJOIN(CHAR(10),TRUE,_xlfn._xlws.SORT(IF((--($B224=Flowdown_BTE[[URS]:[URS]]))*(--(I$14=Flowdown_BTE[[Source.Name]:[Source.Name]])),Flowdown_BTE[[SyRS]:[SyRS]],"")))</f>
        <v/>
      </c>
      <c r="J224" s="12" t="str" cm="1">
        <f t="array" ref="J224">_xlfn.TEXTJOIN(CHAR(10),TRUE,_xlfn._xlws.SORT(IF((--($B224=Flowdown_BTE[[URS]:[URS]]))*(--(J$14=Flowdown_BTE[[Source.Name]:[Source.Name]])),Flowdown_BTE[[SyRS]:[SyRS]],"")))</f>
        <v/>
      </c>
      <c r="K224" s="12" t="str" cm="1">
        <f t="array" ref="K224">_xlfn.TEXTJOIN(CHAR(10),TRUE,_xlfn._xlws.SORT(IF((--($B224=Flowdown_BTE[[URS]:[URS]]))*(--(K$14=Flowdown_BTE[[Source.Name]:[Source.Name]])),Flowdown_BTE[[SyRS]:[SyRS]],"")))</f>
        <v/>
      </c>
      <c r="L224" s="16" t="b" cm="1">
        <f t="array" ref="L224">OR(LEN(C224:K224)&gt;0)</f>
        <v>1</v>
      </c>
    </row>
    <row r="225" spans="2:12" ht="67.5" x14ac:dyDescent="0.2">
      <c r="B225" s="11" t="str">
        <v>MASTER-6467</v>
      </c>
      <c r="C225" s="12" t="str" cm="1">
        <f t="array" ref="C225">_xlfn.TEXTJOIN(CHAR(10),TRUE,_xlfn._xlws.SORT(IF((--($B225=Flowdown_BTE[[URS]:[URS]]))*(--(C$14=Flowdown_BTE[[Source.Name]:[Source.Name]])),Flowdown_BTE[[SyRS]:[SyRS]],"")))</f>
        <v>MASTER-18736
MASTER-18740
MASTER-18742
MASTER-24800</v>
      </c>
      <c r="D225" s="12" t="str" cm="1">
        <f t="array" ref="D225">_xlfn.TEXTJOIN(CHAR(10),TRUE,_xlfn._xlws.SORT(IF((--($B225=Flowdown_BTE[[URS]:[URS]]))*(--(D$14=Flowdown_BTE[[Source.Name]:[Source.Name]])),Flowdown_BTE[[SyRS]:[SyRS]],"")))</f>
        <v>MASTER-18736
MASTER-18740
MASTER-18742
MASTER-24800</v>
      </c>
      <c r="E225" s="12" t="str" cm="1">
        <f t="array" ref="E225">_xlfn.TEXTJOIN(CHAR(10),TRUE,_xlfn._xlws.SORT(IF((--($B225=Flowdown_BTE[[URS]:[URS]]))*(--(E$14=Flowdown_BTE[[Source.Name]:[Source.Name]])),Flowdown_BTE[[SyRS]:[SyRS]],"")))</f>
        <v>MASTER-18736
MASTER-18738
MASTER-18740
MASTER-18742
MASTER-24800</v>
      </c>
      <c r="F225" s="12" t="str" cm="1">
        <f t="array" ref="F225">_xlfn.TEXTJOIN(CHAR(10),TRUE,_xlfn._xlws.SORT(IF((--($B225=Flowdown_BTE[[URS]:[URS]]))*(--(F$14=Flowdown_BTE[[Source.Name]:[Source.Name]])),Flowdown_BTE[[SyRS]:[SyRS]],"")))</f>
        <v>MASTER-18736
MASTER-18738
MASTER-18740
MASTER-18742
MASTER-24800</v>
      </c>
      <c r="G225" s="12" t="str" cm="1">
        <f t="array" ref="G225">_xlfn.TEXTJOIN(CHAR(10),TRUE,_xlfn._xlws.SORT(IF((--($B225=Flowdown_BTE[[URS]:[URS]]))*(--(G$14=Flowdown_BTE[[Source.Name]:[Source.Name]])),Flowdown_BTE[[SyRS]:[SyRS]],"")))</f>
        <v>MASTER-18736
MASTER-18738
MASTER-18740
MASTER-18742
MASTER-24800</v>
      </c>
      <c r="H225" s="12" t="str" cm="1">
        <f t="array" ref="H225">_xlfn.TEXTJOIN(CHAR(10),TRUE,_xlfn._xlws.SORT(IF((--($B225=Flowdown_BTE[[URS]:[URS]]))*(--(H$14=Flowdown_BTE[[Source.Name]:[Source.Name]])),Flowdown_BTE[[SyRS]:[SyRS]],"")))</f>
        <v>MASTER-22029
MASTER-22030
MASTER-22031</v>
      </c>
      <c r="I225" s="12" t="str" cm="1">
        <f t="array" ref="I225">_xlfn.TEXTJOIN(CHAR(10),TRUE,_xlfn._xlws.SORT(IF((--($B225=Flowdown_BTE[[URS]:[URS]]))*(--(I$14=Flowdown_BTE[[Source.Name]:[Source.Name]])),Flowdown_BTE[[SyRS]:[SyRS]],"")))</f>
        <v/>
      </c>
      <c r="J225" s="12" t="str" cm="1">
        <f t="array" ref="J225">_xlfn.TEXTJOIN(CHAR(10),TRUE,_xlfn._xlws.SORT(IF((--($B225=Flowdown_BTE[[URS]:[URS]]))*(--(J$14=Flowdown_BTE[[Source.Name]:[Source.Name]])),Flowdown_BTE[[SyRS]:[SyRS]],"")))</f>
        <v/>
      </c>
      <c r="K225" s="12" t="str" cm="1">
        <f t="array" ref="K225">_xlfn.TEXTJOIN(CHAR(10),TRUE,_xlfn._xlws.SORT(IF((--($B225=Flowdown_BTE[[URS]:[URS]]))*(--(K$14=Flowdown_BTE[[Source.Name]:[Source.Name]])),Flowdown_BTE[[SyRS]:[SyRS]],"")))</f>
        <v/>
      </c>
      <c r="L225" s="16" t="b" cm="1">
        <f t="array" ref="L225">OR(LEN(C225:K225)&gt;0)</f>
        <v>1</v>
      </c>
    </row>
    <row r="226" spans="2:12" ht="121.5" x14ac:dyDescent="0.2">
      <c r="B226" s="11" t="str">
        <v>MASTER-6468</v>
      </c>
      <c r="C226" s="12" t="str" cm="1">
        <f t="array" ref="C226">_xlfn.TEXTJOIN(CHAR(10),TRUE,_xlfn._xlws.SORT(IF((--($B226=Flowdown_BTE[[URS]:[URS]]))*(--(C$14=Flowdown_BTE[[Source.Name]:[Source.Name]])),Flowdown_BTE[[SyRS]:[SyRS]],"")))</f>
        <v>MASTER-18740
MASTER-18742</v>
      </c>
      <c r="D226" s="12" t="str" cm="1">
        <f t="array" ref="D226">_xlfn.TEXTJOIN(CHAR(10),TRUE,_xlfn._xlws.SORT(IF((--($B226=Flowdown_BTE[[URS]:[URS]]))*(--(D$14=Flowdown_BTE[[Source.Name]:[Source.Name]])),Flowdown_BTE[[SyRS]:[SyRS]],"")))</f>
        <v>MASTER-18740
MASTER-18742</v>
      </c>
      <c r="E226" s="12" t="str" cm="1">
        <f t="array" ref="E226">_xlfn.TEXTJOIN(CHAR(10),TRUE,_xlfn._xlws.SORT(IF((--($B226=Flowdown_BTE[[URS]:[URS]]))*(--(E$14=Flowdown_BTE[[Source.Name]:[Source.Name]])),Flowdown_BTE[[SyRS]:[SyRS]],"")))</f>
        <v>MASTER-18740
MASTER-18742</v>
      </c>
      <c r="F226" s="12" t="str" cm="1">
        <f t="array" ref="F226">_xlfn.TEXTJOIN(CHAR(10),TRUE,_xlfn._xlws.SORT(IF((--($B226=Flowdown_BTE[[URS]:[URS]]))*(--(F$14=Flowdown_BTE[[Source.Name]:[Source.Name]])),Flowdown_BTE[[SyRS]:[SyRS]],"")))</f>
        <v>MASTER-18740
MASTER-18742</v>
      </c>
      <c r="G226" s="12" t="str" cm="1">
        <f t="array" ref="G226">_xlfn.TEXTJOIN(CHAR(10),TRUE,_xlfn._xlws.SORT(IF((--($B226=Flowdown_BTE[[URS]:[URS]]))*(--(G$14=Flowdown_BTE[[Source.Name]:[Source.Name]])),Flowdown_BTE[[SyRS]:[SyRS]],"")))</f>
        <v>MASTER-18740
MASTER-18742</v>
      </c>
      <c r="H226" s="12" t="str" cm="1">
        <f t="array" ref="H226">_xlfn.TEXTJOIN(CHAR(10),TRUE,_xlfn._xlws.SORT(IF((--($B226=Flowdown_BTE[[URS]:[URS]]))*(--(H$14=Flowdown_BTE[[Source.Name]:[Source.Name]])),Flowdown_BTE[[SyRS]:[SyRS]],"")))</f>
        <v>MASTER-21935
MASTER-21937
MASTER-21939
MASTER-21941
MASTER-21943
MASTER-21945
MASTER-21947
MASTER-22029
MASTER-22031</v>
      </c>
      <c r="I226" s="12" t="str" cm="1">
        <f t="array" ref="I226">_xlfn.TEXTJOIN(CHAR(10),TRUE,_xlfn._xlws.SORT(IF((--($B226=Flowdown_BTE[[URS]:[URS]]))*(--(I$14=Flowdown_BTE[[Source.Name]:[Source.Name]])),Flowdown_BTE[[SyRS]:[SyRS]],"")))</f>
        <v/>
      </c>
      <c r="J226" s="12" t="str" cm="1">
        <f t="array" ref="J226">_xlfn.TEXTJOIN(CHAR(10),TRUE,_xlfn._xlws.SORT(IF((--($B226=Flowdown_BTE[[URS]:[URS]]))*(--(J$14=Flowdown_BTE[[Source.Name]:[Source.Name]])),Flowdown_BTE[[SyRS]:[SyRS]],"")))</f>
        <v/>
      </c>
      <c r="K226" s="12" t="str" cm="1">
        <f t="array" ref="K226">_xlfn.TEXTJOIN(CHAR(10),TRUE,_xlfn._xlws.SORT(IF((--($B226=Flowdown_BTE[[URS]:[URS]]))*(--(K$14=Flowdown_BTE[[Source.Name]:[Source.Name]])),Flowdown_BTE[[SyRS]:[SyRS]],"")))</f>
        <v/>
      </c>
      <c r="L226" s="16" t="b" cm="1">
        <f t="array" ref="L226">OR(LEN(C226:K226)&gt;0)</f>
        <v>1</v>
      </c>
    </row>
    <row r="227" spans="2:12" ht="27" x14ac:dyDescent="0.2">
      <c r="B227" s="11" t="str">
        <v>MASTER-6475</v>
      </c>
      <c r="C227" s="12" t="str" cm="1">
        <f t="array" ref="C227">_xlfn.TEXTJOIN(CHAR(10),TRUE,_xlfn._xlws.SORT(IF((--($B227=Flowdown_BTE[[URS]:[URS]]))*(--(C$14=Flowdown_BTE[[Source.Name]:[Source.Name]])),Flowdown_BTE[[SyRS]:[SyRS]],"")))</f>
        <v>MASTER-18758
MASTER-50860</v>
      </c>
      <c r="D227" s="12" t="str" cm="1">
        <f t="array" ref="D227">_xlfn.TEXTJOIN(CHAR(10),TRUE,_xlfn._xlws.SORT(IF((--($B227=Flowdown_BTE[[URS]:[URS]]))*(--(D$14=Flowdown_BTE[[Source.Name]:[Source.Name]])),Flowdown_BTE[[SyRS]:[SyRS]],"")))</f>
        <v>MASTER-18758
MASTER-50860</v>
      </c>
      <c r="E227" s="12" t="str" cm="1">
        <f t="array" ref="E227">_xlfn.TEXTJOIN(CHAR(10),TRUE,_xlfn._xlws.SORT(IF((--($B227=Flowdown_BTE[[URS]:[URS]]))*(--(E$14=Flowdown_BTE[[Source.Name]:[Source.Name]])),Flowdown_BTE[[SyRS]:[SyRS]],"")))</f>
        <v>MASTER-18758
MASTER-50860</v>
      </c>
      <c r="F227" s="12" t="str" cm="1">
        <f t="array" ref="F227">_xlfn.TEXTJOIN(CHAR(10),TRUE,_xlfn._xlws.SORT(IF((--($B227=Flowdown_BTE[[URS]:[URS]]))*(--(F$14=Flowdown_BTE[[Source.Name]:[Source.Name]])),Flowdown_BTE[[SyRS]:[SyRS]],"")))</f>
        <v>MASTER-18758
MASTER-50860</v>
      </c>
      <c r="G227" s="12" t="str" cm="1">
        <f t="array" ref="G227">_xlfn.TEXTJOIN(CHAR(10),TRUE,_xlfn._xlws.SORT(IF((--($B227=Flowdown_BTE[[URS]:[URS]]))*(--(G$14=Flowdown_BTE[[Source.Name]:[Source.Name]])),Flowdown_BTE[[SyRS]:[SyRS]],"")))</f>
        <v>MASTER-18758
MASTER-50860</v>
      </c>
      <c r="H227" s="12" t="str" cm="1">
        <f t="array" ref="H227">_xlfn.TEXTJOIN(CHAR(10),TRUE,_xlfn._xlws.SORT(IF((--($B227=Flowdown_BTE[[URS]:[URS]]))*(--(H$14=Flowdown_BTE[[Source.Name]:[Source.Name]])),Flowdown_BTE[[SyRS]:[SyRS]],"")))</f>
        <v/>
      </c>
      <c r="I227" s="12" t="str" cm="1">
        <f t="array" ref="I227">_xlfn.TEXTJOIN(CHAR(10),TRUE,_xlfn._xlws.SORT(IF((--($B227=Flowdown_BTE[[URS]:[URS]]))*(--(I$14=Flowdown_BTE[[Source.Name]:[Source.Name]])),Flowdown_BTE[[SyRS]:[SyRS]],"")))</f>
        <v/>
      </c>
      <c r="J227" s="12" t="str" cm="1">
        <f t="array" ref="J227">_xlfn.TEXTJOIN(CHAR(10),TRUE,_xlfn._xlws.SORT(IF((--($B227=Flowdown_BTE[[URS]:[URS]]))*(--(J$14=Flowdown_BTE[[Source.Name]:[Source.Name]])),Flowdown_BTE[[SyRS]:[SyRS]],"")))</f>
        <v/>
      </c>
      <c r="K227" s="12" t="str" cm="1">
        <f t="array" ref="K227">_xlfn.TEXTJOIN(CHAR(10),TRUE,_xlfn._xlws.SORT(IF((--($B227=Flowdown_BTE[[URS]:[URS]]))*(--(K$14=Flowdown_BTE[[Source.Name]:[Source.Name]])),Flowdown_BTE[[SyRS]:[SyRS]],"")))</f>
        <v/>
      </c>
      <c r="L227" s="16" t="b" cm="1">
        <f t="array" ref="L227">OR(LEN(C227:K227)&gt;0)</f>
        <v>1</v>
      </c>
    </row>
    <row r="228" spans="2:12" ht="40.5" x14ac:dyDescent="0.2">
      <c r="B228" s="11" t="str">
        <v>MASTER-6476</v>
      </c>
      <c r="C228" s="12" t="str" cm="1">
        <f t="array" ref="C228">_xlfn.TEXTJOIN(CHAR(10),TRUE,_xlfn._xlws.SORT(IF((--($B228=Flowdown_BTE[[URS]:[URS]]))*(--(C$14=Flowdown_BTE[[Source.Name]:[Source.Name]])),Flowdown_BTE[[SyRS]:[SyRS]],"")))</f>
        <v>MASTER-18749
MASTER-18758</v>
      </c>
      <c r="D228" s="12" t="str" cm="1">
        <f t="array" ref="D228">_xlfn.TEXTJOIN(CHAR(10),TRUE,_xlfn._xlws.SORT(IF((--($B228=Flowdown_BTE[[URS]:[URS]]))*(--(D$14=Flowdown_BTE[[Source.Name]:[Source.Name]])),Flowdown_BTE[[SyRS]:[SyRS]],"")))</f>
        <v>MASTER-18749
MASTER-18758</v>
      </c>
      <c r="E228" s="12" t="str" cm="1">
        <f t="array" ref="E228">_xlfn.TEXTJOIN(CHAR(10),TRUE,_xlfn._xlws.SORT(IF((--($B228=Flowdown_BTE[[URS]:[URS]]))*(--(E$14=Flowdown_BTE[[Source.Name]:[Source.Name]])),Flowdown_BTE[[SyRS]:[SyRS]],"")))</f>
        <v>MASTER-18749
MASTER-18758</v>
      </c>
      <c r="F228" s="12" t="str" cm="1">
        <f t="array" ref="F228">_xlfn.TEXTJOIN(CHAR(10),TRUE,_xlfn._xlws.SORT(IF((--($B228=Flowdown_BTE[[URS]:[URS]]))*(--(F$14=Flowdown_BTE[[Source.Name]:[Source.Name]])),Flowdown_BTE[[SyRS]:[SyRS]],"")))</f>
        <v>MASTER-18749
MASTER-18758</v>
      </c>
      <c r="G228" s="12" t="str" cm="1">
        <f t="array" ref="G228">_xlfn.TEXTJOIN(CHAR(10),TRUE,_xlfn._xlws.SORT(IF((--($B228=Flowdown_BTE[[URS]:[URS]]))*(--(G$14=Flowdown_BTE[[Source.Name]:[Source.Name]])),Flowdown_BTE[[SyRS]:[SyRS]],"")))</f>
        <v>MASTER-18749
MASTER-18758</v>
      </c>
      <c r="H228" s="12" t="str" cm="1">
        <f t="array" ref="H228">_xlfn.TEXTJOIN(CHAR(10),TRUE,_xlfn._xlws.SORT(IF((--($B228=Flowdown_BTE[[URS]:[URS]]))*(--(H$14=Flowdown_BTE[[Source.Name]:[Source.Name]])),Flowdown_BTE[[SyRS]:[SyRS]],"")))</f>
        <v>MASTER-60896
MASTER-60897
MASTER-60900</v>
      </c>
      <c r="I228" s="12" t="str" cm="1">
        <f t="array" ref="I228">_xlfn.TEXTJOIN(CHAR(10),TRUE,_xlfn._xlws.SORT(IF((--($B228=Flowdown_BTE[[URS]:[URS]]))*(--(I$14=Flowdown_BTE[[Source.Name]:[Source.Name]])),Flowdown_BTE[[SyRS]:[SyRS]],"")))</f>
        <v/>
      </c>
      <c r="J228" s="12" t="str" cm="1">
        <f t="array" ref="J228">_xlfn.TEXTJOIN(CHAR(10),TRUE,_xlfn._xlws.SORT(IF((--($B228=Flowdown_BTE[[URS]:[URS]]))*(--(J$14=Flowdown_BTE[[Source.Name]:[Source.Name]])),Flowdown_BTE[[SyRS]:[SyRS]],"")))</f>
        <v/>
      </c>
      <c r="K228" s="12" t="str" cm="1">
        <f t="array" ref="K228">_xlfn.TEXTJOIN(CHAR(10),TRUE,_xlfn._xlws.SORT(IF((--($B228=Flowdown_BTE[[URS]:[URS]]))*(--(K$14=Flowdown_BTE[[Source.Name]:[Source.Name]])),Flowdown_BTE[[SyRS]:[SyRS]],"")))</f>
        <v>MASTER-60920</v>
      </c>
      <c r="L228" s="16" t="b" cm="1">
        <f t="array" ref="L228">OR(LEN(C228:K228)&gt;0)</f>
        <v>1</v>
      </c>
    </row>
    <row r="229" spans="2:12" ht="283.5" x14ac:dyDescent="0.2">
      <c r="B229" s="11" t="str">
        <v>MASTER-6479</v>
      </c>
      <c r="C229" s="12" t="str" cm="1">
        <f t="array" ref="C229">_xlfn.TEXTJOIN(CHAR(10),TRUE,_xlfn._xlws.SORT(IF((--($B229=Flowdown_BTE[[URS]:[URS]]))*(--(C$14=Flowdown_BTE[[Source.Name]:[Source.Name]])),Flowdown_BTE[[SyRS]:[SyRS]],"")))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D229" s="12" t="str" cm="1">
        <f t="array" ref="D229">_xlfn.TEXTJOIN(CHAR(10),TRUE,_xlfn._xlws.SORT(IF((--($B229=Flowdown_BTE[[URS]:[URS]]))*(--(D$14=Flowdown_BTE[[Source.Name]:[Source.Name]])),Flowdown_BTE[[SyRS]:[SyRS]],"")))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E229" s="12" t="str" cm="1">
        <f t="array" ref="E229">_xlfn.TEXTJOIN(CHAR(10),TRUE,_xlfn._xlws.SORT(IF((--($B229=Flowdown_BTE[[URS]:[URS]]))*(--(E$14=Flowdown_BTE[[Source.Name]:[Source.Name]])),Flowdown_BTE[[SyRS]:[SyRS]],"")))</f>
        <v>MASTER-18040
MASTER-18041
MASTER-18042
MASTER-18068
MASTER-18069
MASTER-18070
MASTER-18321
MASTER-18322
MASTER-18324
MASTER-18333
MASTER-42116</v>
      </c>
      <c r="F229" s="12" t="str" cm="1">
        <f t="array" ref="F229">_xlfn.TEXTJOIN(CHAR(10),TRUE,_xlfn._xlws.SORT(IF((--($B229=Flowdown_BTE[[URS]:[URS]]))*(--(F$14=Flowdown_BTE[[Source.Name]:[Source.Name]])),Flowdown_BTE[[SyRS]:[SyRS]],"")))</f>
        <v>MASTER-18040
MASTER-18041
MASTER-18042
MASTER-18068
MASTER-18069
MASTER-18070
MASTER-18321
MASTER-18322
MASTER-18324
MASTER-18333
MASTER-42116</v>
      </c>
      <c r="G229" s="12" t="str" cm="1">
        <f t="array" ref="G229">_xlfn.TEXTJOIN(CHAR(10),TRUE,_xlfn._xlws.SORT(IF((--($B229=Flowdown_BTE[[URS]:[URS]]))*(--(G$14=Flowdown_BTE[[Source.Name]:[Source.Name]])),Flowdown_BTE[[SyRS]:[SyRS]],"")))</f>
        <v>MASTER-18040
MASTER-18041
MASTER-18042
MASTER-18068
MASTER-18069
MASTER-18070
MASTER-18321
MASTER-18322
MASTER-18324
MASTER-18333
MASTER-42116</v>
      </c>
      <c r="H229" s="12" t="str" cm="1">
        <f t="array" ref="H229">_xlfn.TEXTJOIN(CHAR(10),TRUE,_xlfn._xlws.SORT(IF((--($B229=Flowdown_BTE[[URS]:[URS]]))*(--(H$14=Flowdown_BTE[[Source.Name]:[Source.Name]])),Flowdown_BTE[[SyRS]:[SyRS]],"")))</f>
        <v/>
      </c>
      <c r="I229" s="12" t="str" cm="1">
        <f t="array" ref="I229">_xlfn.TEXTJOIN(CHAR(10),TRUE,_xlfn._xlws.SORT(IF((--($B229=Flowdown_BTE[[URS]:[URS]]))*(--(I$14=Flowdown_BTE[[Source.Name]:[Source.Name]])),Flowdown_BTE[[SyRS]:[SyRS]],"")))</f>
        <v/>
      </c>
      <c r="J229" s="12" t="str" cm="1">
        <f t="array" ref="J229">_xlfn.TEXTJOIN(CHAR(10),TRUE,_xlfn._xlws.SORT(IF((--($B229=Flowdown_BTE[[URS]:[URS]]))*(--(J$14=Flowdown_BTE[[Source.Name]:[Source.Name]])),Flowdown_BTE[[SyRS]:[SyRS]],"")))</f>
        <v/>
      </c>
      <c r="K229" s="12" t="str" cm="1">
        <f t="array" ref="K229">_xlfn.TEXTJOIN(CHAR(10),TRUE,_xlfn._xlws.SORT(IF((--($B229=Flowdown_BTE[[URS]:[URS]]))*(--(K$14=Flowdown_BTE[[Source.Name]:[Source.Name]])),Flowdown_BTE[[SyRS]:[SyRS]],"")))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29" s="16" t="b" cm="1">
        <f t="array" ref="L229">OR(LEN(C229:K229)&gt;0)</f>
        <v>1</v>
      </c>
    </row>
    <row r="230" spans="2:12" ht="40.5" x14ac:dyDescent="0.2">
      <c r="B230" s="11" t="str">
        <v>MASTER-6481</v>
      </c>
      <c r="C230" s="12" t="str" cm="1">
        <f t="array" ref="C230">_xlfn.TEXTJOIN(CHAR(10),TRUE,_xlfn._xlws.SORT(IF((--($B230=Flowdown_BTE[[URS]:[URS]]))*(--(C$14=Flowdown_BTE[[Source.Name]:[Source.Name]])),Flowdown_BTE[[SyRS]:[SyRS]],"")))</f>
        <v>MASTER-60681</v>
      </c>
      <c r="D230" s="12" t="str" cm="1">
        <f t="array" ref="D230">_xlfn.TEXTJOIN(CHAR(10),TRUE,_xlfn._xlws.SORT(IF((--($B230=Flowdown_BTE[[URS]:[URS]]))*(--(D$14=Flowdown_BTE[[Source.Name]:[Source.Name]])),Flowdown_BTE[[SyRS]:[SyRS]],"")))</f>
        <v>MASTER-60675
MASTER-60681</v>
      </c>
      <c r="E230" s="12" t="str" cm="1">
        <f t="array" ref="E230">_xlfn.TEXTJOIN(CHAR(10),TRUE,_xlfn._xlws.SORT(IF((--($B230=Flowdown_BTE[[URS]:[URS]]))*(--(E$14=Flowdown_BTE[[Source.Name]:[Source.Name]])),Flowdown_BTE[[SyRS]:[SyRS]],"")))</f>
        <v>MASTER-60675</v>
      </c>
      <c r="F230" s="12" t="str" cm="1">
        <f t="array" ref="F230">_xlfn.TEXTJOIN(CHAR(10),TRUE,_xlfn._xlws.SORT(IF((--($B230=Flowdown_BTE[[URS]:[URS]]))*(--(F$14=Flowdown_BTE[[Source.Name]:[Source.Name]])),Flowdown_BTE[[SyRS]:[SyRS]],"")))</f>
        <v>MASTER-60675
MASTER-60681</v>
      </c>
      <c r="G230" s="12" t="str" cm="1">
        <f t="array" ref="G230">_xlfn.TEXTJOIN(CHAR(10),TRUE,_xlfn._xlws.SORT(IF((--($B230=Flowdown_BTE[[URS]:[URS]]))*(--(G$14=Flowdown_BTE[[Source.Name]:[Source.Name]])),Flowdown_BTE[[SyRS]:[SyRS]],"")))</f>
        <v>MASTER-60675
MASTER-60681</v>
      </c>
      <c r="H230" s="12" t="str" cm="1">
        <f t="array" ref="H230">_xlfn.TEXTJOIN(CHAR(10),TRUE,_xlfn._xlws.SORT(IF((--($B230=Flowdown_BTE[[URS]:[URS]]))*(--(H$14=Flowdown_BTE[[Source.Name]:[Source.Name]])),Flowdown_BTE[[SyRS]:[SyRS]],"")))</f>
        <v>MASTER-21931</v>
      </c>
      <c r="I230" s="12" t="str" cm="1">
        <f t="array" ref="I230">_xlfn.TEXTJOIN(CHAR(10),TRUE,_xlfn._xlws.SORT(IF((--($B230=Flowdown_BTE[[URS]:[URS]]))*(--(I$14=Flowdown_BTE[[Source.Name]:[Source.Name]])),Flowdown_BTE[[SyRS]:[SyRS]],"")))</f>
        <v/>
      </c>
      <c r="J230" s="12" t="str" cm="1">
        <f t="array" ref="J230">_xlfn.TEXTJOIN(CHAR(10),TRUE,_xlfn._xlws.SORT(IF((--($B230=Flowdown_BTE[[URS]:[URS]]))*(--(J$14=Flowdown_BTE[[Source.Name]:[Source.Name]])),Flowdown_BTE[[SyRS]:[SyRS]],"")))</f>
        <v/>
      </c>
      <c r="K230" s="12" t="str" cm="1">
        <f t="array" ref="K230">_xlfn.TEXTJOIN(CHAR(10),TRUE,_xlfn._xlws.SORT(IF((--($B230=Flowdown_BTE[[URS]:[URS]]))*(--(K$14=Flowdown_BTE[[Source.Name]:[Source.Name]])),Flowdown_BTE[[SyRS]:[SyRS]],"")))</f>
        <v>MASTER-16494
MASTER-16495
MASTER-51247</v>
      </c>
      <c r="L230" s="16" t="b" cm="1">
        <f t="array" ref="L230">OR(LEN(C230:K230)&gt;0)</f>
        <v>1</v>
      </c>
    </row>
    <row r="231" spans="2:12" ht="40.5" x14ac:dyDescent="0.2">
      <c r="B231" s="11" t="str">
        <v>MASTER-6482</v>
      </c>
      <c r="C231" s="12" t="str" cm="1">
        <f t="array" ref="C231">_xlfn.TEXTJOIN(CHAR(10),TRUE,_xlfn._xlws.SORT(IF((--($B231=Flowdown_BTE[[URS]:[URS]]))*(--(C$14=Flowdown_BTE[[Source.Name]:[Source.Name]])),Flowdown_BTE[[SyRS]:[SyRS]],"")))</f>
        <v>MASTER-19249</v>
      </c>
      <c r="D231" s="12" t="str" cm="1">
        <f t="array" ref="D231">_xlfn.TEXTJOIN(CHAR(10),TRUE,_xlfn._xlws.SORT(IF((--($B231=Flowdown_BTE[[URS]:[URS]]))*(--(D$14=Flowdown_BTE[[Source.Name]:[Source.Name]])),Flowdown_BTE[[SyRS]:[SyRS]],"")))</f>
        <v>MASTER-19249</v>
      </c>
      <c r="E231" s="12" t="str" cm="1">
        <f t="array" ref="E231">_xlfn.TEXTJOIN(CHAR(10),TRUE,_xlfn._xlws.SORT(IF((--($B231=Flowdown_BTE[[URS]:[URS]]))*(--(E$14=Flowdown_BTE[[Source.Name]:[Source.Name]])),Flowdown_BTE[[SyRS]:[SyRS]],"")))</f>
        <v>MASTER-19249</v>
      </c>
      <c r="F231" s="12" t="str" cm="1">
        <f t="array" ref="F231">_xlfn.TEXTJOIN(CHAR(10),TRUE,_xlfn._xlws.SORT(IF((--($B231=Flowdown_BTE[[URS]:[URS]]))*(--(F$14=Flowdown_BTE[[Source.Name]:[Source.Name]])),Flowdown_BTE[[SyRS]:[SyRS]],"")))</f>
        <v>MASTER-19249</v>
      </c>
      <c r="G231" s="12" t="str" cm="1">
        <f t="array" ref="G231">_xlfn.TEXTJOIN(CHAR(10),TRUE,_xlfn._xlws.SORT(IF((--($B231=Flowdown_BTE[[URS]:[URS]]))*(--(G$14=Flowdown_BTE[[Source.Name]:[Source.Name]])),Flowdown_BTE[[SyRS]:[SyRS]],"")))</f>
        <v>MASTER-19249</v>
      </c>
      <c r="H231" s="12" t="str" cm="1">
        <f t="array" ref="H231">_xlfn.TEXTJOIN(CHAR(10),TRUE,_xlfn._xlws.SORT(IF((--($B231=Flowdown_BTE[[URS]:[URS]]))*(--(H$14=Flowdown_BTE[[Source.Name]:[Source.Name]])),Flowdown_BTE[[SyRS]:[SyRS]],"")))</f>
        <v/>
      </c>
      <c r="I231" s="12" t="str" cm="1">
        <f t="array" ref="I231">_xlfn.TEXTJOIN(CHAR(10),TRUE,_xlfn._xlws.SORT(IF((--($B231=Flowdown_BTE[[URS]:[URS]]))*(--(I$14=Flowdown_BTE[[Source.Name]:[Source.Name]])),Flowdown_BTE[[SyRS]:[SyRS]],"")))</f>
        <v>MASTER-20021
MASTER-64822
UTICA-209</v>
      </c>
      <c r="J231" s="12" t="str" cm="1">
        <f t="array" ref="J231">_xlfn.TEXTJOIN(CHAR(10),TRUE,_xlfn._xlws.SORT(IF((--($B231=Flowdown_BTE[[URS]:[URS]]))*(--(J$14=Flowdown_BTE[[Source.Name]:[Source.Name]])),Flowdown_BTE[[SyRS]:[SyRS]],"")))</f>
        <v/>
      </c>
      <c r="K231" s="12" t="str" cm="1">
        <f t="array" ref="K231">_xlfn.TEXTJOIN(CHAR(10),TRUE,_xlfn._xlws.SORT(IF((--($B231=Flowdown_BTE[[URS]:[URS]]))*(--(K$14=Flowdown_BTE[[Source.Name]:[Source.Name]])),Flowdown_BTE[[SyRS]:[SyRS]],"")))</f>
        <v/>
      </c>
      <c r="L231" s="16" t="b" cm="1">
        <f t="array" ref="L231">OR(LEN(C231:K231)&gt;0)</f>
        <v>1</v>
      </c>
    </row>
    <row r="232" spans="2:12" ht="40.5" x14ac:dyDescent="0.2">
      <c r="B232" s="11" t="str">
        <v>MASTER-6484</v>
      </c>
      <c r="C232" s="12" t="str" cm="1">
        <f t="array" ref="C232">_xlfn.TEXTJOIN(CHAR(10),TRUE,_xlfn._xlws.SORT(IF((--($B232=Flowdown_BTE[[URS]:[URS]]))*(--(C$14=Flowdown_BTE[[Source.Name]:[Source.Name]])),Flowdown_BTE[[SyRS]:[SyRS]],"")))</f>
        <v>MASTER-18334
MASTER-19473
MASTER-19474</v>
      </c>
      <c r="D232" s="12" t="str" cm="1">
        <f t="array" ref="D232">_xlfn.TEXTJOIN(CHAR(10),TRUE,_xlfn._xlws.SORT(IF((--($B232=Flowdown_BTE[[URS]:[URS]]))*(--(D$14=Flowdown_BTE[[Source.Name]:[Source.Name]])),Flowdown_BTE[[SyRS]:[SyRS]],"")))</f>
        <v>MASTER-18334
MASTER-19473
MASTER-19474</v>
      </c>
      <c r="E232" s="12" t="str" cm="1">
        <f t="array" ref="E232">_xlfn.TEXTJOIN(CHAR(10),TRUE,_xlfn._xlws.SORT(IF((--($B232=Flowdown_BTE[[URS]:[URS]]))*(--(E$14=Flowdown_BTE[[Source.Name]:[Source.Name]])),Flowdown_BTE[[SyRS]:[SyRS]],"")))</f>
        <v>MASTER-18334</v>
      </c>
      <c r="F232" s="12" t="str" cm="1">
        <f t="array" ref="F232">_xlfn.TEXTJOIN(CHAR(10),TRUE,_xlfn._xlws.SORT(IF((--($B232=Flowdown_BTE[[URS]:[URS]]))*(--(F$14=Flowdown_BTE[[Source.Name]:[Source.Name]])),Flowdown_BTE[[SyRS]:[SyRS]],"")))</f>
        <v>MASTER-18334</v>
      </c>
      <c r="G232" s="12" t="str" cm="1">
        <f t="array" ref="G232">_xlfn.TEXTJOIN(CHAR(10),TRUE,_xlfn._xlws.SORT(IF((--($B232=Flowdown_BTE[[URS]:[URS]]))*(--(G$14=Flowdown_BTE[[Source.Name]:[Source.Name]])),Flowdown_BTE[[SyRS]:[SyRS]],"")))</f>
        <v>MASTER-18334</v>
      </c>
      <c r="H232" s="12" t="str" cm="1">
        <f t="array" ref="H232">_xlfn.TEXTJOIN(CHAR(10),TRUE,_xlfn._xlws.SORT(IF((--($B232=Flowdown_BTE[[URS]:[URS]]))*(--(H$14=Flowdown_BTE[[Source.Name]:[Source.Name]])),Flowdown_BTE[[SyRS]:[SyRS]],"")))</f>
        <v/>
      </c>
      <c r="I232" s="12" t="str" cm="1">
        <f t="array" ref="I232">_xlfn.TEXTJOIN(CHAR(10),TRUE,_xlfn._xlws.SORT(IF((--($B232=Flowdown_BTE[[URS]:[URS]]))*(--(I$14=Flowdown_BTE[[Source.Name]:[Source.Name]])),Flowdown_BTE[[SyRS]:[SyRS]],"")))</f>
        <v/>
      </c>
      <c r="J232" s="12" t="str" cm="1">
        <f t="array" ref="J232">_xlfn.TEXTJOIN(CHAR(10),TRUE,_xlfn._xlws.SORT(IF((--($B232=Flowdown_BTE[[URS]:[URS]]))*(--(J$14=Flowdown_BTE[[Source.Name]:[Source.Name]])),Flowdown_BTE[[SyRS]:[SyRS]],"")))</f>
        <v/>
      </c>
      <c r="K232" s="12" t="str" cm="1">
        <f t="array" ref="K232">_xlfn.TEXTJOIN(CHAR(10),TRUE,_xlfn._xlws.SORT(IF((--($B232=Flowdown_BTE[[URS]:[URS]]))*(--(K$14=Flowdown_BTE[[Source.Name]:[Source.Name]])),Flowdown_BTE[[SyRS]:[SyRS]],"")))</f>
        <v/>
      </c>
      <c r="L232" s="16" t="b" cm="1">
        <f t="array" ref="L232">OR(LEN(C232:K232)&gt;0)</f>
        <v>1</v>
      </c>
    </row>
    <row r="233" spans="2:12" ht="67.5" x14ac:dyDescent="0.2">
      <c r="B233" s="11" t="str">
        <v>MASTER-6485</v>
      </c>
      <c r="C233" s="12" t="str" cm="1">
        <f t="array" ref="C233">_xlfn.TEXTJOIN(CHAR(10),TRUE,_xlfn._xlws.SORT(IF((--($B233=Flowdown_BTE[[URS]:[URS]]))*(--(C$14=Flowdown_BTE[[Source.Name]:[Source.Name]])),Flowdown_BTE[[SyRS]:[SyRS]],"")))</f>
        <v>MASTER-18225
MASTER-18227
MASTER-18282
MASTER-18334
MASTER-19473</v>
      </c>
      <c r="D233" s="12" t="str" cm="1">
        <f t="array" ref="D233">_xlfn.TEXTJOIN(CHAR(10),TRUE,_xlfn._xlws.SORT(IF((--($B233=Flowdown_BTE[[URS]:[URS]]))*(--(D$14=Flowdown_BTE[[Source.Name]:[Source.Name]])),Flowdown_BTE[[SyRS]:[SyRS]],"")))</f>
        <v>MASTER-18225
MASTER-18227
MASTER-18282
MASTER-18334
MASTER-19473</v>
      </c>
      <c r="E233" s="12" t="str" cm="1">
        <f t="array" ref="E233">_xlfn.TEXTJOIN(CHAR(10),TRUE,_xlfn._xlws.SORT(IF((--($B233=Flowdown_BTE[[URS]:[URS]]))*(--(E$14=Flowdown_BTE[[Source.Name]:[Source.Name]])),Flowdown_BTE[[SyRS]:[SyRS]],"")))</f>
        <v>MASTER-18225
MASTER-18227
MASTER-18282
MASTER-18334</v>
      </c>
      <c r="F233" s="12" t="str" cm="1">
        <f t="array" ref="F233">_xlfn.TEXTJOIN(CHAR(10),TRUE,_xlfn._xlws.SORT(IF((--($B233=Flowdown_BTE[[URS]:[URS]]))*(--(F$14=Flowdown_BTE[[Source.Name]:[Source.Name]])),Flowdown_BTE[[SyRS]:[SyRS]],"")))</f>
        <v>MASTER-18225
MASTER-18227
MASTER-18282
MASTER-18334</v>
      </c>
      <c r="G233" s="12" t="str" cm="1">
        <f t="array" ref="G233">_xlfn.TEXTJOIN(CHAR(10),TRUE,_xlfn._xlws.SORT(IF((--($B233=Flowdown_BTE[[URS]:[URS]]))*(--(G$14=Flowdown_BTE[[Source.Name]:[Source.Name]])),Flowdown_BTE[[SyRS]:[SyRS]],"")))</f>
        <v>MASTER-18225
MASTER-18227
MASTER-18282
MASTER-18334</v>
      </c>
      <c r="H233" s="12" t="str" cm="1">
        <f t="array" ref="H233">_xlfn.TEXTJOIN(CHAR(10),TRUE,_xlfn._xlws.SORT(IF((--($B233=Flowdown_BTE[[URS]:[URS]]))*(--(H$14=Flowdown_BTE[[Source.Name]:[Source.Name]])),Flowdown_BTE[[SyRS]:[SyRS]],"")))</f>
        <v/>
      </c>
      <c r="I233" s="12" t="str" cm="1">
        <f t="array" ref="I233">_xlfn.TEXTJOIN(CHAR(10),TRUE,_xlfn._xlws.SORT(IF((--($B233=Flowdown_BTE[[URS]:[URS]]))*(--(I$14=Flowdown_BTE[[Source.Name]:[Source.Name]])),Flowdown_BTE[[SyRS]:[SyRS]],"")))</f>
        <v/>
      </c>
      <c r="J233" s="12" t="str" cm="1">
        <f t="array" ref="J233">_xlfn.TEXTJOIN(CHAR(10),TRUE,_xlfn._xlws.SORT(IF((--($B233=Flowdown_BTE[[URS]:[URS]]))*(--(J$14=Flowdown_BTE[[Source.Name]:[Source.Name]])),Flowdown_BTE[[SyRS]:[SyRS]],"")))</f>
        <v/>
      </c>
      <c r="K233" s="12" t="str" cm="1">
        <f t="array" ref="K233">_xlfn.TEXTJOIN(CHAR(10),TRUE,_xlfn._xlws.SORT(IF((--($B233=Flowdown_BTE[[URS]:[URS]]))*(--(K$14=Flowdown_BTE[[Source.Name]:[Source.Name]])),Flowdown_BTE[[SyRS]:[SyRS]],"")))</f>
        <v/>
      </c>
      <c r="L233" s="16" t="b" cm="1">
        <f t="array" ref="L233">OR(LEN(C233:K233)&gt;0)</f>
        <v>1</v>
      </c>
    </row>
    <row r="234" spans="2:12" ht="256.5" x14ac:dyDescent="0.2">
      <c r="B234" s="11" t="str">
        <v>MASTER-6488</v>
      </c>
      <c r="C234" s="12" t="str" cm="1">
        <f t="array" ref="C234">_xlfn.TEXTJOIN(CHAR(10),TRUE,_xlfn._xlws.SORT(IF((--($B234=Flowdown_BTE[[URS]:[URS]]))*(--(C$14=Flowdown_BTE[[Source.Name]:[Source.Name]])),Flowdown_BTE[[SyRS]:[SyRS]],"")))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34" s="12" t="str" cm="1">
        <f t="array" ref="D234">_xlfn.TEXTJOIN(CHAR(10),TRUE,_xlfn._xlws.SORT(IF((--($B234=Flowdown_BTE[[URS]:[URS]]))*(--(D$14=Flowdown_BTE[[Source.Name]:[Source.Name]])),Flowdown_BTE[[SyRS]:[SyRS]],"")))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34" s="12" t="str" cm="1">
        <f t="array" ref="E234">_xlfn.TEXTJOIN(CHAR(10),TRUE,_xlfn._xlws.SORT(IF((--($B234=Flowdown_BTE[[URS]:[URS]]))*(--(E$14=Flowdown_BTE[[Source.Name]:[Source.Name]])),Flowdown_BTE[[SyRS]:[SyRS]],"")))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34" s="12" t="str" cm="1">
        <f t="array" ref="F234">_xlfn.TEXTJOIN(CHAR(10),TRUE,_xlfn._xlws.SORT(IF((--($B234=Flowdown_BTE[[URS]:[URS]]))*(--(F$14=Flowdown_BTE[[Source.Name]:[Source.Name]])),Flowdown_BTE[[SyRS]:[SyRS]],"")))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34" s="12" t="str" cm="1">
        <f t="array" ref="G234">_xlfn.TEXTJOIN(CHAR(10),TRUE,_xlfn._xlws.SORT(IF((--($B234=Flowdown_BTE[[URS]:[URS]]))*(--(G$14=Flowdown_BTE[[Source.Name]:[Source.Name]])),Flowdown_BTE[[SyRS]:[SyRS]],"")))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34" s="12" t="str" cm="1">
        <f t="array" ref="H234">_xlfn.TEXTJOIN(CHAR(10),TRUE,_xlfn._xlws.SORT(IF((--($B234=Flowdown_BTE[[URS]:[URS]]))*(--(H$14=Flowdown_BTE[[Source.Name]:[Source.Name]])),Flowdown_BTE[[SyRS]:[SyRS]],"")))</f>
        <v>MASTER-22138
MASTER-60812</v>
      </c>
      <c r="I234" s="12" t="str" cm="1">
        <f t="array" ref="I234">_xlfn.TEXTJOIN(CHAR(10),TRUE,_xlfn._xlws.SORT(IF((--($B234=Flowdown_BTE[[URS]:[URS]]))*(--(I$14=Flowdown_BTE[[Source.Name]:[Source.Name]])),Flowdown_BTE[[SyRS]:[SyRS]],"")))</f>
        <v/>
      </c>
      <c r="J234" s="12" t="str" cm="1">
        <f t="array" ref="J234">_xlfn.TEXTJOIN(CHAR(10),TRUE,_xlfn._xlws.SORT(IF((--($B234=Flowdown_BTE[[URS]:[URS]]))*(--(J$14=Flowdown_BTE[[Source.Name]:[Source.Name]])),Flowdown_BTE[[SyRS]:[SyRS]],"")))</f>
        <v/>
      </c>
      <c r="K234" s="12" t="str" cm="1">
        <f t="array" ref="K234">_xlfn.TEXTJOIN(CHAR(10),TRUE,_xlfn._xlws.SORT(IF((--($B234=Flowdown_BTE[[URS]:[URS]]))*(--(K$14=Flowdown_BTE[[Source.Name]:[Source.Name]])),Flowdown_BTE[[SyRS]:[SyRS]],"")))</f>
        <v/>
      </c>
      <c r="L234" s="16" t="b" cm="1">
        <f t="array" ref="L234">OR(LEN(C234:K234)&gt;0)</f>
        <v>1</v>
      </c>
    </row>
    <row r="235" spans="2:12" ht="27" x14ac:dyDescent="0.2">
      <c r="B235" s="11" t="str">
        <v>MASTER-6489</v>
      </c>
      <c r="C235" s="12" t="str" cm="1">
        <f t="array" ref="C235">_xlfn.TEXTJOIN(CHAR(10),TRUE,_xlfn._xlws.SORT(IF((--($B235=Flowdown_BTE[[URS]:[URS]]))*(--(C$14=Flowdown_BTE[[Source.Name]:[Source.Name]])),Flowdown_BTE[[SyRS]:[SyRS]],"")))</f>
        <v>MASTER-19493</v>
      </c>
      <c r="D235" s="12" t="str" cm="1">
        <f t="array" ref="D235">_xlfn.TEXTJOIN(CHAR(10),TRUE,_xlfn._xlws.SORT(IF((--($B235=Flowdown_BTE[[URS]:[URS]]))*(--(D$14=Flowdown_BTE[[Source.Name]:[Source.Name]])),Flowdown_BTE[[SyRS]:[SyRS]],"")))</f>
        <v>MASTER-19493</v>
      </c>
      <c r="E235" s="12" t="str" cm="1">
        <f t="array" ref="E235">_xlfn.TEXTJOIN(CHAR(10),TRUE,_xlfn._xlws.SORT(IF((--($B235=Flowdown_BTE[[URS]:[URS]]))*(--(E$14=Flowdown_BTE[[Source.Name]:[Source.Name]])),Flowdown_BTE[[SyRS]:[SyRS]],"")))</f>
        <v/>
      </c>
      <c r="F235" s="12" t="str" cm="1">
        <f t="array" ref="F235">_xlfn.TEXTJOIN(CHAR(10),TRUE,_xlfn._xlws.SORT(IF((--($B235=Flowdown_BTE[[URS]:[URS]]))*(--(F$14=Flowdown_BTE[[Source.Name]:[Source.Name]])),Flowdown_BTE[[SyRS]:[SyRS]],"")))</f>
        <v/>
      </c>
      <c r="G235" s="12" t="str" cm="1">
        <f t="array" ref="G235">_xlfn.TEXTJOIN(CHAR(10),TRUE,_xlfn._xlws.SORT(IF((--($B235=Flowdown_BTE[[URS]:[URS]]))*(--(G$14=Flowdown_BTE[[Source.Name]:[Source.Name]])),Flowdown_BTE[[SyRS]:[SyRS]],"")))</f>
        <v/>
      </c>
      <c r="H235" s="12" t="str" cm="1">
        <f t="array" ref="H235">_xlfn.TEXTJOIN(CHAR(10),TRUE,_xlfn._xlws.SORT(IF((--($B235=Flowdown_BTE[[URS]:[URS]]))*(--(H$14=Flowdown_BTE[[Source.Name]:[Source.Name]])),Flowdown_BTE[[SyRS]:[SyRS]],"")))</f>
        <v>MASTER-22090
MASTER-22115</v>
      </c>
      <c r="I235" s="12" t="str" cm="1">
        <f t="array" ref="I235">_xlfn.TEXTJOIN(CHAR(10),TRUE,_xlfn._xlws.SORT(IF((--($B235=Flowdown_BTE[[URS]:[URS]]))*(--(I$14=Flowdown_BTE[[Source.Name]:[Source.Name]])),Flowdown_BTE[[SyRS]:[SyRS]],"")))</f>
        <v/>
      </c>
      <c r="J235" s="12" t="str" cm="1">
        <f t="array" ref="J235">_xlfn.TEXTJOIN(CHAR(10),TRUE,_xlfn._xlws.SORT(IF((--($B235=Flowdown_BTE[[URS]:[URS]]))*(--(J$14=Flowdown_BTE[[Source.Name]:[Source.Name]])),Flowdown_BTE[[SyRS]:[SyRS]],"")))</f>
        <v/>
      </c>
      <c r="K235" s="12" t="str" cm="1">
        <f t="array" ref="K235">_xlfn.TEXTJOIN(CHAR(10),TRUE,_xlfn._xlws.SORT(IF((--($B235=Flowdown_BTE[[URS]:[URS]]))*(--(K$14=Flowdown_BTE[[Source.Name]:[Source.Name]])),Flowdown_BTE[[SyRS]:[SyRS]],"")))</f>
        <v/>
      </c>
      <c r="L235" s="16" t="b" cm="1">
        <f t="array" ref="L235">OR(LEN(C235:K235)&gt;0)</f>
        <v>1</v>
      </c>
    </row>
    <row r="236" spans="2:12" ht="162" x14ac:dyDescent="0.2">
      <c r="B236" s="11" t="str">
        <v>MASTER-6490</v>
      </c>
      <c r="C236" s="12" t="str" cm="1">
        <f t="array" ref="C236">_xlfn.TEXTJOIN(CHAR(10),TRUE,_xlfn._xlws.SORT(IF((--($B236=Flowdown_BTE[[URS]:[URS]]))*(--(C$14=Flowdown_BTE[[Source.Name]:[Source.Name]])),Flowdown_BTE[[SyRS]:[SyRS]],"")))</f>
        <v>MASTER-60742
MASTER-60743
MASTER-60745
MASTER-60749</v>
      </c>
      <c r="D236" s="12" t="str" cm="1">
        <f t="array" ref="D236">_xlfn.TEXTJOIN(CHAR(10),TRUE,_xlfn._xlws.SORT(IF((--($B236=Flowdown_BTE[[URS]:[URS]]))*(--(D$14=Flowdown_BTE[[Source.Name]:[Source.Name]])),Flowdown_BTE[[SyRS]:[SyRS]],"")))</f>
        <v>MASTER-60742
MASTER-60743
MASTER-60745
MASTER-60749</v>
      </c>
      <c r="E236" s="12" t="str" cm="1">
        <f t="array" ref="E236">_xlfn.TEXTJOIN(CHAR(10),TRUE,_xlfn._xlws.SORT(IF((--($B236=Flowdown_BTE[[URS]:[URS]]))*(--(E$14=Flowdown_BTE[[Source.Name]:[Source.Name]])),Flowdown_BTE[[SyRS]:[SyRS]],"")))</f>
        <v>MASTER-60742
MASTER-60743
MASTER-60745
MASTER-60749</v>
      </c>
      <c r="F236" s="12" t="str" cm="1">
        <f t="array" ref="F236">_xlfn.TEXTJOIN(CHAR(10),TRUE,_xlfn._xlws.SORT(IF((--($B236=Flowdown_BTE[[URS]:[URS]]))*(--(F$14=Flowdown_BTE[[Source.Name]:[Source.Name]])),Flowdown_BTE[[SyRS]:[SyRS]],"")))</f>
        <v>MASTER-60742
MASTER-60743
MASTER-60745
MASTER-60749</v>
      </c>
      <c r="G236" s="12" t="str" cm="1">
        <f t="array" ref="G236">_xlfn.TEXTJOIN(CHAR(10),TRUE,_xlfn._xlws.SORT(IF((--($B236=Flowdown_BTE[[URS]:[URS]]))*(--(G$14=Flowdown_BTE[[Source.Name]:[Source.Name]])),Flowdown_BTE[[SyRS]:[SyRS]],"")))</f>
        <v>MASTER-60742
MASTER-60743
MASTER-60745
MASTER-60749</v>
      </c>
      <c r="H236" s="12" t="str" cm="1">
        <f t="array" ref="H236">_xlfn.TEXTJOIN(CHAR(10),TRUE,_xlfn._xlws.SORT(IF((--($B236=Flowdown_BTE[[URS]:[URS]]))*(--(H$14=Flowdown_BTE[[Source.Name]:[Source.Name]])),Flowdown_BTE[[SyRS]:[SyRS]],"")))</f>
        <v>MASTER-22593
MASTER-22594
MASTER-22595
MASTER-22596
MASTER-22597
MASTER-22598
MASTER-22600
MASTER-22601
MASTER-60809
MASTER-60815
MASTER-60818
MASTER-60819</v>
      </c>
      <c r="I236" s="12" t="str" cm="1">
        <f t="array" ref="I236">_xlfn.TEXTJOIN(CHAR(10),TRUE,_xlfn._xlws.SORT(IF((--($B236=Flowdown_BTE[[URS]:[URS]]))*(--(I$14=Flowdown_BTE[[Source.Name]:[Source.Name]])),Flowdown_BTE[[SyRS]:[SyRS]],"")))</f>
        <v/>
      </c>
      <c r="J236" s="12" t="str" cm="1">
        <f t="array" ref="J236">_xlfn.TEXTJOIN(CHAR(10),TRUE,_xlfn._xlws.SORT(IF((--($B236=Flowdown_BTE[[URS]:[URS]]))*(--(J$14=Flowdown_BTE[[Source.Name]:[Source.Name]])),Flowdown_BTE[[SyRS]:[SyRS]],"")))</f>
        <v/>
      </c>
      <c r="K236" s="12" t="str" cm="1">
        <f t="array" ref="K236">_xlfn.TEXTJOIN(CHAR(10),TRUE,_xlfn._xlws.SORT(IF((--($B236=Flowdown_BTE[[URS]:[URS]]))*(--(K$14=Flowdown_BTE[[Source.Name]:[Source.Name]])),Flowdown_BTE[[SyRS]:[SyRS]],"")))</f>
        <v/>
      </c>
      <c r="L236" s="16" t="b" cm="1">
        <f t="array" ref="L236">OR(LEN(C236:K236)&gt;0)</f>
        <v>1</v>
      </c>
    </row>
    <row r="237" spans="2:12" ht="13.5" x14ac:dyDescent="0.2">
      <c r="B237" s="11" t="str">
        <v>MASTER-6491</v>
      </c>
      <c r="C237" s="12" t="str" cm="1">
        <f t="array" ref="C237">_xlfn.TEXTJOIN(CHAR(10),TRUE,_xlfn._xlws.SORT(IF((--($B237=Flowdown_BTE[[URS]:[URS]]))*(--(C$14=Flowdown_BTE[[Source.Name]:[Source.Name]])),Flowdown_BTE[[SyRS]:[SyRS]],"")))</f>
        <v>MASTER-60745</v>
      </c>
      <c r="D237" s="12" t="str" cm="1">
        <f t="array" ref="D237">_xlfn.TEXTJOIN(CHAR(10),TRUE,_xlfn._xlws.SORT(IF((--($B237=Flowdown_BTE[[URS]:[URS]]))*(--(D$14=Flowdown_BTE[[Source.Name]:[Source.Name]])),Flowdown_BTE[[SyRS]:[SyRS]],"")))</f>
        <v>MASTER-60745</v>
      </c>
      <c r="E237" s="12" t="str" cm="1">
        <f t="array" ref="E237">_xlfn.TEXTJOIN(CHAR(10),TRUE,_xlfn._xlws.SORT(IF((--($B237=Flowdown_BTE[[URS]:[URS]]))*(--(E$14=Flowdown_BTE[[Source.Name]:[Source.Name]])),Flowdown_BTE[[SyRS]:[SyRS]],"")))</f>
        <v>MASTER-60745</v>
      </c>
      <c r="F237" s="12" t="str" cm="1">
        <f t="array" ref="F237">_xlfn.TEXTJOIN(CHAR(10),TRUE,_xlfn._xlws.SORT(IF((--($B237=Flowdown_BTE[[URS]:[URS]]))*(--(F$14=Flowdown_BTE[[Source.Name]:[Source.Name]])),Flowdown_BTE[[SyRS]:[SyRS]],"")))</f>
        <v>MASTER-60745</v>
      </c>
      <c r="G237" s="12" t="str" cm="1">
        <f t="array" ref="G237">_xlfn.TEXTJOIN(CHAR(10),TRUE,_xlfn._xlws.SORT(IF((--($B237=Flowdown_BTE[[URS]:[URS]]))*(--(G$14=Flowdown_BTE[[Source.Name]:[Source.Name]])),Flowdown_BTE[[SyRS]:[SyRS]],"")))</f>
        <v>MASTER-60745</v>
      </c>
      <c r="H237" s="12" t="str" cm="1">
        <f t="array" ref="H237">_xlfn.TEXTJOIN(CHAR(10),TRUE,_xlfn._xlws.SORT(IF((--($B237=Flowdown_BTE[[URS]:[URS]]))*(--(H$14=Flowdown_BTE[[Source.Name]:[Source.Name]])),Flowdown_BTE[[SyRS]:[SyRS]],"")))</f>
        <v/>
      </c>
      <c r="I237" s="12" t="str" cm="1">
        <f t="array" ref="I237">_xlfn.TEXTJOIN(CHAR(10),TRUE,_xlfn._xlws.SORT(IF((--($B237=Flowdown_BTE[[URS]:[URS]]))*(--(I$14=Flowdown_BTE[[Source.Name]:[Source.Name]])),Flowdown_BTE[[SyRS]:[SyRS]],"")))</f>
        <v/>
      </c>
      <c r="J237" s="12" t="str" cm="1">
        <f t="array" ref="J237">_xlfn.TEXTJOIN(CHAR(10),TRUE,_xlfn._xlws.SORT(IF((--($B237=Flowdown_BTE[[URS]:[URS]]))*(--(J$14=Flowdown_BTE[[Source.Name]:[Source.Name]])),Flowdown_BTE[[SyRS]:[SyRS]],"")))</f>
        <v/>
      </c>
      <c r="K237" s="12" t="str" cm="1">
        <f t="array" ref="K237">_xlfn.TEXTJOIN(CHAR(10),TRUE,_xlfn._xlws.SORT(IF((--($B237=Flowdown_BTE[[URS]:[URS]]))*(--(K$14=Flowdown_BTE[[Source.Name]:[Source.Name]])),Flowdown_BTE[[SyRS]:[SyRS]],"")))</f>
        <v/>
      </c>
      <c r="L237" s="16" t="b" cm="1">
        <f t="array" ref="L237">OR(LEN(C237:K237)&gt;0)</f>
        <v>1</v>
      </c>
    </row>
    <row r="238" spans="2:12" ht="13.5" x14ac:dyDescent="0.2">
      <c r="B238" s="11" t="str">
        <v>MASTER-6492</v>
      </c>
      <c r="C238" s="12" t="str" cm="1">
        <f t="array" ref="C238">_xlfn.TEXTJOIN(CHAR(10),TRUE,_xlfn._xlws.SORT(IF((--($B238=Flowdown_BTE[[URS]:[URS]]))*(--(C$14=Flowdown_BTE[[Source.Name]:[Source.Name]])),Flowdown_BTE[[SyRS]:[SyRS]],"")))</f>
        <v/>
      </c>
      <c r="D238" s="12" t="str" cm="1">
        <f t="array" ref="D238">_xlfn.TEXTJOIN(CHAR(10),TRUE,_xlfn._xlws.SORT(IF((--($B238=Flowdown_BTE[[URS]:[URS]]))*(--(D$14=Flowdown_BTE[[Source.Name]:[Source.Name]])),Flowdown_BTE[[SyRS]:[SyRS]],"")))</f>
        <v/>
      </c>
      <c r="E238" s="12" t="str" cm="1">
        <f t="array" ref="E238">_xlfn.TEXTJOIN(CHAR(10),TRUE,_xlfn._xlws.SORT(IF((--($B238=Flowdown_BTE[[URS]:[URS]]))*(--(E$14=Flowdown_BTE[[Source.Name]:[Source.Name]])),Flowdown_BTE[[SyRS]:[SyRS]],"")))</f>
        <v/>
      </c>
      <c r="F238" s="12" t="str" cm="1">
        <f t="array" ref="F238">_xlfn.TEXTJOIN(CHAR(10),TRUE,_xlfn._xlws.SORT(IF((--($B238=Flowdown_BTE[[URS]:[URS]]))*(--(F$14=Flowdown_BTE[[Source.Name]:[Source.Name]])),Flowdown_BTE[[SyRS]:[SyRS]],"")))</f>
        <v/>
      </c>
      <c r="G238" s="12" t="str" cm="1">
        <f t="array" ref="G238">_xlfn.TEXTJOIN(CHAR(10),TRUE,_xlfn._xlws.SORT(IF((--($B238=Flowdown_BTE[[URS]:[URS]]))*(--(G$14=Flowdown_BTE[[Source.Name]:[Source.Name]])),Flowdown_BTE[[SyRS]:[SyRS]],"")))</f>
        <v/>
      </c>
      <c r="H238" s="12" t="str" cm="1">
        <f t="array" ref="H238">_xlfn.TEXTJOIN(CHAR(10),TRUE,_xlfn._xlws.SORT(IF((--($B238=Flowdown_BTE[[URS]:[URS]]))*(--(H$14=Flowdown_BTE[[Source.Name]:[Source.Name]])),Flowdown_BTE[[SyRS]:[SyRS]],"")))</f>
        <v/>
      </c>
      <c r="I238" s="12" t="str" cm="1">
        <f t="array" ref="I238">_xlfn.TEXTJOIN(CHAR(10),TRUE,_xlfn._xlws.SORT(IF((--($B238=Flowdown_BTE[[URS]:[URS]]))*(--(I$14=Flowdown_BTE[[Source.Name]:[Source.Name]])),Flowdown_BTE[[SyRS]:[SyRS]],"")))</f>
        <v>MASTER-17275</v>
      </c>
      <c r="J238" s="12" t="str" cm="1">
        <f t="array" ref="J238">_xlfn.TEXTJOIN(CHAR(10),TRUE,_xlfn._xlws.SORT(IF((--($B238=Flowdown_BTE[[URS]:[URS]]))*(--(J$14=Flowdown_BTE[[Source.Name]:[Source.Name]])),Flowdown_BTE[[SyRS]:[SyRS]],"")))</f>
        <v/>
      </c>
      <c r="K238" s="12" t="str" cm="1">
        <f t="array" ref="K238">_xlfn.TEXTJOIN(CHAR(10),TRUE,_xlfn._xlws.SORT(IF((--($B238=Flowdown_BTE[[URS]:[URS]]))*(--(K$14=Flowdown_BTE[[Source.Name]:[Source.Name]])),Flowdown_BTE[[SyRS]:[SyRS]],"")))</f>
        <v/>
      </c>
      <c r="L238" s="16" t="b" cm="1">
        <f t="array" ref="L238">OR(LEN(C238:K238)&gt;0)</f>
        <v>1</v>
      </c>
    </row>
    <row r="239" spans="2:12" ht="13.5" x14ac:dyDescent="0.2">
      <c r="B239" s="11" t="str">
        <v>MASTER-6493</v>
      </c>
      <c r="C239" s="12" t="str" cm="1">
        <f t="array" ref="C239">_xlfn.TEXTJOIN(CHAR(10),TRUE,_xlfn._xlws.SORT(IF((--($B239=Flowdown_BTE[[URS]:[URS]]))*(--(C$14=Flowdown_BTE[[Source.Name]:[Source.Name]])),Flowdown_BTE[[SyRS]:[SyRS]],"")))</f>
        <v/>
      </c>
      <c r="D239" s="12" t="str" cm="1">
        <f t="array" ref="D239">_xlfn.TEXTJOIN(CHAR(10),TRUE,_xlfn._xlws.SORT(IF((--($B239=Flowdown_BTE[[URS]:[URS]]))*(--(D$14=Flowdown_BTE[[Source.Name]:[Source.Name]])),Flowdown_BTE[[SyRS]:[SyRS]],"")))</f>
        <v/>
      </c>
      <c r="E239" s="12" t="str" cm="1">
        <f t="array" ref="E239">_xlfn.TEXTJOIN(CHAR(10),TRUE,_xlfn._xlws.SORT(IF((--($B239=Flowdown_BTE[[URS]:[URS]]))*(--(E$14=Flowdown_BTE[[Source.Name]:[Source.Name]])),Flowdown_BTE[[SyRS]:[SyRS]],"")))</f>
        <v/>
      </c>
      <c r="F239" s="12" t="str" cm="1">
        <f t="array" ref="F239">_xlfn.TEXTJOIN(CHAR(10),TRUE,_xlfn._xlws.SORT(IF((--($B239=Flowdown_BTE[[URS]:[URS]]))*(--(F$14=Flowdown_BTE[[Source.Name]:[Source.Name]])),Flowdown_BTE[[SyRS]:[SyRS]],"")))</f>
        <v/>
      </c>
      <c r="G239" s="12" t="str" cm="1">
        <f t="array" ref="G239">_xlfn.TEXTJOIN(CHAR(10),TRUE,_xlfn._xlws.SORT(IF((--($B239=Flowdown_BTE[[URS]:[URS]]))*(--(G$14=Flowdown_BTE[[Source.Name]:[Source.Name]])),Flowdown_BTE[[SyRS]:[SyRS]],"")))</f>
        <v/>
      </c>
      <c r="H239" s="12" t="str" cm="1">
        <f t="array" ref="H239">_xlfn.TEXTJOIN(CHAR(10),TRUE,_xlfn._xlws.SORT(IF((--($B239=Flowdown_BTE[[URS]:[URS]]))*(--(H$14=Flowdown_BTE[[Source.Name]:[Source.Name]])),Flowdown_BTE[[SyRS]:[SyRS]],"")))</f>
        <v>MASTER-22145</v>
      </c>
      <c r="I239" s="12" t="str" cm="1">
        <f t="array" ref="I239">_xlfn.TEXTJOIN(CHAR(10),TRUE,_xlfn._xlws.SORT(IF((--($B239=Flowdown_BTE[[URS]:[URS]]))*(--(I$14=Flowdown_BTE[[Source.Name]:[Source.Name]])),Flowdown_BTE[[SyRS]:[SyRS]],"")))</f>
        <v/>
      </c>
      <c r="J239" s="12" t="str" cm="1">
        <f t="array" ref="J239">_xlfn.TEXTJOIN(CHAR(10),TRUE,_xlfn._xlws.SORT(IF((--($B239=Flowdown_BTE[[URS]:[URS]]))*(--(J$14=Flowdown_BTE[[Source.Name]:[Source.Name]])),Flowdown_BTE[[SyRS]:[SyRS]],"")))</f>
        <v/>
      </c>
      <c r="K239" s="12" t="str" cm="1">
        <f t="array" ref="K239">_xlfn.TEXTJOIN(CHAR(10),TRUE,_xlfn._xlws.SORT(IF((--($B239=Flowdown_BTE[[URS]:[URS]]))*(--(K$14=Flowdown_BTE[[Source.Name]:[Source.Name]])),Flowdown_BTE[[SyRS]:[SyRS]],"")))</f>
        <v/>
      </c>
      <c r="L239" s="16" t="b" cm="1">
        <f t="array" ref="L239">OR(LEN(C239:K239)&gt;0)</f>
        <v>1</v>
      </c>
    </row>
    <row r="240" spans="2:12" ht="94.5" x14ac:dyDescent="0.2">
      <c r="B240" s="11" t="str">
        <v>MASTER-6494</v>
      </c>
      <c r="C240" s="12" t="str" cm="1">
        <f t="array" ref="C240">_xlfn.TEXTJOIN(CHAR(10),TRUE,_xlfn._xlws.SORT(IF((--($B240=Flowdown_BTE[[URS]:[URS]]))*(--(C$14=Flowdown_BTE[[Source.Name]:[Source.Name]])),Flowdown_BTE[[SyRS]:[SyRS]],"")))</f>
        <v>MASTER-60751
MASTER-60752
MASTER-60756</v>
      </c>
      <c r="D240" s="12" t="str" cm="1">
        <f t="array" ref="D240">_xlfn.TEXTJOIN(CHAR(10),TRUE,_xlfn._xlws.SORT(IF((--($B240=Flowdown_BTE[[URS]:[URS]]))*(--(D$14=Flowdown_BTE[[Source.Name]:[Source.Name]])),Flowdown_BTE[[SyRS]:[SyRS]],"")))</f>
        <v>MASTER-60751
MASTER-60752
MASTER-60756</v>
      </c>
      <c r="E240" s="12" t="str" cm="1">
        <f t="array" ref="E240">_xlfn.TEXTJOIN(CHAR(10),TRUE,_xlfn._xlws.SORT(IF((--($B240=Flowdown_BTE[[URS]:[URS]]))*(--(E$14=Flowdown_BTE[[Source.Name]:[Source.Name]])),Flowdown_BTE[[SyRS]:[SyRS]],"")))</f>
        <v>MASTER-60751
MASTER-60752
MASTER-60756</v>
      </c>
      <c r="F240" s="12" t="str" cm="1">
        <f t="array" ref="F240">_xlfn.TEXTJOIN(CHAR(10),TRUE,_xlfn._xlws.SORT(IF((--($B240=Flowdown_BTE[[URS]:[URS]]))*(--(F$14=Flowdown_BTE[[Source.Name]:[Source.Name]])),Flowdown_BTE[[SyRS]:[SyRS]],"")))</f>
        <v>MASTER-60751
MASTER-60752
MASTER-60756</v>
      </c>
      <c r="G240" s="12" t="str" cm="1">
        <f t="array" ref="G240">_xlfn.TEXTJOIN(CHAR(10),TRUE,_xlfn._xlws.SORT(IF((--($B240=Flowdown_BTE[[URS]:[URS]]))*(--(G$14=Flowdown_BTE[[Source.Name]:[Source.Name]])),Flowdown_BTE[[SyRS]:[SyRS]],"")))</f>
        <v>MASTER-60751
MASTER-60752
MASTER-60756</v>
      </c>
      <c r="H240" s="12" t="str" cm="1">
        <f t="array" ref="H240">_xlfn.TEXTJOIN(CHAR(10),TRUE,_xlfn._xlws.SORT(IF((--($B240=Flowdown_BTE[[URS]:[URS]]))*(--(H$14=Flowdown_BTE[[Source.Name]:[Source.Name]])),Flowdown_BTE[[SyRS]:[SyRS]],"")))</f>
        <v>MASTER-22138
MASTER-60826
MASTER-60829
MASTER-60830
MASTER-60831
MASTER-61647
MASTER-61648</v>
      </c>
      <c r="I240" s="12" t="str" cm="1">
        <f t="array" ref="I240">_xlfn.TEXTJOIN(CHAR(10),TRUE,_xlfn._xlws.SORT(IF((--($B240=Flowdown_BTE[[URS]:[URS]]))*(--(I$14=Flowdown_BTE[[Source.Name]:[Source.Name]])),Flowdown_BTE[[SyRS]:[SyRS]],"")))</f>
        <v/>
      </c>
      <c r="J240" s="12" t="str" cm="1">
        <f t="array" ref="J240">_xlfn.TEXTJOIN(CHAR(10),TRUE,_xlfn._xlws.SORT(IF((--($B240=Flowdown_BTE[[URS]:[URS]]))*(--(J$14=Flowdown_BTE[[Source.Name]:[Source.Name]])),Flowdown_BTE[[SyRS]:[SyRS]],"")))</f>
        <v/>
      </c>
      <c r="K240" s="12" t="str" cm="1">
        <f t="array" ref="K240">_xlfn.TEXTJOIN(CHAR(10),TRUE,_xlfn._xlws.SORT(IF((--($B240=Flowdown_BTE[[URS]:[URS]]))*(--(K$14=Flowdown_BTE[[Source.Name]:[Source.Name]])),Flowdown_BTE[[SyRS]:[SyRS]],"")))</f>
        <v/>
      </c>
      <c r="L240" s="16" t="b" cm="1">
        <f t="array" ref="L240">OR(LEN(C240:K240)&gt;0)</f>
        <v>1</v>
      </c>
    </row>
    <row r="241" spans="2:12" ht="94.5" x14ac:dyDescent="0.2">
      <c r="B241" s="11" t="str">
        <v>MASTER-6496</v>
      </c>
      <c r="C241" s="12" t="str" cm="1">
        <f t="array" ref="C241">_xlfn.TEXTJOIN(CHAR(10),TRUE,_xlfn._xlws.SORT(IF((--($B241=Flowdown_BTE[[URS]:[URS]]))*(--(C$14=Flowdown_BTE[[Source.Name]:[Source.Name]])),Flowdown_BTE[[SyRS]:[SyRS]],"")))</f>
        <v>MASTER-19162
MASTER-19163
MASTER-53067
MASTER-53068</v>
      </c>
      <c r="D241" s="12" t="str" cm="1">
        <f t="array" ref="D241">_xlfn.TEXTJOIN(CHAR(10),TRUE,_xlfn._xlws.SORT(IF((--($B241=Flowdown_BTE[[URS]:[URS]]))*(--(D$14=Flowdown_BTE[[Source.Name]:[Source.Name]])),Flowdown_BTE[[SyRS]:[SyRS]],"")))</f>
        <v>MASTER-19162
MASTER-19163
MASTER-53064
MASTER-53065
MASTER-53066
MASTER-53067
MASTER-53068</v>
      </c>
      <c r="E241" s="12" t="str" cm="1">
        <f t="array" ref="E241">_xlfn.TEXTJOIN(CHAR(10),TRUE,_xlfn._xlws.SORT(IF((--($B241=Flowdown_BTE[[URS]:[URS]]))*(--(E$14=Flowdown_BTE[[Source.Name]:[Source.Name]])),Flowdown_BTE[[SyRS]:[SyRS]],"")))</f>
        <v>MASTER-53064
MASTER-53065</v>
      </c>
      <c r="F241" s="12" t="str" cm="1">
        <f t="array" ref="F241">_xlfn.TEXTJOIN(CHAR(10),TRUE,_xlfn._xlws.SORT(IF((--($B241=Flowdown_BTE[[URS]:[URS]]))*(--(F$14=Flowdown_BTE[[Source.Name]:[Source.Name]])),Flowdown_BTE[[SyRS]:[SyRS]],"")))</f>
        <v>MASTER-53064
MASTER-53065</v>
      </c>
      <c r="G241" s="12" t="str" cm="1">
        <f t="array" ref="G241">_xlfn.TEXTJOIN(CHAR(10),TRUE,_xlfn._xlws.SORT(IF((--($B241=Flowdown_BTE[[URS]:[URS]]))*(--(G$14=Flowdown_BTE[[Source.Name]:[Source.Name]])),Flowdown_BTE[[SyRS]:[SyRS]],"")))</f>
        <v>MASTER-19162
MASTER-19163</v>
      </c>
      <c r="H241" s="12" t="str" cm="1">
        <f t="array" ref="H241">_xlfn.TEXTJOIN(CHAR(10),TRUE,_xlfn._xlws.SORT(IF((--($B241=Flowdown_BTE[[URS]:[URS]]))*(--(H$14=Flowdown_BTE[[Source.Name]:[Source.Name]])),Flowdown_BTE[[SyRS]:[SyRS]],"")))</f>
        <v>MASTER-60800
MASTER-60810</v>
      </c>
      <c r="I241" s="12" t="str" cm="1">
        <f t="array" ref="I241">_xlfn.TEXTJOIN(CHAR(10),TRUE,_xlfn._xlws.SORT(IF((--($B241=Flowdown_BTE[[URS]:[URS]]))*(--(I$14=Flowdown_BTE[[Source.Name]:[Source.Name]])),Flowdown_BTE[[SyRS]:[SyRS]],"")))</f>
        <v/>
      </c>
      <c r="J241" s="12" t="str" cm="1">
        <f t="array" ref="J241">_xlfn.TEXTJOIN(CHAR(10),TRUE,_xlfn._xlws.SORT(IF((--($B241=Flowdown_BTE[[URS]:[URS]]))*(--(J$14=Flowdown_BTE[[Source.Name]:[Source.Name]])),Flowdown_BTE[[SyRS]:[SyRS]],"")))</f>
        <v/>
      </c>
      <c r="K241" s="12" t="str" cm="1">
        <f t="array" ref="K241">_xlfn.TEXTJOIN(CHAR(10),TRUE,_xlfn._xlws.SORT(IF((--($B241=Flowdown_BTE[[URS]:[URS]]))*(--(K$14=Flowdown_BTE[[Source.Name]:[Source.Name]])),Flowdown_BTE[[SyRS]:[SyRS]],"")))</f>
        <v/>
      </c>
      <c r="L241" s="16" t="b" cm="1">
        <f t="array" ref="L241">OR(LEN(C241:K241)&gt;0)</f>
        <v>1</v>
      </c>
    </row>
    <row r="242" spans="2:12" ht="54" x14ac:dyDescent="0.2">
      <c r="B242" s="11" t="str">
        <v>MASTER-6497</v>
      </c>
      <c r="C242" s="12" t="str" cm="1">
        <f t="array" ref="C242">_xlfn.TEXTJOIN(CHAR(10),TRUE,_xlfn._xlws.SORT(IF((--($B242=Flowdown_BTE[[URS]:[URS]]))*(--(C$14=Flowdown_BTE[[Source.Name]:[Source.Name]])),Flowdown_BTE[[SyRS]:[SyRS]],"")))</f>
        <v>MASTER-19164
MASTER-19179
MASTER-58687
MASTER-60743</v>
      </c>
      <c r="D242" s="12" t="str" cm="1">
        <f t="array" ref="D242">_xlfn.TEXTJOIN(CHAR(10),TRUE,_xlfn._xlws.SORT(IF((--($B242=Flowdown_BTE[[URS]:[URS]]))*(--(D$14=Flowdown_BTE[[Source.Name]:[Source.Name]])),Flowdown_BTE[[SyRS]:[SyRS]],"")))</f>
        <v>MASTER-19164
MASTER-19179
MASTER-60743</v>
      </c>
      <c r="E242" s="12" t="str" cm="1">
        <f t="array" ref="E242">_xlfn.TEXTJOIN(CHAR(10),TRUE,_xlfn._xlws.SORT(IF((--($B242=Flowdown_BTE[[URS]:[URS]]))*(--(E$14=Flowdown_BTE[[Source.Name]:[Source.Name]])),Flowdown_BTE[[SyRS]:[SyRS]],"")))</f>
        <v>MASTER-19164
MASTER-19179
MASTER-60743</v>
      </c>
      <c r="F242" s="12" t="str" cm="1">
        <f t="array" ref="F242">_xlfn.TEXTJOIN(CHAR(10),TRUE,_xlfn._xlws.SORT(IF((--($B242=Flowdown_BTE[[URS]:[URS]]))*(--(F$14=Flowdown_BTE[[Source.Name]:[Source.Name]])),Flowdown_BTE[[SyRS]:[SyRS]],"")))</f>
        <v>MASTER-19164
MASTER-19179
MASTER-60743</v>
      </c>
      <c r="G242" s="12" t="str" cm="1">
        <f t="array" ref="G242">_xlfn.TEXTJOIN(CHAR(10),TRUE,_xlfn._xlws.SORT(IF((--($B242=Flowdown_BTE[[URS]:[URS]]))*(--(G$14=Flowdown_BTE[[Source.Name]:[Source.Name]])),Flowdown_BTE[[SyRS]:[SyRS]],"")))</f>
        <v>MASTER-19164
MASTER-19179
MASTER-60743</v>
      </c>
      <c r="H242" s="12" t="str" cm="1">
        <f t="array" ref="H242">_xlfn.TEXTJOIN(CHAR(10),TRUE,_xlfn._xlws.SORT(IF((--($B242=Flowdown_BTE[[URS]:[URS]]))*(--(H$14=Flowdown_BTE[[Source.Name]:[Source.Name]])),Flowdown_BTE[[SyRS]:[SyRS]],"")))</f>
        <v>MASTER-55718</v>
      </c>
      <c r="I242" s="12" t="str" cm="1">
        <f t="array" ref="I242">_xlfn.TEXTJOIN(CHAR(10),TRUE,_xlfn._xlws.SORT(IF((--($B242=Flowdown_BTE[[URS]:[URS]]))*(--(I$14=Flowdown_BTE[[Source.Name]:[Source.Name]])),Flowdown_BTE[[SyRS]:[SyRS]],"")))</f>
        <v/>
      </c>
      <c r="J242" s="12" t="str" cm="1">
        <f t="array" ref="J242">_xlfn.TEXTJOIN(CHAR(10),TRUE,_xlfn._xlws.SORT(IF((--($B242=Flowdown_BTE[[URS]:[URS]]))*(--(J$14=Flowdown_BTE[[Source.Name]:[Source.Name]])),Flowdown_BTE[[SyRS]:[SyRS]],"")))</f>
        <v/>
      </c>
      <c r="K242" s="12" t="str" cm="1">
        <f t="array" ref="K242">_xlfn.TEXTJOIN(CHAR(10),TRUE,_xlfn._xlws.SORT(IF((--($B242=Flowdown_BTE[[URS]:[URS]]))*(--(K$14=Flowdown_BTE[[Source.Name]:[Source.Name]])),Flowdown_BTE[[SyRS]:[SyRS]],"")))</f>
        <v/>
      </c>
      <c r="L242" s="16" t="b" cm="1">
        <f t="array" ref="L242">OR(LEN(C242:K242)&gt;0)</f>
        <v>1</v>
      </c>
    </row>
    <row r="243" spans="2:12" ht="40.5" x14ac:dyDescent="0.2">
      <c r="B243" s="11" t="str">
        <v>MASTER-6499</v>
      </c>
      <c r="C243" s="12" t="str" cm="1">
        <f t="array" ref="C243">_xlfn.TEXTJOIN(CHAR(10),TRUE,_xlfn._xlws.SORT(IF((--($B243=Flowdown_BTE[[URS]:[URS]]))*(--(C$14=Flowdown_BTE[[Source.Name]:[Source.Name]])),Flowdown_BTE[[SyRS]:[SyRS]],"")))</f>
        <v>MASTER-19156</v>
      </c>
      <c r="D243" s="12" t="str" cm="1">
        <f t="array" ref="D243">_xlfn.TEXTJOIN(CHAR(10),TRUE,_xlfn._xlws.SORT(IF((--($B243=Flowdown_BTE[[URS]:[URS]]))*(--(D$14=Flowdown_BTE[[Source.Name]:[Source.Name]])),Flowdown_BTE[[SyRS]:[SyRS]],"")))</f>
        <v>MASTER-19156
MASTER-19728
MASTER-19729</v>
      </c>
      <c r="E243" s="12" t="str" cm="1">
        <f t="array" ref="E243">_xlfn.TEXTJOIN(CHAR(10),TRUE,_xlfn._xlws.SORT(IF((--($B243=Flowdown_BTE[[URS]:[URS]]))*(--(E$14=Flowdown_BTE[[Source.Name]:[Source.Name]])),Flowdown_BTE[[SyRS]:[SyRS]],"")))</f>
        <v>MASTER-19156</v>
      </c>
      <c r="F243" s="12" t="str" cm="1">
        <f t="array" ref="F243">_xlfn.TEXTJOIN(CHAR(10),TRUE,_xlfn._xlws.SORT(IF((--($B243=Flowdown_BTE[[URS]:[URS]]))*(--(F$14=Flowdown_BTE[[Source.Name]:[Source.Name]])),Flowdown_BTE[[SyRS]:[SyRS]],"")))</f>
        <v>MASTER-19156</v>
      </c>
      <c r="G243" s="12" t="str" cm="1">
        <f t="array" ref="G243">_xlfn.TEXTJOIN(CHAR(10),TRUE,_xlfn._xlws.SORT(IF((--($B243=Flowdown_BTE[[URS]:[URS]]))*(--(G$14=Flowdown_BTE[[Source.Name]:[Source.Name]])),Flowdown_BTE[[SyRS]:[SyRS]],"")))</f>
        <v>MASTER-19156</v>
      </c>
      <c r="H243" s="12" t="str" cm="1">
        <f t="array" ref="H243">_xlfn.TEXTJOIN(CHAR(10),TRUE,_xlfn._xlws.SORT(IF((--($B243=Flowdown_BTE[[URS]:[URS]]))*(--(H$14=Flowdown_BTE[[Source.Name]:[Source.Name]])),Flowdown_BTE[[SyRS]:[SyRS]],"")))</f>
        <v>MASTER-60800
MASTER-60810</v>
      </c>
      <c r="I243" s="12" t="str" cm="1">
        <f t="array" ref="I243">_xlfn.TEXTJOIN(CHAR(10),TRUE,_xlfn._xlws.SORT(IF((--($B243=Flowdown_BTE[[URS]:[URS]]))*(--(I$14=Flowdown_BTE[[Source.Name]:[Source.Name]])),Flowdown_BTE[[SyRS]:[SyRS]],"")))</f>
        <v/>
      </c>
      <c r="J243" s="12" t="str" cm="1">
        <f t="array" ref="J243">_xlfn.TEXTJOIN(CHAR(10),TRUE,_xlfn._xlws.SORT(IF((--($B243=Flowdown_BTE[[URS]:[URS]]))*(--(J$14=Flowdown_BTE[[Source.Name]:[Source.Name]])),Flowdown_BTE[[SyRS]:[SyRS]],"")))</f>
        <v/>
      </c>
      <c r="K243" s="12" t="str" cm="1">
        <f t="array" ref="K243">_xlfn.TEXTJOIN(CHAR(10),TRUE,_xlfn._xlws.SORT(IF((--($B243=Flowdown_BTE[[URS]:[URS]]))*(--(K$14=Flowdown_BTE[[Source.Name]:[Source.Name]])),Flowdown_BTE[[SyRS]:[SyRS]],"")))</f>
        <v/>
      </c>
      <c r="L243" s="16" t="b" cm="1">
        <f t="array" ref="L243">OR(LEN(C243:K243)&gt;0)</f>
        <v>1</v>
      </c>
    </row>
    <row r="244" spans="2:12" ht="94.5" x14ac:dyDescent="0.2">
      <c r="B244" s="11" t="str">
        <v>MASTER-6501</v>
      </c>
      <c r="C244" s="12" t="str" cm="1">
        <f t="array" ref="C244">_xlfn.TEXTJOIN(CHAR(10),TRUE,_xlfn._xlws.SORT(IF((--($B244=Flowdown_BTE[[URS]:[URS]]))*(--(C$14=Flowdown_BTE[[Source.Name]:[Source.Name]])),Flowdown_BTE[[SyRS]:[SyRS]],"")))</f>
        <v>MASTER-18222
MASTER-18223
MASTER-19454
MASTER-51078
MASTER-60743
MASTER-60768
UTICA-19406</v>
      </c>
      <c r="D244" s="12" t="str" cm="1">
        <f t="array" ref="D244">_xlfn.TEXTJOIN(CHAR(10),TRUE,_xlfn._xlws.SORT(IF((--($B244=Flowdown_BTE[[URS]:[URS]]))*(--(D$14=Flowdown_BTE[[Source.Name]:[Source.Name]])),Flowdown_BTE[[SyRS]:[SyRS]],"")))</f>
        <v>MASTER-18222
MASTER-18223
MASTER-19454
MASTER-51078
MASTER-60743
MASTER-60768
UTICA-19406</v>
      </c>
      <c r="E244" s="12" t="str" cm="1">
        <f t="array" ref="E244">_xlfn.TEXTJOIN(CHAR(10),TRUE,_xlfn._xlws.SORT(IF((--($B244=Flowdown_BTE[[URS]:[URS]]))*(--(E$14=Flowdown_BTE[[Source.Name]:[Source.Name]])),Flowdown_BTE[[SyRS]:[SyRS]],"")))</f>
        <v>MASTER-18222
MASTER-18223
MASTER-60743
MASTER-60768
UTICA-19406</v>
      </c>
      <c r="F244" s="12" t="str" cm="1">
        <f t="array" ref="F244">_xlfn.TEXTJOIN(CHAR(10),TRUE,_xlfn._xlws.SORT(IF((--($B244=Flowdown_BTE[[URS]:[URS]]))*(--(F$14=Flowdown_BTE[[Source.Name]:[Source.Name]])),Flowdown_BTE[[SyRS]:[SyRS]],"")))</f>
        <v>MASTER-18222
MASTER-18223
MASTER-60743
MASTER-60768
UTICA-19406</v>
      </c>
      <c r="G244" s="12" t="str" cm="1">
        <f t="array" ref="G244">_xlfn.TEXTJOIN(CHAR(10),TRUE,_xlfn._xlws.SORT(IF((--($B244=Flowdown_BTE[[URS]:[URS]]))*(--(G$14=Flowdown_BTE[[Source.Name]:[Source.Name]])),Flowdown_BTE[[SyRS]:[SyRS]],"")))</f>
        <v>MASTER-18222
MASTER-18223
MASTER-60743
MASTER-60768
UTICA-19406</v>
      </c>
      <c r="H244" s="12" t="str" cm="1">
        <f t="array" ref="H244">_xlfn.TEXTJOIN(CHAR(10),TRUE,_xlfn._xlws.SORT(IF((--($B244=Flowdown_BTE[[URS]:[URS]]))*(--(H$14=Flowdown_BTE[[Source.Name]:[Source.Name]])),Flowdown_BTE[[SyRS]:[SyRS]],"")))</f>
        <v>MASTER-60800
MASTER-60810</v>
      </c>
      <c r="I244" s="12" t="str" cm="1">
        <f t="array" ref="I244">_xlfn.TEXTJOIN(CHAR(10),TRUE,_xlfn._xlws.SORT(IF((--($B244=Flowdown_BTE[[URS]:[URS]]))*(--(I$14=Flowdown_BTE[[Source.Name]:[Source.Name]])),Flowdown_BTE[[SyRS]:[SyRS]],"")))</f>
        <v/>
      </c>
      <c r="J244" s="12" t="str" cm="1">
        <f t="array" ref="J244">_xlfn.TEXTJOIN(CHAR(10),TRUE,_xlfn._xlws.SORT(IF((--($B244=Flowdown_BTE[[URS]:[URS]]))*(--(J$14=Flowdown_BTE[[Source.Name]:[Source.Name]])),Flowdown_BTE[[SyRS]:[SyRS]],"")))</f>
        <v/>
      </c>
      <c r="K244" s="12" t="str" cm="1">
        <f t="array" ref="K244">_xlfn.TEXTJOIN(CHAR(10),TRUE,_xlfn._xlws.SORT(IF((--($B244=Flowdown_BTE[[URS]:[URS]]))*(--(K$14=Flowdown_BTE[[Source.Name]:[Source.Name]])),Flowdown_BTE[[SyRS]:[SyRS]],"")))</f>
        <v/>
      </c>
      <c r="L244" s="16" t="b" cm="1">
        <f t="array" ref="L244">OR(LEN(C244:K244)&gt;0)</f>
        <v>1</v>
      </c>
    </row>
    <row r="245" spans="2:12" ht="27" x14ac:dyDescent="0.2">
      <c r="B245" s="11" t="str">
        <v>MASTER-6502</v>
      </c>
      <c r="C245" s="12" t="str" cm="1">
        <f t="array" ref="C245">_xlfn.TEXTJOIN(CHAR(10),TRUE,_xlfn._xlws.SORT(IF((--($B245=Flowdown_BTE[[URS]:[URS]]))*(--(C$14=Flowdown_BTE[[Source.Name]:[Source.Name]])),Flowdown_BTE[[SyRS]:[SyRS]],"")))</f>
        <v>MASTER-60742
MASTER-60743</v>
      </c>
      <c r="D245" s="12" t="str" cm="1">
        <f t="array" ref="D245">_xlfn.TEXTJOIN(CHAR(10),TRUE,_xlfn._xlws.SORT(IF((--($B245=Flowdown_BTE[[URS]:[URS]]))*(--(D$14=Flowdown_BTE[[Source.Name]:[Source.Name]])),Flowdown_BTE[[SyRS]:[SyRS]],"")))</f>
        <v>MASTER-60742
MASTER-60743</v>
      </c>
      <c r="E245" s="12" t="str" cm="1">
        <f t="array" ref="E245">_xlfn.TEXTJOIN(CHAR(10),TRUE,_xlfn._xlws.SORT(IF((--($B245=Flowdown_BTE[[URS]:[URS]]))*(--(E$14=Flowdown_BTE[[Source.Name]:[Source.Name]])),Flowdown_BTE[[SyRS]:[SyRS]],"")))</f>
        <v>MASTER-60742
MASTER-60743</v>
      </c>
      <c r="F245" s="12" t="str" cm="1">
        <f t="array" ref="F245">_xlfn.TEXTJOIN(CHAR(10),TRUE,_xlfn._xlws.SORT(IF((--($B245=Flowdown_BTE[[URS]:[URS]]))*(--(F$14=Flowdown_BTE[[Source.Name]:[Source.Name]])),Flowdown_BTE[[SyRS]:[SyRS]],"")))</f>
        <v>MASTER-60742
MASTER-60743</v>
      </c>
      <c r="G245" s="12" t="str" cm="1">
        <f t="array" ref="G245">_xlfn.TEXTJOIN(CHAR(10),TRUE,_xlfn._xlws.SORT(IF((--($B245=Flowdown_BTE[[URS]:[URS]]))*(--(G$14=Flowdown_BTE[[Source.Name]:[Source.Name]])),Flowdown_BTE[[SyRS]:[SyRS]],"")))</f>
        <v>MASTER-60742
MASTER-60743</v>
      </c>
      <c r="H245" s="12" t="str" cm="1">
        <f t="array" ref="H245">_xlfn.TEXTJOIN(CHAR(10),TRUE,_xlfn._xlws.SORT(IF((--($B245=Flowdown_BTE[[URS]:[URS]]))*(--(H$14=Flowdown_BTE[[Source.Name]:[Source.Name]])),Flowdown_BTE[[SyRS]:[SyRS]],"")))</f>
        <v>MASTER-21034
MASTER-21035</v>
      </c>
      <c r="I245" s="12" t="str" cm="1">
        <f t="array" ref="I245">_xlfn.TEXTJOIN(CHAR(10),TRUE,_xlfn._xlws.SORT(IF((--($B245=Flowdown_BTE[[URS]:[URS]]))*(--(I$14=Flowdown_BTE[[Source.Name]:[Source.Name]])),Flowdown_BTE[[SyRS]:[SyRS]],"")))</f>
        <v/>
      </c>
      <c r="J245" s="12" t="str" cm="1">
        <f t="array" ref="J245">_xlfn.TEXTJOIN(CHAR(10),TRUE,_xlfn._xlws.SORT(IF((--($B245=Flowdown_BTE[[URS]:[URS]]))*(--(J$14=Flowdown_BTE[[Source.Name]:[Source.Name]])),Flowdown_BTE[[SyRS]:[SyRS]],"")))</f>
        <v/>
      </c>
      <c r="K245" s="12" t="str" cm="1">
        <f t="array" ref="K245">_xlfn.TEXTJOIN(CHAR(10),TRUE,_xlfn._xlws.SORT(IF((--($B245=Flowdown_BTE[[URS]:[URS]]))*(--(K$14=Flowdown_BTE[[Source.Name]:[Source.Name]])),Flowdown_BTE[[SyRS]:[SyRS]],"")))</f>
        <v/>
      </c>
      <c r="L245" s="16" t="b" cm="1">
        <f t="array" ref="L245">OR(LEN(C245:K245)&gt;0)</f>
        <v>1</v>
      </c>
    </row>
    <row r="246" spans="2:12" ht="54" x14ac:dyDescent="0.2">
      <c r="B246" s="11" t="str">
        <v>MASTER-6504</v>
      </c>
      <c r="C246" s="12" t="str" cm="1">
        <f t="array" ref="C246">_xlfn.TEXTJOIN(CHAR(10),TRUE,_xlfn._xlws.SORT(IF((--($B246=Flowdown_BTE[[URS]:[URS]]))*(--(C$14=Flowdown_BTE[[Source.Name]:[Source.Name]])),Flowdown_BTE[[SyRS]:[SyRS]],"")))</f>
        <v>MASTER-18171
MASTER-60743</v>
      </c>
      <c r="D246" s="12" t="str" cm="1">
        <f t="array" ref="D246">_xlfn.TEXTJOIN(CHAR(10),TRUE,_xlfn._xlws.SORT(IF((--($B246=Flowdown_BTE[[URS]:[URS]]))*(--(D$14=Flowdown_BTE[[Source.Name]:[Source.Name]])),Flowdown_BTE[[SyRS]:[SyRS]],"")))</f>
        <v>MASTER-18171
MASTER-60743</v>
      </c>
      <c r="E246" s="12" t="str" cm="1">
        <f t="array" ref="E246">_xlfn.TEXTJOIN(CHAR(10),TRUE,_xlfn._xlws.SORT(IF((--($B246=Flowdown_BTE[[URS]:[URS]]))*(--(E$14=Flowdown_BTE[[Source.Name]:[Source.Name]])),Flowdown_BTE[[SyRS]:[SyRS]],"")))</f>
        <v>MASTER-18171
MASTER-60743</v>
      </c>
      <c r="F246" s="12" t="str" cm="1">
        <f t="array" ref="F246">_xlfn.TEXTJOIN(CHAR(10),TRUE,_xlfn._xlws.SORT(IF((--($B246=Flowdown_BTE[[URS]:[URS]]))*(--(F$14=Flowdown_BTE[[Source.Name]:[Source.Name]])),Flowdown_BTE[[SyRS]:[SyRS]],"")))</f>
        <v>MASTER-18171
MASTER-60743</v>
      </c>
      <c r="G246" s="12" t="str" cm="1">
        <f t="array" ref="G246">_xlfn.TEXTJOIN(CHAR(10),TRUE,_xlfn._xlws.SORT(IF((--($B246=Flowdown_BTE[[URS]:[URS]]))*(--(G$14=Flowdown_BTE[[Source.Name]:[Source.Name]])),Flowdown_BTE[[SyRS]:[SyRS]],"")))</f>
        <v>MASTER-18171
MASTER-60743</v>
      </c>
      <c r="H246" s="12" t="str" cm="1">
        <f t="array" ref="H246">_xlfn.TEXTJOIN(CHAR(10),TRUE,_xlfn._xlws.SORT(IF((--($B246=Flowdown_BTE[[URS]:[URS]]))*(--(H$14=Flowdown_BTE[[Source.Name]:[Source.Name]])),Flowdown_BTE[[SyRS]:[SyRS]],"")))</f>
        <v>MASTER-22115
MASTER-60800
MASTER-60810
MASTER-60816</v>
      </c>
      <c r="I246" s="12" t="str" cm="1">
        <f t="array" ref="I246">_xlfn.TEXTJOIN(CHAR(10),TRUE,_xlfn._xlws.SORT(IF((--($B246=Flowdown_BTE[[URS]:[URS]]))*(--(I$14=Flowdown_BTE[[Source.Name]:[Source.Name]])),Flowdown_BTE[[SyRS]:[SyRS]],"")))</f>
        <v/>
      </c>
      <c r="J246" s="12" t="str" cm="1">
        <f t="array" ref="J246">_xlfn.TEXTJOIN(CHAR(10),TRUE,_xlfn._xlws.SORT(IF((--($B246=Flowdown_BTE[[URS]:[URS]]))*(--(J$14=Flowdown_BTE[[Source.Name]:[Source.Name]])),Flowdown_BTE[[SyRS]:[SyRS]],"")))</f>
        <v/>
      </c>
      <c r="K246" s="12" t="str" cm="1">
        <f t="array" ref="K246">_xlfn.TEXTJOIN(CHAR(10),TRUE,_xlfn._xlws.SORT(IF((--($B246=Flowdown_BTE[[URS]:[URS]]))*(--(K$14=Flowdown_BTE[[Source.Name]:[Source.Name]])),Flowdown_BTE[[SyRS]:[SyRS]],"")))</f>
        <v/>
      </c>
      <c r="L246" s="16" t="b" cm="1">
        <f t="array" ref="L246">OR(LEN(C246:K246)&gt;0)</f>
        <v>1</v>
      </c>
    </row>
    <row r="247" spans="2:12" ht="54" x14ac:dyDescent="0.2">
      <c r="B247" s="11" t="str">
        <v>MASTER-6507</v>
      </c>
      <c r="C247" s="12" t="str" cm="1">
        <f t="array" ref="C247">_xlfn.TEXTJOIN(CHAR(10),TRUE,_xlfn._xlws.SORT(IF((--($B247=Flowdown_BTE[[URS]:[URS]]))*(--(C$14=Flowdown_BTE[[Source.Name]:[Source.Name]])),Flowdown_BTE[[SyRS]:[SyRS]],"")))</f>
        <v>MASTER-18286
MASTER-18287
MASTER-18288
MASTER-60743</v>
      </c>
      <c r="D247" s="12" t="str" cm="1">
        <f t="array" ref="D247">_xlfn.TEXTJOIN(CHAR(10),TRUE,_xlfn._xlws.SORT(IF((--($B247=Flowdown_BTE[[URS]:[URS]]))*(--(D$14=Flowdown_BTE[[Source.Name]:[Source.Name]])),Flowdown_BTE[[SyRS]:[SyRS]],"")))</f>
        <v>MASTER-18286
MASTER-18287
MASTER-18288
MASTER-60743</v>
      </c>
      <c r="E247" s="12" t="str" cm="1">
        <f t="array" ref="E247">_xlfn.TEXTJOIN(CHAR(10),TRUE,_xlfn._xlws.SORT(IF((--($B247=Flowdown_BTE[[URS]:[URS]]))*(--(E$14=Flowdown_BTE[[Source.Name]:[Source.Name]])),Flowdown_BTE[[SyRS]:[SyRS]],"")))</f>
        <v>MASTER-18286
MASTER-18287
MASTER-18288
MASTER-60743</v>
      </c>
      <c r="F247" s="12" t="str" cm="1">
        <f t="array" ref="F247">_xlfn.TEXTJOIN(CHAR(10),TRUE,_xlfn._xlws.SORT(IF((--($B247=Flowdown_BTE[[URS]:[URS]]))*(--(F$14=Flowdown_BTE[[Source.Name]:[Source.Name]])),Flowdown_BTE[[SyRS]:[SyRS]],"")))</f>
        <v>MASTER-18286
MASTER-18287
MASTER-18288
MASTER-60743</v>
      </c>
      <c r="G247" s="12" t="str" cm="1">
        <f t="array" ref="G247">_xlfn.TEXTJOIN(CHAR(10),TRUE,_xlfn._xlws.SORT(IF((--($B247=Flowdown_BTE[[URS]:[URS]]))*(--(G$14=Flowdown_BTE[[Source.Name]:[Source.Name]])),Flowdown_BTE[[SyRS]:[SyRS]],"")))</f>
        <v>MASTER-18286
MASTER-18287
MASTER-18288
MASTER-60743</v>
      </c>
      <c r="H247" s="12" t="str" cm="1">
        <f t="array" ref="H247">_xlfn.TEXTJOIN(CHAR(10),TRUE,_xlfn._xlws.SORT(IF((--($B247=Flowdown_BTE[[URS]:[URS]]))*(--(H$14=Flowdown_BTE[[Source.Name]:[Source.Name]])),Flowdown_BTE[[SyRS]:[SyRS]],"")))</f>
        <v>MASTER-60800
MASTER-60810</v>
      </c>
      <c r="I247" s="12" t="str" cm="1">
        <f t="array" ref="I247">_xlfn.TEXTJOIN(CHAR(10),TRUE,_xlfn._xlws.SORT(IF((--($B247=Flowdown_BTE[[URS]:[URS]]))*(--(I$14=Flowdown_BTE[[Source.Name]:[Source.Name]])),Flowdown_BTE[[SyRS]:[SyRS]],"")))</f>
        <v/>
      </c>
      <c r="J247" s="12" t="str" cm="1">
        <f t="array" ref="J247">_xlfn.TEXTJOIN(CHAR(10),TRUE,_xlfn._xlws.SORT(IF((--($B247=Flowdown_BTE[[URS]:[URS]]))*(--(J$14=Flowdown_BTE[[Source.Name]:[Source.Name]])),Flowdown_BTE[[SyRS]:[SyRS]],"")))</f>
        <v/>
      </c>
      <c r="K247" s="12" t="str" cm="1">
        <f t="array" ref="K247">_xlfn.TEXTJOIN(CHAR(10),TRUE,_xlfn._xlws.SORT(IF((--($B247=Flowdown_BTE[[URS]:[URS]]))*(--(K$14=Flowdown_BTE[[Source.Name]:[Source.Name]])),Flowdown_BTE[[SyRS]:[SyRS]],"")))</f>
        <v/>
      </c>
      <c r="L247" s="16" t="b" cm="1">
        <f t="array" ref="L247">OR(LEN(C247:K247)&gt;0)</f>
        <v>1</v>
      </c>
    </row>
    <row r="248" spans="2:12" ht="81" x14ac:dyDescent="0.2">
      <c r="B248" s="11" t="str">
        <v>MASTER-6509</v>
      </c>
      <c r="C248" s="12" t="str" cm="1">
        <f t="array" ref="C248">_xlfn.TEXTJOIN(CHAR(10),TRUE,_xlfn._xlws.SORT(IF((--($B248=Flowdown_BTE[[URS]:[URS]]))*(--(C$14=Flowdown_BTE[[Source.Name]:[Source.Name]])),Flowdown_BTE[[SyRS]:[SyRS]],"")))</f>
        <v>MASTER-18708
MASTER-18710
MASTER-18711
MASTER-18712
MASTER-18730
MASTER-60743</v>
      </c>
      <c r="D248" s="12" t="str" cm="1">
        <f t="array" ref="D248">_xlfn.TEXTJOIN(CHAR(10),TRUE,_xlfn._xlws.SORT(IF((--($B248=Flowdown_BTE[[URS]:[URS]]))*(--(D$14=Flowdown_BTE[[Source.Name]:[Source.Name]])),Flowdown_BTE[[SyRS]:[SyRS]],"")))</f>
        <v>MASTER-18708
MASTER-18710
MASTER-18711
MASTER-18712
MASTER-18730
MASTER-60743</v>
      </c>
      <c r="E248" s="12" t="str" cm="1">
        <f t="array" ref="E248">_xlfn.TEXTJOIN(CHAR(10),TRUE,_xlfn._xlws.SORT(IF((--($B248=Flowdown_BTE[[URS]:[URS]]))*(--(E$14=Flowdown_BTE[[Source.Name]:[Source.Name]])),Flowdown_BTE[[SyRS]:[SyRS]],"")))</f>
        <v>MASTER-18708
MASTER-18710
MASTER-18711
MASTER-18712
MASTER-18730
MASTER-60743</v>
      </c>
      <c r="F248" s="12" t="str" cm="1">
        <f t="array" ref="F248">_xlfn.TEXTJOIN(CHAR(10),TRUE,_xlfn._xlws.SORT(IF((--($B248=Flowdown_BTE[[URS]:[URS]]))*(--(F$14=Flowdown_BTE[[Source.Name]:[Source.Name]])),Flowdown_BTE[[SyRS]:[SyRS]],"")))</f>
        <v>MASTER-18708
MASTER-18710
MASTER-18711
MASTER-18712
MASTER-18730
MASTER-60743</v>
      </c>
      <c r="G248" s="12" t="str" cm="1">
        <f t="array" ref="G248">_xlfn.TEXTJOIN(CHAR(10),TRUE,_xlfn._xlws.SORT(IF((--($B248=Flowdown_BTE[[URS]:[URS]]))*(--(G$14=Flowdown_BTE[[Source.Name]:[Source.Name]])),Flowdown_BTE[[SyRS]:[SyRS]],"")))</f>
        <v>MASTER-18708
MASTER-18710
MASTER-18711
MASTER-18712
MASTER-18730
MASTER-60743</v>
      </c>
      <c r="H248" s="12" t="str" cm="1">
        <f t="array" ref="H248">_xlfn.TEXTJOIN(CHAR(10),TRUE,_xlfn._xlws.SORT(IF((--($B248=Flowdown_BTE[[URS]:[URS]]))*(--(H$14=Flowdown_BTE[[Source.Name]:[Source.Name]])),Flowdown_BTE[[SyRS]:[SyRS]],"")))</f>
        <v>MASTER-60800
MASTER-60810</v>
      </c>
      <c r="I248" s="12" t="str" cm="1">
        <f t="array" ref="I248">_xlfn.TEXTJOIN(CHAR(10),TRUE,_xlfn._xlws.SORT(IF((--($B248=Flowdown_BTE[[URS]:[URS]]))*(--(I$14=Flowdown_BTE[[Source.Name]:[Source.Name]])),Flowdown_BTE[[SyRS]:[SyRS]],"")))</f>
        <v/>
      </c>
      <c r="J248" s="12" t="str" cm="1">
        <f t="array" ref="J248">_xlfn.TEXTJOIN(CHAR(10),TRUE,_xlfn._xlws.SORT(IF((--($B248=Flowdown_BTE[[URS]:[URS]]))*(--(J$14=Flowdown_BTE[[Source.Name]:[Source.Name]])),Flowdown_BTE[[SyRS]:[SyRS]],"")))</f>
        <v/>
      </c>
      <c r="K248" s="12" t="str" cm="1">
        <f t="array" ref="K248">_xlfn.TEXTJOIN(CHAR(10),TRUE,_xlfn._xlws.SORT(IF((--($B248=Flowdown_BTE[[URS]:[URS]]))*(--(K$14=Flowdown_BTE[[Source.Name]:[Source.Name]])),Flowdown_BTE[[SyRS]:[SyRS]],"")))</f>
        <v/>
      </c>
      <c r="L248" s="16" t="b" cm="1">
        <f t="array" ref="L248">OR(LEN(C248:K248)&gt;0)</f>
        <v>1</v>
      </c>
    </row>
    <row r="249" spans="2:12" ht="13.5" x14ac:dyDescent="0.2">
      <c r="B249" s="11" t="str">
        <v>MASTER-6511</v>
      </c>
      <c r="C249" s="12" t="str" cm="1">
        <f t="array" ref="C249">_xlfn.TEXTJOIN(CHAR(10),TRUE,_xlfn._xlws.SORT(IF((--($B249=Flowdown_BTE[[URS]:[URS]]))*(--(C$14=Flowdown_BTE[[Source.Name]:[Source.Name]])),Flowdown_BTE[[SyRS]:[SyRS]],"")))</f>
        <v>MASTER-18730</v>
      </c>
      <c r="D249" s="12" t="str" cm="1">
        <f t="array" ref="D249">_xlfn.TEXTJOIN(CHAR(10),TRUE,_xlfn._xlws.SORT(IF((--($B249=Flowdown_BTE[[URS]:[URS]]))*(--(D$14=Flowdown_BTE[[Source.Name]:[Source.Name]])),Flowdown_BTE[[SyRS]:[SyRS]],"")))</f>
        <v>MASTER-18730</v>
      </c>
      <c r="E249" s="12" t="str" cm="1">
        <f t="array" ref="E249">_xlfn.TEXTJOIN(CHAR(10),TRUE,_xlfn._xlws.SORT(IF((--($B249=Flowdown_BTE[[URS]:[URS]]))*(--(E$14=Flowdown_BTE[[Source.Name]:[Source.Name]])),Flowdown_BTE[[SyRS]:[SyRS]],"")))</f>
        <v>MASTER-18730</v>
      </c>
      <c r="F249" s="12" t="str" cm="1">
        <f t="array" ref="F249">_xlfn.TEXTJOIN(CHAR(10),TRUE,_xlfn._xlws.SORT(IF((--($B249=Flowdown_BTE[[URS]:[URS]]))*(--(F$14=Flowdown_BTE[[Source.Name]:[Source.Name]])),Flowdown_BTE[[SyRS]:[SyRS]],"")))</f>
        <v>MASTER-18730</v>
      </c>
      <c r="G249" s="12" t="str" cm="1">
        <f t="array" ref="G249">_xlfn.TEXTJOIN(CHAR(10),TRUE,_xlfn._xlws.SORT(IF((--($B249=Flowdown_BTE[[URS]:[URS]]))*(--(G$14=Flowdown_BTE[[Source.Name]:[Source.Name]])),Flowdown_BTE[[SyRS]:[SyRS]],"")))</f>
        <v>MASTER-18730</v>
      </c>
      <c r="H249" s="12" t="str" cm="1">
        <f t="array" ref="H249">_xlfn.TEXTJOIN(CHAR(10),TRUE,_xlfn._xlws.SORT(IF((--($B249=Flowdown_BTE[[URS]:[URS]]))*(--(H$14=Flowdown_BTE[[Source.Name]:[Source.Name]])),Flowdown_BTE[[SyRS]:[SyRS]],"")))</f>
        <v/>
      </c>
      <c r="I249" s="12" t="str" cm="1">
        <f t="array" ref="I249">_xlfn.TEXTJOIN(CHAR(10),TRUE,_xlfn._xlws.SORT(IF((--($B249=Flowdown_BTE[[URS]:[URS]]))*(--(I$14=Flowdown_BTE[[Source.Name]:[Source.Name]])),Flowdown_BTE[[SyRS]:[SyRS]],"")))</f>
        <v/>
      </c>
      <c r="J249" s="12" t="str" cm="1">
        <f t="array" ref="J249">_xlfn.TEXTJOIN(CHAR(10),TRUE,_xlfn._xlws.SORT(IF((--($B249=Flowdown_BTE[[URS]:[URS]]))*(--(J$14=Flowdown_BTE[[Source.Name]:[Source.Name]])),Flowdown_BTE[[SyRS]:[SyRS]],"")))</f>
        <v/>
      </c>
      <c r="K249" s="12" t="str" cm="1">
        <f t="array" ref="K249">_xlfn.TEXTJOIN(CHAR(10),TRUE,_xlfn._xlws.SORT(IF((--($B249=Flowdown_BTE[[URS]:[URS]]))*(--(K$14=Flowdown_BTE[[Source.Name]:[Source.Name]])),Flowdown_BTE[[SyRS]:[SyRS]],"")))</f>
        <v/>
      </c>
      <c r="L249" s="16" t="b" cm="1">
        <f t="array" ref="L249">OR(LEN(C249:K249)&gt;0)</f>
        <v>1</v>
      </c>
    </row>
    <row r="250" spans="2:12" ht="54" x14ac:dyDescent="0.2">
      <c r="B250" s="11" t="str">
        <v>MASTER-6513</v>
      </c>
      <c r="C250" s="12" t="str" cm="1">
        <f t="array" ref="C250">_xlfn.TEXTJOIN(CHAR(10),TRUE,_xlfn._xlws.SORT(IF((--($B250=Flowdown_BTE[[URS]:[URS]]))*(--(C$14=Flowdown_BTE[[Source.Name]:[Source.Name]])),Flowdown_BTE[[SyRS]:[SyRS]],"")))</f>
        <v>MASTER-18321
MASTER-18332
MASTER-19469
MASTER-60743</v>
      </c>
      <c r="D250" s="12" t="str" cm="1">
        <f t="array" ref="D250">_xlfn.TEXTJOIN(CHAR(10),TRUE,_xlfn._xlws.SORT(IF((--($B250=Flowdown_BTE[[URS]:[URS]]))*(--(D$14=Flowdown_BTE[[Source.Name]:[Source.Name]])),Flowdown_BTE[[SyRS]:[SyRS]],"")))</f>
        <v>MASTER-18321
MASTER-18332
MASTER-19469
MASTER-60743</v>
      </c>
      <c r="E250" s="12" t="str" cm="1">
        <f t="array" ref="E250">_xlfn.TEXTJOIN(CHAR(10),TRUE,_xlfn._xlws.SORT(IF((--($B250=Flowdown_BTE[[URS]:[URS]]))*(--(E$14=Flowdown_BTE[[Source.Name]:[Source.Name]])),Flowdown_BTE[[SyRS]:[SyRS]],"")))</f>
        <v>MASTER-18321
MASTER-18332
MASTER-60743</v>
      </c>
      <c r="F250" s="12" t="str" cm="1">
        <f t="array" ref="F250">_xlfn.TEXTJOIN(CHAR(10),TRUE,_xlfn._xlws.SORT(IF((--($B250=Flowdown_BTE[[URS]:[URS]]))*(--(F$14=Flowdown_BTE[[Source.Name]:[Source.Name]])),Flowdown_BTE[[SyRS]:[SyRS]],"")))</f>
        <v>MASTER-18321
MASTER-18332
MASTER-60743</v>
      </c>
      <c r="G250" s="12" t="str" cm="1">
        <f t="array" ref="G250">_xlfn.TEXTJOIN(CHAR(10),TRUE,_xlfn._xlws.SORT(IF((--($B250=Flowdown_BTE[[URS]:[URS]]))*(--(G$14=Flowdown_BTE[[Source.Name]:[Source.Name]])),Flowdown_BTE[[SyRS]:[SyRS]],"")))</f>
        <v>MASTER-18321
MASTER-18332
MASTER-60743</v>
      </c>
      <c r="H250" s="12" t="str" cm="1">
        <f t="array" ref="H250">_xlfn.TEXTJOIN(CHAR(10),TRUE,_xlfn._xlws.SORT(IF((--($B250=Flowdown_BTE[[URS]:[URS]]))*(--(H$14=Flowdown_BTE[[Source.Name]:[Source.Name]])),Flowdown_BTE[[SyRS]:[SyRS]],"")))</f>
        <v>MASTER-60800
MASTER-60810</v>
      </c>
      <c r="I250" s="12" t="str" cm="1">
        <f t="array" ref="I250">_xlfn.TEXTJOIN(CHAR(10),TRUE,_xlfn._xlws.SORT(IF((--($B250=Flowdown_BTE[[URS]:[URS]]))*(--(I$14=Flowdown_BTE[[Source.Name]:[Source.Name]])),Flowdown_BTE[[SyRS]:[SyRS]],"")))</f>
        <v/>
      </c>
      <c r="J250" s="12" t="str" cm="1">
        <f t="array" ref="J250">_xlfn.TEXTJOIN(CHAR(10),TRUE,_xlfn._xlws.SORT(IF((--($B250=Flowdown_BTE[[URS]:[URS]]))*(--(J$14=Flowdown_BTE[[Source.Name]:[Source.Name]])),Flowdown_BTE[[SyRS]:[SyRS]],"")))</f>
        <v/>
      </c>
      <c r="K250" s="12" t="str" cm="1">
        <f t="array" ref="K250">_xlfn.TEXTJOIN(CHAR(10),TRUE,_xlfn._xlws.SORT(IF((--($B250=Flowdown_BTE[[URS]:[URS]]))*(--(K$14=Flowdown_BTE[[Source.Name]:[Source.Name]])),Flowdown_BTE[[SyRS]:[SyRS]],"")))</f>
        <v/>
      </c>
      <c r="L250" s="16" t="b" cm="1">
        <f t="array" ref="L250">OR(LEN(C250:K250)&gt;0)</f>
        <v>1</v>
      </c>
    </row>
    <row r="251" spans="2:12" ht="27" x14ac:dyDescent="0.2">
      <c r="B251" s="11" t="str">
        <v>MASTER-6522</v>
      </c>
      <c r="C251" s="12" t="str" cm="1">
        <f t="array" ref="C251">_xlfn.TEXTJOIN(CHAR(10),TRUE,_xlfn._xlws.SORT(IF((--($B251=Flowdown_BTE[[URS]:[URS]]))*(--(C$14=Flowdown_BTE[[Source.Name]:[Source.Name]])),Flowdown_BTE[[SyRS]:[SyRS]],"")))</f>
        <v>MASTER-19594
MASTER-42177</v>
      </c>
      <c r="D251" s="12" t="str" cm="1">
        <f t="array" ref="D251">_xlfn.TEXTJOIN(CHAR(10),TRUE,_xlfn._xlws.SORT(IF((--($B251=Flowdown_BTE[[URS]:[URS]]))*(--(D$14=Flowdown_BTE[[Source.Name]:[Source.Name]])),Flowdown_BTE[[SyRS]:[SyRS]],"")))</f>
        <v>MASTER-19594
MASTER-42177</v>
      </c>
      <c r="E251" s="12" t="str" cm="1">
        <f t="array" ref="E251">_xlfn.TEXTJOIN(CHAR(10),TRUE,_xlfn._xlws.SORT(IF((--($B251=Flowdown_BTE[[URS]:[URS]]))*(--(E$14=Flowdown_BTE[[Source.Name]:[Source.Name]])),Flowdown_BTE[[SyRS]:[SyRS]],"")))</f>
        <v>MASTER-19594
MASTER-42177</v>
      </c>
      <c r="F251" s="12" t="str" cm="1">
        <f t="array" ref="F251">_xlfn.TEXTJOIN(CHAR(10),TRUE,_xlfn._xlws.SORT(IF((--($B251=Flowdown_BTE[[URS]:[URS]]))*(--(F$14=Flowdown_BTE[[Source.Name]:[Source.Name]])),Flowdown_BTE[[SyRS]:[SyRS]],"")))</f>
        <v>MASTER-19594
MASTER-42177</v>
      </c>
      <c r="G251" s="12" t="str" cm="1">
        <f t="array" ref="G251">_xlfn.TEXTJOIN(CHAR(10),TRUE,_xlfn._xlws.SORT(IF((--($B251=Flowdown_BTE[[URS]:[URS]]))*(--(G$14=Flowdown_BTE[[Source.Name]:[Source.Name]])),Flowdown_BTE[[SyRS]:[SyRS]],"")))</f>
        <v>MASTER-19594
MASTER-42177</v>
      </c>
      <c r="H251" s="12" t="str" cm="1">
        <f t="array" ref="H251">_xlfn.TEXTJOIN(CHAR(10),TRUE,_xlfn._xlws.SORT(IF((--($B251=Flowdown_BTE[[URS]:[URS]]))*(--(H$14=Flowdown_BTE[[Source.Name]:[Source.Name]])),Flowdown_BTE[[SyRS]:[SyRS]],"")))</f>
        <v/>
      </c>
      <c r="I251" s="12" t="str" cm="1">
        <f t="array" ref="I251">_xlfn.TEXTJOIN(CHAR(10),TRUE,_xlfn._xlws.SORT(IF((--($B251=Flowdown_BTE[[URS]:[URS]]))*(--(I$14=Flowdown_BTE[[Source.Name]:[Source.Name]])),Flowdown_BTE[[SyRS]:[SyRS]],"")))</f>
        <v/>
      </c>
      <c r="J251" s="12" t="str" cm="1">
        <f t="array" ref="J251">_xlfn.TEXTJOIN(CHAR(10),TRUE,_xlfn._xlws.SORT(IF((--($B251=Flowdown_BTE[[URS]:[URS]]))*(--(J$14=Flowdown_BTE[[Source.Name]:[Source.Name]])),Flowdown_BTE[[SyRS]:[SyRS]],"")))</f>
        <v/>
      </c>
      <c r="K251" s="12" t="str" cm="1">
        <f t="array" ref="K251">_xlfn.TEXTJOIN(CHAR(10),TRUE,_xlfn._xlws.SORT(IF((--($B251=Flowdown_BTE[[URS]:[URS]]))*(--(K$14=Flowdown_BTE[[Source.Name]:[Source.Name]])),Flowdown_BTE[[SyRS]:[SyRS]],"")))</f>
        <v/>
      </c>
      <c r="L251" s="16" t="b" cm="1">
        <f t="array" ref="L251">OR(LEN(C251:K251)&gt;0)</f>
        <v>1</v>
      </c>
    </row>
    <row r="252" spans="2:12" ht="54" x14ac:dyDescent="0.2">
      <c r="B252" s="11" t="str">
        <v>MASTER-6523</v>
      </c>
      <c r="C252" s="12" t="str" cm="1">
        <f t="array" ref="C252">_xlfn.TEXTJOIN(CHAR(10),TRUE,_xlfn._xlws.SORT(IF((--($B252=Flowdown_BTE[[URS]:[URS]]))*(--(C$14=Flowdown_BTE[[Source.Name]:[Source.Name]])),Flowdown_BTE[[SyRS]:[SyRS]],"")))</f>
        <v>MASTER-18107
MASTER-18108
MASTER-18109
MASTER-60743</v>
      </c>
      <c r="D252" s="12" t="str" cm="1">
        <f t="array" ref="D252">_xlfn.TEXTJOIN(CHAR(10),TRUE,_xlfn._xlws.SORT(IF((--($B252=Flowdown_BTE[[URS]:[URS]]))*(--(D$14=Flowdown_BTE[[Source.Name]:[Source.Name]])),Flowdown_BTE[[SyRS]:[SyRS]],"")))</f>
        <v>MASTER-18107
MASTER-18108
MASTER-18109
MASTER-60743</v>
      </c>
      <c r="E252" s="12" t="str" cm="1">
        <f t="array" ref="E252">_xlfn.TEXTJOIN(CHAR(10),TRUE,_xlfn._xlws.SORT(IF((--($B252=Flowdown_BTE[[URS]:[URS]]))*(--(E$14=Flowdown_BTE[[Source.Name]:[Source.Name]])),Flowdown_BTE[[SyRS]:[SyRS]],"")))</f>
        <v>MASTER-18107
MASTER-18108
MASTER-18109
MASTER-60743</v>
      </c>
      <c r="F252" s="12" t="str" cm="1">
        <f t="array" ref="F252">_xlfn.TEXTJOIN(CHAR(10),TRUE,_xlfn._xlws.SORT(IF((--($B252=Flowdown_BTE[[URS]:[URS]]))*(--(F$14=Flowdown_BTE[[Source.Name]:[Source.Name]])),Flowdown_BTE[[SyRS]:[SyRS]],"")))</f>
        <v>MASTER-18107
MASTER-18108
MASTER-18109
MASTER-60743</v>
      </c>
      <c r="G252" s="12" t="str" cm="1">
        <f t="array" ref="G252">_xlfn.TEXTJOIN(CHAR(10),TRUE,_xlfn._xlws.SORT(IF((--($B252=Flowdown_BTE[[URS]:[URS]]))*(--(G$14=Flowdown_BTE[[Source.Name]:[Source.Name]])),Flowdown_BTE[[SyRS]:[SyRS]],"")))</f>
        <v>MASTER-18107
MASTER-18108
MASTER-18109
MASTER-60743</v>
      </c>
      <c r="H252" s="12" t="str" cm="1">
        <f t="array" ref="H252">_xlfn.TEXTJOIN(CHAR(10),TRUE,_xlfn._xlws.SORT(IF((--($B252=Flowdown_BTE[[URS]:[URS]]))*(--(H$14=Flowdown_BTE[[Source.Name]:[Source.Name]])),Flowdown_BTE[[SyRS]:[SyRS]],"")))</f>
        <v/>
      </c>
      <c r="I252" s="12" t="str" cm="1">
        <f t="array" ref="I252">_xlfn.TEXTJOIN(CHAR(10),TRUE,_xlfn._xlws.SORT(IF((--($B252=Flowdown_BTE[[URS]:[URS]]))*(--(I$14=Flowdown_BTE[[Source.Name]:[Source.Name]])),Flowdown_BTE[[SyRS]:[SyRS]],"")))</f>
        <v/>
      </c>
      <c r="J252" s="12" t="str" cm="1">
        <f t="array" ref="J252">_xlfn.TEXTJOIN(CHAR(10),TRUE,_xlfn._xlws.SORT(IF((--($B252=Flowdown_BTE[[URS]:[URS]]))*(--(J$14=Flowdown_BTE[[Source.Name]:[Source.Name]])),Flowdown_BTE[[SyRS]:[SyRS]],"")))</f>
        <v/>
      </c>
      <c r="K252" s="12" t="str" cm="1">
        <f t="array" ref="K252">_xlfn.TEXTJOIN(CHAR(10),TRUE,_xlfn._xlws.SORT(IF((--($B252=Flowdown_BTE[[URS]:[URS]]))*(--(K$14=Flowdown_BTE[[Source.Name]:[Source.Name]])),Flowdown_BTE[[SyRS]:[SyRS]],"")))</f>
        <v/>
      </c>
      <c r="L252" s="16" t="b" cm="1">
        <f t="array" ref="L252">OR(LEN(C252:K252)&gt;0)</f>
        <v>1</v>
      </c>
    </row>
    <row r="253" spans="2:12" ht="67.5" x14ac:dyDescent="0.2">
      <c r="B253" s="11" t="str">
        <v>MASTER-6530</v>
      </c>
      <c r="C253" s="12" t="str" cm="1">
        <f t="array" ref="C253">_xlfn.TEXTJOIN(CHAR(10),TRUE,_xlfn._xlws.SORT(IF((--($B253=Flowdown_BTE[[URS]:[URS]]))*(--(C$14=Flowdown_BTE[[Source.Name]:[Source.Name]])),Flowdown_BTE[[SyRS]:[SyRS]],"")))</f>
        <v>MASTER-60749</v>
      </c>
      <c r="D253" s="12" t="str" cm="1">
        <f t="array" ref="D253">_xlfn.TEXTJOIN(CHAR(10),TRUE,_xlfn._xlws.SORT(IF((--($B253=Flowdown_BTE[[URS]:[URS]]))*(--(D$14=Flowdown_BTE[[Source.Name]:[Source.Name]])),Flowdown_BTE[[SyRS]:[SyRS]],"")))</f>
        <v>MASTER-60749</v>
      </c>
      <c r="E253" s="12" t="str" cm="1">
        <f t="array" ref="E253">_xlfn.TEXTJOIN(CHAR(10),TRUE,_xlfn._xlws.SORT(IF((--($B253=Flowdown_BTE[[URS]:[URS]]))*(--(E$14=Flowdown_BTE[[Source.Name]:[Source.Name]])),Flowdown_BTE[[SyRS]:[SyRS]],"")))</f>
        <v>MASTER-60749</v>
      </c>
      <c r="F253" s="12" t="str" cm="1">
        <f t="array" ref="F253">_xlfn.TEXTJOIN(CHAR(10),TRUE,_xlfn._xlws.SORT(IF((--($B253=Flowdown_BTE[[URS]:[URS]]))*(--(F$14=Flowdown_BTE[[Source.Name]:[Source.Name]])),Flowdown_BTE[[SyRS]:[SyRS]],"")))</f>
        <v>MASTER-60749</v>
      </c>
      <c r="G253" s="12" t="str" cm="1">
        <f t="array" ref="G253">_xlfn.TEXTJOIN(CHAR(10),TRUE,_xlfn._xlws.SORT(IF((--($B253=Flowdown_BTE[[URS]:[URS]]))*(--(G$14=Flowdown_BTE[[Source.Name]:[Source.Name]])),Flowdown_BTE[[SyRS]:[SyRS]],"")))</f>
        <v>MASTER-60749</v>
      </c>
      <c r="H253" s="12" t="str" cm="1">
        <f t="array" ref="H253">_xlfn.TEXTJOIN(CHAR(10),TRUE,_xlfn._xlws.SORT(IF((--($B253=Flowdown_BTE[[URS]:[URS]]))*(--(H$14=Flowdown_BTE[[Source.Name]:[Source.Name]])),Flowdown_BTE[[SyRS]:[SyRS]],"")))</f>
        <v>MASTER-22115
MASTER-60800
MASTER-60810
MASTER-60835
UTICA-24565</v>
      </c>
      <c r="I253" s="12" t="str" cm="1">
        <f t="array" ref="I253">_xlfn.TEXTJOIN(CHAR(10),TRUE,_xlfn._xlws.SORT(IF((--($B253=Flowdown_BTE[[URS]:[URS]]))*(--(I$14=Flowdown_BTE[[Source.Name]:[Source.Name]])),Flowdown_BTE[[SyRS]:[SyRS]],"")))</f>
        <v/>
      </c>
      <c r="J253" s="12" t="str" cm="1">
        <f t="array" ref="J253">_xlfn.TEXTJOIN(CHAR(10),TRUE,_xlfn._xlws.SORT(IF((--($B253=Flowdown_BTE[[URS]:[URS]]))*(--(J$14=Flowdown_BTE[[Source.Name]:[Source.Name]])),Flowdown_BTE[[SyRS]:[SyRS]],"")))</f>
        <v/>
      </c>
      <c r="K253" s="12" t="str" cm="1">
        <f t="array" ref="K253">_xlfn.TEXTJOIN(CHAR(10),TRUE,_xlfn._xlws.SORT(IF((--($B253=Flowdown_BTE[[URS]:[URS]]))*(--(K$14=Flowdown_BTE[[Source.Name]:[Source.Name]])),Flowdown_BTE[[SyRS]:[SyRS]],"")))</f>
        <v/>
      </c>
      <c r="L253" s="16" t="b" cm="1">
        <f t="array" ref="L253">OR(LEN(C253:K253)&gt;0)</f>
        <v>1</v>
      </c>
    </row>
    <row r="254" spans="2:12" ht="40.5" x14ac:dyDescent="0.2">
      <c r="B254" s="11" t="str">
        <v>MASTER-6531</v>
      </c>
      <c r="C254" s="12" t="str" cm="1">
        <f t="array" ref="C254">_xlfn.TEXTJOIN(CHAR(10),TRUE,_xlfn._xlws.SORT(IF((--($B254=Flowdown_BTE[[URS]:[URS]]))*(--(C$14=Flowdown_BTE[[Source.Name]:[Source.Name]])),Flowdown_BTE[[SyRS]:[SyRS]],"")))</f>
        <v/>
      </c>
      <c r="D254" s="12" t="str" cm="1">
        <f t="array" ref="D254">_xlfn.TEXTJOIN(CHAR(10),TRUE,_xlfn._xlws.SORT(IF((--($B254=Flowdown_BTE[[URS]:[URS]]))*(--(D$14=Flowdown_BTE[[Source.Name]:[Source.Name]])),Flowdown_BTE[[SyRS]:[SyRS]],"")))</f>
        <v/>
      </c>
      <c r="E254" s="12" t="str" cm="1">
        <f t="array" ref="E254">_xlfn.TEXTJOIN(CHAR(10),TRUE,_xlfn._xlws.SORT(IF((--($B254=Flowdown_BTE[[URS]:[URS]]))*(--(E$14=Flowdown_BTE[[Source.Name]:[Source.Name]])),Flowdown_BTE[[SyRS]:[SyRS]],"")))</f>
        <v/>
      </c>
      <c r="F254" s="12" t="str" cm="1">
        <f t="array" ref="F254">_xlfn.TEXTJOIN(CHAR(10),TRUE,_xlfn._xlws.SORT(IF((--($B254=Flowdown_BTE[[URS]:[URS]]))*(--(F$14=Flowdown_BTE[[Source.Name]:[Source.Name]])),Flowdown_BTE[[SyRS]:[SyRS]],"")))</f>
        <v/>
      </c>
      <c r="G254" s="12" t="str" cm="1">
        <f t="array" ref="G254">_xlfn.TEXTJOIN(CHAR(10),TRUE,_xlfn._xlws.SORT(IF((--($B254=Flowdown_BTE[[URS]:[URS]]))*(--(G$14=Flowdown_BTE[[Source.Name]:[Source.Name]])),Flowdown_BTE[[SyRS]:[SyRS]],"")))</f>
        <v/>
      </c>
      <c r="H254" s="12" t="str" cm="1">
        <f t="array" ref="H254">_xlfn.TEXTJOIN(CHAR(10),TRUE,_xlfn._xlws.SORT(IF((--($B254=Flowdown_BTE[[URS]:[URS]]))*(--(H$14=Flowdown_BTE[[Source.Name]:[Source.Name]])),Flowdown_BTE[[SyRS]:[SyRS]],"")))</f>
        <v>MASTER-60833
MASTER-60835
UTICA-24845</v>
      </c>
      <c r="I254" s="12" t="str" cm="1">
        <f t="array" ref="I254">_xlfn.TEXTJOIN(CHAR(10),TRUE,_xlfn._xlws.SORT(IF((--($B254=Flowdown_BTE[[URS]:[URS]]))*(--(I$14=Flowdown_BTE[[Source.Name]:[Source.Name]])),Flowdown_BTE[[SyRS]:[SyRS]],"")))</f>
        <v/>
      </c>
      <c r="J254" s="12" t="str" cm="1">
        <f t="array" ref="J254">_xlfn.TEXTJOIN(CHAR(10),TRUE,_xlfn._xlws.SORT(IF((--($B254=Flowdown_BTE[[URS]:[URS]]))*(--(J$14=Flowdown_BTE[[Source.Name]:[Source.Name]])),Flowdown_BTE[[SyRS]:[SyRS]],"")))</f>
        <v/>
      </c>
      <c r="K254" s="12" t="str" cm="1">
        <f t="array" ref="K254">_xlfn.TEXTJOIN(CHAR(10),TRUE,_xlfn._xlws.SORT(IF((--($B254=Flowdown_BTE[[URS]:[URS]]))*(--(K$14=Flowdown_BTE[[Source.Name]:[Source.Name]])),Flowdown_BTE[[SyRS]:[SyRS]],"")))</f>
        <v/>
      </c>
      <c r="L254" s="16" t="b" cm="1">
        <f t="array" ref="L254">OR(LEN(C254:K254)&gt;0)</f>
        <v>1</v>
      </c>
    </row>
    <row r="255" spans="2:12" ht="67.5" x14ac:dyDescent="0.2">
      <c r="B255" s="11" t="str">
        <v>MASTER-6532</v>
      </c>
      <c r="C255" s="12" t="str" cm="1">
        <f t="array" ref="C255">_xlfn.TEXTJOIN(CHAR(10),TRUE,_xlfn._xlws.SORT(IF((--($B255=Flowdown_BTE[[URS]:[URS]]))*(--(C$14=Flowdown_BTE[[Source.Name]:[Source.Name]])),Flowdown_BTE[[SyRS]:[SyRS]],"")))</f>
        <v>MASTER-60749</v>
      </c>
      <c r="D255" s="12" t="str" cm="1">
        <f t="array" ref="D255">_xlfn.TEXTJOIN(CHAR(10),TRUE,_xlfn._xlws.SORT(IF((--($B255=Flowdown_BTE[[URS]:[URS]]))*(--(D$14=Flowdown_BTE[[Source.Name]:[Source.Name]])),Flowdown_BTE[[SyRS]:[SyRS]],"")))</f>
        <v>MASTER-60749</v>
      </c>
      <c r="E255" s="12" t="str" cm="1">
        <f t="array" ref="E255">_xlfn.TEXTJOIN(CHAR(10),TRUE,_xlfn._xlws.SORT(IF((--($B255=Flowdown_BTE[[URS]:[URS]]))*(--(E$14=Flowdown_BTE[[Source.Name]:[Source.Name]])),Flowdown_BTE[[SyRS]:[SyRS]],"")))</f>
        <v>MASTER-60749</v>
      </c>
      <c r="F255" s="12" t="str" cm="1">
        <f t="array" ref="F255">_xlfn.TEXTJOIN(CHAR(10),TRUE,_xlfn._xlws.SORT(IF((--($B255=Flowdown_BTE[[URS]:[URS]]))*(--(F$14=Flowdown_BTE[[Source.Name]:[Source.Name]])),Flowdown_BTE[[SyRS]:[SyRS]],"")))</f>
        <v>MASTER-60749</v>
      </c>
      <c r="G255" s="12" t="str" cm="1">
        <f t="array" ref="G255">_xlfn.TEXTJOIN(CHAR(10),TRUE,_xlfn._xlws.SORT(IF((--($B255=Flowdown_BTE[[URS]:[URS]]))*(--(G$14=Flowdown_BTE[[Source.Name]:[Source.Name]])),Flowdown_BTE[[SyRS]:[SyRS]],"")))</f>
        <v>MASTER-60749</v>
      </c>
      <c r="H255" s="12" t="str" cm="1">
        <f t="array" ref="H255">_xlfn.TEXTJOIN(CHAR(10),TRUE,_xlfn._xlws.SORT(IF((--($B255=Flowdown_BTE[[URS]:[URS]]))*(--(H$14=Flowdown_BTE[[Source.Name]:[Source.Name]])),Flowdown_BTE[[SyRS]:[SyRS]],"")))</f>
        <v>MASTER-60822
MASTER-60825
MASTER-60827
MASTER-60828
MASTER-60830</v>
      </c>
      <c r="I255" s="12" t="str" cm="1">
        <f t="array" ref="I255">_xlfn.TEXTJOIN(CHAR(10),TRUE,_xlfn._xlws.SORT(IF((--($B255=Flowdown_BTE[[URS]:[URS]]))*(--(I$14=Flowdown_BTE[[Source.Name]:[Source.Name]])),Flowdown_BTE[[SyRS]:[SyRS]],"")))</f>
        <v/>
      </c>
      <c r="J255" s="12" t="str" cm="1">
        <f t="array" ref="J255">_xlfn.TEXTJOIN(CHAR(10),TRUE,_xlfn._xlws.SORT(IF((--($B255=Flowdown_BTE[[URS]:[URS]]))*(--(J$14=Flowdown_BTE[[Source.Name]:[Source.Name]])),Flowdown_BTE[[SyRS]:[SyRS]],"")))</f>
        <v/>
      </c>
      <c r="K255" s="12" t="str" cm="1">
        <f t="array" ref="K255">_xlfn.TEXTJOIN(CHAR(10),TRUE,_xlfn._xlws.SORT(IF((--($B255=Flowdown_BTE[[URS]:[URS]]))*(--(K$14=Flowdown_BTE[[Source.Name]:[Source.Name]])),Flowdown_BTE[[SyRS]:[SyRS]],"")))</f>
        <v/>
      </c>
      <c r="L255" s="16" t="b" cm="1">
        <f t="array" ref="L255">OR(LEN(C255:K255)&gt;0)</f>
        <v>1</v>
      </c>
    </row>
    <row r="256" spans="2:12" ht="54" x14ac:dyDescent="0.2">
      <c r="B256" s="11" t="str">
        <v>MASTER-6534</v>
      </c>
      <c r="C256" s="12" t="str" cm="1">
        <f t="array" ref="C256">_xlfn.TEXTJOIN(CHAR(10),TRUE,_xlfn._xlws.SORT(IF((--($B256=Flowdown_BTE[[URS]:[URS]]))*(--(C$14=Flowdown_BTE[[Source.Name]:[Source.Name]])),Flowdown_BTE[[SyRS]:[SyRS]],"")))</f>
        <v>MASTER-60743
MASTER-60770
MASTER-60771
MASTER-60772</v>
      </c>
      <c r="D256" s="12" t="str" cm="1">
        <f t="array" ref="D256">_xlfn.TEXTJOIN(CHAR(10),TRUE,_xlfn._xlws.SORT(IF((--($B256=Flowdown_BTE[[URS]:[URS]]))*(--(D$14=Flowdown_BTE[[Source.Name]:[Source.Name]])),Flowdown_BTE[[SyRS]:[SyRS]],"")))</f>
        <v>MASTER-60743
MASTER-60770
MASTER-60771
MASTER-60772</v>
      </c>
      <c r="E256" s="12" t="str" cm="1">
        <f t="array" ref="E256">_xlfn.TEXTJOIN(CHAR(10),TRUE,_xlfn._xlws.SORT(IF((--($B256=Flowdown_BTE[[URS]:[URS]]))*(--(E$14=Flowdown_BTE[[Source.Name]:[Source.Name]])),Flowdown_BTE[[SyRS]:[SyRS]],"")))</f>
        <v>MASTER-60743
MASTER-60770
MASTER-60771
MASTER-60772</v>
      </c>
      <c r="F256" s="12" t="str" cm="1">
        <f t="array" ref="F256">_xlfn.TEXTJOIN(CHAR(10),TRUE,_xlfn._xlws.SORT(IF((--($B256=Flowdown_BTE[[URS]:[URS]]))*(--(F$14=Flowdown_BTE[[Source.Name]:[Source.Name]])),Flowdown_BTE[[SyRS]:[SyRS]],"")))</f>
        <v>MASTER-60743
MASTER-60770
MASTER-60771
MASTER-60772</v>
      </c>
      <c r="G256" s="12" t="str" cm="1">
        <f t="array" ref="G256">_xlfn.TEXTJOIN(CHAR(10),TRUE,_xlfn._xlws.SORT(IF((--($B256=Flowdown_BTE[[URS]:[URS]]))*(--(G$14=Flowdown_BTE[[Source.Name]:[Source.Name]])),Flowdown_BTE[[SyRS]:[SyRS]],"")))</f>
        <v>MASTER-60743
MASTER-60770
MASTER-60771
MASTER-60772</v>
      </c>
      <c r="H256" s="12" t="str" cm="1">
        <f t="array" ref="H256">_xlfn.TEXTJOIN(CHAR(10),TRUE,_xlfn._xlws.SORT(IF((--($B256=Flowdown_BTE[[URS]:[URS]]))*(--(H$14=Flowdown_BTE[[Source.Name]:[Source.Name]])),Flowdown_BTE[[SyRS]:[SyRS]],"")))</f>
        <v/>
      </c>
      <c r="I256" s="12" t="str" cm="1">
        <f t="array" ref="I256">_xlfn.TEXTJOIN(CHAR(10),TRUE,_xlfn._xlws.SORT(IF((--($B256=Flowdown_BTE[[URS]:[URS]]))*(--(I$14=Flowdown_BTE[[Source.Name]:[Source.Name]])),Flowdown_BTE[[SyRS]:[SyRS]],"")))</f>
        <v/>
      </c>
      <c r="J256" s="12" t="str" cm="1">
        <f t="array" ref="J256">_xlfn.TEXTJOIN(CHAR(10),TRUE,_xlfn._xlws.SORT(IF((--($B256=Flowdown_BTE[[URS]:[URS]]))*(--(J$14=Flowdown_BTE[[Source.Name]:[Source.Name]])),Flowdown_BTE[[SyRS]:[SyRS]],"")))</f>
        <v/>
      </c>
      <c r="K256" s="12" t="str" cm="1">
        <f t="array" ref="K256">_xlfn.TEXTJOIN(CHAR(10),TRUE,_xlfn._xlws.SORT(IF((--($B256=Flowdown_BTE[[URS]:[URS]]))*(--(K$14=Flowdown_BTE[[Source.Name]:[Source.Name]])),Flowdown_BTE[[SyRS]:[SyRS]],"")))</f>
        <v>MASTER-60838</v>
      </c>
      <c r="L256" s="16" t="b" cm="1">
        <f t="array" ref="L256">OR(LEN(C256:K256)&gt;0)</f>
        <v>1</v>
      </c>
    </row>
    <row r="257" spans="2:12" ht="40.5" x14ac:dyDescent="0.2">
      <c r="B257" s="11" t="str">
        <v>MASTER-6535</v>
      </c>
      <c r="C257" s="12" t="str" cm="1">
        <f t="array" ref="C257">_xlfn.TEXTJOIN(CHAR(10),TRUE,_xlfn._xlws.SORT(IF((--($B257=Flowdown_BTE[[URS]:[URS]]))*(--(C$14=Flowdown_BTE[[Source.Name]:[Source.Name]])),Flowdown_BTE[[SyRS]:[SyRS]],"")))</f>
        <v>MASTER-19252
MASTER-19254
MASTER-50080</v>
      </c>
      <c r="D257" s="12" t="str" cm="1">
        <f t="array" ref="D257">_xlfn.TEXTJOIN(CHAR(10),TRUE,_xlfn._xlws.SORT(IF((--($B257=Flowdown_BTE[[URS]:[URS]]))*(--(D$14=Flowdown_BTE[[Source.Name]:[Source.Name]])),Flowdown_BTE[[SyRS]:[SyRS]],"")))</f>
        <v>MASTER-19252
MASTER-19254
MASTER-50080</v>
      </c>
      <c r="E257" s="12" t="str" cm="1">
        <f t="array" ref="E257">_xlfn.TEXTJOIN(CHAR(10),TRUE,_xlfn._xlws.SORT(IF((--($B257=Flowdown_BTE[[URS]:[URS]]))*(--(E$14=Flowdown_BTE[[Source.Name]:[Source.Name]])),Flowdown_BTE[[SyRS]:[SyRS]],"")))</f>
        <v>MASTER-19252
MASTER-19254
MASTER-50080</v>
      </c>
      <c r="F257" s="12" t="str" cm="1">
        <f t="array" ref="F257">_xlfn.TEXTJOIN(CHAR(10),TRUE,_xlfn._xlws.SORT(IF((--($B257=Flowdown_BTE[[URS]:[URS]]))*(--(F$14=Flowdown_BTE[[Source.Name]:[Source.Name]])),Flowdown_BTE[[SyRS]:[SyRS]],"")))</f>
        <v>MASTER-19252
MASTER-19254
MASTER-50080</v>
      </c>
      <c r="G257" s="12" t="str" cm="1">
        <f t="array" ref="G257">_xlfn.TEXTJOIN(CHAR(10),TRUE,_xlfn._xlws.SORT(IF((--($B257=Flowdown_BTE[[URS]:[URS]]))*(--(G$14=Flowdown_BTE[[Source.Name]:[Source.Name]])),Flowdown_BTE[[SyRS]:[SyRS]],"")))</f>
        <v>MASTER-19252
MASTER-19254
MASTER-50080</v>
      </c>
      <c r="H257" s="12" t="str" cm="1">
        <f t="array" ref="H257">_xlfn.TEXTJOIN(CHAR(10),TRUE,_xlfn._xlws.SORT(IF((--($B257=Flowdown_BTE[[URS]:[URS]]))*(--(H$14=Flowdown_BTE[[Source.Name]:[Source.Name]])),Flowdown_BTE[[SyRS]:[SyRS]],"")))</f>
        <v/>
      </c>
      <c r="I257" s="12" t="str" cm="1">
        <f t="array" ref="I257">_xlfn.TEXTJOIN(CHAR(10),TRUE,_xlfn._xlws.SORT(IF((--($B257=Flowdown_BTE[[URS]:[URS]]))*(--(I$14=Flowdown_BTE[[Source.Name]:[Source.Name]])),Flowdown_BTE[[SyRS]:[SyRS]],"")))</f>
        <v/>
      </c>
      <c r="J257" s="12" t="str" cm="1">
        <f t="array" ref="J257">_xlfn.TEXTJOIN(CHAR(10),TRUE,_xlfn._xlws.SORT(IF((--($B257=Flowdown_BTE[[URS]:[URS]]))*(--(J$14=Flowdown_BTE[[Source.Name]:[Source.Name]])),Flowdown_BTE[[SyRS]:[SyRS]],"")))</f>
        <v/>
      </c>
      <c r="K257" s="12" t="str" cm="1">
        <f t="array" ref="K257">_xlfn.TEXTJOIN(CHAR(10),TRUE,_xlfn._xlws.SORT(IF((--($B257=Flowdown_BTE[[URS]:[URS]]))*(--(K$14=Flowdown_BTE[[Source.Name]:[Source.Name]])),Flowdown_BTE[[SyRS]:[SyRS]],"")))</f>
        <v>MASTER-60837
MASTER-60838</v>
      </c>
      <c r="L257" s="16" t="b" cm="1">
        <f t="array" ref="L257">OR(LEN(C257:K257)&gt;0)</f>
        <v>1</v>
      </c>
    </row>
    <row r="258" spans="2:12" ht="40.5" x14ac:dyDescent="0.2">
      <c r="B258" s="11" t="str">
        <v>MASTER-6547</v>
      </c>
      <c r="C258" s="12" t="str" cm="1">
        <f t="array" ref="C258">_xlfn.TEXTJOIN(CHAR(10),TRUE,_xlfn._xlws.SORT(IF((--($B258=Flowdown_BTE[[URS]:[URS]]))*(--(C$14=Flowdown_BTE[[Source.Name]:[Source.Name]])),Flowdown_BTE[[SyRS]:[SyRS]],"")))</f>
        <v>MASTER-19153
MASTER-19155
MASTER-19158</v>
      </c>
      <c r="D258" s="12" t="str" cm="1">
        <f t="array" ref="D258">_xlfn.TEXTJOIN(CHAR(10),TRUE,_xlfn._xlws.SORT(IF((--($B258=Flowdown_BTE[[URS]:[URS]]))*(--(D$14=Flowdown_BTE[[Source.Name]:[Source.Name]])),Flowdown_BTE[[SyRS]:[SyRS]],"")))</f>
        <v>MASTER-19153
MASTER-19155
MASTER-19158</v>
      </c>
      <c r="E258" s="12" t="str" cm="1">
        <f t="array" ref="E258">_xlfn.TEXTJOIN(CHAR(10),TRUE,_xlfn._xlws.SORT(IF((--($B258=Flowdown_BTE[[URS]:[URS]]))*(--(E$14=Flowdown_BTE[[Source.Name]:[Source.Name]])),Flowdown_BTE[[SyRS]:[SyRS]],"")))</f>
        <v>MASTER-19153
MASTER-19155
MASTER-19158</v>
      </c>
      <c r="F258" s="12" t="str" cm="1">
        <f t="array" ref="F258">_xlfn.TEXTJOIN(CHAR(10),TRUE,_xlfn._xlws.SORT(IF((--($B258=Flowdown_BTE[[URS]:[URS]]))*(--(F$14=Flowdown_BTE[[Source.Name]:[Source.Name]])),Flowdown_BTE[[SyRS]:[SyRS]],"")))</f>
        <v>MASTER-19153
MASTER-19155
MASTER-19158</v>
      </c>
      <c r="G258" s="12" t="str" cm="1">
        <f t="array" ref="G258">_xlfn.TEXTJOIN(CHAR(10),TRUE,_xlfn._xlws.SORT(IF((--($B258=Flowdown_BTE[[URS]:[URS]]))*(--(G$14=Flowdown_BTE[[Source.Name]:[Source.Name]])),Flowdown_BTE[[SyRS]:[SyRS]],"")))</f>
        <v>MASTER-19153
MASTER-19155
MASTER-19158</v>
      </c>
      <c r="H258" s="12" t="str" cm="1">
        <f t="array" ref="H258">_xlfn.TEXTJOIN(CHAR(10),TRUE,_xlfn._xlws.SORT(IF((--($B258=Flowdown_BTE[[URS]:[URS]]))*(--(H$14=Flowdown_BTE[[Source.Name]:[Source.Name]])),Flowdown_BTE[[SyRS]:[SyRS]],"")))</f>
        <v>MASTER-22154
MASTER-22155</v>
      </c>
      <c r="I258" s="12" t="str" cm="1">
        <f t="array" ref="I258">_xlfn.TEXTJOIN(CHAR(10),TRUE,_xlfn._xlws.SORT(IF((--($B258=Flowdown_BTE[[URS]:[URS]]))*(--(I$14=Flowdown_BTE[[Source.Name]:[Source.Name]])),Flowdown_BTE[[SyRS]:[SyRS]],"")))</f>
        <v/>
      </c>
      <c r="J258" s="12" t="str" cm="1">
        <f t="array" ref="J258">_xlfn.TEXTJOIN(CHAR(10),TRUE,_xlfn._xlws.SORT(IF((--($B258=Flowdown_BTE[[URS]:[URS]]))*(--(J$14=Flowdown_BTE[[Source.Name]:[Source.Name]])),Flowdown_BTE[[SyRS]:[SyRS]],"")))</f>
        <v/>
      </c>
      <c r="K258" s="12" t="str" cm="1">
        <f t="array" ref="K258">_xlfn.TEXTJOIN(CHAR(10),TRUE,_xlfn._xlws.SORT(IF((--($B258=Flowdown_BTE[[URS]:[URS]]))*(--(K$14=Flowdown_BTE[[Source.Name]:[Source.Name]])),Flowdown_BTE[[SyRS]:[SyRS]],"")))</f>
        <v/>
      </c>
      <c r="L258" s="16" t="b" cm="1">
        <f t="array" ref="L258">OR(LEN(C258:K258)&gt;0)</f>
        <v>1</v>
      </c>
    </row>
    <row r="259" spans="2:12" ht="67.5" x14ac:dyDescent="0.2">
      <c r="B259" s="11" t="str">
        <v>MASTER-6549</v>
      </c>
      <c r="C259" s="12" t="str" cm="1">
        <f t="array" ref="C259">_xlfn.TEXTJOIN(CHAR(10),TRUE,_xlfn._xlws.SORT(IF((--($B259=Flowdown_BTE[[URS]:[URS]]))*(--(C$14=Flowdown_BTE[[Source.Name]:[Source.Name]])),Flowdown_BTE[[SyRS]:[SyRS]],"")))</f>
        <v>MASTER-18073
MASTER-18074
MASTER-50001
MASTER-50019
MASTER-50020</v>
      </c>
      <c r="D259" s="12" t="str" cm="1">
        <f t="array" ref="D259">_xlfn.TEXTJOIN(CHAR(10),TRUE,_xlfn._xlws.SORT(IF((--($B259=Flowdown_BTE[[URS]:[URS]]))*(--(D$14=Flowdown_BTE[[Source.Name]:[Source.Name]])),Flowdown_BTE[[SyRS]:[SyRS]],"")))</f>
        <v>MASTER-18073
MASTER-18074
MASTER-50001
MASTER-50019
MASTER-50020</v>
      </c>
      <c r="E259" s="12" t="str" cm="1">
        <f t="array" ref="E259">_xlfn.TEXTJOIN(CHAR(10),TRUE,_xlfn._xlws.SORT(IF((--($B259=Flowdown_BTE[[URS]:[URS]]))*(--(E$14=Flowdown_BTE[[Source.Name]:[Source.Name]])),Flowdown_BTE[[SyRS]:[SyRS]],"")))</f>
        <v>MASTER-18073
MASTER-18074
MASTER-50001
MASTER-50019
MASTER-50020</v>
      </c>
      <c r="F259" s="12" t="str" cm="1">
        <f t="array" ref="F259">_xlfn.TEXTJOIN(CHAR(10),TRUE,_xlfn._xlws.SORT(IF((--($B259=Flowdown_BTE[[URS]:[URS]]))*(--(F$14=Flowdown_BTE[[Source.Name]:[Source.Name]])),Flowdown_BTE[[SyRS]:[SyRS]],"")))</f>
        <v>MASTER-18073
MASTER-18074
MASTER-50001
MASTER-50019
MASTER-50020</v>
      </c>
      <c r="G259" s="12" t="str" cm="1">
        <f t="array" ref="G259">_xlfn.TEXTJOIN(CHAR(10),TRUE,_xlfn._xlws.SORT(IF((--($B259=Flowdown_BTE[[URS]:[URS]]))*(--(G$14=Flowdown_BTE[[Source.Name]:[Source.Name]])),Flowdown_BTE[[SyRS]:[SyRS]],"")))</f>
        <v>MASTER-18073
MASTER-18074
MASTER-50001
MASTER-50019
MASTER-50020</v>
      </c>
      <c r="H259" s="12" t="str" cm="1">
        <f t="array" ref="H259">_xlfn.TEXTJOIN(CHAR(10),TRUE,_xlfn._xlws.SORT(IF((--($B259=Flowdown_BTE[[URS]:[URS]]))*(--(H$14=Flowdown_BTE[[Source.Name]:[Source.Name]])),Flowdown_BTE[[SyRS]:[SyRS]],"")))</f>
        <v/>
      </c>
      <c r="I259" s="12" t="str" cm="1">
        <f t="array" ref="I259">_xlfn.TEXTJOIN(CHAR(10),TRUE,_xlfn._xlws.SORT(IF((--($B259=Flowdown_BTE[[URS]:[URS]]))*(--(I$14=Flowdown_BTE[[Source.Name]:[Source.Name]])),Flowdown_BTE[[SyRS]:[SyRS]],"")))</f>
        <v/>
      </c>
      <c r="J259" s="12" t="str" cm="1">
        <f t="array" ref="J259">_xlfn.TEXTJOIN(CHAR(10),TRUE,_xlfn._xlws.SORT(IF((--($B259=Flowdown_BTE[[URS]:[URS]]))*(--(J$14=Flowdown_BTE[[Source.Name]:[Source.Name]])),Flowdown_BTE[[SyRS]:[SyRS]],"")))</f>
        <v/>
      </c>
      <c r="K259" s="12" t="str" cm="1">
        <f t="array" ref="K259">_xlfn.TEXTJOIN(CHAR(10),TRUE,_xlfn._xlws.SORT(IF((--($B259=Flowdown_BTE[[URS]:[URS]]))*(--(K$14=Flowdown_BTE[[Source.Name]:[Source.Name]])),Flowdown_BTE[[SyRS]:[SyRS]],"")))</f>
        <v/>
      </c>
      <c r="L259" s="16" t="b" cm="1">
        <f t="array" ref="L259">OR(LEN(C259:K259)&gt;0)</f>
        <v>1</v>
      </c>
    </row>
    <row r="260" spans="2:12" ht="81" x14ac:dyDescent="0.2">
      <c r="B260" s="11" t="str">
        <v>MASTER-6551</v>
      </c>
      <c r="C260" s="12" t="str" cm="1">
        <f t="array" ref="C260">_xlfn.TEXTJOIN(CHAR(10),TRUE,_xlfn._xlws.SORT(IF((--($B260=Flowdown_BTE[[URS]:[URS]]))*(--(C$14=Flowdown_BTE[[Source.Name]:[Source.Name]])),Flowdown_BTE[[SyRS]:[SyRS]],"")))</f>
        <v>MASTER-19278
MASTER-50036
MASTER-50080
MASTER-58670
MASTER-63411
MASTER-63412</v>
      </c>
      <c r="D260" s="12" t="str" cm="1">
        <f t="array" ref="D260">_xlfn.TEXTJOIN(CHAR(10),TRUE,_xlfn._xlws.SORT(IF((--($B260=Flowdown_BTE[[URS]:[URS]]))*(--(D$14=Flowdown_BTE[[Source.Name]:[Source.Name]])),Flowdown_BTE[[SyRS]:[SyRS]],"")))</f>
        <v>MASTER-19278
MASTER-50036
MASTER-50080
MASTER-58670
MASTER-63411
MASTER-63412</v>
      </c>
      <c r="E260" s="12" t="str" cm="1">
        <f t="array" ref="E260">_xlfn.TEXTJOIN(CHAR(10),TRUE,_xlfn._xlws.SORT(IF((--($B260=Flowdown_BTE[[URS]:[URS]]))*(--(E$14=Flowdown_BTE[[Source.Name]:[Source.Name]])),Flowdown_BTE[[SyRS]:[SyRS]],"")))</f>
        <v>MASTER-19278
MASTER-50036
MASTER-50080
MASTER-58670
MASTER-63411
MASTER-63412</v>
      </c>
      <c r="F260" s="12" t="str" cm="1">
        <f t="array" ref="F260">_xlfn.TEXTJOIN(CHAR(10),TRUE,_xlfn._xlws.SORT(IF((--($B260=Flowdown_BTE[[URS]:[URS]]))*(--(F$14=Flowdown_BTE[[Source.Name]:[Source.Name]])),Flowdown_BTE[[SyRS]:[SyRS]],"")))</f>
        <v>MASTER-19278
MASTER-50036
MASTER-50080
MASTER-58670
MASTER-63411
MASTER-63412</v>
      </c>
      <c r="G260" s="12" t="str" cm="1">
        <f t="array" ref="G260">_xlfn.TEXTJOIN(CHAR(10),TRUE,_xlfn._xlws.SORT(IF((--($B260=Flowdown_BTE[[URS]:[URS]]))*(--(G$14=Flowdown_BTE[[Source.Name]:[Source.Name]])),Flowdown_BTE[[SyRS]:[SyRS]],"")))</f>
        <v>MASTER-19278
MASTER-50036
MASTER-50080
MASTER-58670
MASTER-63411
MASTER-63412</v>
      </c>
      <c r="H260" s="12" t="str" cm="1">
        <f t="array" ref="H260">_xlfn.TEXTJOIN(CHAR(10),TRUE,_xlfn._xlws.SORT(IF((--($B260=Flowdown_BTE[[URS]:[URS]]))*(--(H$14=Flowdown_BTE[[Source.Name]:[Source.Name]])),Flowdown_BTE[[SyRS]:[SyRS]],"")))</f>
        <v>UTICA-24846</v>
      </c>
      <c r="I260" s="12" t="str" cm="1">
        <f t="array" ref="I260">_xlfn.TEXTJOIN(CHAR(10),TRUE,_xlfn._xlws.SORT(IF((--($B260=Flowdown_BTE[[URS]:[URS]]))*(--(I$14=Flowdown_BTE[[Source.Name]:[Source.Name]])),Flowdown_BTE[[SyRS]:[SyRS]],"")))</f>
        <v/>
      </c>
      <c r="J260" s="12" t="str" cm="1">
        <f t="array" ref="J260">_xlfn.TEXTJOIN(CHAR(10),TRUE,_xlfn._xlws.SORT(IF((--($B260=Flowdown_BTE[[URS]:[URS]]))*(--(J$14=Flowdown_BTE[[Source.Name]:[Source.Name]])),Flowdown_BTE[[SyRS]:[SyRS]],"")))</f>
        <v/>
      </c>
      <c r="K260" s="12" t="str" cm="1">
        <f t="array" ref="K260">_xlfn.TEXTJOIN(CHAR(10),TRUE,_xlfn._xlws.SORT(IF((--($B260=Flowdown_BTE[[URS]:[URS]]))*(--(K$14=Flowdown_BTE[[Source.Name]:[Source.Name]])),Flowdown_BTE[[SyRS]:[SyRS]],"")))</f>
        <v/>
      </c>
      <c r="L260" s="16" t="b" cm="1">
        <f t="array" ref="L260">OR(LEN(C260:K260)&gt;0)</f>
        <v>1</v>
      </c>
    </row>
    <row r="261" spans="2:12" ht="13.5" x14ac:dyDescent="0.2">
      <c r="B261" s="11" t="str">
        <v>MASTER-6552</v>
      </c>
      <c r="C261" s="12" t="str" cm="1">
        <f t="array" ref="C261">_xlfn.TEXTJOIN(CHAR(10),TRUE,_xlfn._xlws.SORT(IF((--($B261=Flowdown_BTE[[URS]:[URS]]))*(--(C$14=Flowdown_BTE[[Source.Name]:[Source.Name]])),Flowdown_BTE[[SyRS]:[SyRS]],"")))</f>
        <v/>
      </c>
      <c r="D261" s="12" t="str" cm="1">
        <f t="array" ref="D261">_xlfn.TEXTJOIN(CHAR(10),TRUE,_xlfn._xlws.SORT(IF((--($B261=Flowdown_BTE[[URS]:[URS]]))*(--(D$14=Flowdown_BTE[[Source.Name]:[Source.Name]])),Flowdown_BTE[[SyRS]:[SyRS]],"")))</f>
        <v/>
      </c>
      <c r="E261" s="12" t="str" cm="1">
        <f t="array" ref="E261">_xlfn.TEXTJOIN(CHAR(10),TRUE,_xlfn._xlws.SORT(IF((--($B261=Flowdown_BTE[[URS]:[URS]]))*(--(E$14=Flowdown_BTE[[Source.Name]:[Source.Name]])),Flowdown_BTE[[SyRS]:[SyRS]],"")))</f>
        <v/>
      </c>
      <c r="F261" s="12" t="str" cm="1">
        <f t="array" ref="F261">_xlfn.TEXTJOIN(CHAR(10),TRUE,_xlfn._xlws.SORT(IF((--($B261=Flowdown_BTE[[URS]:[URS]]))*(--(F$14=Flowdown_BTE[[Source.Name]:[Source.Name]])),Flowdown_BTE[[SyRS]:[SyRS]],"")))</f>
        <v/>
      </c>
      <c r="G261" s="12" t="str" cm="1">
        <f t="array" ref="G261">_xlfn.TEXTJOIN(CHAR(10),TRUE,_xlfn._xlws.SORT(IF((--($B261=Flowdown_BTE[[URS]:[URS]]))*(--(G$14=Flowdown_BTE[[Source.Name]:[Source.Name]])),Flowdown_BTE[[SyRS]:[SyRS]],"")))</f>
        <v/>
      </c>
      <c r="H261" s="12" t="str" cm="1">
        <f t="array" ref="H261">_xlfn.TEXTJOIN(CHAR(10),TRUE,_xlfn._xlws.SORT(IF((--($B261=Flowdown_BTE[[URS]:[URS]]))*(--(H$14=Flowdown_BTE[[Source.Name]:[Source.Name]])),Flowdown_BTE[[SyRS]:[SyRS]],"")))</f>
        <v/>
      </c>
      <c r="I261" s="12" t="str" cm="1">
        <f t="array" ref="I261">_xlfn.TEXTJOIN(CHAR(10),TRUE,_xlfn._xlws.SORT(IF((--($B261=Flowdown_BTE[[URS]:[URS]]))*(--(I$14=Flowdown_BTE[[Source.Name]:[Source.Name]])),Flowdown_BTE[[SyRS]:[SyRS]],"")))</f>
        <v>MASTER-19866</v>
      </c>
      <c r="J261" s="12" t="str" cm="1">
        <f t="array" ref="J261">_xlfn.TEXTJOIN(CHAR(10),TRUE,_xlfn._xlws.SORT(IF((--($B261=Flowdown_BTE[[URS]:[URS]]))*(--(J$14=Flowdown_BTE[[Source.Name]:[Source.Name]])),Flowdown_BTE[[SyRS]:[SyRS]],"")))</f>
        <v/>
      </c>
      <c r="K261" s="12" t="str" cm="1">
        <f t="array" ref="K261">_xlfn.TEXTJOIN(CHAR(10),TRUE,_xlfn._xlws.SORT(IF((--($B261=Flowdown_BTE[[URS]:[URS]]))*(--(K$14=Flowdown_BTE[[Source.Name]:[Source.Name]])),Flowdown_BTE[[SyRS]:[SyRS]],"")))</f>
        <v/>
      </c>
      <c r="L261" s="16" t="b" cm="1">
        <f t="array" ref="L261">OR(LEN(C261:K261)&gt;0)</f>
        <v>1</v>
      </c>
    </row>
    <row r="262" spans="2:12" ht="13.5" x14ac:dyDescent="0.2">
      <c r="B262" s="11" t="str">
        <v>MASTER-6553</v>
      </c>
      <c r="C262" s="12" t="str" cm="1">
        <f t="array" ref="C262">_xlfn.TEXTJOIN(CHAR(10),TRUE,_xlfn._xlws.SORT(IF((--($B262=Flowdown_BTE[[URS]:[URS]]))*(--(C$14=Flowdown_BTE[[Source.Name]:[Source.Name]])),Flowdown_BTE[[SyRS]:[SyRS]],"")))</f>
        <v/>
      </c>
      <c r="D262" s="12" t="str" cm="1">
        <f t="array" ref="D262">_xlfn.TEXTJOIN(CHAR(10),TRUE,_xlfn._xlws.SORT(IF((--($B262=Flowdown_BTE[[URS]:[URS]]))*(--(D$14=Flowdown_BTE[[Source.Name]:[Source.Name]])),Flowdown_BTE[[SyRS]:[SyRS]],"")))</f>
        <v/>
      </c>
      <c r="E262" s="12" t="str" cm="1">
        <f t="array" ref="E262">_xlfn.TEXTJOIN(CHAR(10),TRUE,_xlfn._xlws.SORT(IF((--($B262=Flowdown_BTE[[URS]:[URS]]))*(--(E$14=Flowdown_BTE[[Source.Name]:[Source.Name]])),Flowdown_BTE[[SyRS]:[SyRS]],"")))</f>
        <v/>
      </c>
      <c r="F262" s="12" t="str" cm="1">
        <f t="array" ref="F262">_xlfn.TEXTJOIN(CHAR(10),TRUE,_xlfn._xlws.SORT(IF((--($B262=Flowdown_BTE[[URS]:[URS]]))*(--(F$14=Flowdown_BTE[[Source.Name]:[Source.Name]])),Flowdown_BTE[[SyRS]:[SyRS]],"")))</f>
        <v/>
      </c>
      <c r="G262" s="12" t="str" cm="1">
        <f t="array" ref="G262">_xlfn.TEXTJOIN(CHAR(10),TRUE,_xlfn._xlws.SORT(IF((--($B262=Flowdown_BTE[[URS]:[URS]]))*(--(G$14=Flowdown_BTE[[Source.Name]:[Source.Name]])),Flowdown_BTE[[SyRS]:[SyRS]],"")))</f>
        <v/>
      </c>
      <c r="H262" s="12" t="str" cm="1">
        <f t="array" ref="H262">_xlfn.TEXTJOIN(CHAR(10),TRUE,_xlfn._xlws.SORT(IF((--($B262=Flowdown_BTE[[URS]:[URS]]))*(--(H$14=Flowdown_BTE[[Source.Name]:[Source.Name]])),Flowdown_BTE[[SyRS]:[SyRS]],"")))</f>
        <v/>
      </c>
      <c r="I262" s="12" t="str" cm="1">
        <f t="array" ref="I262">_xlfn.TEXTJOIN(CHAR(10),TRUE,_xlfn._xlws.SORT(IF((--($B262=Flowdown_BTE[[URS]:[URS]]))*(--(I$14=Flowdown_BTE[[Source.Name]:[Source.Name]])),Flowdown_BTE[[SyRS]:[SyRS]],"")))</f>
        <v>MASTER-19866</v>
      </c>
      <c r="J262" s="12" t="str" cm="1">
        <f t="array" ref="J262">_xlfn.TEXTJOIN(CHAR(10),TRUE,_xlfn._xlws.SORT(IF((--($B262=Flowdown_BTE[[URS]:[URS]]))*(--(J$14=Flowdown_BTE[[Source.Name]:[Source.Name]])),Flowdown_BTE[[SyRS]:[SyRS]],"")))</f>
        <v/>
      </c>
      <c r="K262" s="12" t="str" cm="1">
        <f t="array" ref="K262">_xlfn.TEXTJOIN(CHAR(10),TRUE,_xlfn._xlws.SORT(IF((--($B262=Flowdown_BTE[[URS]:[URS]]))*(--(K$14=Flowdown_BTE[[Source.Name]:[Source.Name]])),Flowdown_BTE[[SyRS]:[SyRS]],"")))</f>
        <v/>
      </c>
      <c r="L262" s="16" t="b" cm="1">
        <f t="array" ref="L262">OR(LEN(C262:K262)&gt;0)</f>
        <v>1</v>
      </c>
    </row>
    <row r="263" spans="2:12" ht="40.5" x14ac:dyDescent="0.2">
      <c r="B263" s="11" t="str">
        <v>MASTER-6555</v>
      </c>
      <c r="C263" s="12" t="str" cm="1">
        <f t="array" ref="C263">_xlfn.TEXTJOIN(CHAR(10),TRUE,_xlfn._xlws.SORT(IF((--($B263=Flowdown_BTE[[URS]:[URS]]))*(--(C$14=Flowdown_BTE[[Source.Name]:[Source.Name]])),Flowdown_BTE[[SyRS]:[SyRS]],"")))</f>
        <v>MASTER-19254
MASTER-19255
MASTER-42194</v>
      </c>
      <c r="D263" s="12" t="str" cm="1">
        <f t="array" ref="D263">_xlfn.TEXTJOIN(CHAR(10),TRUE,_xlfn._xlws.SORT(IF((--($B263=Flowdown_BTE[[URS]:[URS]]))*(--(D$14=Flowdown_BTE[[Source.Name]:[Source.Name]])),Flowdown_BTE[[SyRS]:[SyRS]],"")))</f>
        <v>MASTER-19254
MASTER-19255
MASTER-42194</v>
      </c>
      <c r="E263" s="12" t="str" cm="1">
        <f t="array" ref="E263">_xlfn.TEXTJOIN(CHAR(10),TRUE,_xlfn._xlws.SORT(IF((--($B263=Flowdown_BTE[[URS]:[URS]]))*(--(E$14=Flowdown_BTE[[Source.Name]:[Source.Name]])),Flowdown_BTE[[SyRS]:[SyRS]],"")))</f>
        <v>MASTER-19254
MASTER-19255
MASTER-42194</v>
      </c>
      <c r="F263" s="12" t="str" cm="1">
        <f t="array" ref="F263">_xlfn.TEXTJOIN(CHAR(10),TRUE,_xlfn._xlws.SORT(IF((--($B263=Flowdown_BTE[[URS]:[URS]]))*(--(F$14=Flowdown_BTE[[Source.Name]:[Source.Name]])),Flowdown_BTE[[SyRS]:[SyRS]],"")))</f>
        <v>MASTER-19254
MASTER-19255
MASTER-42194</v>
      </c>
      <c r="G263" s="12" t="str" cm="1">
        <f t="array" ref="G263">_xlfn.TEXTJOIN(CHAR(10),TRUE,_xlfn._xlws.SORT(IF((--($B263=Flowdown_BTE[[URS]:[URS]]))*(--(G$14=Flowdown_BTE[[Source.Name]:[Source.Name]])),Flowdown_BTE[[SyRS]:[SyRS]],"")))</f>
        <v>MASTER-19254
MASTER-19255
MASTER-42194</v>
      </c>
      <c r="H263" s="12" t="str" cm="1">
        <f t="array" ref="H263">_xlfn.TEXTJOIN(CHAR(10),TRUE,_xlfn._xlws.SORT(IF((--($B263=Flowdown_BTE[[URS]:[URS]]))*(--(H$14=Flowdown_BTE[[Source.Name]:[Source.Name]])),Flowdown_BTE[[SyRS]:[SyRS]],"")))</f>
        <v/>
      </c>
      <c r="I263" s="12" t="str" cm="1">
        <f t="array" ref="I263">_xlfn.TEXTJOIN(CHAR(10),TRUE,_xlfn._xlws.SORT(IF((--($B263=Flowdown_BTE[[URS]:[URS]]))*(--(I$14=Flowdown_BTE[[Source.Name]:[Source.Name]])),Flowdown_BTE[[SyRS]:[SyRS]],"")))</f>
        <v>MASTER-48451</v>
      </c>
      <c r="J263" s="12" t="str" cm="1">
        <f t="array" ref="J263">_xlfn.TEXTJOIN(CHAR(10),TRUE,_xlfn._xlws.SORT(IF((--($B263=Flowdown_BTE[[URS]:[URS]]))*(--(J$14=Flowdown_BTE[[Source.Name]:[Source.Name]])),Flowdown_BTE[[SyRS]:[SyRS]],"")))</f>
        <v>MASTER-48451</v>
      </c>
      <c r="K263" s="12" t="str" cm="1">
        <f t="array" ref="K263">_xlfn.TEXTJOIN(CHAR(10),TRUE,_xlfn._xlws.SORT(IF((--($B263=Flowdown_BTE[[URS]:[URS]]))*(--(K$14=Flowdown_BTE[[Source.Name]:[Source.Name]])),Flowdown_BTE[[SyRS]:[SyRS]],"")))</f>
        <v/>
      </c>
      <c r="L263" s="16" t="b" cm="1">
        <f t="array" ref="L263">OR(LEN(C263:K263)&gt;0)</f>
        <v>1</v>
      </c>
    </row>
    <row r="264" spans="2:12" ht="13.5" x14ac:dyDescent="0.2">
      <c r="B264" s="11" t="str">
        <v>MASTER-6556</v>
      </c>
      <c r="C264" s="12" t="str" cm="1">
        <f t="array" ref="C264">_xlfn.TEXTJOIN(CHAR(10),TRUE,_xlfn._xlws.SORT(IF((--($B264=Flowdown_BTE[[URS]:[URS]]))*(--(C$14=Flowdown_BTE[[Source.Name]:[Source.Name]])),Flowdown_BTE[[SyRS]:[SyRS]],"")))</f>
        <v>MASTER-63412</v>
      </c>
      <c r="D264" s="12" t="str" cm="1">
        <f t="array" ref="D264">_xlfn.TEXTJOIN(CHAR(10),TRUE,_xlfn._xlws.SORT(IF((--($B264=Flowdown_BTE[[URS]:[URS]]))*(--(D$14=Flowdown_BTE[[Source.Name]:[Source.Name]])),Flowdown_BTE[[SyRS]:[SyRS]],"")))</f>
        <v>MASTER-63412</v>
      </c>
      <c r="E264" s="12" t="str" cm="1">
        <f t="array" ref="E264">_xlfn.TEXTJOIN(CHAR(10),TRUE,_xlfn._xlws.SORT(IF((--($B264=Flowdown_BTE[[URS]:[URS]]))*(--(E$14=Flowdown_BTE[[Source.Name]:[Source.Name]])),Flowdown_BTE[[SyRS]:[SyRS]],"")))</f>
        <v>MASTER-63412</v>
      </c>
      <c r="F264" s="12" t="str" cm="1">
        <f t="array" ref="F264">_xlfn.TEXTJOIN(CHAR(10),TRUE,_xlfn._xlws.SORT(IF((--($B264=Flowdown_BTE[[URS]:[URS]]))*(--(F$14=Flowdown_BTE[[Source.Name]:[Source.Name]])),Flowdown_BTE[[SyRS]:[SyRS]],"")))</f>
        <v>MASTER-63412</v>
      </c>
      <c r="G264" s="12" t="str" cm="1">
        <f t="array" ref="G264">_xlfn.TEXTJOIN(CHAR(10),TRUE,_xlfn._xlws.SORT(IF((--($B264=Flowdown_BTE[[URS]:[URS]]))*(--(G$14=Flowdown_BTE[[Source.Name]:[Source.Name]])),Flowdown_BTE[[SyRS]:[SyRS]],"")))</f>
        <v>MASTER-63412</v>
      </c>
      <c r="H264" s="12" t="str" cm="1">
        <f t="array" ref="H264">_xlfn.TEXTJOIN(CHAR(10),TRUE,_xlfn._xlws.SORT(IF((--($B264=Flowdown_BTE[[URS]:[URS]]))*(--(H$14=Flowdown_BTE[[Source.Name]:[Source.Name]])),Flowdown_BTE[[SyRS]:[SyRS]],"")))</f>
        <v/>
      </c>
      <c r="I264" s="12" t="str" cm="1">
        <f t="array" ref="I264">_xlfn.TEXTJOIN(CHAR(10),TRUE,_xlfn._xlws.SORT(IF((--($B264=Flowdown_BTE[[URS]:[URS]]))*(--(I$14=Flowdown_BTE[[Source.Name]:[Source.Name]])),Flowdown_BTE[[SyRS]:[SyRS]],"")))</f>
        <v/>
      </c>
      <c r="J264" s="12" t="str" cm="1">
        <f t="array" ref="J264">_xlfn.TEXTJOIN(CHAR(10),TRUE,_xlfn._xlws.SORT(IF((--($B264=Flowdown_BTE[[URS]:[URS]]))*(--(J$14=Flowdown_BTE[[Source.Name]:[Source.Name]])),Flowdown_BTE[[SyRS]:[SyRS]],"")))</f>
        <v/>
      </c>
      <c r="K264" s="12" t="str" cm="1">
        <f t="array" ref="K264">_xlfn.TEXTJOIN(CHAR(10),TRUE,_xlfn._xlws.SORT(IF((--($B264=Flowdown_BTE[[URS]:[URS]]))*(--(K$14=Flowdown_BTE[[Source.Name]:[Source.Name]])),Flowdown_BTE[[SyRS]:[SyRS]],"")))</f>
        <v/>
      </c>
      <c r="L264" s="16" t="b" cm="1">
        <f t="array" ref="L264">OR(LEN(C264:K264)&gt;0)</f>
        <v>1</v>
      </c>
    </row>
    <row r="265" spans="2:12" ht="175.5" x14ac:dyDescent="0.2">
      <c r="B265" s="11" t="str">
        <v>MASTER-6557</v>
      </c>
      <c r="C265" s="12" t="str" cm="1">
        <f t="array" ref="C265">_xlfn.TEXTJOIN(CHAR(10),TRUE,_xlfn._xlws.SORT(IF((--($B265=Flowdown_BTE[[URS]:[URS]]))*(--(C$14=Flowdown_BTE[[Source.Name]:[Source.Name]])),Flowdown_BTE[[SyRS]:[SyRS]],"")))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D265" s="12" t="str" cm="1">
        <f t="array" ref="D265">_xlfn.TEXTJOIN(CHAR(10),TRUE,_xlfn._xlws.SORT(IF((--($B265=Flowdown_BTE[[URS]:[URS]]))*(--(D$14=Flowdown_BTE[[Source.Name]:[Source.Name]])),Flowdown_BTE[[SyRS]:[SyRS]],"")))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E265" s="12" t="str" cm="1">
        <f t="array" ref="E265">_xlfn.TEXTJOIN(CHAR(10),TRUE,_xlfn._xlws.SORT(IF((--($B265=Flowdown_BTE[[URS]:[URS]]))*(--(E$14=Flowdown_BTE[[Source.Name]:[Source.Name]])),Flowdown_BTE[[SyRS]:[SyRS]],"")))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F265" s="12" t="str" cm="1">
        <f t="array" ref="F265">_xlfn.TEXTJOIN(CHAR(10),TRUE,_xlfn._xlws.SORT(IF((--($B265=Flowdown_BTE[[URS]:[URS]]))*(--(F$14=Flowdown_BTE[[Source.Name]:[Source.Name]])),Flowdown_BTE[[SyRS]:[SyRS]],"")))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G265" s="12" t="str" cm="1">
        <f t="array" ref="G265">_xlfn.TEXTJOIN(CHAR(10),TRUE,_xlfn._xlws.SORT(IF((--($B265=Flowdown_BTE[[URS]:[URS]]))*(--(G$14=Flowdown_BTE[[Source.Name]:[Source.Name]])),Flowdown_BTE[[SyRS]:[SyRS]],"")))</f>
        <v>MASTER-19252
MASTER-19253
MASTER-19267
MASTER-19268
MASTER-19278
MASTER-42160
MASTER-42167
MASTER-42168
MASTER-50869
MASTER-59912
MASTER-59915
MASTER-59918
MASTER-60080</v>
      </c>
      <c r="H265" s="12" t="str" cm="1">
        <f t="array" ref="H265">_xlfn.TEXTJOIN(CHAR(10),TRUE,_xlfn._xlws.SORT(IF((--($B265=Flowdown_BTE[[URS]:[URS]]))*(--(H$14=Flowdown_BTE[[Source.Name]:[Source.Name]])),Flowdown_BTE[[SyRS]:[SyRS]],"")))</f>
        <v/>
      </c>
      <c r="I265" s="12" t="str" cm="1">
        <f t="array" ref="I265">_xlfn.TEXTJOIN(CHAR(10),TRUE,_xlfn._xlws.SORT(IF((--($B265=Flowdown_BTE[[URS]:[URS]]))*(--(I$14=Flowdown_BTE[[Source.Name]:[Source.Name]])),Flowdown_BTE[[SyRS]:[SyRS]],"")))</f>
        <v/>
      </c>
      <c r="J265" s="12" t="str" cm="1">
        <f t="array" ref="J265">_xlfn.TEXTJOIN(CHAR(10),TRUE,_xlfn._xlws.SORT(IF((--($B265=Flowdown_BTE[[URS]:[URS]]))*(--(J$14=Flowdown_BTE[[Source.Name]:[Source.Name]])),Flowdown_BTE[[SyRS]:[SyRS]],"")))</f>
        <v/>
      </c>
      <c r="K265" s="12" t="str" cm="1">
        <f t="array" ref="K265">_xlfn.TEXTJOIN(CHAR(10),TRUE,_xlfn._xlws.SORT(IF((--($B265=Flowdown_BTE[[URS]:[URS]]))*(--(K$14=Flowdown_BTE[[Source.Name]:[Source.Name]])),Flowdown_BTE[[SyRS]:[SyRS]],"")))</f>
        <v/>
      </c>
      <c r="L265" s="16" t="b" cm="1">
        <f t="array" ref="L265">OR(LEN(C265:K265)&gt;0)</f>
        <v>1</v>
      </c>
    </row>
    <row r="266" spans="2:12" ht="13.5" x14ac:dyDescent="0.2">
      <c r="B266" s="11" t="str">
        <v>MASTER-6558</v>
      </c>
      <c r="C266" s="12" t="str" cm="1">
        <f t="array" ref="C266">_xlfn.TEXTJOIN(CHAR(10),TRUE,_xlfn._xlws.SORT(IF((--($B266=Flowdown_BTE[[URS]:[URS]]))*(--(C$14=Flowdown_BTE[[Source.Name]:[Source.Name]])),Flowdown_BTE[[SyRS]:[SyRS]],"")))</f>
        <v>MASTER-19278</v>
      </c>
      <c r="D266" s="12" t="str" cm="1">
        <f t="array" ref="D266">_xlfn.TEXTJOIN(CHAR(10),TRUE,_xlfn._xlws.SORT(IF((--($B266=Flowdown_BTE[[URS]:[URS]]))*(--(D$14=Flowdown_BTE[[Source.Name]:[Source.Name]])),Flowdown_BTE[[SyRS]:[SyRS]],"")))</f>
        <v>MASTER-19278</v>
      </c>
      <c r="E266" s="12" t="str" cm="1">
        <f t="array" ref="E266">_xlfn.TEXTJOIN(CHAR(10),TRUE,_xlfn._xlws.SORT(IF((--($B266=Flowdown_BTE[[URS]:[URS]]))*(--(E$14=Flowdown_BTE[[Source.Name]:[Source.Name]])),Flowdown_BTE[[SyRS]:[SyRS]],"")))</f>
        <v>MASTER-19278</v>
      </c>
      <c r="F266" s="12" t="str" cm="1">
        <f t="array" ref="F266">_xlfn.TEXTJOIN(CHAR(10),TRUE,_xlfn._xlws.SORT(IF((--($B266=Flowdown_BTE[[URS]:[URS]]))*(--(F$14=Flowdown_BTE[[Source.Name]:[Source.Name]])),Flowdown_BTE[[SyRS]:[SyRS]],"")))</f>
        <v>MASTER-19278</v>
      </c>
      <c r="G266" s="12" t="str" cm="1">
        <f t="array" ref="G266">_xlfn.TEXTJOIN(CHAR(10),TRUE,_xlfn._xlws.SORT(IF((--($B266=Flowdown_BTE[[URS]:[URS]]))*(--(G$14=Flowdown_BTE[[Source.Name]:[Source.Name]])),Flowdown_BTE[[SyRS]:[SyRS]],"")))</f>
        <v>MASTER-19278</v>
      </c>
      <c r="H266" s="12" t="str" cm="1">
        <f t="array" ref="H266">_xlfn.TEXTJOIN(CHAR(10),TRUE,_xlfn._xlws.SORT(IF((--($B266=Flowdown_BTE[[URS]:[URS]]))*(--(H$14=Flowdown_BTE[[Source.Name]:[Source.Name]])),Flowdown_BTE[[SyRS]:[SyRS]],"")))</f>
        <v/>
      </c>
      <c r="I266" s="12" t="str" cm="1">
        <f t="array" ref="I266">_xlfn.TEXTJOIN(CHAR(10),TRUE,_xlfn._xlws.SORT(IF((--($B266=Flowdown_BTE[[URS]:[URS]]))*(--(I$14=Flowdown_BTE[[Source.Name]:[Source.Name]])),Flowdown_BTE[[SyRS]:[SyRS]],"")))</f>
        <v/>
      </c>
      <c r="J266" s="12" t="str" cm="1">
        <f t="array" ref="J266">_xlfn.TEXTJOIN(CHAR(10),TRUE,_xlfn._xlws.SORT(IF((--($B266=Flowdown_BTE[[URS]:[URS]]))*(--(J$14=Flowdown_BTE[[Source.Name]:[Source.Name]])),Flowdown_BTE[[SyRS]:[SyRS]],"")))</f>
        <v/>
      </c>
      <c r="K266" s="12" t="str" cm="1">
        <f t="array" ref="K266">_xlfn.TEXTJOIN(CHAR(10),TRUE,_xlfn._xlws.SORT(IF((--($B266=Flowdown_BTE[[URS]:[URS]]))*(--(K$14=Flowdown_BTE[[Source.Name]:[Source.Name]])),Flowdown_BTE[[SyRS]:[SyRS]],"")))</f>
        <v/>
      </c>
      <c r="L266" s="16" t="b" cm="1">
        <f t="array" ref="L266">OR(LEN(C266:K266)&gt;0)</f>
        <v>1</v>
      </c>
    </row>
    <row r="267" spans="2:12" ht="40.5" x14ac:dyDescent="0.2">
      <c r="B267" s="11" t="str">
        <v>MASTER-6562</v>
      </c>
      <c r="C267" s="12" t="str" cm="1">
        <f t="array" ref="C267">_xlfn.TEXTJOIN(CHAR(10),TRUE,_xlfn._xlws.SORT(IF((--($B267=Flowdown_BTE[[URS]:[URS]]))*(--(C$14=Flowdown_BTE[[Source.Name]:[Source.Name]])),Flowdown_BTE[[SyRS]:[SyRS]],"")))</f>
        <v>MASTER-18190
MASTER-19308
MASTER-58671</v>
      </c>
      <c r="D267" s="12" t="str" cm="1">
        <f t="array" ref="D267">_xlfn.TEXTJOIN(CHAR(10),TRUE,_xlfn._xlws.SORT(IF((--($B267=Flowdown_BTE[[URS]:[URS]]))*(--(D$14=Flowdown_BTE[[Source.Name]:[Source.Name]])),Flowdown_BTE[[SyRS]:[SyRS]],"")))</f>
        <v>MASTER-18190
MASTER-19308
MASTER-58671</v>
      </c>
      <c r="E267" s="12" t="str" cm="1">
        <f t="array" ref="E267">_xlfn.TEXTJOIN(CHAR(10),TRUE,_xlfn._xlws.SORT(IF((--($B267=Flowdown_BTE[[URS]:[URS]]))*(--(E$14=Flowdown_BTE[[Source.Name]:[Source.Name]])),Flowdown_BTE[[SyRS]:[SyRS]],"")))</f>
        <v>MASTER-18190
MASTER-19308
MASTER-58671</v>
      </c>
      <c r="F267" s="12" t="str" cm="1">
        <f t="array" ref="F267">_xlfn.TEXTJOIN(CHAR(10),TRUE,_xlfn._xlws.SORT(IF((--($B267=Flowdown_BTE[[URS]:[URS]]))*(--(F$14=Flowdown_BTE[[Source.Name]:[Source.Name]])),Flowdown_BTE[[SyRS]:[SyRS]],"")))</f>
        <v>MASTER-18190
MASTER-19308
MASTER-58671</v>
      </c>
      <c r="G267" s="12" t="str" cm="1">
        <f t="array" ref="G267">_xlfn.TEXTJOIN(CHAR(10),TRUE,_xlfn._xlws.SORT(IF((--($B267=Flowdown_BTE[[URS]:[URS]]))*(--(G$14=Flowdown_BTE[[Source.Name]:[Source.Name]])),Flowdown_BTE[[SyRS]:[SyRS]],"")))</f>
        <v>MASTER-18190
MASTER-19308
MASTER-58671</v>
      </c>
      <c r="H267" s="12" t="str" cm="1">
        <f t="array" ref="H267">_xlfn.TEXTJOIN(CHAR(10),TRUE,_xlfn._xlws.SORT(IF((--($B267=Flowdown_BTE[[URS]:[URS]]))*(--(H$14=Flowdown_BTE[[Source.Name]:[Source.Name]])),Flowdown_BTE[[SyRS]:[SyRS]],"")))</f>
        <v>MASTER-20651
MASTER-20652
MASTER-22191</v>
      </c>
      <c r="I267" s="12" t="str" cm="1">
        <f t="array" ref="I267">_xlfn.TEXTJOIN(CHAR(10),TRUE,_xlfn._xlws.SORT(IF((--($B267=Flowdown_BTE[[URS]:[URS]]))*(--(I$14=Flowdown_BTE[[Source.Name]:[Source.Name]])),Flowdown_BTE[[SyRS]:[SyRS]],"")))</f>
        <v/>
      </c>
      <c r="J267" s="12" t="str" cm="1">
        <f t="array" ref="J267">_xlfn.TEXTJOIN(CHAR(10),TRUE,_xlfn._xlws.SORT(IF((--($B267=Flowdown_BTE[[URS]:[URS]]))*(--(J$14=Flowdown_BTE[[Source.Name]:[Source.Name]])),Flowdown_BTE[[SyRS]:[SyRS]],"")))</f>
        <v/>
      </c>
      <c r="K267" s="12" t="str" cm="1">
        <f t="array" ref="K267">_xlfn.TEXTJOIN(CHAR(10),TRUE,_xlfn._xlws.SORT(IF((--($B267=Flowdown_BTE[[URS]:[URS]]))*(--(K$14=Flowdown_BTE[[Source.Name]:[Source.Name]])),Flowdown_BTE[[SyRS]:[SyRS]],"")))</f>
        <v/>
      </c>
      <c r="L267" s="16" t="b" cm="1">
        <f t="array" ref="L267">OR(LEN(C267:K267)&gt;0)</f>
        <v>1</v>
      </c>
    </row>
    <row r="268" spans="2:12" ht="27" x14ac:dyDescent="0.2">
      <c r="B268" s="11" t="str">
        <v>MASTER-6563</v>
      </c>
      <c r="C268" s="12" t="str" cm="1">
        <f t="array" ref="C268">_xlfn.TEXTJOIN(CHAR(10),TRUE,_xlfn._xlws.SORT(IF((--($B268=Flowdown_BTE[[URS]:[URS]]))*(--(C$14=Flowdown_BTE[[Source.Name]:[Source.Name]])),Flowdown_BTE[[SyRS]:[SyRS]],"")))</f>
        <v>MASTER-18190</v>
      </c>
      <c r="D268" s="12" t="str" cm="1">
        <f t="array" ref="D268">_xlfn.TEXTJOIN(CHAR(10),TRUE,_xlfn._xlws.SORT(IF((--($B268=Flowdown_BTE[[URS]:[URS]]))*(--(D$14=Flowdown_BTE[[Source.Name]:[Source.Name]])),Flowdown_BTE[[SyRS]:[SyRS]],"")))</f>
        <v>MASTER-18190</v>
      </c>
      <c r="E268" s="12" t="str" cm="1">
        <f t="array" ref="E268">_xlfn.TEXTJOIN(CHAR(10),TRUE,_xlfn._xlws.SORT(IF((--($B268=Flowdown_BTE[[URS]:[URS]]))*(--(E$14=Flowdown_BTE[[Source.Name]:[Source.Name]])),Flowdown_BTE[[SyRS]:[SyRS]],"")))</f>
        <v>MASTER-18190</v>
      </c>
      <c r="F268" s="12" t="str" cm="1">
        <f t="array" ref="F268">_xlfn.TEXTJOIN(CHAR(10),TRUE,_xlfn._xlws.SORT(IF((--($B268=Flowdown_BTE[[URS]:[URS]]))*(--(F$14=Flowdown_BTE[[Source.Name]:[Source.Name]])),Flowdown_BTE[[SyRS]:[SyRS]],"")))</f>
        <v>MASTER-18190</v>
      </c>
      <c r="G268" s="12" t="str" cm="1">
        <f t="array" ref="G268">_xlfn.TEXTJOIN(CHAR(10),TRUE,_xlfn._xlws.SORT(IF((--($B268=Flowdown_BTE[[URS]:[URS]]))*(--(G$14=Flowdown_BTE[[Source.Name]:[Source.Name]])),Flowdown_BTE[[SyRS]:[SyRS]],"")))</f>
        <v>MASTER-18190</v>
      </c>
      <c r="H268" s="12" t="str" cm="1">
        <f t="array" ref="H268">_xlfn.TEXTJOIN(CHAR(10),TRUE,_xlfn._xlws.SORT(IF((--($B268=Flowdown_BTE[[URS]:[URS]]))*(--(H$14=Flowdown_BTE[[Source.Name]:[Source.Name]])),Flowdown_BTE[[SyRS]:[SyRS]],"")))</f>
        <v/>
      </c>
      <c r="I268" s="12" t="str" cm="1">
        <f t="array" ref="I268">_xlfn.TEXTJOIN(CHAR(10),TRUE,_xlfn._xlws.SORT(IF((--($B268=Flowdown_BTE[[URS]:[URS]]))*(--(I$14=Flowdown_BTE[[Source.Name]:[Source.Name]])),Flowdown_BTE[[SyRS]:[SyRS]],"")))</f>
        <v/>
      </c>
      <c r="J268" s="12" t="str" cm="1">
        <f t="array" ref="J268">_xlfn.TEXTJOIN(CHAR(10),TRUE,_xlfn._xlws.SORT(IF((--($B268=Flowdown_BTE[[URS]:[URS]]))*(--(J$14=Flowdown_BTE[[Source.Name]:[Source.Name]])),Flowdown_BTE[[SyRS]:[SyRS]],"")))</f>
        <v/>
      </c>
      <c r="K268" s="12" t="str" cm="1">
        <f t="array" ref="K268">_xlfn.TEXTJOIN(CHAR(10),TRUE,_xlfn._xlws.SORT(IF((--($B268=Flowdown_BTE[[URS]:[URS]]))*(--(K$14=Flowdown_BTE[[Source.Name]:[Source.Name]])),Flowdown_BTE[[SyRS]:[SyRS]],"")))</f>
        <v>MASTER-16679
MASTER-16699</v>
      </c>
      <c r="L268" s="16" t="b" cm="1">
        <f t="array" ref="L268">OR(LEN(C268:K268)&gt;0)</f>
        <v>1</v>
      </c>
    </row>
    <row r="269" spans="2:12" ht="27" x14ac:dyDescent="0.2">
      <c r="B269" s="11" t="str">
        <v>MASTER-6565</v>
      </c>
      <c r="C269" s="12" t="str" cm="1">
        <f t="array" ref="C269">_xlfn.TEXTJOIN(CHAR(10),TRUE,_xlfn._xlws.SORT(IF((--($B269=Flowdown_BTE[[URS]:[URS]]))*(--(C$14=Flowdown_BTE[[Source.Name]:[Source.Name]])),Flowdown_BTE[[SyRS]:[SyRS]],"")))</f>
        <v>MASTER-19326
MASTER-19329</v>
      </c>
      <c r="D269" s="12" t="str" cm="1">
        <f t="array" ref="D269">_xlfn.TEXTJOIN(CHAR(10),TRUE,_xlfn._xlws.SORT(IF((--($B269=Flowdown_BTE[[URS]:[URS]]))*(--(D$14=Flowdown_BTE[[Source.Name]:[Source.Name]])),Flowdown_BTE[[SyRS]:[SyRS]],"")))</f>
        <v>MASTER-19326
MASTER-19329</v>
      </c>
      <c r="E269" s="12" t="str" cm="1">
        <f t="array" ref="E269">_xlfn.TEXTJOIN(CHAR(10),TRUE,_xlfn._xlws.SORT(IF((--($B269=Flowdown_BTE[[URS]:[URS]]))*(--(E$14=Flowdown_BTE[[Source.Name]:[Source.Name]])),Flowdown_BTE[[SyRS]:[SyRS]],"")))</f>
        <v>MASTER-19326
MASTER-19329</v>
      </c>
      <c r="F269" s="12" t="str" cm="1">
        <f t="array" ref="F269">_xlfn.TEXTJOIN(CHAR(10),TRUE,_xlfn._xlws.SORT(IF((--($B269=Flowdown_BTE[[URS]:[URS]]))*(--(F$14=Flowdown_BTE[[Source.Name]:[Source.Name]])),Flowdown_BTE[[SyRS]:[SyRS]],"")))</f>
        <v>MASTER-19326
MASTER-19329</v>
      </c>
      <c r="G269" s="12" t="str" cm="1">
        <f t="array" ref="G269">_xlfn.TEXTJOIN(CHAR(10),TRUE,_xlfn._xlws.SORT(IF((--($B269=Flowdown_BTE[[URS]:[URS]]))*(--(G$14=Flowdown_BTE[[Source.Name]:[Source.Name]])),Flowdown_BTE[[SyRS]:[SyRS]],"")))</f>
        <v>MASTER-19326
MASTER-19329</v>
      </c>
      <c r="H269" s="12" t="str" cm="1">
        <f t="array" ref="H269">_xlfn.TEXTJOIN(CHAR(10),TRUE,_xlfn._xlws.SORT(IF((--($B269=Flowdown_BTE[[URS]:[URS]]))*(--(H$14=Flowdown_BTE[[Source.Name]:[Source.Name]])),Flowdown_BTE[[SyRS]:[SyRS]],"")))</f>
        <v/>
      </c>
      <c r="I269" s="12" t="str" cm="1">
        <f t="array" ref="I269">_xlfn.TEXTJOIN(CHAR(10),TRUE,_xlfn._xlws.SORT(IF((--($B269=Flowdown_BTE[[URS]:[URS]]))*(--(I$14=Flowdown_BTE[[Source.Name]:[Source.Name]])),Flowdown_BTE[[SyRS]:[SyRS]],"")))</f>
        <v/>
      </c>
      <c r="J269" s="12" t="str" cm="1">
        <f t="array" ref="J269">_xlfn.TEXTJOIN(CHAR(10),TRUE,_xlfn._xlws.SORT(IF((--($B269=Flowdown_BTE[[URS]:[URS]]))*(--(J$14=Flowdown_BTE[[Source.Name]:[Source.Name]])),Flowdown_BTE[[SyRS]:[SyRS]],"")))</f>
        <v/>
      </c>
      <c r="K269" s="12" t="str" cm="1">
        <f t="array" ref="K269">_xlfn.TEXTJOIN(CHAR(10),TRUE,_xlfn._xlws.SORT(IF((--($B269=Flowdown_BTE[[URS]:[URS]]))*(--(K$14=Flowdown_BTE[[Source.Name]:[Source.Name]])),Flowdown_BTE[[SyRS]:[SyRS]],"")))</f>
        <v>MASTER-16703</v>
      </c>
      <c r="L269" s="16" t="b" cm="1">
        <f t="array" ref="L269">OR(LEN(C269:K269)&gt;0)</f>
        <v>1</v>
      </c>
    </row>
    <row r="270" spans="2:12" ht="40.5" x14ac:dyDescent="0.2">
      <c r="B270" s="11" t="str">
        <v>MASTER-6566</v>
      </c>
      <c r="C270" s="12" t="str" cm="1">
        <f t="array" ref="C270">_xlfn.TEXTJOIN(CHAR(10),TRUE,_xlfn._xlws.SORT(IF((--($B270=Flowdown_BTE[[URS]:[URS]]))*(--(C$14=Flowdown_BTE[[Source.Name]:[Source.Name]])),Flowdown_BTE[[SyRS]:[SyRS]],"")))</f>
        <v>MASTER-19314
MASTER-19321
MASTER-19327</v>
      </c>
      <c r="D270" s="12" t="str" cm="1">
        <f t="array" ref="D270">_xlfn.TEXTJOIN(CHAR(10),TRUE,_xlfn._xlws.SORT(IF((--($B270=Flowdown_BTE[[URS]:[URS]]))*(--(D$14=Flowdown_BTE[[Source.Name]:[Source.Name]])),Flowdown_BTE[[SyRS]:[SyRS]],"")))</f>
        <v>MASTER-19314
MASTER-19321
MASTER-19327</v>
      </c>
      <c r="E270" s="12" t="str" cm="1">
        <f t="array" ref="E270">_xlfn.TEXTJOIN(CHAR(10),TRUE,_xlfn._xlws.SORT(IF((--($B270=Flowdown_BTE[[URS]:[URS]]))*(--(E$14=Flowdown_BTE[[Source.Name]:[Source.Name]])),Flowdown_BTE[[SyRS]:[SyRS]],"")))</f>
        <v>MASTER-19314
MASTER-19321
MASTER-19327</v>
      </c>
      <c r="F270" s="12" t="str" cm="1">
        <f t="array" ref="F270">_xlfn.TEXTJOIN(CHAR(10),TRUE,_xlfn._xlws.SORT(IF((--($B270=Flowdown_BTE[[URS]:[URS]]))*(--(F$14=Flowdown_BTE[[Source.Name]:[Source.Name]])),Flowdown_BTE[[SyRS]:[SyRS]],"")))</f>
        <v>MASTER-19314
MASTER-19321
MASTER-19327</v>
      </c>
      <c r="G270" s="12" t="str" cm="1">
        <f t="array" ref="G270">_xlfn.TEXTJOIN(CHAR(10),TRUE,_xlfn._xlws.SORT(IF((--($B270=Flowdown_BTE[[URS]:[URS]]))*(--(G$14=Flowdown_BTE[[Source.Name]:[Source.Name]])),Flowdown_BTE[[SyRS]:[SyRS]],"")))</f>
        <v>MASTER-19314
MASTER-19321
MASTER-19327</v>
      </c>
      <c r="H270" s="12" t="str" cm="1">
        <f t="array" ref="H270">_xlfn.TEXTJOIN(CHAR(10),TRUE,_xlfn._xlws.SORT(IF((--($B270=Flowdown_BTE[[URS]:[URS]]))*(--(H$14=Flowdown_BTE[[Source.Name]:[Source.Name]])),Flowdown_BTE[[SyRS]:[SyRS]],"")))</f>
        <v/>
      </c>
      <c r="I270" s="12" t="str" cm="1">
        <f t="array" ref="I270">_xlfn.TEXTJOIN(CHAR(10),TRUE,_xlfn._xlws.SORT(IF((--($B270=Flowdown_BTE[[URS]:[URS]]))*(--(I$14=Flowdown_BTE[[Source.Name]:[Source.Name]])),Flowdown_BTE[[SyRS]:[SyRS]],"")))</f>
        <v/>
      </c>
      <c r="J270" s="12" t="str" cm="1">
        <f t="array" ref="J270">_xlfn.TEXTJOIN(CHAR(10),TRUE,_xlfn._xlws.SORT(IF((--($B270=Flowdown_BTE[[URS]:[URS]]))*(--(J$14=Flowdown_BTE[[Source.Name]:[Source.Name]])),Flowdown_BTE[[SyRS]:[SyRS]],"")))</f>
        <v/>
      </c>
      <c r="K270" s="12" t="str" cm="1">
        <f t="array" ref="K270">_xlfn.TEXTJOIN(CHAR(10),TRUE,_xlfn._xlws.SORT(IF((--($B270=Flowdown_BTE[[URS]:[URS]]))*(--(K$14=Flowdown_BTE[[Source.Name]:[Source.Name]])),Flowdown_BTE[[SyRS]:[SyRS]],"")))</f>
        <v/>
      </c>
      <c r="L270" s="16" t="b" cm="1">
        <f t="array" ref="L270">OR(LEN(C270:K270)&gt;0)</f>
        <v>1</v>
      </c>
    </row>
    <row r="271" spans="2:12" ht="13.5" x14ac:dyDescent="0.2">
      <c r="B271" s="11" t="str">
        <v>MASTER-6567</v>
      </c>
      <c r="C271" s="12" t="str" cm="1">
        <f t="array" ref="C271">_xlfn.TEXTJOIN(CHAR(10),TRUE,_xlfn._xlws.SORT(IF((--($B271=Flowdown_BTE[[URS]:[URS]]))*(--(C$14=Flowdown_BTE[[Source.Name]:[Source.Name]])),Flowdown_BTE[[SyRS]:[SyRS]],"")))</f>
        <v>UTICA-19406</v>
      </c>
      <c r="D271" s="12" t="str" cm="1">
        <f t="array" ref="D271">_xlfn.TEXTJOIN(CHAR(10),TRUE,_xlfn._xlws.SORT(IF((--($B271=Flowdown_BTE[[URS]:[URS]]))*(--(D$14=Flowdown_BTE[[Source.Name]:[Source.Name]])),Flowdown_BTE[[SyRS]:[SyRS]],"")))</f>
        <v>UTICA-19406</v>
      </c>
      <c r="E271" s="12" t="str" cm="1">
        <f t="array" ref="E271">_xlfn.TEXTJOIN(CHAR(10),TRUE,_xlfn._xlws.SORT(IF((--($B271=Flowdown_BTE[[URS]:[URS]]))*(--(E$14=Flowdown_BTE[[Source.Name]:[Source.Name]])),Flowdown_BTE[[SyRS]:[SyRS]],"")))</f>
        <v>UTICA-19406</v>
      </c>
      <c r="F271" s="12" t="str" cm="1">
        <f t="array" ref="F271">_xlfn.TEXTJOIN(CHAR(10),TRUE,_xlfn._xlws.SORT(IF((--($B271=Flowdown_BTE[[URS]:[URS]]))*(--(F$14=Flowdown_BTE[[Source.Name]:[Source.Name]])),Flowdown_BTE[[SyRS]:[SyRS]],"")))</f>
        <v>UTICA-19406</v>
      </c>
      <c r="G271" s="12" t="str" cm="1">
        <f t="array" ref="G271">_xlfn.TEXTJOIN(CHAR(10),TRUE,_xlfn._xlws.SORT(IF((--($B271=Flowdown_BTE[[URS]:[URS]]))*(--(G$14=Flowdown_BTE[[Source.Name]:[Source.Name]])),Flowdown_BTE[[SyRS]:[SyRS]],"")))</f>
        <v>UTICA-19406</v>
      </c>
      <c r="H271" s="12" t="str" cm="1">
        <f t="array" ref="H271">_xlfn.TEXTJOIN(CHAR(10),TRUE,_xlfn._xlws.SORT(IF((--($B271=Flowdown_BTE[[URS]:[URS]]))*(--(H$14=Flowdown_BTE[[Source.Name]:[Source.Name]])),Flowdown_BTE[[SyRS]:[SyRS]],"")))</f>
        <v/>
      </c>
      <c r="I271" s="12" t="str" cm="1">
        <f t="array" ref="I271">_xlfn.TEXTJOIN(CHAR(10),TRUE,_xlfn._xlws.SORT(IF((--($B271=Flowdown_BTE[[URS]:[URS]]))*(--(I$14=Flowdown_BTE[[Source.Name]:[Source.Name]])),Flowdown_BTE[[SyRS]:[SyRS]],"")))</f>
        <v/>
      </c>
      <c r="J271" s="12" t="str" cm="1">
        <f t="array" ref="J271">_xlfn.TEXTJOIN(CHAR(10),TRUE,_xlfn._xlws.SORT(IF((--($B271=Flowdown_BTE[[URS]:[URS]]))*(--(J$14=Flowdown_BTE[[Source.Name]:[Source.Name]])),Flowdown_BTE[[SyRS]:[SyRS]],"")))</f>
        <v/>
      </c>
      <c r="K271" s="12" t="str" cm="1">
        <f t="array" ref="K271">_xlfn.TEXTJOIN(CHAR(10),TRUE,_xlfn._xlws.SORT(IF((--($B271=Flowdown_BTE[[URS]:[URS]]))*(--(K$14=Flowdown_BTE[[Source.Name]:[Source.Name]])),Flowdown_BTE[[SyRS]:[SyRS]],"")))</f>
        <v/>
      </c>
      <c r="L271" s="16" t="b" cm="1">
        <f t="array" ref="L271">OR(LEN(C271:K271)&gt;0)</f>
        <v>1</v>
      </c>
    </row>
    <row r="272" spans="2:12" ht="135" x14ac:dyDescent="0.2">
      <c r="B272" s="11" t="str">
        <v>MASTER-6569</v>
      </c>
      <c r="C272" s="12" t="str" cm="1">
        <f t="array" ref="C272">_xlfn.TEXTJOIN(CHAR(10),TRUE,_xlfn._xlws.SORT(IF((--($B272=Flowdown_BTE[[URS]:[URS]]))*(--(C$14=Flowdown_BTE[[Source.Name]:[Source.Name]])),Flowdown_BTE[[SyRS]:[SyRS]],"")))</f>
        <v>MASTER-19234
MASTER-19235
MASTER-19236
MASTER-19237
MASTER-19240
MASTER-42153
MASTER-42154
MASTER-42158
MASTER-42159</v>
      </c>
      <c r="D272" s="12" t="str" cm="1">
        <f t="array" ref="D272">_xlfn.TEXTJOIN(CHAR(10),TRUE,_xlfn._xlws.SORT(IF((--($B272=Flowdown_BTE[[URS]:[URS]]))*(--(D$14=Flowdown_BTE[[Source.Name]:[Source.Name]])),Flowdown_BTE[[SyRS]:[SyRS]],"")))</f>
        <v>MASTER-19234
MASTER-19235
MASTER-19236
MASTER-19237
MASTER-19240
MASTER-42153
MASTER-42154
MASTER-42158
MASTER-42159</v>
      </c>
      <c r="E272" s="12" t="str" cm="1">
        <f t="array" ref="E272">_xlfn.TEXTJOIN(CHAR(10),TRUE,_xlfn._xlws.SORT(IF((--($B272=Flowdown_BTE[[URS]:[URS]]))*(--(E$14=Flowdown_BTE[[Source.Name]:[Source.Name]])),Flowdown_BTE[[SyRS]:[SyRS]],"")))</f>
        <v>MASTER-19234
MASTER-19235
MASTER-19236
MASTER-19237
MASTER-19240
MASTER-42153
MASTER-42154
MASTER-42158
MASTER-42159</v>
      </c>
      <c r="F272" s="12" t="str" cm="1">
        <f t="array" ref="F272">_xlfn.TEXTJOIN(CHAR(10),TRUE,_xlfn._xlws.SORT(IF((--($B272=Flowdown_BTE[[URS]:[URS]]))*(--(F$14=Flowdown_BTE[[Source.Name]:[Source.Name]])),Flowdown_BTE[[SyRS]:[SyRS]],"")))</f>
        <v>MASTER-19234
MASTER-19235
MASTER-19236
MASTER-19237
MASTER-19240
MASTER-42153
MASTER-42154
MASTER-42158
MASTER-42159</v>
      </c>
      <c r="G272" s="12" t="str" cm="1">
        <f t="array" ref="G272">_xlfn.TEXTJOIN(CHAR(10),TRUE,_xlfn._xlws.SORT(IF((--($B272=Flowdown_BTE[[URS]:[URS]]))*(--(G$14=Flowdown_BTE[[Source.Name]:[Source.Name]])),Flowdown_BTE[[SyRS]:[SyRS]],"")))</f>
        <v>MASTER-19234
MASTER-19235
MASTER-19236
MASTER-19237
MASTER-19240
MASTER-42153
MASTER-42154
MASTER-42158
MASTER-42159</v>
      </c>
      <c r="H272" s="12" t="str" cm="1">
        <f t="array" ref="H272">_xlfn.TEXTJOIN(CHAR(10),TRUE,_xlfn._xlws.SORT(IF((--($B272=Flowdown_BTE[[URS]:[URS]]))*(--(H$14=Flowdown_BTE[[Source.Name]:[Source.Name]])),Flowdown_BTE[[SyRS]:[SyRS]],"")))</f>
        <v/>
      </c>
      <c r="I272" s="12" t="str" cm="1">
        <f t="array" ref="I272">_xlfn.TEXTJOIN(CHAR(10),TRUE,_xlfn._xlws.SORT(IF((--($B272=Flowdown_BTE[[URS]:[URS]]))*(--(I$14=Flowdown_BTE[[Source.Name]:[Source.Name]])),Flowdown_BTE[[SyRS]:[SyRS]],"")))</f>
        <v>MASTER-20000
MASTER-20001
MASTER-20002
MASTER-20011
MASTER-48455
UTICA-204
UTICA-205
UTICA-206
UTICA-207
UTICA-208</v>
      </c>
      <c r="J272" s="12" t="str" cm="1">
        <f t="array" ref="J272">_xlfn.TEXTJOIN(CHAR(10),TRUE,_xlfn._xlws.SORT(IF((--($B272=Flowdown_BTE[[URS]:[URS]]))*(--(J$14=Flowdown_BTE[[Source.Name]:[Source.Name]])),Flowdown_BTE[[SyRS]:[SyRS]],"")))</f>
        <v>MASTER-20000
MASTER-20001
MASTER-20002
MASTER-20011
MASTER-48455
MASTER-61163</v>
      </c>
      <c r="K272" s="12" t="str" cm="1">
        <f t="array" ref="K272">_xlfn.TEXTJOIN(CHAR(10),TRUE,_xlfn._xlws.SORT(IF((--($B272=Flowdown_BTE[[URS]:[URS]]))*(--(K$14=Flowdown_BTE[[Source.Name]:[Source.Name]])),Flowdown_BTE[[SyRS]:[SyRS]],"")))</f>
        <v>MASTER-50685</v>
      </c>
      <c r="L272" s="16" t="b" cm="1">
        <f t="array" ref="L272">OR(LEN(C272:K272)&gt;0)</f>
        <v>1</v>
      </c>
    </row>
    <row r="273" spans="2:12" ht="175.5" x14ac:dyDescent="0.2">
      <c r="B273" s="11" t="str">
        <v>MASTER-6570</v>
      </c>
      <c r="C273" s="12" t="str" cm="1">
        <f t="array" ref="C273">_xlfn.TEXTJOIN(CHAR(10),TRUE,_xlfn._xlws.SORT(IF((--($B273=Flowdown_BTE[[URS]:[URS]]))*(--(C$14=Flowdown_BTE[[Source.Name]:[Source.Name]])),Flowdown_BTE[[SyRS]:[SyRS]],"")))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D273" s="12" t="str" cm="1">
        <f t="array" ref="D273">_xlfn.TEXTJOIN(CHAR(10),TRUE,_xlfn._xlws.SORT(IF((--($B273=Flowdown_BTE[[URS]:[URS]]))*(--(D$14=Flowdown_BTE[[Source.Name]:[Source.Name]])),Flowdown_BTE[[SyRS]:[SyRS]],"")))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E273" s="12" t="str" cm="1">
        <f t="array" ref="E273">_xlfn.TEXTJOIN(CHAR(10),TRUE,_xlfn._xlws.SORT(IF((--($B273=Flowdown_BTE[[URS]:[URS]]))*(--(E$14=Flowdown_BTE[[Source.Name]:[Source.Name]])),Flowdown_BTE[[SyRS]:[SyRS]],"")))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F273" s="12" t="str" cm="1">
        <f t="array" ref="F273">_xlfn.TEXTJOIN(CHAR(10),TRUE,_xlfn._xlws.SORT(IF((--($B273=Flowdown_BTE[[URS]:[URS]]))*(--(F$14=Flowdown_BTE[[Source.Name]:[Source.Name]])),Flowdown_BTE[[SyRS]:[SyRS]],"")))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G273" s="12" t="str" cm="1">
        <f t="array" ref="G273">_xlfn.TEXTJOIN(CHAR(10),TRUE,_xlfn._xlws.SORT(IF((--($B273=Flowdown_BTE[[URS]:[URS]]))*(--(G$14=Flowdown_BTE[[Source.Name]:[Source.Name]])),Flowdown_BTE[[SyRS]:[SyRS]],"")))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H273" s="12" t="str" cm="1">
        <f t="array" ref="H273">_xlfn.TEXTJOIN(CHAR(10),TRUE,_xlfn._xlws.SORT(IF((--($B273=Flowdown_BTE[[URS]:[URS]]))*(--(H$14=Flowdown_BTE[[Source.Name]:[Source.Name]])),Flowdown_BTE[[SyRS]:[SyRS]],"")))</f>
        <v>MASTER-21159
MASTER-22174
MASTER-50674
MASTER-50675
MASTER-50677
MASTER-50678
MASTER-50679
MASTER-50680
MASTER-50681
MASTER-50682
UTICA-8591
UTICA-8592</v>
      </c>
      <c r="I273" s="12" t="str" cm="1">
        <f t="array" ref="I273">_xlfn.TEXTJOIN(CHAR(10),TRUE,_xlfn._xlws.SORT(IF((--($B273=Flowdown_BTE[[URS]:[URS]]))*(--(I$14=Flowdown_BTE[[Source.Name]:[Source.Name]])),Flowdown_BTE[[SyRS]:[SyRS]],"")))</f>
        <v/>
      </c>
      <c r="J273" s="12" t="str" cm="1">
        <f t="array" ref="J273">_xlfn.TEXTJOIN(CHAR(10),TRUE,_xlfn._xlws.SORT(IF((--($B273=Flowdown_BTE[[URS]:[URS]]))*(--(J$14=Flowdown_BTE[[Source.Name]:[Source.Name]])),Flowdown_BTE[[SyRS]:[SyRS]],"")))</f>
        <v/>
      </c>
      <c r="K273" s="12" t="str" cm="1">
        <f t="array" ref="K273">_xlfn.TEXTJOIN(CHAR(10),TRUE,_xlfn._xlws.SORT(IF((--($B273=Flowdown_BTE[[URS]:[URS]]))*(--(K$14=Flowdown_BTE[[Source.Name]:[Source.Name]])),Flowdown_BTE[[SyRS]:[SyRS]],"")))</f>
        <v/>
      </c>
      <c r="L273" s="16" t="b" cm="1">
        <f t="array" ref="L273">OR(LEN(C273:K273)&gt;0)</f>
        <v>1</v>
      </c>
    </row>
    <row r="274" spans="2:12" ht="409.5" x14ac:dyDescent="0.2">
      <c r="B274" s="11" t="str">
        <v>MASTER-6573</v>
      </c>
      <c r="C274" s="12" t="str" cm="1">
        <f t="array" ref="C274">_xlfn.TEXTJOIN(CHAR(10),TRUE,_xlfn._xlws.SORT(IF((--($B274=Flowdown_BTE[[URS]:[URS]]))*(--(C$14=Flowdown_BTE[[Source.Name]:[Source.Name]])),Flowdown_BTE[[SyRS]:[SyRS]],"")))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74" s="12" t="str" cm="1">
        <f t="array" ref="D274">_xlfn.TEXTJOIN(CHAR(10),TRUE,_xlfn._xlws.SORT(IF((--($B274=Flowdown_BTE[[URS]:[URS]]))*(--(D$14=Flowdown_BTE[[Source.Name]:[Source.Name]])),Flowdown_BTE[[SyRS]:[SyRS]],"")))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74" s="12" t="str" cm="1">
        <f t="array" ref="E274">_xlfn.TEXTJOIN(CHAR(10),TRUE,_xlfn._xlws.SORT(IF((--($B274=Flowdown_BTE[[URS]:[URS]]))*(--(E$14=Flowdown_BTE[[Source.Name]:[Source.Name]])),Flowdown_BTE[[SyRS]:[SyRS]],"")))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74" s="12" t="str" cm="1">
        <f t="array" ref="F274">_xlfn.TEXTJOIN(CHAR(10),TRUE,_xlfn._xlws.SORT(IF((--($B274=Flowdown_BTE[[URS]:[URS]]))*(--(F$14=Flowdown_BTE[[Source.Name]:[Source.Name]])),Flowdown_BTE[[SyRS]:[SyRS]],"")))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74" s="12" t="str" cm="1">
        <f t="array" ref="G274">_xlfn.TEXTJOIN(CHAR(10),TRUE,_xlfn._xlws.SORT(IF((--($B274=Flowdown_BTE[[URS]:[URS]]))*(--(G$14=Flowdown_BTE[[Source.Name]:[Source.Name]])),Flowdown_BTE[[SyRS]:[SyRS]],"")))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74" s="12" t="str" cm="1">
        <f t="array" ref="H274">_xlfn.TEXTJOIN(CHAR(10),TRUE,_xlfn._xlws.SORT(IF((--($B274=Flowdown_BTE[[URS]:[URS]]))*(--(H$14=Flowdown_BTE[[Source.Name]:[Source.Name]])),Flowdown_BTE[[SyRS]:[SyRS]],"")))</f>
        <v/>
      </c>
      <c r="I274" s="12" t="str" cm="1">
        <f t="array" ref="I274">_xlfn.TEXTJOIN(CHAR(10),TRUE,_xlfn._xlws.SORT(IF((--($B274=Flowdown_BTE[[URS]:[URS]]))*(--(I$14=Flowdown_BTE[[Source.Name]:[Source.Name]])),Flowdown_BTE[[SyRS]:[SyRS]],"")))</f>
        <v>MASTER-20011</v>
      </c>
      <c r="J274" s="12" t="str" cm="1">
        <f t="array" ref="J274">_xlfn.TEXTJOIN(CHAR(10),TRUE,_xlfn._xlws.SORT(IF((--($B274=Flowdown_BTE[[URS]:[URS]]))*(--(J$14=Flowdown_BTE[[Source.Name]:[Source.Name]])),Flowdown_BTE[[SyRS]:[SyRS]],"")))</f>
        <v>MASTER-20011</v>
      </c>
      <c r="K274" s="12" t="str" cm="1">
        <f t="array" ref="K274">_xlfn.TEXTJOIN(CHAR(10),TRUE,_xlfn._xlws.SORT(IF((--($B274=Flowdown_BTE[[URS]:[URS]]))*(--(K$14=Flowdown_BTE[[Source.Name]:[Source.Name]])),Flowdown_BTE[[SyRS]:[SyRS]],"")))</f>
        <v/>
      </c>
      <c r="L274" s="16" t="b" cm="1">
        <f t="array" ref="L274">OR(LEN(C274:K274)&gt;0)</f>
        <v>1</v>
      </c>
    </row>
    <row r="275" spans="2:12" ht="67.5" x14ac:dyDescent="0.2">
      <c r="B275" s="11" t="str">
        <v>MASTER-6574</v>
      </c>
      <c r="C275" s="12" t="str" cm="1">
        <f t="array" ref="C275">_xlfn.TEXTJOIN(CHAR(10),TRUE,_xlfn._xlws.SORT(IF((--($B275=Flowdown_BTE[[URS]:[URS]]))*(--(C$14=Flowdown_BTE[[Source.Name]:[Source.Name]])),Flowdown_BTE[[SyRS]:[SyRS]],"")))</f>
        <v>MASTER-19239
MASTER-19240
MASTER-19241
MASTER-19242
MASTER-50664</v>
      </c>
      <c r="D275" s="12" t="str" cm="1">
        <f t="array" ref="D275">_xlfn.TEXTJOIN(CHAR(10),TRUE,_xlfn._xlws.SORT(IF((--($B275=Flowdown_BTE[[URS]:[URS]]))*(--(D$14=Flowdown_BTE[[Source.Name]:[Source.Name]])),Flowdown_BTE[[SyRS]:[SyRS]],"")))</f>
        <v>MASTER-19239
MASTER-19240
MASTER-19241
MASTER-19242
MASTER-50664</v>
      </c>
      <c r="E275" s="12" t="str" cm="1">
        <f t="array" ref="E275">_xlfn.TEXTJOIN(CHAR(10),TRUE,_xlfn._xlws.SORT(IF((--($B275=Flowdown_BTE[[URS]:[URS]]))*(--(E$14=Flowdown_BTE[[Source.Name]:[Source.Name]])),Flowdown_BTE[[SyRS]:[SyRS]],"")))</f>
        <v>MASTER-19239
MASTER-19240
MASTER-19241
MASTER-19242
MASTER-50664</v>
      </c>
      <c r="F275" s="12" t="str" cm="1">
        <f t="array" ref="F275">_xlfn.TEXTJOIN(CHAR(10),TRUE,_xlfn._xlws.SORT(IF((--($B275=Flowdown_BTE[[URS]:[URS]]))*(--(F$14=Flowdown_BTE[[Source.Name]:[Source.Name]])),Flowdown_BTE[[SyRS]:[SyRS]],"")))</f>
        <v>MASTER-19239
MASTER-19240
MASTER-19241
MASTER-19242
MASTER-50664</v>
      </c>
      <c r="G275" s="12" t="str" cm="1">
        <f t="array" ref="G275">_xlfn.TEXTJOIN(CHAR(10),TRUE,_xlfn._xlws.SORT(IF((--($B275=Flowdown_BTE[[URS]:[URS]]))*(--(G$14=Flowdown_BTE[[Source.Name]:[Source.Name]])),Flowdown_BTE[[SyRS]:[SyRS]],"")))</f>
        <v>MASTER-19239
MASTER-19240
MASTER-19241
MASTER-19242
MASTER-50664</v>
      </c>
      <c r="H275" s="12" t="str" cm="1">
        <f t="array" ref="H275">_xlfn.TEXTJOIN(CHAR(10),TRUE,_xlfn._xlws.SORT(IF((--($B275=Flowdown_BTE[[URS]:[URS]]))*(--(H$14=Flowdown_BTE[[Source.Name]:[Source.Name]])),Flowdown_BTE[[SyRS]:[SyRS]],"")))</f>
        <v/>
      </c>
      <c r="I275" s="12" t="str" cm="1">
        <f t="array" ref="I275">_xlfn.TEXTJOIN(CHAR(10),TRUE,_xlfn._xlws.SORT(IF((--($B275=Flowdown_BTE[[URS]:[URS]]))*(--(I$14=Flowdown_BTE[[Source.Name]:[Source.Name]])),Flowdown_BTE[[SyRS]:[SyRS]],"")))</f>
        <v/>
      </c>
      <c r="J275" s="12" t="str" cm="1">
        <f t="array" ref="J275">_xlfn.TEXTJOIN(CHAR(10),TRUE,_xlfn._xlws.SORT(IF((--($B275=Flowdown_BTE[[URS]:[URS]]))*(--(J$14=Flowdown_BTE[[Source.Name]:[Source.Name]])),Flowdown_BTE[[SyRS]:[SyRS]],"")))</f>
        <v/>
      </c>
      <c r="K275" s="12" t="str" cm="1">
        <f t="array" ref="K275">_xlfn.TEXTJOIN(CHAR(10),TRUE,_xlfn._xlws.SORT(IF((--($B275=Flowdown_BTE[[URS]:[URS]]))*(--(K$14=Flowdown_BTE[[Source.Name]:[Source.Name]])),Flowdown_BTE[[SyRS]:[SyRS]],"")))</f>
        <v/>
      </c>
      <c r="L275" s="16" t="b" cm="1">
        <f t="array" ref="L275">OR(LEN(C275:K275)&gt;0)</f>
        <v>1</v>
      </c>
    </row>
    <row r="276" spans="2:12" ht="13.5" x14ac:dyDescent="0.2">
      <c r="B276" s="11" t="str">
        <v>MASTER-6577</v>
      </c>
      <c r="C276" s="12" t="str" cm="1">
        <f t="array" ref="C276">_xlfn.TEXTJOIN(CHAR(10),TRUE,_xlfn._xlws.SORT(IF((--($B276=Flowdown_BTE[[URS]:[URS]]))*(--(C$14=Flowdown_BTE[[Source.Name]:[Source.Name]])),Flowdown_BTE[[SyRS]:[SyRS]],"")))</f>
        <v>MASTER-42154</v>
      </c>
      <c r="D276" s="12" t="str" cm="1">
        <f t="array" ref="D276">_xlfn.TEXTJOIN(CHAR(10),TRUE,_xlfn._xlws.SORT(IF((--($B276=Flowdown_BTE[[URS]:[URS]]))*(--(D$14=Flowdown_BTE[[Source.Name]:[Source.Name]])),Flowdown_BTE[[SyRS]:[SyRS]],"")))</f>
        <v>MASTER-42154</v>
      </c>
      <c r="E276" s="12" t="str" cm="1">
        <f t="array" ref="E276">_xlfn.TEXTJOIN(CHAR(10),TRUE,_xlfn._xlws.SORT(IF((--($B276=Flowdown_BTE[[URS]:[URS]]))*(--(E$14=Flowdown_BTE[[Source.Name]:[Source.Name]])),Flowdown_BTE[[SyRS]:[SyRS]],"")))</f>
        <v>MASTER-42154</v>
      </c>
      <c r="F276" s="12" t="str" cm="1">
        <f t="array" ref="F276">_xlfn.TEXTJOIN(CHAR(10),TRUE,_xlfn._xlws.SORT(IF((--($B276=Flowdown_BTE[[URS]:[URS]]))*(--(F$14=Flowdown_BTE[[Source.Name]:[Source.Name]])),Flowdown_BTE[[SyRS]:[SyRS]],"")))</f>
        <v>MASTER-42154</v>
      </c>
      <c r="G276" s="12" t="str" cm="1">
        <f t="array" ref="G276">_xlfn.TEXTJOIN(CHAR(10),TRUE,_xlfn._xlws.SORT(IF((--($B276=Flowdown_BTE[[URS]:[URS]]))*(--(G$14=Flowdown_BTE[[Source.Name]:[Source.Name]])),Flowdown_BTE[[SyRS]:[SyRS]],"")))</f>
        <v>MASTER-42154</v>
      </c>
      <c r="H276" s="12" t="str" cm="1">
        <f t="array" ref="H276">_xlfn.TEXTJOIN(CHAR(10),TRUE,_xlfn._xlws.SORT(IF((--($B276=Flowdown_BTE[[URS]:[URS]]))*(--(H$14=Flowdown_BTE[[Source.Name]:[Source.Name]])),Flowdown_BTE[[SyRS]:[SyRS]],"")))</f>
        <v/>
      </c>
      <c r="I276" s="12" t="str" cm="1">
        <f t="array" ref="I276">_xlfn.TEXTJOIN(CHAR(10),TRUE,_xlfn._xlws.SORT(IF((--($B276=Flowdown_BTE[[URS]:[URS]]))*(--(I$14=Flowdown_BTE[[Source.Name]:[Source.Name]])),Flowdown_BTE[[SyRS]:[SyRS]],"")))</f>
        <v/>
      </c>
      <c r="J276" s="12" t="str" cm="1">
        <f t="array" ref="J276">_xlfn.TEXTJOIN(CHAR(10),TRUE,_xlfn._xlws.SORT(IF((--($B276=Flowdown_BTE[[URS]:[URS]]))*(--(J$14=Flowdown_BTE[[Source.Name]:[Source.Name]])),Flowdown_BTE[[SyRS]:[SyRS]],"")))</f>
        <v/>
      </c>
      <c r="K276" s="12" t="str" cm="1">
        <f t="array" ref="K276">_xlfn.TEXTJOIN(CHAR(10),TRUE,_xlfn._xlws.SORT(IF((--($B276=Flowdown_BTE[[URS]:[URS]]))*(--(K$14=Flowdown_BTE[[Source.Name]:[Source.Name]])),Flowdown_BTE[[SyRS]:[SyRS]],"")))</f>
        <v/>
      </c>
      <c r="L276" s="16" t="b" cm="1">
        <f t="array" ref="L276">OR(LEN(C276:K276)&gt;0)</f>
        <v>1</v>
      </c>
    </row>
    <row r="277" spans="2:12" ht="13.5" x14ac:dyDescent="0.2">
      <c r="B277" s="11" t="str">
        <v>MASTER-6579</v>
      </c>
      <c r="C277" s="12" t="str" cm="1">
        <f t="array" ref="C277">_xlfn.TEXTJOIN(CHAR(10),TRUE,_xlfn._xlws.SORT(IF((--($B277=Flowdown_BTE[[URS]:[URS]]))*(--(C$14=Flowdown_BTE[[Source.Name]:[Source.Name]])),Flowdown_BTE[[SyRS]:[SyRS]],"")))</f>
        <v>MASTER-42160</v>
      </c>
      <c r="D277" s="12" t="str" cm="1">
        <f t="array" ref="D277">_xlfn.TEXTJOIN(CHAR(10),TRUE,_xlfn._xlws.SORT(IF((--($B277=Flowdown_BTE[[URS]:[URS]]))*(--(D$14=Flowdown_BTE[[Source.Name]:[Source.Name]])),Flowdown_BTE[[SyRS]:[SyRS]],"")))</f>
        <v>MASTER-42160</v>
      </c>
      <c r="E277" s="12" t="str" cm="1">
        <f t="array" ref="E277">_xlfn.TEXTJOIN(CHAR(10),TRUE,_xlfn._xlws.SORT(IF((--($B277=Flowdown_BTE[[URS]:[URS]]))*(--(E$14=Flowdown_BTE[[Source.Name]:[Source.Name]])),Flowdown_BTE[[SyRS]:[SyRS]],"")))</f>
        <v>MASTER-42160</v>
      </c>
      <c r="F277" s="12" t="str" cm="1">
        <f t="array" ref="F277">_xlfn.TEXTJOIN(CHAR(10),TRUE,_xlfn._xlws.SORT(IF((--($B277=Flowdown_BTE[[URS]:[URS]]))*(--(F$14=Flowdown_BTE[[Source.Name]:[Source.Name]])),Flowdown_BTE[[SyRS]:[SyRS]],"")))</f>
        <v>MASTER-42160</v>
      </c>
      <c r="G277" s="12" t="str" cm="1">
        <f t="array" ref="G277">_xlfn.TEXTJOIN(CHAR(10),TRUE,_xlfn._xlws.SORT(IF((--($B277=Flowdown_BTE[[URS]:[URS]]))*(--(G$14=Flowdown_BTE[[Source.Name]:[Source.Name]])),Flowdown_BTE[[SyRS]:[SyRS]],"")))</f>
        <v>MASTER-42160</v>
      </c>
      <c r="H277" s="12" t="str" cm="1">
        <f t="array" ref="H277">_xlfn.TEXTJOIN(CHAR(10),TRUE,_xlfn._xlws.SORT(IF((--($B277=Flowdown_BTE[[URS]:[URS]]))*(--(H$14=Flowdown_BTE[[Source.Name]:[Source.Name]])),Flowdown_BTE[[SyRS]:[SyRS]],"")))</f>
        <v/>
      </c>
      <c r="I277" s="12" t="str" cm="1">
        <f t="array" ref="I277">_xlfn.TEXTJOIN(CHAR(10),TRUE,_xlfn._xlws.SORT(IF((--($B277=Flowdown_BTE[[URS]:[URS]]))*(--(I$14=Flowdown_BTE[[Source.Name]:[Source.Name]])),Flowdown_BTE[[SyRS]:[SyRS]],"")))</f>
        <v/>
      </c>
      <c r="J277" s="12" t="str" cm="1">
        <f t="array" ref="J277">_xlfn.TEXTJOIN(CHAR(10),TRUE,_xlfn._xlws.SORT(IF((--($B277=Flowdown_BTE[[URS]:[URS]]))*(--(J$14=Flowdown_BTE[[Source.Name]:[Source.Name]])),Flowdown_BTE[[SyRS]:[SyRS]],"")))</f>
        <v/>
      </c>
      <c r="K277" s="12" t="str" cm="1">
        <f t="array" ref="K277">_xlfn.TEXTJOIN(CHAR(10),TRUE,_xlfn._xlws.SORT(IF((--($B277=Flowdown_BTE[[URS]:[URS]]))*(--(K$14=Flowdown_BTE[[Source.Name]:[Source.Name]])),Flowdown_BTE[[SyRS]:[SyRS]],"")))</f>
        <v/>
      </c>
      <c r="L277" s="16" t="b" cm="1">
        <f t="array" ref="L277">OR(LEN(C277:K277)&gt;0)</f>
        <v>1</v>
      </c>
    </row>
    <row r="278" spans="2:12" ht="27" x14ac:dyDescent="0.2">
      <c r="B278" s="11" t="str">
        <v>MASTER-6585</v>
      </c>
      <c r="C278" s="12" t="str" cm="1">
        <f t="array" ref="C278">_xlfn.TEXTJOIN(CHAR(10),TRUE,_xlfn._xlws.SORT(IF((--($B278=Flowdown_BTE[[URS]:[URS]]))*(--(C$14=Flowdown_BTE[[Source.Name]:[Source.Name]])),Flowdown_BTE[[SyRS]:[SyRS]],"")))</f>
        <v>MASTER-19278</v>
      </c>
      <c r="D278" s="12" t="str" cm="1">
        <f t="array" ref="D278">_xlfn.TEXTJOIN(CHAR(10),TRUE,_xlfn._xlws.SORT(IF((--($B278=Flowdown_BTE[[URS]:[URS]]))*(--(D$14=Flowdown_BTE[[Source.Name]:[Source.Name]])),Flowdown_BTE[[SyRS]:[SyRS]],"")))</f>
        <v>MASTER-19278</v>
      </c>
      <c r="E278" s="12" t="str" cm="1">
        <f t="array" ref="E278">_xlfn.TEXTJOIN(CHAR(10),TRUE,_xlfn._xlws.SORT(IF((--($B278=Flowdown_BTE[[URS]:[URS]]))*(--(E$14=Flowdown_BTE[[Source.Name]:[Source.Name]])),Flowdown_BTE[[SyRS]:[SyRS]],"")))</f>
        <v>MASTER-19278</v>
      </c>
      <c r="F278" s="12" t="str" cm="1">
        <f t="array" ref="F278">_xlfn.TEXTJOIN(CHAR(10),TRUE,_xlfn._xlws.SORT(IF((--($B278=Flowdown_BTE[[URS]:[URS]]))*(--(F$14=Flowdown_BTE[[Source.Name]:[Source.Name]])),Flowdown_BTE[[SyRS]:[SyRS]],"")))</f>
        <v>MASTER-19278</v>
      </c>
      <c r="G278" s="12" t="str" cm="1">
        <f t="array" ref="G278">_xlfn.TEXTJOIN(CHAR(10),TRUE,_xlfn._xlws.SORT(IF((--($B278=Flowdown_BTE[[URS]:[URS]]))*(--(G$14=Flowdown_BTE[[Source.Name]:[Source.Name]])),Flowdown_BTE[[SyRS]:[SyRS]],"")))</f>
        <v>MASTER-19278</v>
      </c>
      <c r="H278" s="12" t="str" cm="1">
        <f t="array" ref="H278">_xlfn.TEXTJOIN(CHAR(10),TRUE,_xlfn._xlws.SORT(IF((--($B278=Flowdown_BTE[[URS]:[URS]]))*(--(H$14=Flowdown_BTE[[Source.Name]:[Source.Name]])),Flowdown_BTE[[SyRS]:[SyRS]],"")))</f>
        <v/>
      </c>
      <c r="I278" s="12" t="str" cm="1">
        <f t="array" ref="I278">_xlfn.TEXTJOIN(CHAR(10),TRUE,_xlfn._xlws.SORT(IF((--($B278=Flowdown_BTE[[URS]:[URS]]))*(--(I$14=Flowdown_BTE[[Source.Name]:[Source.Name]])),Flowdown_BTE[[SyRS]:[SyRS]],"")))</f>
        <v>MASTER-48455
UTICA-205</v>
      </c>
      <c r="J278" s="12" t="str" cm="1">
        <f t="array" ref="J278">_xlfn.TEXTJOIN(CHAR(10),TRUE,_xlfn._xlws.SORT(IF((--($B278=Flowdown_BTE[[URS]:[URS]]))*(--(J$14=Flowdown_BTE[[Source.Name]:[Source.Name]])),Flowdown_BTE[[SyRS]:[SyRS]],"")))</f>
        <v>MASTER-48455</v>
      </c>
      <c r="K278" s="12" t="str" cm="1">
        <f t="array" ref="K278">_xlfn.TEXTJOIN(CHAR(10),TRUE,_xlfn._xlws.SORT(IF((--($B278=Flowdown_BTE[[URS]:[URS]]))*(--(K$14=Flowdown_BTE[[Source.Name]:[Source.Name]])),Flowdown_BTE[[SyRS]:[SyRS]],"")))</f>
        <v/>
      </c>
      <c r="L278" s="16" t="b" cm="1">
        <f t="array" ref="L278">OR(LEN(C278:K278)&gt;0)</f>
        <v>1</v>
      </c>
    </row>
    <row r="279" spans="2:12" ht="409.5" x14ac:dyDescent="0.2">
      <c r="B279" s="11" t="str">
        <v>MASTER-6587</v>
      </c>
      <c r="C279" s="12" t="str" cm="1">
        <f t="array" ref="C279">_xlfn.TEXTJOIN(CHAR(10),TRUE,_xlfn._xlws.SORT(IF((--($B279=Flowdown_BTE[[URS]:[URS]]))*(--(C$14=Flowdown_BTE[[Source.Name]:[Source.Name]])),Flowdown_BTE[[SyRS]:[SyRS]],"")))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79" s="12" t="str" cm="1">
        <f t="array" ref="D279">_xlfn.TEXTJOIN(CHAR(10),TRUE,_xlfn._xlws.SORT(IF((--($B279=Flowdown_BTE[[URS]:[URS]]))*(--(D$14=Flowdown_BTE[[Source.Name]:[Source.Name]])),Flowdown_BTE[[SyRS]:[SyRS]],"")))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79" s="12" t="str" cm="1">
        <f t="array" ref="E279">_xlfn.TEXTJOIN(CHAR(10),TRUE,_xlfn._xlws.SORT(IF((--($B279=Flowdown_BTE[[URS]:[URS]]))*(--(E$14=Flowdown_BTE[[Source.Name]:[Source.Name]])),Flowdown_BTE[[SyRS]:[SyRS]],"")))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79" s="12" t="str" cm="1">
        <f t="array" ref="F279">_xlfn.TEXTJOIN(CHAR(10),TRUE,_xlfn._xlws.SORT(IF((--($B279=Flowdown_BTE[[URS]:[URS]]))*(--(F$14=Flowdown_BTE[[Source.Name]:[Source.Name]])),Flowdown_BTE[[SyRS]:[SyRS]],"")))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79" s="12" t="str" cm="1">
        <f t="array" ref="G279">_xlfn.TEXTJOIN(CHAR(10),TRUE,_xlfn._xlws.SORT(IF((--($B279=Flowdown_BTE[[URS]:[URS]]))*(--(G$14=Flowdown_BTE[[Source.Name]:[Source.Name]])),Flowdown_BTE[[SyRS]:[SyRS]],"")))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79" s="12" t="str" cm="1">
        <f t="array" ref="H279">_xlfn.TEXTJOIN(CHAR(10),TRUE,_xlfn._xlws.SORT(IF((--($B279=Flowdown_BTE[[URS]:[URS]]))*(--(H$14=Flowdown_BTE[[Source.Name]:[Source.Name]])),Flowdown_BTE[[SyRS]:[SyRS]],"")))</f>
        <v/>
      </c>
      <c r="I279" s="12" t="str" cm="1">
        <f t="array" ref="I279">_xlfn.TEXTJOIN(CHAR(10),TRUE,_xlfn._xlws.SORT(IF((--($B279=Flowdown_BTE[[URS]:[URS]]))*(--(I$14=Flowdown_BTE[[Source.Name]:[Source.Name]])),Flowdown_BTE[[SyRS]:[SyRS]],"")))</f>
        <v/>
      </c>
      <c r="J279" s="12" t="str" cm="1">
        <f t="array" ref="J279">_xlfn.TEXTJOIN(CHAR(10),TRUE,_xlfn._xlws.SORT(IF((--($B279=Flowdown_BTE[[URS]:[URS]]))*(--(J$14=Flowdown_BTE[[Source.Name]:[Source.Name]])),Flowdown_BTE[[SyRS]:[SyRS]],"")))</f>
        <v/>
      </c>
      <c r="K279" s="12" t="str" cm="1">
        <f t="array" ref="K279">_xlfn.TEXTJOIN(CHAR(10),TRUE,_xlfn._xlws.SORT(IF((--($B279=Flowdown_BTE[[URS]:[URS]]))*(--(K$14=Flowdown_BTE[[Source.Name]:[Source.Name]])),Flowdown_BTE[[SyRS]:[SyRS]],"")))</f>
        <v>MASTER-16473
MASTER-16726
MASTER-16728
MASTER-16735
MASTER-16736
UTICA-6410</v>
      </c>
      <c r="L279" s="16" t="b" cm="1">
        <f t="array" ref="L279">OR(LEN(C279:K279)&gt;0)</f>
        <v>1</v>
      </c>
    </row>
    <row r="280" spans="2:12" ht="202.5" x14ac:dyDescent="0.2">
      <c r="B280" s="11" t="str">
        <v>MASTER-6591</v>
      </c>
      <c r="C280" s="12" t="str" cm="1">
        <f t="array" ref="C280">_xlfn.TEXTJOIN(CHAR(10),TRUE,_xlfn._xlws.SORT(IF((--($B280=Flowdown_BTE[[URS]:[URS]]))*(--(C$14=Flowdown_BTE[[Source.Name]:[Source.Name]])),Flowdown_BTE[[SyRS]:[SyRS]],"")))</f>
        <v>MASTER-18101
MASTER-18102
MASTER-18104
MASTER-18105
MASTER-18622
MASTER-19593
MASTER-19594
MASTER-19598
MASTER-19599
MASTER-19602
MASTER-42106
UTICA-6854</v>
      </c>
      <c r="D280" s="12" t="str" cm="1">
        <f t="array" ref="D280">_xlfn.TEXTJOIN(CHAR(10),TRUE,_xlfn._xlws.SORT(IF((--($B280=Flowdown_BTE[[URS]:[URS]]))*(--(D$14=Flowdown_BTE[[Source.Name]:[Source.Name]])),Flowdown_BTE[[SyRS]:[SyRS]],"")))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E280" s="12" t="str" cm="1">
        <f t="array" ref="E280">_xlfn.TEXTJOIN(CHAR(10),TRUE,_xlfn._xlws.SORT(IF((--($B280=Flowdown_BTE[[URS]:[URS]]))*(--(E$14=Flowdown_BTE[[Source.Name]:[Source.Name]])),Flowdown_BTE[[SyRS]:[SyRS]],"")))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F280" s="12" t="str" cm="1">
        <f t="array" ref="F280">_xlfn.TEXTJOIN(CHAR(10),TRUE,_xlfn._xlws.SORT(IF((--($B280=Flowdown_BTE[[URS]:[URS]]))*(--(F$14=Flowdown_BTE[[Source.Name]:[Source.Name]])),Flowdown_BTE[[SyRS]:[SyRS]],"")))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G280" s="12" t="str" cm="1">
        <f t="array" ref="G280">_xlfn.TEXTJOIN(CHAR(10),TRUE,_xlfn._xlws.SORT(IF((--($B280=Flowdown_BTE[[URS]:[URS]]))*(--(G$14=Flowdown_BTE[[Source.Name]:[Source.Name]])),Flowdown_BTE[[SyRS]:[SyRS]],"")))</f>
        <v>MASTER-18101
MASTER-18102
MASTER-18104
MASTER-18105
MASTER-18622
MASTER-19593
MASTER-19594
MASTER-19598
MASTER-19599
MASTER-19602
MASTER-42106
UTICA-6854</v>
      </c>
      <c r="H280" s="12" t="str" cm="1">
        <f t="array" ref="H280">_xlfn.TEXTJOIN(CHAR(10),TRUE,_xlfn._xlws.SORT(IF((--($B280=Flowdown_BTE[[URS]:[URS]]))*(--(H$14=Flowdown_BTE[[Source.Name]:[Source.Name]])),Flowdown_BTE[[SyRS]:[SyRS]],"")))</f>
        <v/>
      </c>
      <c r="I280" s="12" t="str" cm="1">
        <f t="array" ref="I280">_xlfn.TEXTJOIN(CHAR(10),TRUE,_xlfn._xlws.SORT(IF((--($B280=Flowdown_BTE[[URS]:[URS]]))*(--(I$14=Flowdown_BTE[[Source.Name]:[Source.Name]])),Flowdown_BTE[[SyRS]:[SyRS]],"")))</f>
        <v/>
      </c>
      <c r="J280" s="12" t="str" cm="1">
        <f t="array" ref="J280">_xlfn.TEXTJOIN(CHAR(10),TRUE,_xlfn._xlws.SORT(IF((--($B280=Flowdown_BTE[[URS]:[URS]]))*(--(J$14=Flowdown_BTE[[Source.Name]:[Source.Name]])),Flowdown_BTE[[SyRS]:[SyRS]],"")))</f>
        <v/>
      </c>
      <c r="K280" s="12" t="str" cm="1">
        <f t="array" ref="K280">_xlfn.TEXTJOIN(CHAR(10),TRUE,_xlfn._xlws.SORT(IF((--($B280=Flowdown_BTE[[URS]:[URS]]))*(--(K$14=Flowdown_BTE[[Source.Name]:[Source.Name]])),Flowdown_BTE[[SyRS]:[SyRS]],"")))</f>
        <v>MASTER-16598
MASTER-16599
MASTER-16600
MASTER-16601
MASTER-16604
MASTER-16605
MASTER-16606
MASTER-16609
MASTER-16611
MASTER-16612
MASTER-16613
MASTER-16615
MASTER-16616
MASTER-50125
UTICA-24698</v>
      </c>
      <c r="L280" s="16" t="b" cm="1">
        <f t="array" ref="L280">OR(LEN(C280:K280)&gt;0)</f>
        <v>1</v>
      </c>
    </row>
    <row r="281" spans="2:12" ht="94.5" x14ac:dyDescent="0.2">
      <c r="B281" s="11" t="str">
        <v>MASTER-6592</v>
      </c>
      <c r="C281" s="12" t="str" cm="1">
        <f t="array" ref="C281">_xlfn.TEXTJOIN(CHAR(10),TRUE,_xlfn._xlws.SORT(IF((--($B281=Flowdown_BTE[[URS]:[URS]]))*(--(C$14=Flowdown_BTE[[Source.Name]:[Source.Name]])),Flowdown_BTE[[SyRS]:[SyRS]],"")))</f>
        <v>MASTER-18101
MASTER-18102
MASTER-18622
MASTER-19596
MASTER-19598
MASTER-19599
MASTER-19602</v>
      </c>
      <c r="D281" s="12" t="str" cm="1">
        <f t="array" ref="D281">_xlfn.TEXTJOIN(CHAR(10),TRUE,_xlfn._xlws.SORT(IF((--($B281=Flowdown_BTE[[URS]:[URS]]))*(--(D$14=Flowdown_BTE[[Source.Name]:[Source.Name]])),Flowdown_BTE[[SyRS]:[SyRS]],"")))</f>
        <v>MASTER-18101
MASTER-18102
MASTER-18622
MASTER-19596
MASTER-19598
MASTER-19599
MASTER-19602</v>
      </c>
      <c r="E281" s="12" t="str" cm="1">
        <f t="array" ref="E281">_xlfn.TEXTJOIN(CHAR(10),TRUE,_xlfn._xlws.SORT(IF((--($B281=Flowdown_BTE[[URS]:[URS]]))*(--(E$14=Flowdown_BTE[[Source.Name]:[Source.Name]])),Flowdown_BTE[[SyRS]:[SyRS]],"")))</f>
        <v>MASTER-18101
MASTER-18102
MASTER-18622
MASTER-19596
MASTER-19598
MASTER-19599
MASTER-19602</v>
      </c>
      <c r="F281" s="12" t="str" cm="1">
        <f t="array" ref="F281">_xlfn.TEXTJOIN(CHAR(10),TRUE,_xlfn._xlws.SORT(IF((--($B281=Flowdown_BTE[[URS]:[URS]]))*(--(F$14=Flowdown_BTE[[Source.Name]:[Source.Name]])),Flowdown_BTE[[SyRS]:[SyRS]],"")))</f>
        <v>MASTER-18101
MASTER-18102
MASTER-18622
MASTER-19596
MASTER-19598
MASTER-19599
MASTER-19602</v>
      </c>
      <c r="G281" s="12" t="str" cm="1">
        <f t="array" ref="G281">_xlfn.TEXTJOIN(CHAR(10),TRUE,_xlfn._xlws.SORT(IF((--($B281=Flowdown_BTE[[URS]:[URS]]))*(--(G$14=Flowdown_BTE[[Source.Name]:[Source.Name]])),Flowdown_BTE[[SyRS]:[SyRS]],"")))</f>
        <v>MASTER-18101
MASTER-18102
MASTER-18622
MASTER-19596
MASTER-19598
MASTER-19599
MASTER-19602</v>
      </c>
      <c r="H281" s="12" t="str" cm="1">
        <f t="array" ref="H281">_xlfn.TEXTJOIN(CHAR(10),TRUE,_xlfn._xlws.SORT(IF((--($B281=Flowdown_BTE[[URS]:[URS]]))*(--(H$14=Flowdown_BTE[[Source.Name]:[Source.Name]])),Flowdown_BTE[[SyRS]:[SyRS]],"")))</f>
        <v/>
      </c>
      <c r="I281" s="12" t="str" cm="1">
        <f t="array" ref="I281">_xlfn.TEXTJOIN(CHAR(10),TRUE,_xlfn._xlws.SORT(IF((--($B281=Flowdown_BTE[[URS]:[URS]]))*(--(I$14=Flowdown_BTE[[Source.Name]:[Source.Name]])),Flowdown_BTE[[SyRS]:[SyRS]],"")))</f>
        <v/>
      </c>
      <c r="J281" s="12" t="str" cm="1">
        <f t="array" ref="J281">_xlfn.TEXTJOIN(CHAR(10),TRUE,_xlfn._xlws.SORT(IF((--($B281=Flowdown_BTE[[URS]:[URS]]))*(--(J$14=Flowdown_BTE[[Source.Name]:[Source.Name]])),Flowdown_BTE[[SyRS]:[SyRS]],"")))</f>
        <v/>
      </c>
      <c r="K281" s="12" t="str" cm="1">
        <f t="array" ref="K281">_xlfn.TEXTJOIN(CHAR(10),TRUE,_xlfn._xlws.SORT(IF((--($B281=Flowdown_BTE[[URS]:[URS]]))*(--(K$14=Flowdown_BTE[[Source.Name]:[Source.Name]])),Flowdown_BTE[[SyRS]:[SyRS]],"")))</f>
        <v/>
      </c>
      <c r="L281" s="16" t="b" cm="1">
        <f t="array" ref="L281">OR(LEN(C281:K281)&gt;0)</f>
        <v>1</v>
      </c>
    </row>
    <row r="282" spans="2:12" ht="81" x14ac:dyDescent="0.2">
      <c r="B282" s="11" t="str">
        <v>MASTER-6595</v>
      </c>
      <c r="C282" s="12" t="str" cm="1">
        <f t="array" ref="C282">_xlfn.TEXTJOIN(CHAR(10),TRUE,_xlfn._xlws.SORT(IF((--($B282=Flowdown_BTE[[URS]:[URS]]))*(--(C$14=Flowdown_BTE[[Source.Name]:[Source.Name]])),Flowdown_BTE[[SyRS]:[SyRS]],"")))</f>
        <v>MASTER-19615
MASTER-19617
MASTER-19618
MASTER-19619
MASTER-19620
MASTER-19621</v>
      </c>
      <c r="D282" s="12" t="str" cm="1">
        <f t="array" ref="D282">_xlfn.TEXTJOIN(CHAR(10),TRUE,_xlfn._xlws.SORT(IF((--($B282=Flowdown_BTE[[URS]:[URS]]))*(--(D$14=Flowdown_BTE[[Source.Name]:[Source.Name]])),Flowdown_BTE[[SyRS]:[SyRS]],"")))</f>
        <v>MASTER-19615
MASTER-19617
MASTER-19618
MASTER-19619
MASTER-19620
MASTER-19621</v>
      </c>
      <c r="E282" s="12" t="str" cm="1">
        <f t="array" ref="E282">_xlfn.TEXTJOIN(CHAR(10),TRUE,_xlfn._xlws.SORT(IF((--($B282=Flowdown_BTE[[URS]:[URS]]))*(--(E$14=Flowdown_BTE[[Source.Name]:[Source.Name]])),Flowdown_BTE[[SyRS]:[SyRS]],"")))</f>
        <v>MASTER-19615
MASTER-19617
MASTER-19618
MASTER-19619
MASTER-19620
MASTER-19621</v>
      </c>
      <c r="F282" s="12" t="str" cm="1">
        <f t="array" ref="F282">_xlfn.TEXTJOIN(CHAR(10),TRUE,_xlfn._xlws.SORT(IF((--($B282=Flowdown_BTE[[URS]:[URS]]))*(--(F$14=Flowdown_BTE[[Source.Name]:[Source.Name]])),Flowdown_BTE[[SyRS]:[SyRS]],"")))</f>
        <v>MASTER-19615
MASTER-19617
MASTER-19618
MASTER-19619
MASTER-19620
MASTER-19621</v>
      </c>
      <c r="G282" s="12" t="str" cm="1">
        <f t="array" ref="G282">_xlfn.TEXTJOIN(CHAR(10),TRUE,_xlfn._xlws.SORT(IF((--($B282=Flowdown_BTE[[URS]:[URS]]))*(--(G$14=Flowdown_BTE[[Source.Name]:[Source.Name]])),Flowdown_BTE[[SyRS]:[SyRS]],"")))</f>
        <v>MASTER-19615
MASTER-19617
MASTER-19618
MASTER-19619
MASTER-19620
MASTER-19621</v>
      </c>
      <c r="H282" s="12" t="str" cm="1">
        <f t="array" ref="H282">_xlfn.TEXTJOIN(CHAR(10),TRUE,_xlfn._xlws.SORT(IF((--($B282=Flowdown_BTE[[URS]:[URS]]))*(--(H$14=Flowdown_BTE[[Source.Name]:[Source.Name]])),Flowdown_BTE[[SyRS]:[SyRS]],"")))</f>
        <v/>
      </c>
      <c r="I282" s="12" t="str" cm="1">
        <f t="array" ref="I282">_xlfn.TEXTJOIN(CHAR(10),TRUE,_xlfn._xlws.SORT(IF((--($B282=Flowdown_BTE[[URS]:[URS]]))*(--(I$14=Flowdown_BTE[[Source.Name]:[Source.Name]])),Flowdown_BTE[[SyRS]:[SyRS]],"")))</f>
        <v/>
      </c>
      <c r="J282" s="12" t="str" cm="1">
        <f t="array" ref="J282">_xlfn.TEXTJOIN(CHAR(10),TRUE,_xlfn._xlws.SORT(IF((--($B282=Flowdown_BTE[[URS]:[URS]]))*(--(J$14=Flowdown_BTE[[Source.Name]:[Source.Name]])),Flowdown_BTE[[SyRS]:[SyRS]],"")))</f>
        <v/>
      </c>
      <c r="K282" s="12" t="str" cm="1">
        <f t="array" ref="K282">_xlfn.TEXTJOIN(CHAR(10),TRUE,_xlfn._xlws.SORT(IF((--($B282=Flowdown_BTE[[URS]:[URS]]))*(--(K$14=Flowdown_BTE[[Source.Name]:[Source.Name]])),Flowdown_BTE[[SyRS]:[SyRS]],"")))</f>
        <v/>
      </c>
      <c r="L282" s="16" t="b" cm="1">
        <f t="array" ref="L282">OR(LEN(C282:K282)&gt;0)</f>
        <v>1</v>
      </c>
    </row>
    <row r="283" spans="2:12" ht="54" x14ac:dyDescent="0.2">
      <c r="B283" s="11" t="str">
        <v>MASTER-6596</v>
      </c>
      <c r="C283" s="12" t="str" cm="1">
        <f t="array" ref="C283">_xlfn.TEXTJOIN(CHAR(10),TRUE,_xlfn._xlws.SORT(IF((--($B283=Flowdown_BTE[[URS]:[URS]]))*(--(C$14=Flowdown_BTE[[Source.Name]:[Source.Name]])),Flowdown_BTE[[SyRS]:[SyRS]],"")))</f>
        <v/>
      </c>
      <c r="D283" s="12" t="str" cm="1">
        <f t="array" ref="D283">_xlfn.TEXTJOIN(CHAR(10),TRUE,_xlfn._xlws.SORT(IF((--($B283=Flowdown_BTE[[URS]:[URS]]))*(--(D$14=Flowdown_BTE[[Source.Name]:[Source.Name]])),Flowdown_BTE[[SyRS]:[SyRS]],"")))</f>
        <v/>
      </c>
      <c r="E283" s="12" t="str" cm="1">
        <f t="array" ref="E283">_xlfn.TEXTJOIN(CHAR(10),TRUE,_xlfn._xlws.SORT(IF((--($B283=Flowdown_BTE[[URS]:[URS]]))*(--(E$14=Flowdown_BTE[[Source.Name]:[Source.Name]])),Flowdown_BTE[[SyRS]:[SyRS]],"")))</f>
        <v/>
      </c>
      <c r="F283" s="12" t="str" cm="1">
        <f t="array" ref="F283">_xlfn.TEXTJOIN(CHAR(10),TRUE,_xlfn._xlws.SORT(IF((--($B283=Flowdown_BTE[[URS]:[URS]]))*(--(F$14=Flowdown_BTE[[Source.Name]:[Source.Name]])),Flowdown_BTE[[SyRS]:[SyRS]],"")))</f>
        <v/>
      </c>
      <c r="G283" s="12" t="str" cm="1">
        <f t="array" ref="G283">_xlfn.TEXTJOIN(CHAR(10),TRUE,_xlfn._xlws.SORT(IF((--($B283=Flowdown_BTE[[URS]:[URS]]))*(--(G$14=Flowdown_BTE[[Source.Name]:[Source.Name]])),Flowdown_BTE[[SyRS]:[SyRS]],"")))</f>
        <v/>
      </c>
      <c r="H283" s="12" t="str" cm="1">
        <f t="array" ref="H283">_xlfn.TEXTJOIN(CHAR(10),TRUE,_xlfn._xlws.SORT(IF((--($B283=Flowdown_BTE[[URS]:[URS]]))*(--(H$14=Flowdown_BTE[[Source.Name]:[Source.Name]])),Flowdown_BTE[[SyRS]:[SyRS]],"")))</f>
        <v>MASTER-22278
MASTER-22293
MASTER-22294
MASTER-41122</v>
      </c>
      <c r="I283" s="12" t="str" cm="1">
        <f t="array" ref="I283">_xlfn.TEXTJOIN(CHAR(10),TRUE,_xlfn._xlws.SORT(IF((--($B283=Flowdown_BTE[[URS]:[URS]]))*(--(I$14=Flowdown_BTE[[Source.Name]:[Source.Name]])),Flowdown_BTE[[SyRS]:[SyRS]],"")))</f>
        <v/>
      </c>
      <c r="J283" s="12" t="str" cm="1">
        <f t="array" ref="J283">_xlfn.TEXTJOIN(CHAR(10),TRUE,_xlfn._xlws.SORT(IF((--($B283=Flowdown_BTE[[URS]:[URS]]))*(--(J$14=Flowdown_BTE[[Source.Name]:[Source.Name]])),Flowdown_BTE[[SyRS]:[SyRS]],"")))</f>
        <v/>
      </c>
      <c r="K283" s="12" t="str" cm="1">
        <f t="array" ref="K283">_xlfn.TEXTJOIN(CHAR(10),TRUE,_xlfn._xlws.SORT(IF((--($B283=Flowdown_BTE[[URS]:[URS]]))*(--(K$14=Flowdown_BTE[[Source.Name]:[Source.Name]])),Flowdown_BTE[[SyRS]:[SyRS]],"")))</f>
        <v/>
      </c>
      <c r="L283" s="16" t="b" cm="1">
        <f t="array" ref="L283">OR(LEN(C283:K283)&gt;0)</f>
        <v>1</v>
      </c>
    </row>
    <row r="284" spans="2:12" ht="27" x14ac:dyDescent="0.2">
      <c r="B284" s="11" t="str">
        <v>MASTER-6597</v>
      </c>
      <c r="C284" s="12" t="str" cm="1">
        <f t="array" ref="C284">_xlfn.TEXTJOIN(CHAR(10),TRUE,_xlfn._xlws.SORT(IF((--($B284=Flowdown_BTE[[URS]:[URS]]))*(--(C$14=Flowdown_BTE[[Source.Name]:[Source.Name]])),Flowdown_BTE[[SyRS]:[SyRS]],"")))</f>
        <v/>
      </c>
      <c r="D284" s="12" t="str" cm="1">
        <f t="array" ref="D284">_xlfn.TEXTJOIN(CHAR(10),TRUE,_xlfn._xlws.SORT(IF((--($B284=Flowdown_BTE[[URS]:[URS]]))*(--(D$14=Flowdown_BTE[[Source.Name]:[Source.Name]])),Flowdown_BTE[[SyRS]:[SyRS]],"")))</f>
        <v/>
      </c>
      <c r="E284" s="12" t="str" cm="1">
        <f t="array" ref="E284">_xlfn.TEXTJOIN(CHAR(10),TRUE,_xlfn._xlws.SORT(IF((--($B284=Flowdown_BTE[[URS]:[URS]]))*(--(E$14=Flowdown_BTE[[Source.Name]:[Source.Name]])),Flowdown_BTE[[SyRS]:[SyRS]],"")))</f>
        <v/>
      </c>
      <c r="F284" s="12" t="str" cm="1">
        <f t="array" ref="F284">_xlfn.TEXTJOIN(CHAR(10),TRUE,_xlfn._xlws.SORT(IF((--($B284=Flowdown_BTE[[URS]:[URS]]))*(--(F$14=Flowdown_BTE[[Source.Name]:[Source.Name]])),Flowdown_BTE[[SyRS]:[SyRS]],"")))</f>
        <v/>
      </c>
      <c r="G284" s="12" t="str" cm="1">
        <f t="array" ref="G284">_xlfn.TEXTJOIN(CHAR(10),TRUE,_xlfn._xlws.SORT(IF((--($B284=Flowdown_BTE[[URS]:[URS]]))*(--(G$14=Flowdown_BTE[[Source.Name]:[Source.Name]])),Flowdown_BTE[[SyRS]:[SyRS]],"")))</f>
        <v/>
      </c>
      <c r="H284" s="12" t="str" cm="1">
        <f t="array" ref="H284">_xlfn.TEXTJOIN(CHAR(10),TRUE,_xlfn._xlws.SORT(IF((--($B284=Flowdown_BTE[[URS]:[URS]]))*(--(H$14=Flowdown_BTE[[Source.Name]:[Source.Name]])),Flowdown_BTE[[SyRS]:[SyRS]],"")))</f>
        <v>MASTER-22280
MASTER-22292</v>
      </c>
      <c r="I284" s="12" t="str" cm="1">
        <f t="array" ref="I284">_xlfn.TEXTJOIN(CHAR(10),TRUE,_xlfn._xlws.SORT(IF((--($B284=Flowdown_BTE[[URS]:[URS]]))*(--(I$14=Flowdown_BTE[[Source.Name]:[Source.Name]])),Flowdown_BTE[[SyRS]:[SyRS]],"")))</f>
        <v/>
      </c>
      <c r="J284" s="12" t="str" cm="1">
        <f t="array" ref="J284">_xlfn.TEXTJOIN(CHAR(10),TRUE,_xlfn._xlws.SORT(IF((--($B284=Flowdown_BTE[[URS]:[URS]]))*(--(J$14=Flowdown_BTE[[Source.Name]:[Source.Name]])),Flowdown_BTE[[SyRS]:[SyRS]],"")))</f>
        <v/>
      </c>
      <c r="K284" s="12" t="str" cm="1">
        <f t="array" ref="K284">_xlfn.TEXTJOIN(CHAR(10),TRUE,_xlfn._xlws.SORT(IF((--($B284=Flowdown_BTE[[URS]:[URS]]))*(--(K$14=Flowdown_BTE[[Source.Name]:[Source.Name]])),Flowdown_BTE[[SyRS]:[SyRS]],"")))</f>
        <v/>
      </c>
      <c r="L284" s="16" t="b" cm="1">
        <f t="array" ref="L284">OR(LEN(C284:K284)&gt;0)</f>
        <v>1</v>
      </c>
    </row>
    <row r="285" spans="2:12" ht="81" x14ac:dyDescent="0.2">
      <c r="B285" s="11" t="str">
        <v>MASTER-6598</v>
      </c>
      <c r="C285" s="12" t="str" cm="1">
        <f t="array" ref="C285">_xlfn.TEXTJOIN(CHAR(10),TRUE,_xlfn._xlws.SORT(IF((--($B285=Flowdown_BTE[[URS]:[URS]]))*(--(C$14=Flowdown_BTE[[Source.Name]:[Source.Name]])),Flowdown_BTE[[SyRS]:[SyRS]],"")))</f>
        <v/>
      </c>
      <c r="D285" s="12" t="str" cm="1">
        <f t="array" ref="D285">_xlfn.TEXTJOIN(CHAR(10),TRUE,_xlfn._xlws.SORT(IF((--($B285=Flowdown_BTE[[URS]:[URS]]))*(--(D$14=Flowdown_BTE[[Source.Name]:[Source.Name]])),Flowdown_BTE[[SyRS]:[SyRS]],"")))</f>
        <v/>
      </c>
      <c r="E285" s="12" t="str" cm="1">
        <f t="array" ref="E285">_xlfn.TEXTJOIN(CHAR(10),TRUE,_xlfn._xlws.SORT(IF((--($B285=Flowdown_BTE[[URS]:[URS]]))*(--(E$14=Flowdown_BTE[[Source.Name]:[Source.Name]])),Flowdown_BTE[[SyRS]:[SyRS]],"")))</f>
        <v/>
      </c>
      <c r="F285" s="12" t="str" cm="1">
        <f t="array" ref="F285">_xlfn.TEXTJOIN(CHAR(10),TRUE,_xlfn._xlws.SORT(IF((--($B285=Flowdown_BTE[[URS]:[URS]]))*(--(F$14=Flowdown_BTE[[Source.Name]:[Source.Name]])),Flowdown_BTE[[SyRS]:[SyRS]],"")))</f>
        <v/>
      </c>
      <c r="G285" s="12" t="str" cm="1">
        <f t="array" ref="G285">_xlfn.TEXTJOIN(CHAR(10),TRUE,_xlfn._xlws.SORT(IF((--($B285=Flowdown_BTE[[URS]:[URS]]))*(--(G$14=Flowdown_BTE[[Source.Name]:[Source.Name]])),Flowdown_BTE[[SyRS]:[SyRS]],"")))</f>
        <v/>
      </c>
      <c r="H285" s="12" t="str" cm="1">
        <f t="array" ref="H285">_xlfn.TEXTJOIN(CHAR(10),TRUE,_xlfn._xlws.SORT(IF((--($B285=Flowdown_BTE[[URS]:[URS]]))*(--(H$14=Flowdown_BTE[[Source.Name]:[Source.Name]])),Flowdown_BTE[[SyRS]:[SyRS]],"")))</f>
        <v>MASTER-22280
MASTER-22281
MASTER-22282
MASTER-22283
MASTER-22284
MASTER-22285</v>
      </c>
      <c r="I285" s="12" t="str" cm="1">
        <f t="array" ref="I285">_xlfn.TEXTJOIN(CHAR(10),TRUE,_xlfn._xlws.SORT(IF((--($B285=Flowdown_BTE[[URS]:[URS]]))*(--(I$14=Flowdown_BTE[[Source.Name]:[Source.Name]])),Flowdown_BTE[[SyRS]:[SyRS]],"")))</f>
        <v/>
      </c>
      <c r="J285" s="12" t="str" cm="1">
        <f t="array" ref="J285">_xlfn.TEXTJOIN(CHAR(10),TRUE,_xlfn._xlws.SORT(IF((--($B285=Flowdown_BTE[[URS]:[URS]]))*(--(J$14=Flowdown_BTE[[Source.Name]:[Source.Name]])),Flowdown_BTE[[SyRS]:[SyRS]],"")))</f>
        <v/>
      </c>
      <c r="K285" s="12" t="str" cm="1">
        <f t="array" ref="K285">_xlfn.TEXTJOIN(CHAR(10),TRUE,_xlfn._xlws.SORT(IF((--($B285=Flowdown_BTE[[URS]:[URS]]))*(--(K$14=Flowdown_BTE[[Source.Name]:[Source.Name]])),Flowdown_BTE[[SyRS]:[SyRS]],"")))</f>
        <v/>
      </c>
      <c r="L285" s="16" t="b" cm="1">
        <f t="array" ref="L285">OR(LEN(C285:K285)&gt;0)</f>
        <v>1</v>
      </c>
    </row>
    <row r="286" spans="2:12" ht="13.5" x14ac:dyDescent="0.2">
      <c r="B286" s="11" t="str">
        <v>MASTER-6599</v>
      </c>
      <c r="C286" s="12" t="str" cm="1">
        <f t="array" ref="C286">_xlfn.TEXTJOIN(CHAR(10),TRUE,_xlfn._xlws.SORT(IF((--($B286=Flowdown_BTE[[URS]:[URS]]))*(--(C$14=Flowdown_BTE[[Source.Name]:[Source.Name]])),Flowdown_BTE[[SyRS]:[SyRS]],"")))</f>
        <v>MASTER-19609</v>
      </c>
      <c r="D286" s="12" t="str" cm="1">
        <f t="array" ref="D286">_xlfn.TEXTJOIN(CHAR(10),TRUE,_xlfn._xlws.SORT(IF((--($B286=Flowdown_BTE[[URS]:[URS]]))*(--(D$14=Flowdown_BTE[[Source.Name]:[Source.Name]])),Flowdown_BTE[[SyRS]:[SyRS]],"")))</f>
        <v>MASTER-19609</v>
      </c>
      <c r="E286" s="12" t="str" cm="1">
        <f t="array" ref="E286">_xlfn.TEXTJOIN(CHAR(10),TRUE,_xlfn._xlws.SORT(IF((--($B286=Flowdown_BTE[[URS]:[URS]]))*(--(E$14=Flowdown_BTE[[Source.Name]:[Source.Name]])),Flowdown_BTE[[SyRS]:[SyRS]],"")))</f>
        <v>MASTER-19609</v>
      </c>
      <c r="F286" s="12" t="str" cm="1">
        <f t="array" ref="F286">_xlfn.TEXTJOIN(CHAR(10),TRUE,_xlfn._xlws.SORT(IF((--($B286=Flowdown_BTE[[URS]:[URS]]))*(--(F$14=Flowdown_BTE[[Source.Name]:[Source.Name]])),Flowdown_BTE[[SyRS]:[SyRS]],"")))</f>
        <v>MASTER-19609</v>
      </c>
      <c r="G286" s="12" t="str" cm="1">
        <f t="array" ref="G286">_xlfn.TEXTJOIN(CHAR(10),TRUE,_xlfn._xlws.SORT(IF((--($B286=Flowdown_BTE[[URS]:[URS]]))*(--(G$14=Flowdown_BTE[[Source.Name]:[Source.Name]])),Flowdown_BTE[[SyRS]:[SyRS]],"")))</f>
        <v>MASTER-19609</v>
      </c>
      <c r="H286" s="12" t="str" cm="1">
        <f t="array" ref="H286">_xlfn.TEXTJOIN(CHAR(10),TRUE,_xlfn._xlws.SORT(IF((--($B286=Flowdown_BTE[[URS]:[URS]]))*(--(H$14=Flowdown_BTE[[Source.Name]:[Source.Name]])),Flowdown_BTE[[SyRS]:[SyRS]],"")))</f>
        <v>MASTER-22279</v>
      </c>
      <c r="I286" s="12" t="str" cm="1">
        <f t="array" ref="I286">_xlfn.TEXTJOIN(CHAR(10),TRUE,_xlfn._xlws.SORT(IF((--($B286=Flowdown_BTE[[URS]:[URS]]))*(--(I$14=Flowdown_BTE[[Source.Name]:[Source.Name]])),Flowdown_BTE[[SyRS]:[SyRS]],"")))</f>
        <v/>
      </c>
      <c r="J286" s="12" t="str" cm="1">
        <f t="array" ref="J286">_xlfn.TEXTJOIN(CHAR(10),TRUE,_xlfn._xlws.SORT(IF((--($B286=Flowdown_BTE[[URS]:[URS]]))*(--(J$14=Flowdown_BTE[[Source.Name]:[Source.Name]])),Flowdown_BTE[[SyRS]:[SyRS]],"")))</f>
        <v/>
      </c>
      <c r="K286" s="12" t="str" cm="1">
        <f t="array" ref="K286">_xlfn.TEXTJOIN(CHAR(10),TRUE,_xlfn._xlws.SORT(IF((--($B286=Flowdown_BTE[[URS]:[URS]]))*(--(K$14=Flowdown_BTE[[Source.Name]:[Source.Name]])),Flowdown_BTE[[SyRS]:[SyRS]],"")))</f>
        <v/>
      </c>
      <c r="L286" s="16" t="b" cm="1">
        <f t="array" ref="L286">OR(LEN(C286:K286)&gt;0)</f>
        <v>1</v>
      </c>
    </row>
    <row r="287" spans="2:12" ht="27" x14ac:dyDescent="0.2">
      <c r="B287" s="11" t="str">
        <v>MASTER-6600</v>
      </c>
      <c r="C287" s="12" t="str" cm="1">
        <f t="array" ref="C287">_xlfn.TEXTJOIN(CHAR(10),TRUE,_xlfn._xlws.SORT(IF((--($B287=Flowdown_BTE[[URS]:[URS]]))*(--(C$14=Flowdown_BTE[[Source.Name]:[Source.Name]])),Flowdown_BTE[[SyRS]:[SyRS]],"")))</f>
        <v/>
      </c>
      <c r="D287" s="12" t="str" cm="1">
        <f t="array" ref="D287">_xlfn.TEXTJOIN(CHAR(10),TRUE,_xlfn._xlws.SORT(IF((--($B287=Flowdown_BTE[[URS]:[URS]]))*(--(D$14=Flowdown_BTE[[Source.Name]:[Source.Name]])),Flowdown_BTE[[SyRS]:[SyRS]],"")))</f>
        <v/>
      </c>
      <c r="E287" s="12" t="str" cm="1">
        <f t="array" ref="E287">_xlfn.TEXTJOIN(CHAR(10),TRUE,_xlfn._xlws.SORT(IF((--($B287=Flowdown_BTE[[URS]:[URS]]))*(--(E$14=Flowdown_BTE[[Source.Name]:[Source.Name]])),Flowdown_BTE[[SyRS]:[SyRS]],"")))</f>
        <v/>
      </c>
      <c r="F287" s="12" t="str" cm="1">
        <f t="array" ref="F287">_xlfn.TEXTJOIN(CHAR(10),TRUE,_xlfn._xlws.SORT(IF((--($B287=Flowdown_BTE[[URS]:[URS]]))*(--(F$14=Flowdown_BTE[[Source.Name]:[Source.Name]])),Flowdown_BTE[[SyRS]:[SyRS]],"")))</f>
        <v/>
      </c>
      <c r="G287" s="12" t="str" cm="1">
        <f t="array" ref="G287">_xlfn.TEXTJOIN(CHAR(10),TRUE,_xlfn._xlws.SORT(IF((--($B287=Flowdown_BTE[[URS]:[URS]]))*(--(G$14=Flowdown_BTE[[Source.Name]:[Source.Name]])),Flowdown_BTE[[SyRS]:[SyRS]],"")))</f>
        <v/>
      </c>
      <c r="H287" s="12" t="str" cm="1">
        <f t="array" ref="H287">_xlfn.TEXTJOIN(CHAR(10),TRUE,_xlfn._xlws.SORT(IF((--($B287=Flowdown_BTE[[URS]:[URS]]))*(--(H$14=Flowdown_BTE[[Source.Name]:[Source.Name]])),Flowdown_BTE[[SyRS]:[SyRS]],"")))</f>
        <v>MASTER-22290
MASTER-22291</v>
      </c>
      <c r="I287" s="12" t="str" cm="1">
        <f t="array" ref="I287">_xlfn.TEXTJOIN(CHAR(10),TRUE,_xlfn._xlws.SORT(IF((--($B287=Flowdown_BTE[[URS]:[URS]]))*(--(I$14=Flowdown_BTE[[Source.Name]:[Source.Name]])),Flowdown_BTE[[SyRS]:[SyRS]],"")))</f>
        <v/>
      </c>
      <c r="J287" s="12" t="str" cm="1">
        <f t="array" ref="J287">_xlfn.TEXTJOIN(CHAR(10),TRUE,_xlfn._xlws.SORT(IF((--($B287=Flowdown_BTE[[URS]:[URS]]))*(--(J$14=Flowdown_BTE[[Source.Name]:[Source.Name]])),Flowdown_BTE[[SyRS]:[SyRS]],"")))</f>
        <v/>
      </c>
      <c r="K287" s="12" t="str" cm="1">
        <f t="array" ref="K287">_xlfn.TEXTJOIN(CHAR(10),TRUE,_xlfn._xlws.SORT(IF((--($B287=Flowdown_BTE[[URS]:[URS]]))*(--(K$14=Flowdown_BTE[[Source.Name]:[Source.Name]])),Flowdown_BTE[[SyRS]:[SyRS]],"")))</f>
        <v/>
      </c>
      <c r="L287" s="16" t="b" cm="1">
        <f t="array" ref="L287">OR(LEN(C287:K287)&gt;0)</f>
        <v>1</v>
      </c>
    </row>
    <row r="288" spans="2:12" ht="121.5" x14ac:dyDescent="0.2">
      <c r="B288" s="11" t="str">
        <v>MASTER-6601</v>
      </c>
      <c r="C288" s="12" t="str" cm="1">
        <f t="array" ref="C288">_xlfn.TEXTJOIN(CHAR(10),TRUE,_xlfn._xlws.SORT(IF((--($B288=Flowdown_BTE[[URS]:[URS]]))*(--(C$14=Flowdown_BTE[[Source.Name]:[Source.Name]])),Flowdown_BTE[[SyRS]:[SyRS]],"")))</f>
        <v>MASTER-19610
MASTER-19611
MASTER-19612
MASTER-19613
MASTER-19614</v>
      </c>
      <c r="D288" s="12" t="str" cm="1">
        <f t="array" ref="D288">_xlfn.TEXTJOIN(CHAR(10),TRUE,_xlfn._xlws.SORT(IF((--($B288=Flowdown_BTE[[URS]:[URS]]))*(--(D$14=Flowdown_BTE[[Source.Name]:[Source.Name]])),Flowdown_BTE[[SyRS]:[SyRS]],"")))</f>
        <v>MASTER-19610
MASTER-19611
MASTER-19612
MASTER-19613
MASTER-19614</v>
      </c>
      <c r="E288" s="12" t="str" cm="1">
        <f t="array" ref="E288">_xlfn.TEXTJOIN(CHAR(10),TRUE,_xlfn._xlws.SORT(IF((--($B288=Flowdown_BTE[[URS]:[URS]]))*(--(E$14=Flowdown_BTE[[Source.Name]:[Source.Name]])),Flowdown_BTE[[SyRS]:[SyRS]],"")))</f>
        <v>MASTER-19610
MASTER-19611
MASTER-19612
MASTER-19613
MASTER-19614</v>
      </c>
      <c r="F288" s="12" t="str" cm="1">
        <f t="array" ref="F288">_xlfn.TEXTJOIN(CHAR(10),TRUE,_xlfn._xlws.SORT(IF((--($B288=Flowdown_BTE[[URS]:[URS]]))*(--(F$14=Flowdown_BTE[[Source.Name]:[Source.Name]])),Flowdown_BTE[[SyRS]:[SyRS]],"")))</f>
        <v>MASTER-19610
MASTER-19611
MASTER-19612
MASTER-19613
MASTER-19614</v>
      </c>
      <c r="G288" s="12" t="str" cm="1">
        <f t="array" ref="G288">_xlfn.TEXTJOIN(CHAR(10),TRUE,_xlfn._xlws.SORT(IF((--($B288=Flowdown_BTE[[URS]:[URS]]))*(--(G$14=Flowdown_BTE[[Source.Name]:[Source.Name]])),Flowdown_BTE[[SyRS]:[SyRS]],"")))</f>
        <v>MASTER-19610
MASTER-19611
MASTER-19612
MASTER-19613
MASTER-19614</v>
      </c>
      <c r="H288" s="12" t="str" cm="1">
        <f t="array" ref="H288">_xlfn.TEXTJOIN(CHAR(10),TRUE,_xlfn._xlws.SORT(IF((--($B288=Flowdown_BTE[[URS]:[URS]]))*(--(H$14=Flowdown_BTE[[Source.Name]:[Source.Name]])),Flowdown_BTE[[SyRS]:[SyRS]],"")))</f>
        <v>MASTER-22281
MASTER-22282
MASTER-22283
MASTER-22284
MASTER-22285
MASTER-22286
MASTER-22287
MASTER-22288
MASTER-22289</v>
      </c>
      <c r="I288" s="12" t="str" cm="1">
        <f t="array" ref="I288">_xlfn.TEXTJOIN(CHAR(10),TRUE,_xlfn._xlws.SORT(IF((--($B288=Flowdown_BTE[[URS]:[URS]]))*(--(I$14=Flowdown_BTE[[Source.Name]:[Source.Name]])),Flowdown_BTE[[SyRS]:[SyRS]],"")))</f>
        <v/>
      </c>
      <c r="J288" s="12" t="str" cm="1">
        <f t="array" ref="J288">_xlfn.TEXTJOIN(CHAR(10),TRUE,_xlfn._xlws.SORT(IF((--($B288=Flowdown_BTE[[URS]:[URS]]))*(--(J$14=Flowdown_BTE[[Source.Name]:[Source.Name]])),Flowdown_BTE[[SyRS]:[SyRS]],"")))</f>
        <v/>
      </c>
      <c r="K288" s="12" t="str" cm="1">
        <f t="array" ref="K288">_xlfn.TEXTJOIN(CHAR(10),TRUE,_xlfn._xlws.SORT(IF((--($B288=Flowdown_BTE[[URS]:[URS]]))*(--(K$14=Flowdown_BTE[[Source.Name]:[Source.Name]])),Flowdown_BTE[[SyRS]:[SyRS]],"")))</f>
        <v/>
      </c>
      <c r="L288" s="16" t="b" cm="1">
        <f t="array" ref="L288">OR(LEN(C288:K288)&gt;0)</f>
        <v>1</v>
      </c>
    </row>
    <row r="289" spans="2:12" ht="378" x14ac:dyDescent="0.2">
      <c r="B289" s="11" t="str">
        <v>MASTER-6609</v>
      </c>
      <c r="C289" s="12" t="str" cm="1">
        <f t="array" ref="C289">_xlfn.TEXTJOIN(CHAR(10),TRUE,_xlfn._xlws.SORT(IF((--($B289=Flowdown_BTE[[URS]:[URS]]))*(--(C$14=Flowdown_BTE[[Source.Name]:[Source.Name]])),Flowdown_BTE[[SyRS]:[SyRS]],"")))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89" s="12" t="str" cm="1">
        <f t="array" ref="D289">_xlfn.TEXTJOIN(CHAR(10),TRUE,_xlfn._xlws.SORT(IF((--($B289=Flowdown_BTE[[URS]:[URS]]))*(--(D$14=Flowdown_BTE[[Source.Name]:[Source.Name]])),Flowdown_BTE[[SyRS]:[SyRS]],"")))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89" s="12" t="str" cm="1">
        <f t="array" ref="E289">_xlfn.TEXTJOIN(CHAR(10),TRUE,_xlfn._xlws.SORT(IF((--($B289=Flowdown_BTE[[URS]:[URS]]))*(--(E$14=Flowdown_BTE[[Source.Name]:[Source.Name]])),Flowdown_BTE[[SyRS]:[SyRS]],"")))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89" s="12" t="str" cm="1">
        <f t="array" ref="F289">_xlfn.TEXTJOIN(CHAR(10),TRUE,_xlfn._xlws.SORT(IF((--($B289=Flowdown_BTE[[URS]:[URS]]))*(--(F$14=Flowdown_BTE[[Source.Name]:[Source.Name]])),Flowdown_BTE[[SyRS]:[SyRS]],"")))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89" s="12" t="str" cm="1">
        <f t="array" ref="G289">_xlfn.TEXTJOIN(CHAR(10),TRUE,_xlfn._xlws.SORT(IF((--($B289=Flowdown_BTE[[URS]:[URS]]))*(--(G$14=Flowdown_BTE[[Source.Name]:[Source.Name]])),Flowdown_BTE[[SyRS]:[SyRS]],"")))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89" s="12" t="str" cm="1">
        <f t="array" ref="H289">_xlfn.TEXTJOIN(CHAR(10),TRUE,_xlfn._xlws.SORT(IF((--($B289=Flowdown_BTE[[URS]:[URS]]))*(--(H$14=Flowdown_BTE[[Source.Name]:[Source.Name]])),Flowdown_BTE[[SyRS]:[SyRS]],"")))</f>
        <v>MASTER-64686
MASTER-64687
MASTER-64688
MASTER-64689
MASTER-64690
MASTER-64693
MASTER-64694
MASTER-64696
MASTER-64697</v>
      </c>
      <c r="I289" s="12" t="str" cm="1">
        <f t="array" ref="I289">_xlfn.TEXTJOIN(CHAR(10),TRUE,_xlfn._xlws.SORT(IF((--($B289=Flowdown_BTE[[URS]:[URS]]))*(--(I$14=Flowdown_BTE[[Source.Name]:[Source.Name]])),Flowdown_BTE[[SyRS]:[SyRS]],"")))</f>
        <v/>
      </c>
      <c r="J289" s="12" t="str" cm="1">
        <f t="array" ref="J289">_xlfn.TEXTJOIN(CHAR(10),TRUE,_xlfn._xlws.SORT(IF((--($B289=Flowdown_BTE[[URS]:[URS]]))*(--(J$14=Flowdown_BTE[[Source.Name]:[Source.Name]])),Flowdown_BTE[[SyRS]:[SyRS]],"")))</f>
        <v/>
      </c>
      <c r="K289" s="12" t="str" cm="1">
        <f t="array" ref="K289">_xlfn.TEXTJOIN(CHAR(10),TRUE,_xlfn._xlws.SORT(IF((--($B289=Flowdown_BTE[[URS]:[URS]]))*(--(K$14=Flowdown_BTE[[Source.Name]:[Source.Name]])),Flowdown_BTE[[SyRS]:[SyRS]],"")))</f>
        <v>MASTER-16540
MASTER-16557
MASTER-16567
MASTER-16570</v>
      </c>
      <c r="L289" s="16" t="b" cm="1">
        <f t="array" ref="L289">OR(LEN(C289:K289)&gt;0)</f>
        <v>1</v>
      </c>
    </row>
    <row r="290" spans="2:12" ht="94.5" x14ac:dyDescent="0.2">
      <c r="B290" s="11" t="str">
        <v>MASTER-6610</v>
      </c>
      <c r="C290" s="12" t="str" cm="1">
        <f t="array" ref="C290">_xlfn.TEXTJOIN(CHAR(10),TRUE,_xlfn._xlws.SORT(IF((--($B290=Flowdown_BTE[[URS]:[URS]]))*(--(C$14=Flowdown_BTE[[Source.Name]:[Source.Name]])),Flowdown_BTE[[SyRS]:[SyRS]],"")))</f>
        <v>MASTER-18114
MASTER-18242
MASTER-18244
MASTER-18293
MASTER-18294
MASTER-18295
MASTER-18296</v>
      </c>
      <c r="D290" s="12" t="str" cm="1">
        <f t="array" ref="D290">_xlfn.TEXTJOIN(CHAR(10),TRUE,_xlfn._xlws.SORT(IF((--($B290=Flowdown_BTE[[URS]:[URS]]))*(--(D$14=Flowdown_BTE[[Source.Name]:[Source.Name]])),Flowdown_BTE[[SyRS]:[SyRS]],"")))</f>
        <v>MASTER-18114
MASTER-18242
MASTER-18244
MASTER-18293
MASTER-18294
MASTER-18295
MASTER-18296</v>
      </c>
      <c r="E290" s="12" t="str" cm="1">
        <f t="array" ref="E290">_xlfn.TEXTJOIN(CHAR(10),TRUE,_xlfn._xlws.SORT(IF((--($B290=Flowdown_BTE[[URS]:[URS]]))*(--(E$14=Flowdown_BTE[[Source.Name]:[Source.Name]])),Flowdown_BTE[[SyRS]:[SyRS]],"")))</f>
        <v>MASTER-18114
MASTER-18242
MASTER-18244
MASTER-18293
MASTER-18294
MASTER-18295
MASTER-18296</v>
      </c>
      <c r="F290" s="12" t="str" cm="1">
        <f t="array" ref="F290">_xlfn.TEXTJOIN(CHAR(10),TRUE,_xlfn._xlws.SORT(IF((--($B290=Flowdown_BTE[[URS]:[URS]]))*(--(F$14=Flowdown_BTE[[Source.Name]:[Source.Name]])),Flowdown_BTE[[SyRS]:[SyRS]],"")))</f>
        <v>MASTER-18114
MASTER-18242
MASTER-18244
MASTER-18293
MASTER-18294
MASTER-18295
MASTER-18296</v>
      </c>
      <c r="G290" s="12" t="str" cm="1">
        <f t="array" ref="G290">_xlfn.TEXTJOIN(CHAR(10),TRUE,_xlfn._xlws.SORT(IF((--($B290=Flowdown_BTE[[URS]:[URS]]))*(--(G$14=Flowdown_BTE[[Source.Name]:[Source.Name]])),Flowdown_BTE[[SyRS]:[SyRS]],"")))</f>
        <v>MASTER-18114
MASTER-18242
MASTER-18244
MASTER-18293
MASTER-18294
MASTER-18295
MASTER-18296</v>
      </c>
      <c r="H290" s="12" t="str" cm="1">
        <f t="array" ref="H290">_xlfn.TEXTJOIN(CHAR(10),TRUE,_xlfn._xlws.SORT(IF((--($B290=Flowdown_BTE[[URS]:[URS]]))*(--(H$14=Flowdown_BTE[[Source.Name]:[Source.Name]])),Flowdown_BTE[[SyRS]:[SyRS]],"")))</f>
        <v>MASTER-21398
MASTER-22332</v>
      </c>
      <c r="I290" s="12" t="str" cm="1">
        <f t="array" ref="I290">_xlfn.TEXTJOIN(CHAR(10),TRUE,_xlfn._xlws.SORT(IF((--($B290=Flowdown_BTE[[URS]:[URS]]))*(--(I$14=Flowdown_BTE[[Source.Name]:[Source.Name]])),Flowdown_BTE[[SyRS]:[SyRS]],"")))</f>
        <v/>
      </c>
      <c r="J290" s="12" t="str" cm="1">
        <f t="array" ref="J290">_xlfn.TEXTJOIN(CHAR(10),TRUE,_xlfn._xlws.SORT(IF((--($B290=Flowdown_BTE[[URS]:[URS]]))*(--(J$14=Flowdown_BTE[[Source.Name]:[Source.Name]])),Flowdown_BTE[[SyRS]:[SyRS]],"")))</f>
        <v/>
      </c>
      <c r="K290" s="12" t="str" cm="1">
        <f t="array" ref="K290">_xlfn.TEXTJOIN(CHAR(10),TRUE,_xlfn._xlws.SORT(IF((--($B290=Flowdown_BTE[[URS]:[URS]]))*(--(K$14=Flowdown_BTE[[Source.Name]:[Source.Name]])),Flowdown_BTE[[SyRS]:[SyRS]],"")))</f>
        <v/>
      </c>
      <c r="L290" s="16" t="b" cm="1">
        <f t="array" ref="L290">OR(LEN(C290:K290)&gt;0)</f>
        <v>1</v>
      </c>
    </row>
    <row r="291" spans="2:12" ht="148.5" x14ac:dyDescent="0.2">
      <c r="B291" s="11" t="str">
        <v>MASTER-6611</v>
      </c>
      <c r="C291" s="12" t="str" cm="1">
        <f t="array" ref="C291">_xlfn.TEXTJOIN(CHAR(10),TRUE,_xlfn._xlws.SORT(IF((--($B291=Flowdown_BTE[[URS]:[URS]]))*(--(C$14=Flowdown_BTE[[Source.Name]:[Source.Name]])),Flowdown_BTE[[SyRS]:[SyRS]],"")))</f>
        <v>MASTER-18114
MASTER-18229
MASTER-18235
MASTER-18293
MASTER-18294</v>
      </c>
      <c r="D291" s="12" t="str" cm="1">
        <f t="array" ref="D291">_xlfn.TEXTJOIN(CHAR(10),TRUE,_xlfn._xlws.SORT(IF((--($B291=Flowdown_BTE[[URS]:[URS]]))*(--(D$14=Flowdown_BTE[[Source.Name]:[Source.Name]])),Flowdown_BTE[[SyRS]:[SyRS]],"")))</f>
        <v>MASTER-18114
MASTER-18229
MASTER-18235
MASTER-18293
MASTER-18294</v>
      </c>
      <c r="E291" s="12" t="str" cm="1">
        <f t="array" ref="E291">_xlfn.TEXTJOIN(CHAR(10),TRUE,_xlfn._xlws.SORT(IF((--($B291=Flowdown_BTE[[URS]:[URS]]))*(--(E$14=Flowdown_BTE[[Source.Name]:[Source.Name]])),Flowdown_BTE[[SyRS]:[SyRS]],"")))</f>
        <v>MASTER-18114
MASTER-18229
MASTER-18235
MASTER-18293
MASTER-18294</v>
      </c>
      <c r="F291" s="12" t="str" cm="1">
        <f t="array" ref="F291">_xlfn.TEXTJOIN(CHAR(10),TRUE,_xlfn._xlws.SORT(IF((--($B291=Flowdown_BTE[[URS]:[URS]]))*(--(F$14=Flowdown_BTE[[Source.Name]:[Source.Name]])),Flowdown_BTE[[SyRS]:[SyRS]],"")))</f>
        <v>MASTER-18114
MASTER-18229
MASTER-18235
MASTER-18293
MASTER-18294</v>
      </c>
      <c r="G291" s="12" t="str" cm="1">
        <f t="array" ref="G291">_xlfn.TEXTJOIN(CHAR(10),TRUE,_xlfn._xlws.SORT(IF((--($B291=Flowdown_BTE[[URS]:[URS]]))*(--(G$14=Flowdown_BTE[[Source.Name]:[Source.Name]])),Flowdown_BTE[[SyRS]:[SyRS]],"")))</f>
        <v>MASTER-18114
MASTER-18229
MASTER-18235
MASTER-18293
MASTER-18294</v>
      </c>
      <c r="H291" s="12" t="str" cm="1">
        <f t="array" ref="H291">_xlfn.TEXTJOIN(CHAR(10),TRUE,_xlfn._xlws.SORT(IF((--($B291=Flowdown_BTE[[URS]:[URS]]))*(--(H$14=Flowdown_BTE[[Source.Name]:[Source.Name]])),Flowdown_BTE[[SyRS]:[SyRS]],"")))</f>
        <v>MASTER-21367
MASTER-22333
MASTER-22335
MASTER-22336
MASTER-22338
MASTER-22339
MASTER-22340
MASTER-22362
MASTER-22363
MASTER-22364
MASTER-22365</v>
      </c>
      <c r="I291" s="12" t="str" cm="1">
        <f t="array" ref="I291">_xlfn.TEXTJOIN(CHAR(10),TRUE,_xlfn._xlws.SORT(IF((--($B291=Flowdown_BTE[[URS]:[URS]]))*(--(I$14=Flowdown_BTE[[Source.Name]:[Source.Name]])),Flowdown_BTE[[SyRS]:[SyRS]],"")))</f>
        <v/>
      </c>
      <c r="J291" s="12" t="str" cm="1">
        <f t="array" ref="J291">_xlfn.TEXTJOIN(CHAR(10),TRUE,_xlfn._xlws.SORT(IF((--($B291=Flowdown_BTE[[URS]:[URS]]))*(--(J$14=Flowdown_BTE[[Source.Name]:[Source.Name]])),Flowdown_BTE[[SyRS]:[SyRS]],"")))</f>
        <v/>
      </c>
      <c r="K291" s="12" t="str" cm="1">
        <f t="array" ref="K291">_xlfn.TEXTJOIN(CHAR(10),TRUE,_xlfn._xlws.SORT(IF((--($B291=Flowdown_BTE[[URS]:[URS]]))*(--(K$14=Flowdown_BTE[[Source.Name]:[Source.Name]])),Flowdown_BTE[[SyRS]:[SyRS]],"")))</f>
        <v/>
      </c>
      <c r="L291" s="16" t="b" cm="1">
        <f t="array" ref="L291">OR(LEN(C291:K291)&gt;0)</f>
        <v>1</v>
      </c>
    </row>
    <row r="292" spans="2:12" ht="40.5" x14ac:dyDescent="0.2">
      <c r="B292" s="11" t="str">
        <v>MASTER-6612</v>
      </c>
      <c r="C292" s="12" t="str" cm="1">
        <f t="array" ref="C292">_xlfn.TEXTJOIN(CHAR(10),TRUE,_xlfn._xlws.SORT(IF((--($B292=Flowdown_BTE[[URS]:[URS]]))*(--(C$14=Flowdown_BTE[[Source.Name]:[Source.Name]])),Flowdown_BTE[[SyRS]:[SyRS]],"")))</f>
        <v>MASTER-18236
MASTER-18237
MASTER-18238</v>
      </c>
      <c r="D292" s="12" t="str" cm="1">
        <f t="array" ref="D292">_xlfn.TEXTJOIN(CHAR(10),TRUE,_xlfn._xlws.SORT(IF((--($B292=Flowdown_BTE[[URS]:[URS]]))*(--(D$14=Flowdown_BTE[[Source.Name]:[Source.Name]])),Flowdown_BTE[[SyRS]:[SyRS]],"")))</f>
        <v>MASTER-18236
MASTER-18237
MASTER-18238</v>
      </c>
      <c r="E292" s="12" t="str" cm="1">
        <f t="array" ref="E292">_xlfn.TEXTJOIN(CHAR(10),TRUE,_xlfn._xlws.SORT(IF((--($B292=Flowdown_BTE[[URS]:[URS]]))*(--(E$14=Flowdown_BTE[[Source.Name]:[Source.Name]])),Flowdown_BTE[[SyRS]:[SyRS]],"")))</f>
        <v>MASTER-18236
MASTER-18237
MASTER-18238</v>
      </c>
      <c r="F292" s="12" t="str" cm="1">
        <f t="array" ref="F292">_xlfn.TEXTJOIN(CHAR(10),TRUE,_xlfn._xlws.SORT(IF((--($B292=Flowdown_BTE[[URS]:[URS]]))*(--(F$14=Flowdown_BTE[[Source.Name]:[Source.Name]])),Flowdown_BTE[[SyRS]:[SyRS]],"")))</f>
        <v>MASTER-18236
MASTER-18237
MASTER-18238</v>
      </c>
      <c r="G292" s="12" t="str" cm="1">
        <f t="array" ref="G292">_xlfn.TEXTJOIN(CHAR(10),TRUE,_xlfn._xlws.SORT(IF((--($B292=Flowdown_BTE[[URS]:[URS]]))*(--(G$14=Flowdown_BTE[[Source.Name]:[Source.Name]])),Flowdown_BTE[[SyRS]:[SyRS]],"")))</f>
        <v>MASTER-18236
MASTER-18237
MASTER-18238</v>
      </c>
      <c r="H292" s="12" t="str" cm="1">
        <f t="array" ref="H292">_xlfn.TEXTJOIN(CHAR(10),TRUE,_xlfn._xlws.SORT(IF((--($B292=Flowdown_BTE[[URS]:[URS]]))*(--(H$14=Flowdown_BTE[[Source.Name]:[Source.Name]])),Flowdown_BTE[[SyRS]:[SyRS]],"")))</f>
        <v>MASTER-22337
MASTER-64359</v>
      </c>
      <c r="I292" s="12" t="str" cm="1">
        <f t="array" ref="I292">_xlfn.TEXTJOIN(CHAR(10),TRUE,_xlfn._xlws.SORT(IF((--($B292=Flowdown_BTE[[URS]:[URS]]))*(--(I$14=Flowdown_BTE[[Source.Name]:[Source.Name]])),Flowdown_BTE[[SyRS]:[SyRS]],"")))</f>
        <v/>
      </c>
      <c r="J292" s="12" t="str" cm="1">
        <f t="array" ref="J292">_xlfn.TEXTJOIN(CHAR(10),TRUE,_xlfn._xlws.SORT(IF((--($B292=Flowdown_BTE[[URS]:[URS]]))*(--(J$14=Flowdown_BTE[[Source.Name]:[Source.Name]])),Flowdown_BTE[[SyRS]:[SyRS]],"")))</f>
        <v/>
      </c>
      <c r="K292" s="12" t="str" cm="1">
        <f t="array" ref="K292">_xlfn.TEXTJOIN(CHAR(10),TRUE,_xlfn._xlws.SORT(IF((--($B292=Flowdown_BTE[[URS]:[URS]]))*(--(K$14=Flowdown_BTE[[Source.Name]:[Source.Name]])),Flowdown_BTE[[SyRS]:[SyRS]],"")))</f>
        <v/>
      </c>
      <c r="L292" s="16" t="b" cm="1">
        <f t="array" ref="L292">OR(LEN(C292:K292)&gt;0)</f>
        <v>1</v>
      </c>
    </row>
    <row r="293" spans="2:12" ht="40.5" x14ac:dyDescent="0.2">
      <c r="B293" s="11" t="str">
        <v>MASTER-6613</v>
      </c>
      <c r="C293" s="12" t="str" cm="1">
        <f t="array" ref="C293">_xlfn.TEXTJOIN(CHAR(10),TRUE,_xlfn._xlws.SORT(IF((--($B293=Flowdown_BTE[[URS]:[URS]]))*(--(C$14=Flowdown_BTE[[Source.Name]:[Source.Name]])),Flowdown_BTE[[SyRS]:[SyRS]],"")))</f>
        <v>MASTER-18236
MASTER-18237
MASTER-18238</v>
      </c>
      <c r="D293" s="12" t="str" cm="1">
        <f t="array" ref="D293">_xlfn.TEXTJOIN(CHAR(10),TRUE,_xlfn._xlws.SORT(IF((--($B293=Flowdown_BTE[[URS]:[URS]]))*(--(D$14=Flowdown_BTE[[Source.Name]:[Source.Name]])),Flowdown_BTE[[SyRS]:[SyRS]],"")))</f>
        <v>MASTER-18236
MASTER-18237
MASTER-18238</v>
      </c>
      <c r="E293" s="12" t="str" cm="1">
        <f t="array" ref="E293">_xlfn.TEXTJOIN(CHAR(10),TRUE,_xlfn._xlws.SORT(IF((--($B293=Flowdown_BTE[[URS]:[URS]]))*(--(E$14=Flowdown_BTE[[Source.Name]:[Source.Name]])),Flowdown_BTE[[SyRS]:[SyRS]],"")))</f>
        <v>MASTER-18236
MASTER-18237
MASTER-18238</v>
      </c>
      <c r="F293" s="12" t="str" cm="1">
        <f t="array" ref="F293">_xlfn.TEXTJOIN(CHAR(10),TRUE,_xlfn._xlws.SORT(IF((--($B293=Flowdown_BTE[[URS]:[URS]]))*(--(F$14=Flowdown_BTE[[Source.Name]:[Source.Name]])),Flowdown_BTE[[SyRS]:[SyRS]],"")))</f>
        <v>MASTER-18236
MASTER-18237
MASTER-18238</v>
      </c>
      <c r="G293" s="12" t="str" cm="1">
        <f t="array" ref="G293">_xlfn.TEXTJOIN(CHAR(10),TRUE,_xlfn._xlws.SORT(IF((--($B293=Flowdown_BTE[[URS]:[URS]]))*(--(G$14=Flowdown_BTE[[Source.Name]:[Source.Name]])),Flowdown_BTE[[SyRS]:[SyRS]],"")))</f>
        <v>MASTER-18236
MASTER-18237
MASTER-18238</v>
      </c>
      <c r="H293" s="12" t="str" cm="1">
        <f t="array" ref="H293">_xlfn.TEXTJOIN(CHAR(10),TRUE,_xlfn._xlws.SORT(IF((--($B293=Flowdown_BTE[[URS]:[URS]]))*(--(H$14=Flowdown_BTE[[Source.Name]:[Source.Name]])),Flowdown_BTE[[SyRS]:[SyRS]],"")))</f>
        <v/>
      </c>
      <c r="I293" s="12" t="str" cm="1">
        <f t="array" ref="I293">_xlfn.TEXTJOIN(CHAR(10),TRUE,_xlfn._xlws.SORT(IF((--($B293=Flowdown_BTE[[URS]:[URS]]))*(--(I$14=Flowdown_BTE[[Source.Name]:[Source.Name]])),Flowdown_BTE[[SyRS]:[SyRS]],"")))</f>
        <v/>
      </c>
      <c r="J293" s="12" t="str" cm="1">
        <f t="array" ref="J293">_xlfn.TEXTJOIN(CHAR(10),TRUE,_xlfn._xlws.SORT(IF((--($B293=Flowdown_BTE[[URS]:[URS]]))*(--(J$14=Flowdown_BTE[[Source.Name]:[Source.Name]])),Flowdown_BTE[[SyRS]:[SyRS]],"")))</f>
        <v/>
      </c>
      <c r="K293" s="12" t="str" cm="1">
        <f t="array" ref="K293">_xlfn.TEXTJOIN(CHAR(10),TRUE,_xlfn._xlws.SORT(IF((--($B293=Flowdown_BTE[[URS]:[URS]]))*(--(K$14=Flowdown_BTE[[Source.Name]:[Source.Name]])),Flowdown_BTE[[SyRS]:[SyRS]],"")))</f>
        <v/>
      </c>
      <c r="L293" s="16" t="b" cm="1">
        <f t="array" ref="L293">OR(LEN(C293:K293)&gt;0)</f>
        <v>1</v>
      </c>
    </row>
    <row r="294" spans="2:12" ht="94.5" x14ac:dyDescent="0.2">
      <c r="B294" s="11" t="str">
        <v>MASTER-6615</v>
      </c>
      <c r="C294" s="12" t="str" cm="1">
        <f t="array" ref="C294">_xlfn.TEXTJOIN(CHAR(10),TRUE,_xlfn._xlws.SORT(IF((--($B294=Flowdown_BTE[[URS]:[URS]]))*(--(C$14=Flowdown_BTE[[Source.Name]:[Source.Name]])),Flowdown_BTE[[SyRS]:[SyRS]],"")))</f>
        <v>MASTER-19636
MASTER-19638
MASTER-19641
MASTER-19642
MASTER-19643
MASTER-19644
MASTER-19648</v>
      </c>
      <c r="D294" s="12" t="str" cm="1">
        <f t="array" ref="D294">_xlfn.TEXTJOIN(CHAR(10),TRUE,_xlfn._xlws.SORT(IF((--($B294=Flowdown_BTE[[URS]:[URS]]))*(--(D$14=Flowdown_BTE[[Source.Name]:[Source.Name]])),Flowdown_BTE[[SyRS]:[SyRS]],"")))</f>
        <v>MASTER-19636
MASTER-19638
MASTER-19642
MASTER-19643
MASTER-19644
MASTER-19648</v>
      </c>
      <c r="E294" s="12" t="str" cm="1">
        <f t="array" ref="E294">_xlfn.TEXTJOIN(CHAR(10),TRUE,_xlfn._xlws.SORT(IF((--($B294=Flowdown_BTE[[URS]:[URS]]))*(--(E$14=Flowdown_BTE[[Source.Name]:[Source.Name]])),Flowdown_BTE[[SyRS]:[SyRS]],"")))</f>
        <v>MASTER-19636
MASTER-19638
MASTER-19642
MASTER-19643
MASTER-19644
MASTER-19648</v>
      </c>
      <c r="F294" s="12" t="str" cm="1">
        <f t="array" ref="F294">_xlfn.TEXTJOIN(CHAR(10),TRUE,_xlfn._xlws.SORT(IF((--($B294=Flowdown_BTE[[URS]:[URS]]))*(--(F$14=Flowdown_BTE[[Source.Name]:[Source.Name]])),Flowdown_BTE[[SyRS]:[SyRS]],"")))</f>
        <v>MASTER-19636
MASTER-19638
MASTER-19642
MASTER-19643
MASTER-19644
MASTER-19648</v>
      </c>
      <c r="G294" s="12" t="str" cm="1">
        <f t="array" ref="G294">_xlfn.TEXTJOIN(CHAR(10),TRUE,_xlfn._xlws.SORT(IF((--($B294=Flowdown_BTE[[URS]:[URS]]))*(--(G$14=Flowdown_BTE[[Source.Name]:[Source.Name]])),Flowdown_BTE[[SyRS]:[SyRS]],"")))</f>
        <v>MASTER-19636
MASTER-19638
MASTER-19642
MASTER-19643
MASTER-19644
MASTER-19648</v>
      </c>
      <c r="H294" s="12" t="str" cm="1">
        <f t="array" ref="H294">_xlfn.TEXTJOIN(CHAR(10),TRUE,_xlfn._xlws.SORT(IF((--($B294=Flowdown_BTE[[URS]:[URS]]))*(--(H$14=Flowdown_BTE[[Source.Name]:[Source.Name]])),Flowdown_BTE[[SyRS]:[SyRS]],"")))</f>
        <v>MASTER-21909
MASTER-22368
MASTER-22402
MASTER-22411
MASTER-22584
MASTER-22585
MASTER-22586</v>
      </c>
      <c r="I294" s="12" t="str" cm="1">
        <f t="array" ref="I294">_xlfn.TEXTJOIN(CHAR(10),TRUE,_xlfn._xlws.SORT(IF((--($B294=Flowdown_BTE[[URS]:[URS]]))*(--(I$14=Flowdown_BTE[[Source.Name]:[Source.Name]])),Flowdown_BTE[[SyRS]:[SyRS]],"")))</f>
        <v/>
      </c>
      <c r="J294" s="12" t="str" cm="1">
        <f t="array" ref="J294">_xlfn.TEXTJOIN(CHAR(10),TRUE,_xlfn._xlws.SORT(IF((--($B294=Flowdown_BTE[[URS]:[URS]]))*(--(J$14=Flowdown_BTE[[Source.Name]:[Source.Name]])),Flowdown_BTE[[SyRS]:[SyRS]],"")))</f>
        <v/>
      </c>
      <c r="K294" s="12" t="str" cm="1">
        <f t="array" ref="K294">_xlfn.TEXTJOIN(CHAR(10),TRUE,_xlfn._xlws.SORT(IF((--($B294=Flowdown_BTE[[URS]:[URS]]))*(--(K$14=Flowdown_BTE[[Source.Name]:[Source.Name]])),Flowdown_BTE[[SyRS]:[SyRS]],"")))</f>
        <v/>
      </c>
      <c r="L294" s="16" t="b" cm="1">
        <f t="array" ref="L294">OR(LEN(C294:K294)&gt;0)</f>
        <v>1</v>
      </c>
    </row>
    <row r="295" spans="2:12" ht="40.5" x14ac:dyDescent="0.2">
      <c r="B295" s="11" t="str">
        <v>MASTER-6616</v>
      </c>
      <c r="C295" s="12" t="str" cm="1">
        <f t="array" ref="C295">_xlfn.TEXTJOIN(CHAR(10),TRUE,_xlfn._xlws.SORT(IF((--($B295=Flowdown_BTE[[URS]:[URS]]))*(--(C$14=Flowdown_BTE[[Source.Name]:[Source.Name]])),Flowdown_BTE[[SyRS]:[SyRS]],"")))</f>
        <v>MASTER-19638</v>
      </c>
      <c r="D295" s="12" t="str" cm="1">
        <f t="array" ref="D295">_xlfn.TEXTJOIN(CHAR(10),TRUE,_xlfn._xlws.SORT(IF((--($B295=Flowdown_BTE[[URS]:[URS]]))*(--(D$14=Flowdown_BTE[[Source.Name]:[Source.Name]])),Flowdown_BTE[[SyRS]:[SyRS]],"")))</f>
        <v>MASTER-19638</v>
      </c>
      <c r="E295" s="12" t="str" cm="1">
        <f t="array" ref="E295">_xlfn.TEXTJOIN(CHAR(10),TRUE,_xlfn._xlws.SORT(IF((--($B295=Flowdown_BTE[[URS]:[URS]]))*(--(E$14=Flowdown_BTE[[Source.Name]:[Source.Name]])),Flowdown_BTE[[SyRS]:[SyRS]],"")))</f>
        <v>MASTER-19638</v>
      </c>
      <c r="F295" s="12" t="str" cm="1">
        <f t="array" ref="F295">_xlfn.TEXTJOIN(CHAR(10),TRUE,_xlfn._xlws.SORT(IF((--($B295=Flowdown_BTE[[URS]:[URS]]))*(--(F$14=Flowdown_BTE[[Source.Name]:[Source.Name]])),Flowdown_BTE[[SyRS]:[SyRS]],"")))</f>
        <v>MASTER-19638</v>
      </c>
      <c r="G295" s="12" t="str" cm="1">
        <f t="array" ref="G295">_xlfn.TEXTJOIN(CHAR(10),TRUE,_xlfn._xlws.SORT(IF((--($B295=Flowdown_BTE[[URS]:[URS]]))*(--(G$14=Flowdown_BTE[[Source.Name]:[Source.Name]])),Flowdown_BTE[[SyRS]:[SyRS]],"")))</f>
        <v>MASTER-19638</v>
      </c>
      <c r="H295" s="12" t="str" cm="1">
        <f t="array" ref="H295">_xlfn.TEXTJOIN(CHAR(10),TRUE,_xlfn._xlws.SORT(IF((--($B295=Flowdown_BTE[[URS]:[URS]]))*(--(H$14=Flowdown_BTE[[Source.Name]:[Source.Name]])),Flowdown_BTE[[SyRS]:[SyRS]],"")))</f>
        <v>MASTER-22369
MASTER-22370
MASTER-22371</v>
      </c>
      <c r="I295" s="12" t="str" cm="1">
        <f t="array" ref="I295">_xlfn.TEXTJOIN(CHAR(10),TRUE,_xlfn._xlws.SORT(IF((--($B295=Flowdown_BTE[[URS]:[URS]]))*(--(I$14=Flowdown_BTE[[Source.Name]:[Source.Name]])),Flowdown_BTE[[SyRS]:[SyRS]],"")))</f>
        <v/>
      </c>
      <c r="J295" s="12" t="str" cm="1">
        <f t="array" ref="J295">_xlfn.TEXTJOIN(CHAR(10),TRUE,_xlfn._xlws.SORT(IF((--($B295=Flowdown_BTE[[URS]:[URS]]))*(--(J$14=Flowdown_BTE[[Source.Name]:[Source.Name]])),Flowdown_BTE[[SyRS]:[SyRS]],"")))</f>
        <v/>
      </c>
      <c r="K295" s="12" t="str" cm="1">
        <f t="array" ref="K295">_xlfn.TEXTJOIN(CHAR(10),TRUE,_xlfn._xlws.SORT(IF((--($B295=Flowdown_BTE[[URS]:[URS]]))*(--(K$14=Flowdown_BTE[[Source.Name]:[Source.Name]])),Flowdown_BTE[[SyRS]:[SyRS]],"")))</f>
        <v/>
      </c>
      <c r="L295" s="16" t="b" cm="1">
        <f t="array" ref="L295">OR(LEN(C295:K295)&gt;0)</f>
        <v>1</v>
      </c>
    </row>
    <row r="296" spans="2:12" ht="40.5" x14ac:dyDescent="0.2">
      <c r="B296" s="11" t="str">
        <v>MASTER-6617</v>
      </c>
      <c r="C296" s="12" t="str" cm="1">
        <f t="array" ref="C296">_xlfn.TEXTJOIN(CHAR(10),TRUE,_xlfn._xlws.SORT(IF((--($B296=Flowdown_BTE[[URS]:[URS]]))*(--(C$14=Flowdown_BTE[[Source.Name]:[Source.Name]])),Flowdown_BTE[[SyRS]:[SyRS]],"")))</f>
        <v>MASTER-19638
MASTER-19639</v>
      </c>
      <c r="D296" s="12" t="str" cm="1">
        <f t="array" ref="D296">_xlfn.TEXTJOIN(CHAR(10),TRUE,_xlfn._xlws.SORT(IF((--($B296=Flowdown_BTE[[URS]:[URS]]))*(--(D$14=Flowdown_BTE[[Source.Name]:[Source.Name]])),Flowdown_BTE[[SyRS]:[SyRS]],"")))</f>
        <v>MASTER-19638
MASTER-19639</v>
      </c>
      <c r="E296" s="12" t="str" cm="1">
        <f t="array" ref="E296">_xlfn.TEXTJOIN(CHAR(10),TRUE,_xlfn._xlws.SORT(IF((--($B296=Flowdown_BTE[[URS]:[URS]]))*(--(E$14=Flowdown_BTE[[Source.Name]:[Source.Name]])),Flowdown_BTE[[SyRS]:[SyRS]],"")))</f>
        <v>MASTER-19638
MASTER-19639</v>
      </c>
      <c r="F296" s="12" t="str" cm="1">
        <f t="array" ref="F296">_xlfn.TEXTJOIN(CHAR(10),TRUE,_xlfn._xlws.SORT(IF((--($B296=Flowdown_BTE[[URS]:[URS]]))*(--(F$14=Flowdown_BTE[[Source.Name]:[Source.Name]])),Flowdown_BTE[[SyRS]:[SyRS]],"")))</f>
        <v>MASTER-19638
MASTER-19639</v>
      </c>
      <c r="G296" s="12" t="str" cm="1">
        <f t="array" ref="G296">_xlfn.TEXTJOIN(CHAR(10),TRUE,_xlfn._xlws.SORT(IF((--($B296=Flowdown_BTE[[URS]:[URS]]))*(--(G$14=Flowdown_BTE[[Source.Name]:[Source.Name]])),Flowdown_BTE[[SyRS]:[SyRS]],"")))</f>
        <v>MASTER-19638
MASTER-19639</v>
      </c>
      <c r="H296" s="12" t="str" cm="1">
        <f t="array" ref="H296">_xlfn.TEXTJOIN(CHAR(10),TRUE,_xlfn._xlws.SORT(IF((--($B296=Flowdown_BTE[[URS]:[URS]]))*(--(H$14=Flowdown_BTE[[Source.Name]:[Source.Name]])),Flowdown_BTE[[SyRS]:[SyRS]],"")))</f>
        <v>MASTER-22372
MASTER-22381
MASTER-22382</v>
      </c>
      <c r="I296" s="12" t="str" cm="1">
        <f t="array" ref="I296">_xlfn.TEXTJOIN(CHAR(10),TRUE,_xlfn._xlws.SORT(IF((--($B296=Flowdown_BTE[[URS]:[URS]]))*(--(I$14=Flowdown_BTE[[Source.Name]:[Source.Name]])),Flowdown_BTE[[SyRS]:[SyRS]],"")))</f>
        <v/>
      </c>
      <c r="J296" s="12" t="str" cm="1">
        <f t="array" ref="J296">_xlfn.TEXTJOIN(CHAR(10),TRUE,_xlfn._xlws.SORT(IF((--($B296=Flowdown_BTE[[URS]:[URS]]))*(--(J$14=Flowdown_BTE[[Source.Name]:[Source.Name]])),Flowdown_BTE[[SyRS]:[SyRS]],"")))</f>
        <v/>
      </c>
      <c r="K296" s="12" t="str" cm="1">
        <f t="array" ref="K296">_xlfn.TEXTJOIN(CHAR(10),TRUE,_xlfn._xlws.SORT(IF((--($B296=Flowdown_BTE[[URS]:[URS]]))*(--(K$14=Flowdown_BTE[[Source.Name]:[Source.Name]])),Flowdown_BTE[[SyRS]:[SyRS]],"")))</f>
        <v/>
      </c>
      <c r="L296" s="16" t="b" cm="1">
        <f t="array" ref="L296">OR(LEN(C296:K296)&gt;0)</f>
        <v>1</v>
      </c>
    </row>
    <row r="297" spans="2:12" ht="81" x14ac:dyDescent="0.2">
      <c r="B297" s="11" t="str">
        <v>MASTER-6618</v>
      </c>
      <c r="C297" s="12" t="str" cm="1">
        <f t="array" ref="C297">_xlfn.TEXTJOIN(CHAR(10),TRUE,_xlfn._xlws.SORT(IF((--($B297=Flowdown_BTE[[URS]:[URS]]))*(--(C$14=Flowdown_BTE[[Source.Name]:[Source.Name]])),Flowdown_BTE[[SyRS]:[SyRS]],"")))</f>
        <v>MASTER-19649</v>
      </c>
      <c r="D297" s="12" t="str" cm="1">
        <f t="array" ref="D297">_xlfn.TEXTJOIN(CHAR(10),TRUE,_xlfn._xlws.SORT(IF((--($B297=Flowdown_BTE[[URS]:[URS]]))*(--(D$14=Flowdown_BTE[[Source.Name]:[Source.Name]])),Flowdown_BTE[[SyRS]:[SyRS]],"")))</f>
        <v>MASTER-19649</v>
      </c>
      <c r="E297" s="12" t="str" cm="1">
        <f t="array" ref="E297">_xlfn.TEXTJOIN(CHAR(10),TRUE,_xlfn._xlws.SORT(IF((--($B297=Flowdown_BTE[[URS]:[URS]]))*(--(E$14=Flowdown_BTE[[Source.Name]:[Source.Name]])),Flowdown_BTE[[SyRS]:[SyRS]],"")))</f>
        <v>MASTER-19649</v>
      </c>
      <c r="F297" s="12" t="str" cm="1">
        <f t="array" ref="F297">_xlfn.TEXTJOIN(CHAR(10),TRUE,_xlfn._xlws.SORT(IF((--($B297=Flowdown_BTE[[URS]:[URS]]))*(--(F$14=Flowdown_BTE[[Source.Name]:[Source.Name]])),Flowdown_BTE[[SyRS]:[SyRS]],"")))</f>
        <v>MASTER-19649</v>
      </c>
      <c r="G297" s="12" t="str" cm="1">
        <f t="array" ref="G297">_xlfn.TEXTJOIN(CHAR(10),TRUE,_xlfn._xlws.SORT(IF((--($B297=Flowdown_BTE[[URS]:[URS]]))*(--(G$14=Flowdown_BTE[[Source.Name]:[Source.Name]])),Flowdown_BTE[[SyRS]:[SyRS]],"")))</f>
        <v>MASTER-19649</v>
      </c>
      <c r="H297" s="12" t="str" cm="1">
        <f t="array" ref="H297">_xlfn.TEXTJOIN(CHAR(10),TRUE,_xlfn._xlws.SORT(IF((--($B297=Flowdown_BTE[[URS]:[URS]]))*(--(H$14=Flowdown_BTE[[Source.Name]:[Source.Name]])),Flowdown_BTE[[SyRS]:[SyRS]],"")))</f>
        <v>MASTER-22373
MASTER-22374
MASTER-22375
MASTER-22384
MASTER-22385
MASTER-22386</v>
      </c>
      <c r="I297" s="12" t="str" cm="1">
        <f t="array" ref="I297">_xlfn.TEXTJOIN(CHAR(10),TRUE,_xlfn._xlws.SORT(IF((--($B297=Flowdown_BTE[[URS]:[URS]]))*(--(I$14=Flowdown_BTE[[Source.Name]:[Source.Name]])),Flowdown_BTE[[SyRS]:[SyRS]],"")))</f>
        <v/>
      </c>
      <c r="J297" s="12" t="str" cm="1">
        <f t="array" ref="J297">_xlfn.TEXTJOIN(CHAR(10),TRUE,_xlfn._xlws.SORT(IF((--($B297=Flowdown_BTE[[URS]:[URS]]))*(--(J$14=Flowdown_BTE[[Source.Name]:[Source.Name]])),Flowdown_BTE[[SyRS]:[SyRS]],"")))</f>
        <v/>
      </c>
      <c r="K297" s="12" t="str" cm="1">
        <f t="array" ref="K297">_xlfn.TEXTJOIN(CHAR(10),TRUE,_xlfn._xlws.SORT(IF((--($B297=Flowdown_BTE[[URS]:[URS]]))*(--(K$14=Flowdown_BTE[[Source.Name]:[Source.Name]])),Flowdown_BTE[[SyRS]:[SyRS]],"")))</f>
        <v/>
      </c>
      <c r="L297" s="16" t="b" cm="1">
        <f t="array" ref="L297">OR(LEN(C297:K297)&gt;0)</f>
        <v>1</v>
      </c>
    </row>
    <row r="298" spans="2:12" ht="108" x14ac:dyDescent="0.2">
      <c r="B298" s="11" t="str">
        <v>MASTER-6619</v>
      </c>
      <c r="C298" s="12" t="str" cm="1">
        <f t="array" ref="C298">_xlfn.TEXTJOIN(CHAR(10),TRUE,_xlfn._xlws.SORT(IF((--($B298=Flowdown_BTE[[URS]:[URS]]))*(--(C$14=Flowdown_BTE[[Source.Name]:[Source.Name]])),Flowdown_BTE[[SyRS]:[SyRS]],"")))</f>
        <v/>
      </c>
      <c r="D298" s="12" t="str" cm="1">
        <f t="array" ref="D298">_xlfn.TEXTJOIN(CHAR(10),TRUE,_xlfn._xlws.SORT(IF((--($B298=Flowdown_BTE[[URS]:[URS]]))*(--(D$14=Flowdown_BTE[[Source.Name]:[Source.Name]])),Flowdown_BTE[[SyRS]:[SyRS]],"")))</f>
        <v/>
      </c>
      <c r="E298" s="12" t="str" cm="1">
        <f t="array" ref="E298">_xlfn.TEXTJOIN(CHAR(10),TRUE,_xlfn._xlws.SORT(IF((--($B298=Flowdown_BTE[[URS]:[URS]]))*(--(E$14=Flowdown_BTE[[Source.Name]:[Source.Name]])),Flowdown_BTE[[SyRS]:[SyRS]],"")))</f>
        <v/>
      </c>
      <c r="F298" s="12" t="str" cm="1">
        <f t="array" ref="F298">_xlfn.TEXTJOIN(CHAR(10),TRUE,_xlfn._xlws.SORT(IF((--($B298=Flowdown_BTE[[URS]:[URS]]))*(--(F$14=Flowdown_BTE[[Source.Name]:[Source.Name]])),Flowdown_BTE[[SyRS]:[SyRS]],"")))</f>
        <v/>
      </c>
      <c r="G298" s="12" t="str" cm="1">
        <f t="array" ref="G298">_xlfn.TEXTJOIN(CHAR(10),TRUE,_xlfn._xlws.SORT(IF((--($B298=Flowdown_BTE[[URS]:[URS]]))*(--(G$14=Flowdown_BTE[[Source.Name]:[Source.Name]])),Flowdown_BTE[[SyRS]:[SyRS]],"")))</f>
        <v/>
      </c>
      <c r="H298" s="12" t="str" cm="1">
        <f t="array" ref="H298">_xlfn.TEXTJOIN(CHAR(10),TRUE,_xlfn._xlws.SORT(IF((--($B298=Flowdown_BTE[[URS]:[URS]]))*(--(H$14=Flowdown_BTE[[Source.Name]:[Source.Name]])),Flowdown_BTE[[SyRS]:[SyRS]],"")))</f>
        <v>MASTER-22387
MASTER-22389
MASTER-22390
MASTER-22391
MASTER-22392
MASTER-22403
MASTER-22404
MASTER-22405</v>
      </c>
      <c r="I298" s="12" t="str" cm="1">
        <f t="array" ref="I298">_xlfn.TEXTJOIN(CHAR(10),TRUE,_xlfn._xlws.SORT(IF((--($B298=Flowdown_BTE[[URS]:[URS]]))*(--(I$14=Flowdown_BTE[[Source.Name]:[Source.Name]])),Flowdown_BTE[[SyRS]:[SyRS]],"")))</f>
        <v/>
      </c>
      <c r="J298" s="12" t="str" cm="1">
        <f t="array" ref="J298">_xlfn.TEXTJOIN(CHAR(10),TRUE,_xlfn._xlws.SORT(IF((--($B298=Flowdown_BTE[[URS]:[URS]]))*(--(J$14=Flowdown_BTE[[Source.Name]:[Source.Name]])),Flowdown_BTE[[SyRS]:[SyRS]],"")))</f>
        <v/>
      </c>
      <c r="K298" s="12" t="str" cm="1">
        <f t="array" ref="K298">_xlfn.TEXTJOIN(CHAR(10),TRUE,_xlfn._xlws.SORT(IF((--($B298=Flowdown_BTE[[URS]:[URS]]))*(--(K$14=Flowdown_BTE[[Source.Name]:[Source.Name]])),Flowdown_BTE[[SyRS]:[SyRS]],"")))</f>
        <v/>
      </c>
      <c r="L298" s="16" t="b" cm="1">
        <f t="array" ref="L298">OR(LEN(C298:K298)&gt;0)</f>
        <v>1</v>
      </c>
    </row>
    <row r="299" spans="2:12" ht="81" x14ac:dyDescent="0.2">
      <c r="B299" s="11" t="str">
        <v>MASTER-6620</v>
      </c>
      <c r="C299" s="12" t="str" cm="1">
        <f t="array" ref="C299">_xlfn.TEXTJOIN(CHAR(10),TRUE,_xlfn._xlws.SORT(IF((--($B299=Flowdown_BTE[[URS]:[URS]]))*(--(C$14=Flowdown_BTE[[Source.Name]:[Source.Name]])),Flowdown_BTE[[SyRS]:[SyRS]],"")))</f>
        <v/>
      </c>
      <c r="D299" s="12" t="str" cm="1">
        <f t="array" ref="D299">_xlfn.TEXTJOIN(CHAR(10),TRUE,_xlfn._xlws.SORT(IF((--($B299=Flowdown_BTE[[URS]:[URS]]))*(--(D$14=Flowdown_BTE[[Source.Name]:[Source.Name]])),Flowdown_BTE[[SyRS]:[SyRS]],"")))</f>
        <v/>
      </c>
      <c r="E299" s="12" t="str" cm="1">
        <f t="array" ref="E299">_xlfn.TEXTJOIN(CHAR(10),TRUE,_xlfn._xlws.SORT(IF((--($B299=Flowdown_BTE[[URS]:[URS]]))*(--(E$14=Flowdown_BTE[[Source.Name]:[Source.Name]])),Flowdown_BTE[[SyRS]:[SyRS]],"")))</f>
        <v/>
      </c>
      <c r="F299" s="12" t="str" cm="1">
        <f t="array" ref="F299">_xlfn.TEXTJOIN(CHAR(10),TRUE,_xlfn._xlws.SORT(IF((--($B299=Flowdown_BTE[[URS]:[URS]]))*(--(F$14=Flowdown_BTE[[Source.Name]:[Source.Name]])),Flowdown_BTE[[SyRS]:[SyRS]],"")))</f>
        <v/>
      </c>
      <c r="G299" s="12" t="str" cm="1">
        <f t="array" ref="G299">_xlfn.TEXTJOIN(CHAR(10),TRUE,_xlfn._xlws.SORT(IF((--($B299=Flowdown_BTE[[URS]:[URS]]))*(--(G$14=Flowdown_BTE[[Source.Name]:[Source.Name]])),Flowdown_BTE[[SyRS]:[SyRS]],"")))</f>
        <v/>
      </c>
      <c r="H299" s="12" t="str" cm="1">
        <f t="array" ref="H299">_xlfn.TEXTJOIN(CHAR(10),TRUE,_xlfn._xlws.SORT(IF((--($B299=Flowdown_BTE[[URS]:[URS]]))*(--(H$14=Flowdown_BTE[[Source.Name]:[Source.Name]])),Flowdown_BTE[[SyRS]:[SyRS]],"")))</f>
        <v>MASTER-22377
MASTER-22378
MASTER-22387
MASTER-22388
MASTER-22408
MASTER-64400</v>
      </c>
      <c r="I299" s="12" t="str" cm="1">
        <f t="array" ref="I299">_xlfn.TEXTJOIN(CHAR(10),TRUE,_xlfn._xlws.SORT(IF((--($B299=Flowdown_BTE[[URS]:[URS]]))*(--(I$14=Flowdown_BTE[[Source.Name]:[Source.Name]])),Flowdown_BTE[[SyRS]:[SyRS]],"")))</f>
        <v/>
      </c>
      <c r="J299" s="12" t="str" cm="1">
        <f t="array" ref="J299">_xlfn.TEXTJOIN(CHAR(10),TRUE,_xlfn._xlws.SORT(IF((--($B299=Flowdown_BTE[[URS]:[URS]]))*(--(J$14=Flowdown_BTE[[Source.Name]:[Source.Name]])),Flowdown_BTE[[SyRS]:[SyRS]],"")))</f>
        <v/>
      </c>
      <c r="K299" s="12" t="str" cm="1">
        <f t="array" ref="K299">_xlfn.TEXTJOIN(CHAR(10),TRUE,_xlfn._xlws.SORT(IF((--($B299=Flowdown_BTE[[URS]:[URS]]))*(--(K$14=Flowdown_BTE[[Source.Name]:[Source.Name]])),Flowdown_BTE[[SyRS]:[SyRS]],"")))</f>
        <v/>
      </c>
      <c r="L299" s="16" t="b" cm="1">
        <f t="array" ref="L299">OR(LEN(C299:K299)&gt;0)</f>
        <v>1</v>
      </c>
    </row>
    <row r="300" spans="2:12" ht="67.5" x14ac:dyDescent="0.2">
      <c r="B300" s="13" t="str">
        <v>MASTER-6621</v>
      </c>
      <c r="C300" s="14" t="str" cm="1">
        <f t="array" ref="C300">_xlfn.TEXTJOIN(CHAR(10),TRUE,_xlfn._xlws.SORT(IF((--($B300=Flowdown_BTE[[URS]:[URS]]))*(--(C$14=Flowdown_BTE[[Source.Name]:[Source.Name]])),Flowdown_BTE[[SyRS]:[SyRS]],"")))</f>
        <v>MASTER-19645
MASTER-19646
MASTER-19647</v>
      </c>
      <c r="D300" s="14" t="str" cm="1">
        <f t="array" ref="D300">_xlfn.TEXTJOIN(CHAR(10),TRUE,_xlfn._xlws.SORT(IF((--($B300=Flowdown_BTE[[URS]:[URS]]))*(--(D$14=Flowdown_BTE[[Source.Name]:[Source.Name]])),Flowdown_BTE[[SyRS]:[SyRS]],"")))</f>
        <v>MASTER-19645
MASTER-19646
MASTER-19647</v>
      </c>
      <c r="E300" s="14" t="str" cm="1">
        <f t="array" ref="E300">_xlfn.TEXTJOIN(CHAR(10),TRUE,_xlfn._xlws.SORT(IF((--($B300=Flowdown_BTE[[URS]:[URS]]))*(--(E$14=Flowdown_BTE[[Source.Name]:[Source.Name]])),Flowdown_BTE[[SyRS]:[SyRS]],"")))</f>
        <v>MASTER-19645
MASTER-19646
MASTER-19647</v>
      </c>
      <c r="F300" s="14" t="str" cm="1">
        <f t="array" ref="F300">_xlfn.TEXTJOIN(CHAR(10),TRUE,_xlfn._xlws.SORT(IF((--($B300=Flowdown_BTE[[URS]:[URS]]))*(--(F$14=Flowdown_BTE[[Source.Name]:[Source.Name]])),Flowdown_BTE[[SyRS]:[SyRS]],"")))</f>
        <v>MASTER-19645
MASTER-19646
MASTER-19647</v>
      </c>
      <c r="G300" s="14" t="str" cm="1">
        <f t="array" ref="G300">_xlfn.TEXTJOIN(CHAR(10),TRUE,_xlfn._xlws.SORT(IF((--($B300=Flowdown_BTE[[URS]:[URS]]))*(--(G$14=Flowdown_BTE[[Source.Name]:[Source.Name]])),Flowdown_BTE[[SyRS]:[SyRS]],"")))</f>
        <v>MASTER-19645
MASTER-19646
MASTER-19647</v>
      </c>
      <c r="H300" s="14" t="str" cm="1">
        <f t="array" ref="H300">_xlfn.TEXTJOIN(CHAR(10),TRUE,_xlfn._xlws.SORT(IF((--($B300=Flowdown_BTE[[URS]:[URS]]))*(--(H$14=Flowdown_BTE[[Source.Name]:[Source.Name]])),Flowdown_BTE[[SyRS]:[SyRS]],"")))</f>
        <v>MASTER-22393
MASTER-22394
MASTER-22395
MASTER-22396
MASTER-22397</v>
      </c>
      <c r="I300" s="14" t="str" cm="1">
        <f t="array" ref="I300">_xlfn.TEXTJOIN(CHAR(10),TRUE,_xlfn._xlws.SORT(IF((--($B300=Flowdown_BTE[[URS]:[URS]]))*(--(I$14=Flowdown_BTE[[Source.Name]:[Source.Name]])),Flowdown_BTE[[SyRS]:[SyRS]],"")))</f>
        <v/>
      </c>
      <c r="J300" s="14" t="str" cm="1">
        <f t="array" ref="J300">_xlfn.TEXTJOIN(CHAR(10),TRUE,_xlfn._xlws.SORT(IF((--($B300=Flowdown_BTE[[URS]:[URS]]))*(--(J$14=Flowdown_BTE[[Source.Name]:[Source.Name]])),Flowdown_BTE[[SyRS]:[SyRS]],"")))</f>
        <v/>
      </c>
      <c r="K300" s="14" t="str" cm="1">
        <f t="array" ref="K300">_xlfn.TEXTJOIN(CHAR(10),TRUE,_xlfn._xlws.SORT(IF((--($B300=Flowdown_BTE[[URS]:[URS]]))*(--(K$14=Flowdown_BTE[[Source.Name]:[Source.Name]])),Flowdown_BTE[[SyRS]:[SyRS]],"")))</f>
        <v/>
      </c>
      <c r="L300" s="16" t="b" cm="1">
        <f t="array" ref="L300">OR(LEN(C300:K300)&gt;0)</f>
        <v>1</v>
      </c>
    </row>
    <row r="301" spans="2:12" ht="40.5" x14ac:dyDescent="0.2">
      <c r="B301" s="13" t="str">
        <v>MASTER-6622</v>
      </c>
      <c r="C301" s="14" t="str" cm="1">
        <f t="array" ref="C301">_xlfn.TEXTJOIN(CHAR(10),TRUE,_xlfn._xlws.SORT(IF((--($B301=Flowdown_BTE[[URS]:[URS]]))*(--(C$14=Flowdown_BTE[[Source.Name]:[Source.Name]])),Flowdown_BTE[[SyRS]:[SyRS]],"")))</f>
        <v/>
      </c>
      <c r="D301" s="14" t="str" cm="1">
        <f t="array" ref="D301">_xlfn.TEXTJOIN(CHAR(10),TRUE,_xlfn._xlws.SORT(IF((--($B301=Flowdown_BTE[[URS]:[URS]]))*(--(D$14=Flowdown_BTE[[Source.Name]:[Source.Name]])),Flowdown_BTE[[SyRS]:[SyRS]],"")))</f>
        <v/>
      </c>
      <c r="E301" s="14" t="str" cm="1">
        <f t="array" ref="E301">_xlfn.TEXTJOIN(CHAR(10),TRUE,_xlfn._xlws.SORT(IF((--($B301=Flowdown_BTE[[URS]:[URS]]))*(--(E$14=Flowdown_BTE[[Source.Name]:[Source.Name]])),Flowdown_BTE[[SyRS]:[SyRS]],"")))</f>
        <v/>
      </c>
      <c r="F301" s="14" t="str" cm="1">
        <f t="array" ref="F301">_xlfn.TEXTJOIN(CHAR(10),TRUE,_xlfn._xlws.SORT(IF((--($B301=Flowdown_BTE[[URS]:[URS]]))*(--(F$14=Flowdown_BTE[[Source.Name]:[Source.Name]])),Flowdown_BTE[[SyRS]:[SyRS]],"")))</f>
        <v/>
      </c>
      <c r="G301" s="14" t="str" cm="1">
        <f t="array" ref="G301">_xlfn.TEXTJOIN(CHAR(10),TRUE,_xlfn._xlws.SORT(IF((--($B301=Flowdown_BTE[[URS]:[URS]]))*(--(G$14=Flowdown_BTE[[Source.Name]:[Source.Name]])),Flowdown_BTE[[SyRS]:[SyRS]],"")))</f>
        <v/>
      </c>
      <c r="H301" s="14" t="str" cm="1">
        <f t="array" ref="H301">_xlfn.TEXTJOIN(CHAR(10),TRUE,_xlfn._xlws.SORT(IF((--($B301=Flowdown_BTE[[URS]:[URS]]))*(--(H$14=Flowdown_BTE[[Source.Name]:[Source.Name]])),Flowdown_BTE[[SyRS]:[SyRS]],"")))</f>
        <v>MASTER-22398
MASTER-22399
MASTER-22400</v>
      </c>
      <c r="I301" s="14" t="str" cm="1">
        <f t="array" ref="I301">_xlfn.TEXTJOIN(CHAR(10),TRUE,_xlfn._xlws.SORT(IF((--($B301=Flowdown_BTE[[URS]:[URS]]))*(--(I$14=Flowdown_BTE[[Source.Name]:[Source.Name]])),Flowdown_BTE[[SyRS]:[SyRS]],"")))</f>
        <v/>
      </c>
      <c r="J301" s="14" t="str" cm="1">
        <f t="array" ref="J301">_xlfn.TEXTJOIN(CHAR(10),TRUE,_xlfn._xlws.SORT(IF((--($B301=Flowdown_BTE[[URS]:[URS]]))*(--(J$14=Flowdown_BTE[[Source.Name]:[Source.Name]])),Flowdown_BTE[[SyRS]:[SyRS]],"")))</f>
        <v/>
      </c>
      <c r="K301" s="14" t="str" cm="1">
        <f t="array" ref="K301">_xlfn.TEXTJOIN(CHAR(10),TRUE,_xlfn._xlws.SORT(IF((--($B301=Flowdown_BTE[[URS]:[URS]]))*(--(K$14=Flowdown_BTE[[Source.Name]:[Source.Name]])),Flowdown_BTE[[SyRS]:[SyRS]],"")))</f>
        <v/>
      </c>
    </row>
    <row r="302" spans="2:12" ht="13.5" x14ac:dyDescent="0.2">
      <c r="B302" s="13" t="str">
        <v>MASTER-6623</v>
      </c>
      <c r="C302" s="14" t="str" cm="1">
        <f t="array" ref="C302">_xlfn.TEXTJOIN(CHAR(10),TRUE,_xlfn._xlws.SORT(IF((--($B302=Flowdown_BTE[[URS]:[URS]]))*(--(C$14=Flowdown_BTE[[Source.Name]:[Source.Name]])),Flowdown_BTE[[SyRS]:[SyRS]],"")))</f>
        <v>MASTER-19639</v>
      </c>
      <c r="D302" s="14" t="str" cm="1">
        <f t="array" ref="D302">_xlfn.TEXTJOIN(CHAR(10),TRUE,_xlfn._xlws.SORT(IF((--($B302=Flowdown_BTE[[URS]:[URS]]))*(--(D$14=Flowdown_BTE[[Source.Name]:[Source.Name]])),Flowdown_BTE[[SyRS]:[SyRS]],"")))</f>
        <v>MASTER-19639</v>
      </c>
      <c r="E302" s="14" t="str" cm="1">
        <f t="array" ref="E302">_xlfn.TEXTJOIN(CHAR(10),TRUE,_xlfn._xlws.SORT(IF((--($B302=Flowdown_BTE[[URS]:[URS]]))*(--(E$14=Flowdown_BTE[[Source.Name]:[Source.Name]])),Flowdown_BTE[[SyRS]:[SyRS]],"")))</f>
        <v>MASTER-19639</v>
      </c>
      <c r="F302" s="14" t="str" cm="1">
        <f t="array" ref="F302">_xlfn.TEXTJOIN(CHAR(10),TRUE,_xlfn._xlws.SORT(IF((--($B302=Flowdown_BTE[[URS]:[URS]]))*(--(F$14=Flowdown_BTE[[Source.Name]:[Source.Name]])),Flowdown_BTE[[SyRS]:[SyRS]],"")))</f>
        <v>MASTER-19639</v>
      </c>
      <c r="G302" s="14" t="str" cm="1">
        <f t="array" ref="G302">_xlfn.TEXTJOIN(CHAR(10),TRUE,_xlfn._xlws.SORT(IF((--($B302=Flowdown_BTE[[URS]:[URS]]))*(--(G$14=Flowdown_BTE[[Source.Name]:[Source.Name]])),Flowdown_BTE[[SyRS]:[SyRS]],"")))</f>
        <v>MASTER-19639</v>
      </c>
      <c r="H302" s="14" t="str" cm="1">
        <f t="array" ref="H302">_xlfn.TEXTJOIN(CHAR(10),TRUE,_xlfn._xlws.SORT(IF((--($B302=Flowdown_BTE[[URS]:[URS]]))*(--(H$14=Flowdown_BTE[[Source.Name]:[Source.Name]])),Flowdown_BTE[[SyRS]:[SyRS]],"")))</f>
        <v/>
      </c>
      <c r="I302" s="14" t="str" cm="1">
        <f t="array" ref="I302">_xlfn.TEXTJOIN(CHAR(10),TRUE,_xlfn._xlws.SORT(IF((--($B302=Flowdown_BTE[[URS]:[URS]]))*(--(I$14=Flowdown_BTE[[Source.Name]:[Source.Name]])),Flowdown_BTE[[SyRS]:[SyRS]],"")))</f>
        <v/>
      </c>
      <c r="J302" s="14" t="str" cm="1">
        <f t="array" ref="J302">_xlfn.TEXTJOIN(CHAR(10),TRUE,_xlfn._xlws.SORT(IF((--($B302=Flowdown_BTE[[URS]:[URS]]))*(--(J$14=Flowdown_BTE[[Source.Name]:[Source.Name]])),Flowdown_BTE[[SyRS]:[SyRS]],"")))</f>
        <v/>
      </c>
      <c r="K302" s="14" t="str" cm="1">
        <f t="array" ref="K302">_xlfn.TEXTJOIN(CHAR(10),TRUE,_xlfn._xlws.SORT(IF((--($B302=Flowdown_BTE[[URS]:[URS]]))*(--(K$14=Flowdown_BTE[[Source.Name]:[Source.Name]])),Flowdown_BTE[[SyRS]:[SyRS]],"")))</f>
        <v/>
      </c>
    </row>
    <row r="303" spans="2:12" ht="27" x14ac:dyDescent="0.2">
      <c r="B303" s="13" t="str">
        <v>MASTER-6655</v>
      </c>
      <c r="C303" s="14" t="str" cm="1">
        <f t="array" ref="C303">_xlfn.TEXTJOIN(CHAR(10),TRUE,_xlfn._xlws.SORT(IF((--($B303=Flowdown_BTE[[URS]:[URS]]))*(--(C$14=Flowdown_BTE[[Source.Name]:[Source.Name]])),Flowdown_BTE[[SyRS]:[SyRS]],"")))</f>
        <v>MASTER-17676
MASTER-17679</v>
      </c>
      <c r="D303" s="14" t="str" cm="1">
        <f t="array" ref="D303">_xlfn.TEXTJOIN(CHAR(10),TRUE,_xlfn._xlws.SORT(IF((--($B303=Flowdown_BTE[[URS]:[URS]]))*(--(D$14=Flowdown_BTE[[Source.Name]:[Source.Name]])),Flowdown_BTE[[SyRS]:[SyRS]],"")))</f>
        <v>MASTER-17676
MASTER-17679</v>
      </c>
      <c r="E303" s="14" t="str" cm="1">
        <f t="array" ref="E303">_xlfn.TEXTJOIN(CHAR(10),TRUE,_xlfn._xlws.SORT(IF((--($B303=Flowdown_BTE[[URS]:[URS]]))*(--(E$14=Flowdown_BTE[[Source.Name]:[Source.Name]])),Flowdown_BTE[[SyRS]:[SyRS]],"")))</f>
        <v>MASTER-17676
MASTER-17679</v>
      </c>
      <c r="F303" s="14" t="str" cm="1">
        <f t="array" ref="F303">_xlfn.TEXTJOIN(CHAR(10),TRUE,_xlfn._xlws.SORT(IF((--($B303=Flowdown_BTE[[URS]:[URS]]))*(--(F$14=Flowdown_BTE[[Source.Name]:[Source.Name]])),Flowdown_BTE[[SyRS]:[SyRS]],"")))</f>
        <v>MASTER-17676
MASTER-17679</v>
      </c>
      <c r="G303" s="14" t="str" cm="1">
        <f t="array" ref="G303">_xlfn.TEXTJOIN(CHAR(10),TRUE,_xlfn._xlws.SORT(IF((--($B303=Flowdown_BTE[[URS]:[URS]]))*(--(G$14=Flowdown_BTE[[Source.Name]:[Source.Name]])),Flowdown_BTE[[SyRS]:[SyRS]],"")))</f>
        <v>MASTER-17676
MASTER-17679</v>
      </c>
      <c r="H303" s="14" t="str" cm="1">
        <f t="array" ref="H303">_xlfn.TEXTJOIN(CHAR(10),TRUE,_xlfn._xlws.SORT(IF((--($B303=Flowdown_BTE[[URS]:[URS]]))*(--(H$14=Flowdown_BTE[[Source.Name]:[Source.Name]])),Flowdown_BTE[[SyRS]:[SyRS]],"")))</f>
        <v/>
      </c>
      <c r="I303" s="14" t="str" cm="1">
        <f t="array" ref="I303">_xlfn.TEXTJOIN(CHAR(10),TRUE,_xlfn._xlws.SORT(IF((--($B303=Flowdown_BTE[[URS]:[URS]]))*(--(I$14=Flowdown_BTE[[Source.Name]:[Source.Name]])),Flowdown_BTE[[SyRS]:[SyRS]],"")))</f>
        <v>MASTER-19790
UTICA-362</v>
      </c>
      <c r="J303" s="14" t="str" cm="1">
        <f t="array" ref="J303">_xlfn.TEXTJOIN(CHAR(10),TRUE,_xlfn._xlws.SORT(IF((--($B303=Flowdown_BTE[[URS]:[URS]]))*(--(J$14=Flowdown_BTE[[Source.Name]:[Source.Name]])),Flowdown_BTE[[SyRS]:[SyRS]],"")))</f>
        <v/>
      </c>
      <c r="K303" s="14" t="str" cm="1">
        <f t="array" ref="K303">_xlfn.TEXTJOIN(CHAR(10),TRUE,_xlfn._xlws.SORT(IF((--($B303=Flowdown_BTE[[URS]:[URS]]))*(--(K$14=Flowdown_BTE[[Source.Name]:[Source.Name]])),Flowdown_BTE[[SyRS]:[SyRS]],"")))</f>
        <v/>
      </c>
    </row>
    <row r="304" spans="2:12" ht="13.5" x14ac:dyDescent="0.2">
      <c r="B304" s="13" t="str">
        <v>MASTER-6656</v>
      </c>
      <c r="C304" s="14" t="str" cm="1">
        <f t="array" ref="C304">_xlfn.TEXTJOIN(CHAR(10),TRUE,_xlfn._xlws.SORT(IF((--($B304=Flowdown_BTE[[URS]:[URS]]))*(--(C$14=Flowdown_BTE[[Source.Name]:[Source.Name]])),Flowdown_BTE[[SyRS]:[SyRS]],"")))</f>
        <v/>
      </c>
      <c r="D304" s="14" t="str" cm="1">
        <f t="array" ref="D304">_xlfn.TEXTJOIN(CHAR(10),TRUE,_xlfn._xlws.SORT(IF((--($B304=Flowdown_BTE[[URS]:[URS]]))*(--(D$14=Flowdown_BTE[[Source.Name]:[Source.Name]])),Flowdown_BTE[[SyRS]:[SyRS]],"")))</f>
        <v/>
      </c>
      <c r="E304" s="14" t="str" cm="1">
        <f t="array" ref="E304">_xlfn.TEXTJOIN(CHAR(10),TRUE,_xlfn._xlws.SORT(IF((--($B304=Flowdown_BTE[[URS]:[URS]]))*(--(E$14=Flowdown_BTE[[Source.Name]:[Source.Name]])),Flowdown_BTE[[SyRS]:[SyRS]],"")))</f>
        <v/>
      </c>
      <c r="F304" s="14" t="str" cm="1">
        <f t="array" ref="F304">_xlfn.TEXTJOIN(CHAR(10),TRUE,_xlfn._xlws.SORT(IF((--($B304=Flowdown_BTE[[URS]:[URS]]))*(--(F$14=Flowdown_BTE[[Source.Name]:[Source.Name]])),Flowdown_BTE[[SyRS]:[SyRS]],"")))</f>
        <v/>
      </c>
      <c r="G304" s="14" t="str" cm="1">
        <f t="array" ref="G304">_xlfn.TEXTJOIN(CHAR(10),TRUE,_xlfn._xlws.SORT(IF((--($B304=Flowdown_BTE[[URS]:[URS]]))*(--(G$14=Flowdown_BTE[[Source.Name]:[Source.Name]])),Flowdown_BTE[[SyRS]:[SyRS]],"")))</f>
        <v/>
      </c>
      <c r="H304" s="14" t="str" cm="1">
        <f t="array" ref="H304">_xlfn.TEXTJOIN(CHAR(10),TRUE,_xlfn._xlws.SORT(IF((--($B304=Flowdown_BTE[[URS]:[URS]]))*(--(H$14=Flowdown_BTE[[Source.Name]:[Source.Name]])),Flowdown_BTE[[SyRS]:[SyRS]],"")))</f>
        <v/>
      </c>
      <c r="I304" s="14" t="str" cm="1">
        <f t="array" ref="I304">_xlfn.TEXTJOIN(CHAR(10),TRUE,_xlfn._xlws.SORT(IF((--($B304=Flowdown_BTE[[URS]:[URS]]))*(--(I$14=Flowdown_BTE[[Source.Name]:[Source.Name]])),Flowdown_BTE[[SyRS]:[SyRS]],"")))</f>
        <v>MASTER-19808</v>
      </c>
      <c r="J304" s="14" t="str" cm="1">
        <f t="array" ref="J304">_xlfn.TEXTJOIN(CHAR(10),TRUE,_xlfn._xlws.SORT(IF((--($B304=Flowdown_BTE[[URS]:[URS]]))*(--(J$14=Flowdown_BTE[[Source.Name]:[Source.Name]])),Flowdown_BTE[[SyRS]:[SyRS]],"")))</f>
        <v>MASTER-19808</v>
      </c>
      <c r="K304" s="14" t="str" cm="1">
        <f t="array" ref="K304">_xlfn.TEXTJOIN(CHAR(10),TRUE,_xlfn._xlws.SORT(IF((--($B304=Flowdown_BTE[[URS]:[URS]]))*(--(K$14=Flowdown_BTE[[Source.Name]:[Source.Name]])),Flowdown_BTE[[SyRS]:[SyRS]],"")))</f>
        <v/>
      </c>
    </row>
    <row r="305" spans="2:11" ht="67.5" x14ac:dyDescent="0.2">
      <c r="B305" s="13" t="str">
        <v>MASTER-6657</v>
      </c>
      <c r="C305" s="14" t="str" cm="1">
        <f t="array" ref="C305">_xlfn.TEXTJOIN(CHAR(10),TRUE,_xlfn._xlws.SORT(IF((--($B305=Flowdown_BTE[[URS]:[URS]]))*(--(C$14=Flowdown_BTE[[Source.Name]:[Source.Name]])),Flowdown_BTE[[SyRS]:[SyRS]],"")))</f>
        <v/>
      </c>
      <c r="D305" s="14" t="str" cm="1">
        <f t="array" ref="D305">_xlfn.TEXTJOIN(CHAR(10),TRUE,_xlfn._xlws.SORT(IF((--($B305=Flowdown_BTE[[URS]:[URS]]))*(--(D$14=Flowdown_BTE[[Source.Name]:[Source.Name]])),Flowdown_BTE[[SyRS]:[SyRS]],"")))</f>
        <v/>
      </c>
      <c r="E305" s="14" t="str" cm="1">
        <f t="array" ref="E305">_xlfn.TEXTJOIN(CHAR(10),TRUE,_xlfn._xlws.SORT(IF((--($B305=Flowdown_BTE[[URS]:[URS]]))*(--(E$14=Flowdown_BTE[[Source.Name]:[Source.Name]])),Flowdown_BTE[[SyRS]:[SyRS]],"")))</f>
        <v/>
      </c>
      <c r="F305" s="14" t="str" cm="1">
        <f t="array" ref="F305">_xlfn.TEXTJOIN(CHAR(10),TRUE,_xlfn._xlws.SORT(IF((--($B305=Flowdown_BTE[[URS]:[URS]]))*(--(F$14=Flowdown_BTE[[Source.Name]:[Source.Name]])),Flowdown_BTE[[SyRS]:[SyRS]],"")))</f>
        <v/>
      </c>
      <c r="G305" s="14" t="str" cm="1">
        <f t="array" ref="G305">_xlfn.TEXTJOIN(CHAR(10),TRUE,_xlfn._xlws.SORT(IF((--($B305=Flowdown_BTE[[URS]:[URS]]))*(--(G$14=Flowdown_BTE[[Source.Name]:[Source.Name]])),Flowdown_BTE[[SyRS]:[SyRS]],"")))</f>
        <v/>
      </c>
      <c r="H305" s="14" t="str" cm="1">
        <f t="array" ref="H305">_xlfn.TEXTJOIN(CHAR(10),TRUE,_xlfn._xlws.SORT(IF((--($B305=Flowdown_BTE[[URS]:[URS]]))*(--(H$14=Flowdown_BTE[[Source.Name]:[Source.Name]])),Flowdown_BTE[[SyRS]:[SyRS]],"")))</f>
        <v/>
      </c>
      <c r="I305" s="14" t="str" cm="1">
        <f t="array" ref="I305">_xlfn.TEXTJOIN(CHAR(10),TRUE,_xlfn._xlws.SORT(IF((--($B305=Flowdown_BTE[[URS]:[URS]]))*(--(I$14=Flowdown_BTE[[Source.Name]:[Source.Name]])),Flowdown_BTE[[SyRS]:[SyRS]],"")))</f>
        <v>MASTER-20102
MASTER-20104
MASTER-48451
UTICA-202
UTICA-2176</v>
      </c>
      <c r="J305" s="14" t="str" cm="1">
        <f t="array" ref="J305">_xlfn.TEXTJOIN(CHAR(10),TRUE,_xlfn._xlws.SORT(IF((--($B305=Flowdown_BTE[[URS]:[URS]]))*(--(J$14=Flowdown_BTE[[Source.Name]:[Source.Name]])),Flowdown_BTE[[SyRS]:[SyRS]],"")))</f>
        <v>MASTER-20102
MASTER-20104
MASTER-48451
UTICA-2476</v>
      </c>
      <c r="K305" s="14" t="str" cm="1">
        <f t="array" ref="K305">_xlfn.TEXTJOIN(CHAR(10),TRUE,_xlfn._xlws.SORT(IF((--($B305=Flowdown_BTE[[URS]:[URS]]))*(--(K$14=Flowdown_BTE[[Source.Name]:[Source.Name]])),Flowdown_BTE[[SyRS]:[SyRS]],"")))</f>
        <v/>
      </c>
    </row>
    <row r="306" spans="2:11" ht="243" x14ac:dyDescent="0.2">
      <c r="B306" s="13" t="str">
        <v>MASTER-6659</v>
      </c>
      <c r="C306" s="14" t="str" cm="1">
        <f t="array" ref="C306">_xlfn.TEXTJOIN(CHAR(10),TRUE,_xlfn._xlws.SORT(IF((--($B306=Flowdown_BTE[[URS]:[URS]]))*(--(C$14=Flowdown_BTE[[Source.Name]:[Source.Name]])),Flowdown_BTE[[SyRS]:[SyRS]],"")))</f>
        <v/>
      </c>
      <c r="D306" s="14" t="str" cm="1">
        <f t="array" ref="D306">_xlfn.TEXTJOIN(CHAR(10),TRUE,_xlfn._xlws.SORT(IF((--($B306=Flowdown_BTE[[URS]:[URS]]))*(--(D$14=Flowdown_BTE[[Source.Name]:[Source.Name]])),Flowdown_BTE[[SyRS]:[SyRS]],"")))</f>
        <v/>
      </c>
      <c r="E306" s="14" t="str" cm="1">
        <f t="array" ref="E306">_xlfn.TEXTJOIN(CHAR(10),TRUE,_xlfn._xlws.SORT(IF((--($B306=Flowdown_BTE[[URS]:[URS]]))*(--(E$14=Flowdown_BTE[[Source.Name]:[Source.Name]])),Flowdown_BTE[[SyRS]:[SyRS]],"")))</f>
        <v/>
      </c>
      <c r="F306" s="14" t="str" cm="1">
        <f t="array" ref="F306">_xlfn.TEXTJOIN(CHAR(10),TRUE,_xlfn._xlws.SORT(IF((--($B306=Flowdown_BTE[[URS]:[URS]]))*(--(F$14=Flowdown_BTE[[Source.Name]:[Source.Name]])),Flowdown_BTE[[SyRS]:[SyRS]],"")))</f>
        <v/>
      </c>
      <c r="G306" s="14" t="str" cm="1">
        <f t="array" ref="G306">_xlfn.TEXTJOIN(CHAR(10),TRUE,_xlfn._xlws.SORT(IF((--($B306=Flowdown_BTE[[URS]:[URS]]))*(--(G$14=Flowdown_BTE[[Source.Name]:[Source.Name]])),Flowdown_BTE[[SyRS]:[SyRS]],"")))</f>
        <v/>
      </c>
      <c r="H306" s="14" t="str" cm="1">
        <f t="array" ref="H306">_xlfn.TEXTJOIN(CHAR(10),TRUE,_xlfn._xlws.SORT(IF((--($B306=Flowdown_BTE[[URS]:[URS]]))*(--(H$14=Flowdown_BTE[[Source.Name]:[Source.Name]])),Flowdown_BTE[[SyRS]:[SyRS]],"")))</f>
        <v>MASTER-57690</v>
      </c>
      <c r="I306" s="14" t="str" cm="1">
        <f t="array" ref="I306">_xlfn.TEXTJOIN(CHAR(10),TRUE,_xlfn._xlws.SORT(IF((--($B306=Flowdown_BTE[[URS]:[URS]]))*(--(I$14=Flowdown_BTE[[Source.Name]:[Source.Name]])),Flowdown_BTE[[SyRS]:[SyRS]],"")))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306" s="14" t="str" cm="1">
        <f t="array" ref="J306">_xlfn.TEXTJOIN(CHAR(10),TRUE,_xlfn._xlws.SORT(IF((--($B306=Flowdown_BTE[[URS]:[URS]]))*(--(J$14=Flowdown_BTE[[Source.Name]:[Source.Name]])),Flowdown_BTE[[SyRS]:[SyRS]],"")))</f>
        <v>MASTER-19844
MASTER-19880
MASTER-19906
MASTER-19907
MASTER-19909
MASTER-20210
MASTER-46245
UTICA-11615
UTICA-2480
UTICA-2512
UTICA-2515
UTICA-25733
UTICA-2676</v>
      </c>
      <c r="K306" s="14" t="str" cm="1">
        <f t="array" ref="K306">_xlfn.TEXTJOIN(CHAR(10),TRUE,_xlfn._xlws.SORT(IF((--($B306=Flowdown_BTE[[URS]:[URS]]))*(--(K$14=Flowdown_BTE[[Source.Name]:[Source.Name]])),Flowdown_BTE[[SyRS]:[SyRS]],"")))</f>
        <v/>
      </c>
    </row>
    <row r="307" spans="2:11" ht="409.5" x14ac:dyDescent="0.2">
      <c r="B307" s="13" t="str">
        <v>MASTER-6660</v>
      </c>
      <c r="C307" s="14" t="str" cm="1">
        <f t="array" ref="C307">_xlfn.TEXTJOIN(CHAR(10),TRUE,_xlfn._xlws.SORT(IF((--($B307=Flowdown_BTE[[URS]:[URS]]))*(--(C$14=Flowdown_BTE[[Source.Name]:[Source.Name]])),Flowdown_BTE[[SyRS]:[SyRS]],"")))</f>
        <v/>
      </c>
      <c r="D307" s="14" t="str" cm="1">
        <f t="array" ref="D307">_xlfn.TEXTJOIN(CHAR(10),TRUE,_xlfn._xlws.SORT(IF((--($B307=Flowdown_BTE[[URS]:[URS]]))*(--(D$14=Flowdown_BTE[[Source.Name]:[Source.Name]])),Flowdown_BTE[[SyRS]:[SyRS]],"")))</f>
        <v/>
      </c>
      <c r="E307" s="14" t="str" cm="1">
        <f t="array" ref="E307">_xlfn.TEXTJOIN(CHAR(10),TRUE,_xlfn._xlws.SORT(IF((--($B307=Flowdown_BTE[[URS]:[URS]]))*(--(E$14=Flowdown_BTE[[Source.Name]:[Source.Name]])),Flowdown_BTE[[SyRS]:[SyRS]],"")))</f>
        <v/>
      </c>
      <c r="F307" s="14" t="str" cm="1">
        <f t="array" ref="F307">_xlfn.TEXTJOIN(CHAR(10),TRUE,_xlfn._xlws.SORT(IF((--($B307=Flowdown_BTE[[URS]:[URS]]))*(--(F$14=Flowdown_BTE[[Source.Name]:[Source.Name]])),Flowdown_BTE[[SyRS]:[SyRS]],"")))</f>
        <v/>
      </c>
      <c r="G307" s="14" t="str" cm="1">
        <f t="array" ref="G307">_xlfn.TEXTJOIN(CHAR(10),TRUE,_xlfn._xlws.SORT(IF((--($B307=Flowdown_BTE[[URS]:[URS]]))*(--(G$14=Flowdown_BTE[[Source.Name]:[Source.Name]])),Flowdown_BTE[[SyRS]:[SyRS]],"")))</f>
        <v/>
      </c>
      <c r="H307" s="14" t="str" cm="1">
        <f t="array" ref="H307">_xlfn.TEXTJOIN(CHAR(10),TRUE,_xlfn._xlws.SORT(IF((--($B307=Flowdown_BTE[[URS]:[URS]]))*(--(H$14=Flowdown_BTE[[Source.Name]:[Source.Name]])),Flowdown_BTE[[SyRS]:[SyRS]],"")))</f>
        <v/>
      </c>
      <c r="I307" s="14" t="str" cm="1">
        <f t="array" ref="I307">_xlfn.TEXTJOIN(CHAR(10),TRUE,_xlfn._xlws.SORT(IF((--($B307=Flowdown_BTE[[URS]:[URS]]))*(--(I$14=Flowdown_BTE[[Source.Name]:[Source.Name]])),Flowdown_BTE[[SyRS]:[SyRS]],"")))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307" s="14" t="str" cm="1">
        <f t="array" ref="J307">_xlfn.TEXTJOIN(CHAR(10),TRUE,_xlfn._xlws.SORT(IF((--($B307=Flowdown_BTE[[URS]:[URS]]))*(--(J$14=Flowdown_BTE[[Source.Name]:[Source.Name]])),Flowdown_BTE[[SyRS]:[SyRS]],"")))</f>
        <v>MASTER-17425
MASTER-17428
MASTER-19906
MASTER-19907
MASTER-19909
MASTER-19930
MASTER-20210
MASTER-20298
MASTER-23011
MASTER-46245
UTICA-11615
UTICA-2482
UTICA-2483
UTICA-2484
UTICA-2512
UTICA-2515
UTICA-25733</v>
      </c>
      <c r="K307" s="14" t="str" cm="1">
        <f t="array" ref="K307">_xlfn.TEXTJOIN(CHAR(10),TRUE,_xlfn._xlws.SORT(IF((--($B307=Flowdown_BTE[[URS]:[URS]]))*(--(K$14=Flowdown_BTE[[Source.Name]:[Source.Name]])),Flowdown_BTE[[SyRS]:[SyRS]],"")))</f>
        <v/>
      </c>
    </row>
    <row r="308" spans="2:11" ht="13.5" x14ac:dyDescent="0.2">
      <c r="B308" s="13" t="str">
        <v>MASTER-6661</v>
      </c>
      <c r="C308" s="14" t="str" cm="1">
        <f t="array" ref="C308">_xlfn.TEXTJOIN(CHAR(10),TRUE,_xlfn._xlws.SORT(IF((--($B308=Flowdown_BTE[[URS]:[URS]]))*(--(C$14=Flowdown_BTE[[Source.Name]:[Source.Name]])),Flowdown_BTE[[SyRS]:[SyRS]],"")))</f>
        <v/>
      </c>
      <c r="D308" s="14" t="str" cm="1">
        <f t="array" ref="D308">_xlfn.TEXTJOIN(CHAR(10),TRUE,_xlfn._xlws.SORT(IF((--($B308=Flowdown_BTE[[URS]:[URS]]))*(--(D$14=Flowdown_BTE[[Source.Name]:[Source.Name]])),Flowdown_BTE[[SyRS]:[SyRS]],"")))</f>
        <v/>
      </c>
      <c r="E308" s="14" t="str" cm="1">
        <f t="array" ref="E308">_xlfn.TEXTJOIN(CHAR(10),TRUE,_xlfn._xlws.SORT(IF((--($B308=Flowdown_BTE[[URS]:[URS]]))*(--(E$14=Flowdown_BTE[[Source.Name]:[Source.Name]])),Flowdown_BTE[[SyRS]:[SyRS]],"")))</f>
        <v/>
      </c>
      <c r="F308" s="14" t="str" cm="1">
        <f t="array" ref="F308">_xlfn.TEXTJOIN(CHAR(10),TRUE,_xlfn._xlws.SORT(IF((--($B308=Flowdown_BTE[[URS]:[URS]]))*(--(F$14=Flowdown_BTE[[Source.Name]:[Source.Name]])),Flowdown_BTE[[SyRS]:[SyRS]],"")))</f>
        <v/>
      </c>
      <c r="G308" s="14" t="str" cm="1">
        <f t="array" ref="G308">_xlfn.TEXTJOIN(CHAR(10),TRUE,_xlfn._xlws.SORT(IF((--($B308=Flowdown_BTE[[URS]:[URS]]))*(--(G$14=Flowdown_BTE[[Source.Name]:[Source.Name]])),Flowdown_BTE[[SyRS]:[SyRS]],"")))</f>
        <v/>
      </c>
      <c r="H308" s="14" t="str" cm="1">
        <f t="array" ref="H308">_xlfn.TEXTJOIN(CHAR(10),TRUE,_xlfn._xlws.SORT(IF((--($B308=Flowdown_BTE[[URS]:[URS]]))*(--(H$14=Flowdown_BTE[[Source.Name]:[Source.Name]])),Flowdown_BTE[[SyRS]:[SyRS]],"")))</f>
        <v/>
      </c>
      <c r="I308" s="14" t="str" cm="1">
        <f t="array" ref="I308">_xlfn.TEXTJOIN(CHAR(10),TRUE,_xlfn._xlws.SORT(IF((--($B308=Flowdown_BTE[[URS]:[URS]]))*(--(I$14=Flowdown_BTE[[Source.Name]:[Source.Name]])),Flowdown_BTE[[SyRS]:[SyRS]],"")))</f>
        <v>MASTER-19926</v>
      </c>
      <c r="J308" s="14" t="str" cm="1">
        <f t="array" ref="J308">_xlfn.TEXTJOIN(CHAR(10),TRUE,_xlfn._xlws.SORT(IF((--($B308=Flowdown_BTE[[URS]:[URS]]))*(--(J$14=Flowdown_BTE[[Source.Name]:[Source.Name]])),Flowdown_BTE[[SyRS]:[SyRS]],"")))</f>
        <v>MASTER-19926</v>
      </c>
      <c r="K308" s="14" t="str" cm="1">
        <f t="array" ref="K308">_xlfn.TEXTJOIN(CHAR(10),TRUE,_xlfn._xlws.SORT(IF((--($B308=Flowdown_BTE[[URS]:[URS]]))*(--(K$14=Flowdown_BTE[[Source.Name]:[Source.Name]])),Flowdown_BTE[[SyRS]:[SyRS]],"")))</f>
        <v/>
      </c>
    </row>
    <row r="309" spans="2:11" ht="13.5" x14ac:dyDescent="0.2">
      <c r="B309" s="13" t="str">
        <v>MASTER-6666</v>
      </c>
      <c r="C309" s="14" t="str" cm="1">
        <f t="array" ref="C309">_xlfn.TEXTJOIN(CHAR(10),TRUE,_xlfn._xlws.SORT(IF((--($B309=Flowdown_BTE[[URS]:[URS]]))*(--(C$14=Flowdown_BTE[[Source.Name]:[Source.Name]])),Flowdown_BTE[[SyRS]:[SyRS]],"")))</f>
        <v/>
      </c>
      <c r="D309" s="14" t="str" cm="1">
        <f t="array" ref="D309">_xlfn.TEXTJOIN(CHAR(10),TRUE,_xlfn._xlws.SORT(IF((--($B309=Flowdown_BTE[[URS]:[URS]]))*(--(D$14=Flowdown_BTE[[Source.Name]:[Source.Name]])),Flowdown_BTE[[SyRS]:[SyRS]],"")))</f>
        <v/>
      </c>
      <c r="E309" s="14" t="str" cm="1">
        <f t="array" ref="E309">_xlfn.TEXTJOIN(CHAR(10),TRUE,_xlfn._xlws.SORT(IF((--($B309=Flowdown_BTE[[URS]:[URS]]))*(--(E$14=Flowdown_BTE[[Source.Name]:[Source.Name]])),Flowdown_BTE[[SyRS]:[SyRS]],"")))</f>
        <v/>
      </c>
      <c r="F309" s="14" t="str" cm="1">
        <f t="array" ref="F309">_xlfn.TEXTJOIN(CHAR(10),TRUE,_xlfn._xlws.SORT(IF((--($B309=Flowdown_BTE[[URS]:[URS]]))*(--(F$14=Flowdown_BTE[[Source.Name]:[Source.Name]])),Flowdown_BTE[[SyRS]:[SyRS]],"")))</f>
        <v/>
      </c>
      <c r="G309" s="14" t="str" cm="1">
        <f t="array" ref="G309">_xlfn.TEXTJOIN(CHAR(10),TRUE,_xlfn._xlws.SORT(IF((--($B309=Flowdown_BTE[[URS]:[URS]]))*(--(G$14=Flowdown_BTE[[Source.Name]:[Source.Name]])),Flowdown_BTE[[SyRS]:[SyRS]],"")))</f>
        <v/>
      </c>
      <c r="H309" s="14" t="str" cm="1">
        <f t="array" ref="H309">_xlfn.TEXTJOIN(CHAR(10),TRUE,_xlfn._xlws.SORT(IF((--($B309=Flowdown_BTE[[URS]:[URS]]))*(--(H$14=Flowdown_BTE[[Source.Name]:[Source.Name]])),Flowdown_BTE[[SyRS]:[SyRS]],"")))</f>
        <v/>
      </c>
      <c r="I309" s="14" t="str" cm="1">
        <f t="array" ref="I309">_xlfn.TEXTJOIN(CHAR(10),TRUE,_xlfn._xlws.SORT(IF((--($B309=Flowdown_BTE[[URS]:[URS]]))*(--(I$14=Flowdown_BTE[[Source.Name]:[Source.Name]])),Flowdown_BTE[[SyRS]:[SyRS]],"")))</f>
        <v>MASTER-48453</v>
      </c>
      <c r="J309" s="14" t="str" cm="1">
        <f t="array" ref="J309">_xlfn.TEXTJOIN(CHAR(10),TRUE,_xlfn._xlws.SORT(IF((--($B309=Flowdown_BTE[[URS]:[URS]]))*(--(J$14=Flowdown_BTE[[Source.Name]:[Source.Name]])),Flowdown_BTE[[SyRS]:[SyRS]],"")))</f>
        <v>MASTER-48453</v>
      </c>
      <c r="K309" s="14" t="str" cm="1">
        <f t="array" ref="K309">_xlfn.TEXTJOIN(CHAR(10),TRUE,_xlfn._xlws.SORT(IF((--($B309=Flowdown_BTE[[URS]:[URS]]))*(--(K$14=Flowdown_BTE[[Source.Name]:[Source.Name]])),Flowdown_BTE[[SyRS]:[SyRS]],"")))</f>
        <v/>
      </c>
    </row>
    <row r="310" spans="2:11" ht="94.5" x14ac:dyDescent="0.2">
      <c r="B310" s="13" t="str">
        <v>MASTER-6688</v>
      </c>
      <c r="C310" s="14" t="str" cm="1">
        <f t="array" ref="C310">_xlfn.TEXTJOIN(CHAR(10),TRUE,_xlfn._xlws.SORT(IF((--($B310=Flowdown_BTE[[URS]:[URS]]))*(--(C$14=Flowdown_BTE[[Source.Name]:[Source.Name]])),Flowdown_BTE[[SyRS]:[SyRS]],"")))</f>
        <v>MASTER-19181
MASTER-19204
MASTER-19205
MASTER-19208
MASTER-51113
UTICA-5360</v>
      </c>
      <c r="D310" s="14" t="str" cm="1">
        <f t="array" ref="D310">_xlfn.TEXTJOIN(CHAR(10),TRUE,_xlfn._xlws.SORT(IF((--($B310=Flowdown_BTE[[URS]:[URS]]))*(--(D$14=Flowdown_BTE[[Source.Name]:[Source.Name]])),Flowdown_BTE[[SyRS]:[SyRS]],"")))</f>
        <v>MASTER-19181
MASTER-19204
MASTER-19205
MASTER-19208
MASTER-51113
UTICA-5360</v>
      </c>
      <c r="E310" s="14" t="str" cm="1">
        <f t="array" ref="E310">_xlfn.TEXTJOIN(CHAR(10),TRUE,_xlfn._xlws.SORT(IF((--($B310=Flowdown_BTE[[URS]:[URS]]))*(--(E$14=Flowdown_BTE[[Source.Name]:[Source.Name]])),Flowdown_BTE[[SyRS]:[SyRS]],"")))</f>
        <v>MASTER-19181
MASTER-19204
MASTER-19205
MASTER-19208
MASTER-51113
UTICA-3193
UTICA-4795</v>
      </c>
      <c r="F310" s="14" t="str" cm="1">
        <f t="array" ref="F310">_xlfn.TEXTJOIN(CHAR(10),TRUE,_xlfn._xlws.SORT(IF((--($B310=Flowdown_BTE[[URS]:[URS]]))*(--(F$14=Flowdown_BTE[[Source.Name]:[Source.Name]])),Flowdown_BTE[[SyRS]:[SyRS]],"")))</f>
        <v>MASTER-19181
MASTER-19204
MASTER-19205
MASTER-19208
MASTER-51113
UTICA-4166</v>
      </c>
      <c r="G310" s="14" t="str" cm="1">
        <f t="array" ref="G310">_xlfn.TEXTJOIN(CHAR(10),TRUE,_xlfn._xlws.SORT(IF((--($B310=Flowdown_BTE[[URS]:[URS]]))*(--(G$14=Flowdown_BTE[[Source.Name]:[Source.Name]])),Flowdown_BTE[[SyRS]:[SyRS]],"")))</f>
        <v>MASTER-19181
MASTER-19204
MASTER-19205
MASTER-19208
MASTER-51113
UTICA-3193</v>
      </c>
      <c r="H310" s="14" t="str" cm="1">
        <f t="array" ref="H310">_xlfn.TEXTJOIN(CHAR(10),TRUE,_xlfn._xlws.SORT(IF((--($B310=Flowdown_BTE[[URS]:[URS]]))*(--(H$14=Flowdown_BTE[[Source.Name]:[Source.Name]])),Flowdown_BTE[[SyRS]:[SyRS]],"")))</f>
        <v>MASTER-21278
MASTER-22274</v>
      </c>
      <c r="I310" s="14" t="str" cm="1">
        <f t="array" ref="I310">_xlfn.TEXTJOIN(CHAR(10),TRUE,_xlfn._xlws.SORT(IF((--($B310=Flowdown_BTE[[URS]:[URS]]))*(--(I$14=Flowdown_BTE[[Source.Name]:[Source.Name]])),Flowdown_BTE[[SyRS]:[SyRS]],"")))</f>
        <v>MASTER-20064
MASTER-20065</v>
      </c>
      <c r="J310" s="14" t="str" cm="1">
        <f t="array" ref="J310">_xlfn.TEXTJOIN(CHAR(10),TRUE,_xlfn._xlws.SORT(IF((--($B310=Flowdown_BTE[[URS]:[URS]]))*(--(J$14=Flowdown_BTE[[Source.Name]:[Source.Name]])),Flowdown_BTE[[SyRS]:[SyRS]],"")))</f>
        <v>MASTER-20034
MASTER-20035
MASTER-20064
MASTER-20065</v>
      </c>
      <c r="K310" s="14" t="str" cm="1">
        <f t="array" ref="K310">_xlfn.TEXTJOIN(CHAR(10),TRUE,_xlfn._xlws.SORT(IF((--($B310=Flowdown_BTE[[URS]:[URS]]))*(--(K$14=Flowdown_BTE[[Source.Name]:[Source.Name]])),Flowdown_BTE[[SyRS]:[SyRS]],"")))</f>
        <v/>
      </c>
    </row>
    <row r="311" spans="2:11" ht="40.5" x14ac:dyDescent="0.2">
      <c r="B311" s="13" t="str">
        <v>MASTER-6699</v>
      </c>
      <c r="C311" s="14" t="str" cm="1">
        <f t="array" ref="C311">_xlfn.TEXTJOIN(CHAR(10),TRUE,_xlfn._xlws.SORT(IF((--($B311=Flowdown_BTE[[URS]:[URS]]))*(--(C$14=Flowdown_BTE[[Source.Name]:[Source.Name]])),Flowdown_BTE[[SyRS]:[SyRS]],"")))</f>
        <v>MASTER-20052
MASTER-64684</v>
      </c>
      <c r="D311" s="14" t="str" cm="1">
        <f t="array" ref="D311">_xlfn.TEXTJOIN(CHAR(10),TRUE,_xlfn._xlws.SORT(IF((--($B311=Flowdown_BTE[[URS]:[URS]]))*(--(D$14=Flowdown_BTE[[Source.Name]:[Source.Name]])),Flowdown_BTE[[SyRS]:[SyRS]],"")))</f>
        <v>MASTER-20052
MASTER-64684</v>
      </c>
      <c r="E311" s="14" t="str" cm="1">
        <f t="array" ref="E311">_xlfn.TEXTJOIN(CHAR(10),TRUE,_xlfn._xlws.SORT(IF((--($B311=Flowdown_BTE[[URS]:[URS]]))*(--(E$14=Flowdown_BTE[[Source.Name]:[Source.Name]])),Flowdown_BTE[[SyRS]:[SyRS]],"")))</f>
        <v>MASTER-20052
MASTER-64684</v>
      </c>
      <c r="F311" s="14" t="str" cm="1">
        <f t="array" ref="F311">_xlfn.TEXTJOIN(CHAR(10),TRUE,_xlfn._xlws.SORT(IF((--($B311=Flowdown_BTE[[URS]:[URS]]))*(--(F$14=Flowdown_BTE[[Source.Name]:[Source.Name]])),Flowdown_BTE[[SyRS]:[SyRS]],"")))</f>
        <v>MASTER-20052
MASTER-64684</v>
      </c>
      <c r="G311" s="14" t="str" cm="1">
        <f t="array" ref="G311">_xlfn.TEXTJOIN(CHAR(10),TRUE,_xlfn._xlws.SORT(IF((--($B311=Flowdown_BTE[[URS]:[URS]]))*(--(G$14=Flowdown_BTE[[Source.Name]:[Source.Name]])),Flowdown_BTE[[SyRS]:[SyRS]],"")))</f>
        <v>MASTER-20052
MASTER-64684
UTICA-6777</v>
      </c>
      <c r="H311" s="14" t="str" cm="1">
        <f t="array" ref="H311">_xlfn.TEXTJOIN(CHAR(10),TRUE,_xlfn._xlws.SORT(IF((--($B311=Flowdown_BTE[[URS]:[URS]]))*(--(H$14=Flowdown_BTE[[Source.Name]:[Source.Name]])),Flowdown_BTE[[SyRS]:[SyRS]],"")))</f>
        <v/>
      </c>
      <c r="I311" s="14" t="str" cm="1">
        <f t="array" ref="I311">_xlfn.TEXTJOIN(CHAR(10),TRUE,_xlfn._xlws.SORT(IF((--($B311=Flowdown_BTE[[URS]:[URS]]))*(--(I$14=Flowdown_BTE[[Source.Name]:[Source.Name]])),Flowdown_BTE[[SyRS]:[SyRS]],"")))</f>
        <v>MASTER-20049
UTICA-211</v>
      </c>
      <c r="J311" s="14" t="str" cm="1">
        <f t="array" ref="J311">_xlfn.TEXTJOIN(CHAR(10),TRUE,_xlfn._xlws.SORT(IF((--($B311=Flowdown_BTE[[URS]:[URS]]))*(--(J$14=Flowdown_BTE[[Source.Name]:[Source.Name]])),Flowdown_BTE[[SyRS]:[SyRS]],"")))</f>
        <v>MASTER-20034
MASTER-20035
MASTER-20049</v>
      </c>
      <c r="K311" s="14" t="str" cm="1">
        <f t="array" ref="K311">_xlfn.TEXTJOIN(CHAR(10),TRUE,_xlfn._xlws.SORT(IF((--($B311=Flowdown_BTE[[URS]:[URS]]))*(--(K$14=Flowdown_BTE[[Source.Name]:[Source.Name]])),Flowdown_BTE[[SyRS]:[SyRS]],"")))</f>
        <v/>
      </c>
    </row>
    <row r="312" spans="2:11" ht="40.5" x14ac:dyDescent="0.2">
      <c r="B312" s="13" t="str">
        <v>MASTER-6700</v>
      </c>
      <c r="C312" s="14" t="str" cm="1">
        <f t="array" ref="C312">_xlfn.TEXTJOIN(CHAR(10),TRUE,_xlfn._xlws.SORT(IF((--($B312=Flowdown_BTE[[URS]:[URS]]))*(--(C$14=Flowdown_BTE[[Source.Name]:[Source.Name]])),Flowdown_BTE[[SyRS]:[SyRS]],"")))</f>
        <v/>
      </c>
      <c r="D312" s="14" t="str" cm="1">
        <f t="array" ref="D312">_xlfn.TEXTJOIN(CHAR(10),TRUE,_xlfn._xlws.SORT(IF((--($B312=Flowdown_BTE[[URS]:[URS]]))*(--(D$14=Flowdown_BTE[[Source.Name]:[Source.Name]])),Flowdown_BTE[[SyRS]:[SyRS]],"")))</f>
        <v/>
      </c>
      <c r="E312" s="14" t="str" cm="1">
        <f t="array" ref="E312">_xlfn.TEXTJOIN(CHAR(10),TRUE,_xlfn._xlws.SORT(IF((--($B312=Flowdown_BTE[[URS]:[URS]]))*(--(E$14=Flowdown_BTE[[Source.Name]:[Source.Name]])),Flowdown_BTE[[SyRS]:[SyRS]],"")))</f>
        <v/>
      </c>
      <c r="F312" s="14" t="str" cm="1">
        <f t="array" ref="F312">_xlfn.TEXTJOIN(CHAR(10),TRUE,_xlfn._xlws.SORT(IF((--($B312=Flowdown_BTE[[URS]:[URS]]))*(--(F$14=Flowdown_BTE[[Source.Name]:[Source.Name]])),Flowdown_BTE[[SyRS]:[SyRS]],"")))</f>
        <v/>
      </c>
      <c r="G312" s="14" t="str" cm="1">
        <f t="array" ref="G312">_xlfn.TEXTJOIN(CHAR(10),TRUE,_xlfn._xlws.SORT(IF((--($B312=Flowdown_BTE[[URS]:[URS]]))*(--(G$14=Flowdown_BTE[[Source.Name]:[Source.Name]])),Flowdown_BTE[[SyRS]:[SyRS]],"")))</f>
        <v/>
      </c>
      <c r="H312" s="14" t="str" cm="1">
        <f t="array" ref="H312">_xlfn.TEXTJOIN(CHAR(10),TRUE,_xlfn._xlws.SORT(IF((--($B312=Flowdown_BTE[[URS]:[URS]]))*(--(H$14=Flowdown_BTE[[Source.Name]:[Source.Name]])),Flowdown_BTE[[SyRS]:[SyRS]],"")))</f>
        <v/>
      </c>
      <c r="I312" s="14" t="str" cm="1">
        <f t="array" ref="I312">_xlfn.TEXTJOIN(CHAR(10),TRUE,_xlfn._xlws.SORT(IF((--($B312=Flowdown_BTE[[URS]:[URS]]))*(--(I$14=Flowdown_BTE[[Source.Name]:[Source.Name]])),Flowdown_BTE[[SyRS]:[SyRS]],"")))</f>
        <v>MASTER-20049
UTICA-211</v>
      </c>
      <c r="J312" s="14" t="str" cm="1">
        <f t="array" ref="J312">_xlfn.TEXTJOIN(CHAR(10),TRUE,_xlfn._xlws.SORT(IF((--($B312=Flowdown_BTE[[URS]:[URS]]))*(--(J$14=Flowdown_BTE[[Source.Name]:[Source.Name]])),Flowdown_BTE[[SyRS]:[SyRS]],"")))</f>
        <v>MASTER-20034
MASTER-20035
MASTER-20049</v>
      </c>
      <c r="K312" s="14" t="str" cm="1">
        <f t="array" ref="K312">_xlfn.TEXTJOIN(CHAR(10),TRUE,_xlfn._xlws.SORT(IF((--($B312=Flowdown_BTE[[URS]:[URS]]))*(--(K$14=Flowdown_BTE[[Source.Name]:[Source.Name]])),Flowdown_BTE[[SyRS]:[SyRS]],"")))</f>
        <v/>
      </c>
    </row>
    <row r="313" spans="2:11" ht="54" x14ac:dyDescent="0.2">
      <c r="B313" s="13" t="str">
        <v>MASTER-6701</v>
      </c>
      <c r="C313" s="14" t="str" cm="1">
        <f t="array" ref="C313">_xlfn.TEXTJOIN(CHAR(10),TRUE,_xlfn._xlws.SORT(IF((--($B313=Flowdown_BTE[[URS]:[URS]]))*(--(C$14=Flowdown_BTE[[Source.Name]:[Source.Name]])),Flowdown_BTE[[SyRS]:[SyRS]],"")))</f>
        <v>MASTER-18086
MASTER-18107
MASTER-18108
MASTER-18109</v>
      </c>
      <c r="D313" s="14" t="str" cm="1">
        <f t="array" ref="D313">_xlfn.TEXTJOIN(CHAR(10),TRUE,_xlfn._xlws.SORT(IF((--($B313=Flowdown_BTE[[URS]:[URS]]))*(--(D$14=Flowdown_BTE[[Source.Name]:[Source.Name]])),Flowdown_BTE[[SyRS]:[SyRS]],"")))</f>
        <v>MASTER-18086
MASTER-18107
MASTER-18108
MASTER-18109</v>
      </c>
      <c r="E313" s="14" t="str" cm="1">
        <f t="array" ref="E313">_xlfn.TEXTJOIN(CHAR(10),TRUE,_xlfn._xlws.SORT(IF((--($B313=Flowdown_BTE[[URS]:[URS]]))*(--(E$14=Flowdown_BTE[[Source.Name]:[Source.Name]])),Flowdown_BTE[[SyRS]:[SyRS]],"")))</f>
        <v>MASTER-18086
MASTER-18107
MASTER-18108
MASTER-18109</v>
      </c>
      <c r="F313" s="14" t="str" cm="1">
        <f t="array" ref="F313">_xlfn.TEXTJOIN(CHAR(10),TRUE,_xlfn._xlws.SORT(IF((--($B313=Flowdown_BTE[[URS]:[URS]]))*(--(F$14=Flowdown_BTE[[Source.Name]:[Source.Name]])),Flowdown_BTE[[SyRS]:[SyRS]],"")))</f>
        <v>MASTER-18086
MASTER-18107
MASTER-18108
MASTER-18109</v>
      </c>
      <c r="G313" s="14" t="str" cm="1">
        <f t="array" ref="G313">_xlfn.TEXTJOIN(CHAR(10),TRUE,_xlfn._xlws.SORT(IF((--($B313=Flowdown_BTE[[URS]:[URS]]))*(--(G$14=Flowdown_BTE[[Source.Name]:[Source.Name]])),Flowdown_BTE[[SyRS]:[SyRS]],"")))</f>
        <v>MASTER-18086
MASTER-18107
MASTER-18108
MASTER-18109</v>
      </c>
      <c r="H313" s="14" t="str" cm="1">
        <f t="array" ref="H313">_xlfn.TEXTJOIN(CHAR(10),TRUE,_xlfn._xlws.SORT(IF((--($B313=Flowdown_BTE[[URS]:[URS]]))*(--(H$14=Flowdown_BTE[[Source.Name]:[Source.Name]])),Flowdown_BTE[[SyRS]:[SyRS]],"")))</f>
        <v/>
      </c>
      <c r="I313" s="14" t="str" cm="1">
        <f t="array" ref="I313">_xlfn.TEXTJOIN(CHAR(10),TRUE,_xlfn._xlws.SORT(IF((--($B313=Flowdown_BTE[[URS]:[URS]]))*(--(I$14=Flowdown_BTE[[Source.Name]:[Source.Name]])),Flowdown_BTE[[SyRS]:[SyRS]],"")))</f>
        <v/>
      </c>
      <c r="J313" s="14" t="str" cm="1">
        <f t="array" ref="J313">_xlfn.TEXTJOIN(CHAR(10),TRUE,_xlfn._xlws.SORT(IF((--($B313=Flowdown_BTE[[URS]:[URS]]))*(--(J$14=Flowdown_BTE[[Source.Name]:[Source.Name]])),Flowdown_BTE[[SyRS]:[SyRS]],"")))</f>
        <v>MASTER-20034
MASTER-20035</v>
      </c>
      <c r="K313" s="14" t="str" cm="1">
        <f t="array" ref="K313">_xlfn.TEXTJOIN(CHAR(10),TRUE,_xlfn._xlws.SORT(IF((--($B313=Flowdown_BTE[[URS]:[URS]]))*(--(K$14=Flowdown_BTE[[Source.Name]:[Source.Name]])),Flowdown_BTE[[SyRS]:[SyRS]],"")))</f>
        <v/>
      </c>
    </row>
    <row r="314" spans="2:11" ht="27" x14ac:dyDescent="0.2">
      <c r="B314" s="13" t="str">
        <v>MASTER-6702</v>
      </c>
      <c r="C314" s="14" t="str" cm="1">
        <f t="array" ref="C314">_xlfn.TEXTJOIN(CHAR(10),TRUE,_xlfn._xlws.SORT(IF((--($B314=Flowdown_BTE[[URS]:[URS]]))*(--(C$14=Flowdown_BTE[[Source.Name]:[Source.Name]])),Flowdown_BTE[[SyRS]:[SyRS]],"")))</f>
        <v/>
      </c>
      <c r="D314" s="14" t="str" cm="1">
        <f t="array" ref="D314">_xlfn.TEXTJOIN(CHAR(10),TRUE,_xlfn._xlws.SORT(IF((--($B314=Flowdown_BTE[[URS]:[URS]]))*(--(D$14=Flowdown_BTE[[Source.Name]:[Source.Name]])),Flowdown_BTE[[SyRS]:[SyRS]],"")))</f>
        <v/>
      </c>
      <c r="E314" s="14" t="str" cm="1">
        <f t="array" ref="E314">_xlfn.TEXTJOIN(CHAR(10),TRUE,_xlfn._xlws.SORT(IF((--($B314=Flowdown_BTE[[URS]:[URS]]))*(--(E$14=Flowdown_BTE[[Source.Name]:[Source.Name]])),Flowdown_BTE[[SyRS]:[SyRS]],"")))</f>
        <v/>
      </c>
      <c r="F314" s="14" t="str" cm="1">
        <f t="array" ref="F314">_xlfn.TEXTJOIN(CHAR(10),TRUE,_xlfn._xlws.SORT(IF((--($B314=Flowdown_BTE[[URS]:[URS]]))*(--(F$14=Flowdown_BTE[[Source.Name]:[Source.Name]])),Flowdown_BTE[[SyRS]:[SyRS]],"")))</f>
        <v/>
      </c>
      <c r="G314" s="14" t="str" cm="1">
        <f t="array" ref="G314">_xlfn.TEXTJOIN(CHAR(10),TRUE,_xlfn._xlws.SORT(IF((--($B314=Flowdown_BTE[[URS]:[URS]]))*(--(G$14=Flowdown_BTE[[Source.Name]:[Source.Name]])),Flowdown_BTE[[SyRS]:[SyRS]],"")))</f>
        <v/>
      </c>
      <c r="H314" s="14" t="str" cm="1">
        <f t="array" ref="H314">_xlfn.TEXTJOIN(CHAR(10),TRUE,_xlfn._xlws.SORT(IF((--($B314=Flowdown_BTE[[URS]:[URS]]))*(--(H$14=Flowdown_BTE[[Source.Name]:[Source.Name]])),Flowdown_BTE[[SyRS]:[SyRS]],"")))</f>
        <v/>
      </c>
      <c r="I314" s="14" t="str" cm="1">
        <f t="array" ref="I314">_xlfn.TEXTJOIN(CHAR(10),TRUE,_xlfn._xlws.SORT(IF((--($B314=Flowdown_BTE[[URS]:[URS]]))*(--(I$14=Flowdown_BTE[[Source.Name]:[Source.Name]])),Flowdown_BTE[[SyRS]:[SyRS]],"")))</f>
        <v/>
      </c>
      <c r="J314" s="14" t="str" cm="1">
        <f t="array" ref="J314">_xlfn.TEXTJOIN(CHAR(10),TRUE,_xlfn._xlws.SORT(IF((--($B314=Flowdown_BTE[[URS]:[URS]]))*(--(J$14=Flowdown_BTE[[Source.Name]:[Source.Name]])),Flowdown_BTE[[SyRS]:[SyRS]],"")))</f>
        <v>MASTER-20034
MASTER-20035</v>
      </c>
      <c r="K314" s="14" t="str" cm="1">
        <f t="array" ref="K314">_xlfn.TEXTJOIN(CHAR(10),TRUE,_xlfn._xlws.SORT(IF((--($B314=Flowdown_BTE[[URS]:[URS]]))*(--(K$14=Flowdown_BTE[[Source.Name]:[Source.Name]])),Flowdown_BTE[[SyRS]:[SyRS]],"")))</f>
        <v/>
      </c>
    </row>
    <row r="315" spans="2:11" ht="409.5" x14ac:dyDescent="0.2">
      <c r="B315" s="13" t="str">
        <v>MASTER-6704</v>
      </c>
      <c r="C315" s="14" t="str" cm="1">
        <f t="array" ref="C315">_xlfn.TEXTJOIN(CHAR(10),TRUE,_xlfn._xlws.SORT(IF((--($B315=Flowdown_BTE[[URS]:[URS]]))*(--(C$14=Flowdown_BTE[[Source.Name]:[Source.Name]])),Flowdown_BTE[[SyRS]:[SyRS]],"")))</f>
        <v>MASTER-19838
MASTER-19839
MASTER-19840
MASTER-19841
MASTER-19842
MASTER-50186</v>
      </c>
      <c r="D315" s="14" t="str" cm="1">
        <f t="array" ref="D315">_xlfn.TEXTJOIN(CHAR(10),TRUE,_xlfn._xlws.SORT(IF((--($B315=Flowdown_BTE[[URS]:[URS]]))*(--(D$14=Flowdown_BTE[[Source.Name]:[Source.Name]])),Flowdown_BTE[[SyRS]:[SyRS]],"")))</f>
        <v>MASTER-19838
MASTER-19839
MASTER-19840
MASTER-19841
MASTER-19842
MASTER-50186</v>
      </c>
      <c r="E315" s="14" t="str" cm="1">
        <f t="array" ref="E315">_xlfn.TEXTJOIN(CHAR(10),TRUE,_xlfn._xlws.SORT(IF((--($B315=Flowdown_BTE[[URS]:[URS]]))*(--(E$14=Flowdown_BTE[[Source.Name]:[Source.Name]])),Flowdown_BTE[[SyRS]:[SyRS]],"")))</f>
        <v>MASTER-19838
MASTER-19839
MASTER-19840
MASTER-19841
MASTER-19842
MASTER-50186</v>
      </c>
      <c r="F315" s="14" t="str" cm="1">
        <f t="array" ref="F315">_xlfn.TEXTJOIN(CHAR(10),TRUE,_xlfn._xlws.SORT(IF((--($B315=Flowdown_BTE[[URS]:[URS]]))*(--(F$14=Flowdown_BTE[[Source.Name]:[Source.Name]])),Flowdown_BTE[[SyRS]:[SyRS]],"")))</f>
        <v>MASTER-19838
MASTER-19839
MASTER-19840
MASTER-19841
MASTER-19842
MASTER-50186</v>
      </c>
      <c r="G315" s="14" t="str" cm="1">
        <f t="array" ref="G315">_xlfn.TEXTJOIN(CHAR(10),TRUE,_xlfn._xlws.SORT(IF((--($B315=Flowdown_BTE[[URS]:[URS]]))*(--(G$14=Flowdown_BTE[[Source.Name]:[Source.Name]])),Flowdown_BTE[[SyRS]:[SyRS]],"")))</f>
        <v>MASTER-19838
MASTER-19839
MASTER-19840
MASTER-19841
MASTER-19842
MASTER-50186</v>
      </c>
      <c r="H315" s="14" t="str" cm="1">
        <f t="array" ref="H315">_xlfn.TEXTJOIN(CHAR(10),TRUE,_xlfn._xlws.SORT(IF((--($B315=Flowdown_BTE[[URS]:[URS]]))*(--(H$14=Flowdown_BTE[[Source.Name]:[Source.Name]])),Flowdown_BTE[[SyRS]:[SyRS]],"")))</f>
        <v>MASTER-42207
MASTER-42208
MASTER-42209</v>
      </c>
      <c r="I315" s="14" t="str" cm="1">
        <f t="array" ref="I315">_xlfn.TEXTJOIN(CHAR(10),TRUE,_xlfn._xlws.SORT(IF((--($B315=Flowdown_BTE[[URS]:[URS]]))*(--(I$14=Flowdown_BTE[[Source.Name]:[Source.Name]])),Flowdown_BTE[[SyRS]:[SyRS]],"")))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15" s="14" t="str" cm="1">
        <f t="array" ref="J315">_xlfn.TEXTJOIN(CHAR(10),TRUE,_xlfn._xlws.SORT(IF((--($B315=Flowdown_BTE[[URS]:[URS]]))*(--(J$14=Flowdown_BTE[[Source.Name]:[Source.Name]])),Flowdown_BTE[[SyRS]:[SyRS]],"")))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15" s="14" t="str" cm="1">
        <f t="array" ref="K315">_xlfn.TEXTJOIN(CHAR(10),TRUE,_xlfn._xlws.SORT(IF((--($B315=Flowdown_BTE[[URS]:[URS]]))*(--(K$14=Flowdown_BTE[[Source.Name]:[Source.Name]])),Flowdown_BTE[[SyRS]:[SyRS]],"")))</f>
        <v>MASTER-50182
MASTER-62149</v>
      </c>
    </row>
    <row r="316" spans="2:11" ht="13.5" x14ac:dyDescent="0.2">
      <c r="B316" s="13" t="str">
        <v>MASTER-6705</v>
      </c>
      <c r="C316" s="14" t="str" cm="1">
        <f t="array" ref="C316">_xlfn.TEXTJOIN(CHAR(10),TRUE,_xlfn._xlws.SORT(IF((--($B316=Flowdown_BTE[[URS]:[URS]]))*(--(C$14=Flowdown_BTE[[Source.Name]:[Source.Name]])),Flowdown_BTE[[SyRS]:[SyRS]],"")))</f>
        <v/>
      </c>
      <c r="D316" s="14" t="str" cm="1">
        <f t="array" ref="D316">_xlfn.TEXTJOIN(CHAR(10),TRUE,_xlfn._xlws.SORT(IF((--($B316=Flowdown_BTE[[URS]:[URS]]))*(--(D$14=Flowdown_BTE[[Source.Name]:[Source.Name]])),Flowdown_BTE[[SyRS]:[SyRS]],"")))</f>
        <v/>
      </c>
      <c r="E316" s="14" t="str" cm="1">
        <f t="array" ref="E316">_xlfn.TEXTJOIN(CHAR(10),TRUE,_xlfn._xlws.SORT(IF((--($B316=Flowdown_BTE[[URS]:[URS]]))*(--(E$14=Flowdown_BTE[[Source.Name]:[Source.Name]])),Flowdown_BTE[[SyRS]:[SyRS]],"")))</f>
        <v/>
      </c>
      <c r="F316" s="14" t="str" cm="1">
        <f t="array" ref="F316">_xlfn.TEXTJOIN(CHAR(10),TRUE,_xlfn._xlws.SORT(IF((--($B316=Flowdown_BTE[[URS]:[URS]]))*(--(F$14=Flowdown_BTE[[Source.Name]:[Source.Name]])),Flowdown_BTE[[SyRS]:[SyRS]],"")))</f>
        <v/>
      </c>
      <c r="G316" s="14" t="str" cm="1">
        <f t="array" ref="G316">_xlfn.TEXTJOIN(CHAR(10),TRUE,_xlfn._xlws.SORT(IF((--($B316=Flowdown_BTE[[URS]:[URS]]))*(--(G$14=Flowdown_BTE[[Source.Name]:[Source.Name]])),Flowdown_BTE[[SyRS]:[SyRS]],"")))</f>
        <v/>
      </c>
      <c r="H316" s="14" t="str" cm="1">
        <f t="array" ref="H316">_xlfn.TEXTJOIN(CHAR(10),TRUE,_xlfn._xlws.SORT(IF((--($B316=Flowdown_BTE[[URS]:[URS]]))*(--(H$14=Flowdown_BTE[[Source.Name]:[Source.Name]])),Flowdown_BTE[[SyRS]:[SyRS]],"")))</f>
        <v/>
      </c>
      <c r="I316" s="14" t="str" cm="1">
        <f t="array" ref="I316">_xlfn.TEXTJOIN(CHAR(10),TRUE,_xlfn._xlws.SORT(IF((--($B316=Flowdown_BTE[[URS]:[URS]]))*(--(I$14=Flowdown_BTE[[Source.Name]:[Source.Name]])),Flowdown_BTE[[SyRS]:[SyRS]],"")))</f>
        <v>MASTER-50185</v>
      </c>
      <c r="J316" s="14" t="str" cm="1">
        <f t="array" ref="J316">_xlfn.TEXTJOIN(CHAR(10),TRUE,_xlfn._xlws.SORT(IF((--($B316=Flowdown_BTE[[URS]:[URS]]))*(--(J$14=Flowdown_BTE[[Source.Name]:[Source.Name]])),Flowdown_BTE[[SyRS]:[SyRS]],"")))</f>
        <v>MASTER-50185</v>
      </c>
      <c r="K316" s="14" t="str" cm="1">
        <f t="array" ref="K316">_xlfn.TEXTJOIN(CHAR(10),TRUE,_xlfn._xlws.SORT(IF((--($B316=Flowdown_BTE[[URS]:[URS]]))*(--(K$14=Flowdown_BTE[[Source.Name]:[Source.Name]])),Flowdown_BTE[[SyRS]:[SyRS]],"")))</f>
        <v/>
      </c>
    </row>
    <row r="317" spans="2:11" ht="13.5" x14ac:dyDescent="0.2">
      <c r="B317" s="13" t="str">
        <v>MASTER-6706</v>
      </c>
      <c r="C317" s="14" t="str" cm="1">
        <f t="array" ref="C317">_xlfn.TEXTJOIN(CHAR(10),TRUE,_xlfn._xlws.SORT(IF((--($B317=Flowdown_BTE[[URS]:[URS]]))*(--(C$14=Flowdown_BTE[[Source.Name]:[Source.Name]])),Flowdown_BTE[[SyRS]:[SyRS]],"")))</f>
        <v/>
      </c>
      <c r="D317" s="14" t="str" cm="1">
        <f t="array" ref="D317">_xlfn.TEXTJOIN(CHAR(10),TRUE,_xlfn._xlws.SORT(IF((--($B317=Flowdown_BTE[[URS]:[URS]]))*(--(D$14=Flowdown_BTE[[Source.Name]:[Source.Name]])),Flowdown_BTE[[SyRS]:[SyRS]],"")))</f>
        <v/>
      </c>
      <c r="E317" s="14" t="str" cm="1">
        <f t="array" ref="E317">_xlfn.TEXTJOIN(CHAR(10),TRUE,_xlfn._xlws.SORT(IF((--($B317=Flowdown_BTE[[URS]:[URS]]))*(--(E$14=Flowdown_BTE[[Source.Name]:[Source.Name]])),Flowdown_BTE[[SyRS]:[SyRS]],"")))</f>
        <v/>
      </c>
      <c r="F317" s="14" t="str" cm="1">
        <f t="array" ref="F317">_xlfn.TEXTJOIN(CHAR(10),TRUE,_xlfn._xlws.SORT(IF((--($B317=Flowdown_BTE[[URS]:[URS]]))*(--(F$14=Flowdown_BTE[[Source.Name]:[Source.Name]])),Flowdown_BTE[[SyRS]:[SyRS]],"")))</f>
        <v/>
      </c>
      <c r="G317" s="14" t="str" cm="1">
        <f t="array" ref="G317">_xlfn.TEXTJOIN(CHAR(10),TRUE,_xlfn._xlws.SORT(IF((--($B317=Flowdown_BTE[[URS]:[URS]]))*(--(G$14=Flowdown_BTE[[Source.Name]:[Source.Name]])),Flowdown_BTE[[SyRS]:[SyRS]],"")))</f>
        <v/>
      </c>
      <c r="H317" s="14" t="str" cm="1">
        <f t="array" ref="H317">_xlfn.TEXTJOIN(CHAR(10),TRUE,_xlfn._xlws.SORT(IF((--($B317=Flowdown_BTE[[URS]:[URS]]))*(--(H$14=Flowdown_BTE[[Source.Name]:[Source.Name]])),Flowdown_BTE[[SyRS]:[SyRS]],"")))</f>
        <v/>
      </c>
      <c r="I317" s="14" t="str" cm="1">
        <f t="array" ref="I317">_xlfn.TEXTJOIN(CHAR(10),TRUE,_xlfn._xlws.SORT(IF((--($B317=Flowdown_BTE[[URS]:[URS]]))*(--(I$14=Flowdown_BTE[[Source.Name]:[Source.Name]])),Flowdown_BTE[[SyRS]:[SyRS]],"")))</f>
        <v>MASTER-50185</v>
      </c>
      <c r="J317" s="14" t="str" cm="1">
        <f t="array" ref="J317">_xlfn.TEXTJOIN(CHAR(10),TRUE,_xlfn._xlws.SORT(IF((--($B317=Flowdown_BTE[[URS]:[URS]]))*(--(J$14=Flowdown_BTE[[Source.Name]:[Source.Name]])),Flowdown_BTE[[SyRS]:[SyRS]],"")))</f>
        <v>MASTER-50185</v>
      </c>
      <c r="K317" s="14" t="str" cm="1">
        <f t="array" ref="K317">_xlfn.TEXTJOIN(CHAR(10),TRUE,_xlfn._xlws.SORT(IF((--($B317=Flowdown_BTE[[URS]:[URS]]))*(--(K$14=Flowdown_BTE[[Source.Name]:[Source.Name]])),Flowdown_BTE[[SyRS]:[SyRS]],"")))</f>
        <v/>
      </c>
    </row>
    <row r="318" spans="2:11" ht="13.5" x14ac:dyDescent="0.2">
      <c r="B318" s="13" t="str">
        <v>MASTER-6707</v>
      </c>
      <c r="C318" s="14" t="str" cm="1">
        <f t="array" ref="C318">_xlfn.TEXTJOIN(CHAR(10),TRUE,_xlfn._xlws.SORT(IF((--($B318=Flowdown_BTE[[URS]:[URS]]))*(--(C$14=Flowdown_BTE[[Source.Name]:[Source.Name]])),Flowdown_BTE[[SyRS]:[SyRS]],"")))</f>
        <v/>
      </c>
      <c r="D318" s="14" t="str" cm="1">
        <f t="array" ref="D318">_xlfn.TEXTJOIN(CHAR(10),TRUE,_xlfn._xlws.SORT(IF((--($B318=Flowdown_BTE[[URS]:[URS]]))*(--(D$14=Flowdown_BTE[[Source.Name]:[Source.Name]])),Flowdown_BTE[[SyRS]:[SyRS]],"")))</f>
        <v/>
      </c>
      <c r="E318" s="14" t="str" cm="1">
        <f t="array" ref="E318">_xlfn.TEXTJOIN(CHAR(10),TRUE,_xlfn._xlws.SORT(IF((--($B318=Flowdown_BTE[[URS]:[URS]]))*(--(E$14=Flowdown_BTE[[Source.Name]:[Source.Name]])),Flowdown_BTE[[SyRS]:[SyRS]],"")))</f>
        <v/>
      </c>
      <c r="F318" s="14" t="str" cm="1">
        <f t="array" ref="F318">_xlfn.TEXTJOIN(CHAR(10),TRUE,_xlfn._xlws.SORT(IF((--($B318=Flowdown_BTE[[URS]:[URS]]))*(--(F$14=Flowdown_BTE[[Source.Name]:[Source.Name]])),Flowdown_BTE[[SyRS]:[SyRS]],"")))</f>
        <v/>
      </c>
      <c r="G318" s="14" t="str" cm="1">
        <f t="array" ref="G318">_xlfn.TEXTJOIN(CHAR(10),TRUE,_xlfn._xlws.SORT(IF((--($B318=Flowdown_BTE[[URS]:[URS]]))*(--(G$14=Flowdown_BTE[[Source.Name]:[Source.Name]])),Flowdown_BTE[[SyRS]:[SyRS]],"")))</f>
        <v/>
      </c>
      <c r="H318" s="14" t="str" cm="1">
        <f t="array" ref="H318">_xlfn.TEXTJOIN(CHAR(10),TRUE,_xlfn._xlws.SORT(IF((--($B318=Flowdown_BTE[[URS]:[URS]]))*(--(H$14=Flowdown_BTE[[Source.Name]:[Source.Name]])),Flowdown_BTE[[SyRS]:[SyRS]],"")))</f>
        <v/>
      </c>
      <c r="I318" s="14" t="str" cm="1">
        <f t="array" ref="I318">_xlfn.TEXTJOIN(CHAR(10),TRUE,_xlfn._xlws.SORT(IF((--($B318=Flowdown_BTE[[URS]:[URS]]))*(--(I$14=Flowdown_BTE[[Source.Name]:[Source.Name]])),Flowdown_BTE[[SyRS]:[SyRS]],"")))</f>
        <v/>
      </c>
      <c r="J318" s="14" t="str" cm="1">
        <f t="array" ref="J318">_xlfn.TEXTJOIN(CHAR(10),TRUE,_xlfn._xlws.SORT(IF((--($B318=Flowdown_BTE[[URS]:[URS]]))*(--(J$14=Flowdown_BTE[[Source.Name]:[Source.Name]])),Flowdown_BTE[[SyRS]:[SyRS]],"")))</f>
        <v>MASTER-50185</v>
      </c>
      <c r="K318" s="14" t="str" cm="1">
        <f t="array" ref="K318">_xlfn.TEXTJOIN(CHAR(10),TRUE,_xlfn._xlws.SORT(IF((--($B318=Flowdown_BTE[[URS]:[URS]]))*(--(K$14=Flowdown_BTE[[Source.Name]:[Source.Name]])),Flowdown_BTE[[SyRS]:[SyRS]],"")))</f>
        <v/>
      </c>
    </row>
    <row r="319" spans="2:11" ht="94.5" x14ac:dyDescent="0.2">
      <c r="B319" s="13" t="str">
        <v>MASTER-6708</v>
      </c>
      <c r="C319" s="14" t="str" cm="1">
        <f t="array" ref="C319">_xlfn.TEXTJOIN(CHAR(10),TRUE,_xlfn._xlws.SORT(IF((--($B319=Flowdown_BTE[[URS]:[URS]]))*(--(C$14=Flowdown_BTE[[Source.Name]:[Source.Name]])),Flowdown_BTE[[SyRS]:[SyRS]],"")))</f>
        <v/>
      </c>
      <c r="D319" s="14" t="str" cm="1">
        <f t="array" ref="D319">_xlfn.TEXTJOIN(CHAR(10),TRUE,_xlfn._xlws.SORT(IF((--($B319=Flowdown_BTE[[URS]:[URS]]))*(--(D$14=Flowdown_BTE[[Source.Name]:[Source.Name]])),Flowdown_BTE[[SyRS]:[SyRS]],"")))</f>
        <v>MASTER-55160
MASTER-55162
MASTER-55163
MASTER-55165
MASTER-55166
MASTER-55167
MASTER-55169</v>
      </c>
      <c r="E319" s="14" t="str" cm="1">
        <f t="array" ref="E319">_xlfn.TEXTJOIN(CHAR(10),TRUE,_xlfn._xlws.SORT(IF((--($B319=Flowdown_BTE[[URS]:[URS]]))*(--(E$14=Flowdown_BTE[[Source.Name]:[Source.Name]])),Flowdown_BTE[[SyRS]:[SyRS]],"")))</f>
        <v>MASTER-55160
MASTER-55162
MASTER-55163
MASTER-55165
MASTER-55166
MASTER-55167
MASTER-55169</v>
      </c>
      <c r="F319" s="14" t="str" cm="1">
        <f t="array" ref="F319">_xlfn.TEXTJOIN(CHAR(10),TRUE,_xlfn._xlws.SORT(IF((--($B319=Flowdown_BTE[[URS]:[URS]]))*(--(F$14=Flowdown_BTE[[Source.Name]:[Source.Name]])),Flowdown_BTE[[SyRS]:[SyRS]],"")))</f>
        <v>MASTER-55160
MASTER-55162
MASTER-55163
MASTER-55165
MASTER-55166
MASTER-55167
MASTER-55169</v>
      </c>
      <c r="G319" s="14" t="str" cm="1">
        <f t="array" ref="G319">_xlfn.TEXTJOIN(CHAR(10),TRUE,_xlfn._xlws.SORT(IF((--($B319=Flowdown_BTE[[URS]:[URS]]))*(--(G$14=Flowdown_BTE[[Source.Name]:[Source.Name]])),Flowdown_BTE[[SyRS]:[SyRS]],"")))</f>
        <v/>
      </c>
      <c r="H319" s="14" t="str" cm="1">
        <f t="array" ref="H319">_xlfn.TEXTJOIN(CHAR(10),TRUE,_xlfn._xlws.SORT(IF((--($B319=Flowdown_BTE[[URS]:[URS]]))*(--(H$14=Flowdown_BTE[[Source.Name]:[Source.Name]])),Flowdown_BTE[[SyRS]:[SyRS]],"")))</f>
        <v>MASTER-20651
MASTER-20652
MASTER-55171</v>
      </c>
      <c r="I319" s="14" t="str" cm="1">
        <f t="array" ref="I319">_xlfn.TEXTJOIN(CHAR(10),TRUE,_xlfn._xlws.SORT(IF((--($B319=Flowdown_BTE[[URS]:[URS]]))*(--(I$14=Flowdown_BTE[[Source.Name]:[Source.Name]])),Flowdown_BTE[[SyRS]:[SyRS]],"")))</f>
        <v/>
      </c>
      <c r="J319" s="14" t="str" cm="1">
        <f t="array" ref="J319">_xlfn.TEXTJOIN(CHAR(10),TRUE,_xlfn._xlws.SORT(IF((--($B319=Flowdown_BTE[[URS]:[URS]]))*(--(J$14=Flowdown_BTE[[Source.Name]:[Source.Name]])),Flowdown_BTE[[SyRS]:[SyRS]],"")))</f>
        <v/>
      </c>
      <c r="K319" s="14" t="str" cm="1">
        <f t="array" ref="K319">_xlfn.TEXTJOIN(CHAR(10),TRUE,_xlfn._xlws.SORT(IF((--($B319=Flowdown_BTE[[URS]:[URS]]))*(--(K$14=Flowdown_BTE[[Source.Name]:[Source.Name]])),Flowdown_BTE[[SyRS]:[SyRS]],"")))</f>
        <v/>
      </c>
    </row>
    <row r="320" spans="2:11" ht="337.5" x14ac:dyDescent="0.2">
      <c r="B320" s="13" t="str">
        <v>MASTER-73071</v>
      </c>
      <c r="C320" s="14" t="str" cm="1">
        <f t="array" ref="C320">_xlfn.TEXTJOIN(CHAR(10),TRUE,_xlfn._xlws.SORT(IF((--($B320=Flowdown_BTE[[URS]:[URS]]))*(--(C$14=Flowdown_BTE[[Source.Name]:[Source.Name]])),Flowdown_BTE[[SyRS]:[SyRS]],"")))</f>
        <v/>
      </c>
      <c r="D320" s="14" t="str" cm="1">
        <f t="array" ref="D320">_xlfn.TEXTJOIN(CHAR(10),TRUE,_xlfn._xlws.SORT(IF((--($B320=Flowdown_BTE[[URS]:[URS]]))*(--(D$14=Flowdown_BTE[[Source.Name]:[Source.Name]])),Flowdown_BTE[[SyRS]:[SyRS]],"")))</f>
        <v/>
      </c>
      <c r="E320" s="14" t="str" cm="1">
        <f t="array" ref="E320">_xlfn.TEXTJOIN(CHAR(10),TRUE,_xlfn._xlws.SORT(IF((--($B320=Flowdown_BTE[[URS]:[URS]]))*(--(E$14=Flowdown_BTE[[Source.Name]:[Source.Name]])),Flowdown_BTE[[SyRS]:[SyRS]],"")))</f>
        <v/>
      </c>
      <c r="F320" s="14" t="str" cm="1">
        <f t="array" ref="F320">_xlfn.TEXTJOIN(CHAR(10),TRUE,_xlfn._xlws.SORT(IF((--($B320=Flowdown_BTE[[URS]:[URS]]))*(--(F$14=Flowdown_BTE[[Source.Name]:[Source.Name]])),Flowdown_BTE[[SyRS]:[SyRS]],"")))</f>
        <v/>
      </c>
      <c r="G320" s="14" t="str" cm="1">
        <f t="array" ref="G320">_xlfn.TEXTJOIN(CHAR(10),TRUE,_xlfn._xlws.SORT(IF((--($B320=Flowdown_BTE[[URS]:[URS]]))*(--(G$14=Flowdown_BTE[[Source.Name]:[Source.Name]])),Flowdown_BTE[[SyRS]:[SyRS]],"")))</f>
        <v/>
      </c>
      <c r="H320" s="14" t="str" cm="1">
        <f t="array" ref="H320">_xlfn.TEXTJOIN(CHAR(10),TRUE,_xlfn._xlws.SORT(IF((--($B320=Flowdown_BTE[[URS]:[URS]]))*(--(H$14=Flowdown_BTE[[Source.Name]:[Source.Name]])),Flowdown_BTE[[SyRS]:[SyRS]],"")))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20" s="14" t="str" cm="1">
        <f t="array" ref="I320">_xlfn.TEXTJOIN(CHAR(10),TRUE,_xlfn._xlws.SORT(IF((--($B320=Flowdown_BTE[[URS]:[URS]]))*(--(I$14=Flowdown_BTE[[Source.Name]:[Source.Name]])),Flowdown_BTE[[SyRS]:[SyRS]],"")))</f>
        <v/>
      </c>
      <c r="J320" s="14" t="str" cm="1">
        <f t="array" ref="J320">_xlfn.TEXTJOIN(CHAR(10),TRUE,_xlfn._xlws.SORT(IF((--($B320=Flowdown_BTE[[URS]:[URS]]))*(--(J$14=Flowdown_BTE[[Source.Name]:[Source.Name]])),Flowdown_BTE[[SyRS]:[SyRS]],"")))</f>
        <v/>
      </c>
      <c r="K320" s="14" t="str" cm="1">
        <f t="array" ref="K320">_xlfn.TEXTJOIN(CHAR(10),TRUE,_xlfn._xlws.SORT(IF((--($B320=Flowdown_BTE[[URS]:[URS]]))*(--(K$14=Flowdown_BTE[[Source.Name]:[Source.Name]])),Flowdown_BTE[[SyRS]:[SyRS]],"")))</f>
        <v/>
      </c>
    </row>
    <row r="321" spans="2:11" ht="13.5" x14ac:dyDescent="0.2">
      <c r="B321" s="13" t="str">
        <v>MASTER-73072</v>
      </c>
      <c r="C321" s="14" t="str" cm="1">
        <f t="array" ref="C321">_xlfn.TEXTJOIN(CHAR(10),TRUE,_xlfn._xlws.SORT(IF((--($B321=Flowdown_BTE[[URS]:[URS]]))*(--(C$14=Flowdown_BTE[[Source.Name]:[Source.Name]])),Flowdown_BTE[[SyRS]:[SyRS]],"")))</f>
        <v/>
      </c>
      <c r="D321" s="14" t="str" cm="1">
        <f t="array" ref="D321">_xlfn.TEXTJOIN(CHAR(10),TRUE,_xlfn._xlws.SORT(IF((--($B321=Flowdown_BTE[[URS]:[URS]]))*(--(D$14=Flowdown_BTE[[Source.Name]:[Source.Name]])),Flowdown_BTE[[SyRS]:[SyRS]],"")))</f>
        <v/>
      </c>
      <c r="E321" s="14" t="str" cm="1">
        <f t="array" ref="E321">_xlfn.TEXTJOIN(CHAR(10),TRUE,_xlfn._xlws.SORT(IF((--($B321=Flowdown_BTE[[URS]:[URS]]))*(--(E$14=Flowdown_BTE[[Source.Name]:[Source.Name]])),Flowdown_BTE[[SyRS]:[SyRS]],"")))</f>
        <v/>
      </c>
      <c r="F321" s="14" t="str" cm="1">
        <f t="array" ref="F321">_xlfn.TEXTJOIN(CHAR(10),TRUE,_xlfn._xlws.SORT(IF((--($B321=Flowdown_BTE[[URS]:[URS]]))*(--(F$14=Flowdown_BTE[[Source.Name]:[Source.Name]])),Flowdown_BTE[[SyRS]:[SyRS]],"")))</f>
        <v/>
      </c>
      <c r="G321" s="14" t="str" cm="1">
        <f t="array" ref="G321">_xlfn.TEXTJOIN(CHAR(10),TRUE,_xlfn._xlws.SORT(IF((--($B321=Flowdown_BTE[[URS]:[URS]]))*(--(G$14=Flowdown_BTE[[Source.Name]:[Source.Name]])),Flowdown_BTE[[SyRS]:[SyRS]],"")))</f>
        <v/>
      </c>
      <c r="H321" s="14" t="str" cm="1">
        <f t="array" ref="H321">_xlfn.TEXTJOIN(CHAR(10),TRUE,_xlfn._xlws.SORT(IF((--($B321=Flowdown_BTE[[URS]:[URS]]))*(--(H$14=Flowdown_BTE[[Source.Name]:[Source.Name]])),Flowdown_BTE[[SyRS]:[SyRS]],"")))</f>
        <v/>
      </c>
      <c r="I321" s="14" t="str" cm="1">
        <f t="array" ref="I321">_xlfn.TEXTJOIN(CHAR(10),TRUE,_xlfn._xlws.SORT(IF((--($B321=Flowdown_BTE[[URS]:[URS]]))*(--(I$14=Flowdown_BTE[[Source.Name]:[Source.Name]])),Flowdown_BTE[[SyRS]:[SyRS]],"")))</f>
        <v>MASTER-20174</v>
      </c>
      <c r="J321" s="14" t="str" cm="1">
        <f t="array" ref="J321">_xlfn.TEXTJOIN(CHAR(10),TRUE,_xlfn._xlws.SORT(IF((--($B321=Flowdown_BTE[[URS]:[URS]]))*(--(J$14=Flowdown_BTE[[Source.Name]:[Source.Name]])),Flowdown_BTE[[SyRS]:[SyRS]],"")))</f>
        <v>MASTER-20174</v>
      </c>
      <c r="K321" s="14" t="str" cm="1">
        <f t="array" ref="K321">_xlfn.TEXTJOIN(CHAR(10),TRUE,_xlfn._xlws.SORT(IF((--($B321=Flowdown_BTE[[URS]:[URS]]))*(--(K$14=Flowdown_BTE[[Source.Name]:[Source.Name]])),Flowdown_BTE[[SyRS]:[SyRS]],"")))</f>
        <v/>
      </c>
    </row>
    <row r="322" spans="2:11" ht="40.5" x14ac:dyDescent="0.2">
      <c r="B322" s="13" t="str">
        <v>MASTER-73073</v>
      </c>
      <c r="C322" s="14" t="str" cm="1">
        <f t="array" ref="C322">_xlfn.TEXTJOIN(CHAR(10),TRUE,_xlfn._xlws.SORT(IF((--($B322=Flowdown_BTE[[URS]:[URS]]))*(--(C$14=Flowdown_BTE[[Source.Name]:[Source.Name]])),Flowdown_BTE[[SyRS]:[SyRS]],"")))</f>
        <v/>
      </c>
      <c r="D322" s="14" t="str" cm="1">
        <f t="array" ref="D322">_xlfn.TEXTJOIN(CHAR(10),TRUE,_xlfn._xlws.SORT(IF((--($B322=Flowdown_BTE[[URS]:[URS]]))*(--(D$14=Flowdown_BTE[[Source.Name]:[Source.Name]])),Flowdown_BTE[[SyRS]:[SyRS]],"")))</f>
        <v/>
      </c>
      <c r="E322" s="14" t="str" cm="1">
        <f t="array" ref="E322">_xlfn.TEXTJOIN(CHAR(10),TRUE,_xlfn._xlws.SORT(IF((--($B322=Flowdown_BTE[[URS]:[URS]]))*(--(E$14=Flowdown_BTE[[Source.Name]:[Source.Name]])),Flowdown_BTE[[SyRS]:[SyRS]],"")))</f>
        <v/>
      </c>
      <c r="F322" s="14" t="str" cm="1">
        <f t="array" ref="F322">_xlfn.TEXTJOIN(CHAR(10),TRUE,_xlfn._xlws.SORT(IF((--($B322=Flowdown_BTE[[URS]:[URS]]))*(--(F$14=Flowdown_BTE[[Source.Name]:[Source.Name]])),Flowdown_BTE[[SyRS]:[SyRS]],"")))</f>
        <v/>
      </c>
      <c r="G322" s="14" t="str" cm="1">
        <f t="array" ref="G322">_xlfn.TEXTJOIN(CHAR(10),TRUE,_xlfn._xlws.SORT(IF((--($B322=Flowdown_BTE[[URS]:[URS]]))*(--(G$14=Flowdown_BTE[[Source.Name]:[Source.Name]])),Flowdown_BTE[[SyRS]:[SyRS]],"")))</f>
        <v/>
      </c>
      <c r="H322" s="14" t="str" cm="1">
        <f t="array" ref="H322">_xlfn.TEXTJOIN(CHAR(10),TRUE,_xlfn._xlws.SORT(IF((--($B322=Flowdown_BTE[[URS]:[URS]]))*(--(H$14=Flowdown_BTE[[Source.Name]:[Source.Name]])),Flowdown_BTE[[SyRS]:[SyRS]],"")))</f>
        <v>MASTER-75377
MASTER-75378
UTICA-24666</v>
      </c>
      <c r="I322" s="14" t="str" cm="1">
        <f t="array" ref="I322">_xlfn.TEXTJOIN(CHAR(10),TRUE,_xlfn._xlws.SORT(IF((--($B322=Flowdown_BTE[[URS]:[URS]]))*(--(I$14=Flowdown_BTE[[Source.Name]:[Source.Name]])),Flowdown_BTE[[SyRS]:[SyRS]],"")))</f>
        <v/>
      </c>
      <c r="J322" s="14" t="str" cm="1">
        <f t="array" ref="J322">_xlfn.TEXTJOIN(CHAR(10),TRUE,_xlfn._xlws.SORT(IF((--($B322=Flowdown_BTE[[URS]:[URS]]))*(--(J$14=Flowdown_BTE[[Source.Name]:[Source.Name]])),Flowdown_BTE[[SyRS]:[SyRS]],"")))</f>
        <v/>
      </c>
      <c r="K322" s="14" t="str" cm="1">
        <f t="array" ref="K322">_xlfn.TEXTJOIN(CHAR(10),TRUE,_xlfn._xlws.SORT(IF((--($B322=Flowdown_BTE[[URS]:[URS]]))*(--(K$14=Flowdown_BTE[[Source.Name]:[Source.Name]])),Flowdown_BTE[[SyRS]:[SyRS]],"")))</f>
        <v/>
      </c>
    </row>
    <row r="323" spans="2:11" ht="13.5" x14ac:dyDescent="0.2">
      <c r="B323" s="13" t="str">
        <v>UTICA-221</v>
      </c>
      <c r="C323" s="14" t="str" cm="1">
        <f t="array" ref="C323">_xlfn.TEXTJOIN(CHAR(10),TRUE,_xlfn._xlws.SORT(IF((--($B323=Flowdown_BTE[[URS]:[URS]]))*(--(C$14=Flowdown_BTE[[Source.Name]:[Source.Name]])),Flowdown_BTE[[SyRS]:[SyRS]],"")))</f>
        <v/>
      </c>
      <c r="D323" s="14" t="str" cm="1">
        <f t="array" ref="D323">_xlfn.TEXTJOIN(CHAR(10),TRUE,_xlfn._xlws.SORT(IF((--($B323=Flowdown_BTE[[URS]:[URS]]))*(--(D$14=Flowdown_BTE[[Source.Name]:[Source.Name]])),Flowdown_BTE[[SyRS]:[SyRS]],"")))</f>
        <v/>
      </c>
      <c r="E323" s="14" t="str" cm="1">
        <f t="array" ref="E323">_xlfn.TEXTJOIN(CHAR(10),TRUE,_xlfn._xlws.SORT(IF((--($B323=Flowdown_BTE[[URS]:[URS]]))*(--(E$14=Flowdown_BTE[[Source.Name]:[Source.Name]])),Flowdown_BTE[[SyRS]:[SyRS]],"")))</f>
        <v/>
      </c>
      <c r="F323" s="14" t="str" cm="1">
        <f t="array" ref="F323">_xlfn.TEXTJOIN(CHAR(10),TRUE,_xlfn._xlws.SORT(IF((--($B323=Flowdown_BTE[[URS]:[URS]]))*(--(F$14=Flowdown_BTE[[Source.Name]:[Source.Name]])),Flowdown_BTE[[SyRS]:[SyRS]],"")))</f>
        <v/>
      </c>
      <c r="G323" s="14" t="str" cm="1">
        <f t="array" ref="G323">_xlfn.TEXTJOIN(CHAR(10),TRUE,_xlfn._xlws.SORT(IF((--($B323=Flowdown_BTE[[URS]:[URS]]))*(--(G$14=Flowdown_BTE[[Source.Name]:[Source.Name]])),Flowdown_BTE[[SyRS]:[SyRS]],"")))</f>
        <v/>
      </c>
      <c r="H323" s="14" t="str" cm="1">
        <f t="array" ref="H323">_xlfn.TEXTJOIN(CHAR(10),TRUE,_xlfn._xlws.SORT(IF((--($B323=Flowdown_BTE[[URS]:[URS]]))*(--(H$14=Flowdown_BTE[[Source.Name]:[Source.Name]])),Flowdown_BTE[[SyRS]:[SyRS]],"")))</f>
        <v/>
      </c>
      <c r="I323" s="14" t="str" cm="1">
        <f t="array" ref="I323">_xlfn.TEXTJOIN(CHAR(10),TRUE,_xlfn._xlws.SORT(IF((--($B323=Flowdown_BTE[[URS]:[URS]]))*(--(I$14=Flowdown_BTE[[Source.Name]:[Source.Name]])),Flowdown_BTE[[SyRS]:[SyRS]],"")))</f>
        <v>MASTER-17102</v>
      </c>
      <c r="J323" s="14" t="str" cm="1">
        <f t="array" ref="J323">_xlfn.TEXTJOIN(CHAR(10),TRUE,_xlfn._xlws.SORT(IF((--($B323=Flowdown_BTE[[URS]:[URS]]))*(--(J$14=Flowdown_BTE[[Source.Name]:[Source.Name]])),Flowdown_BTE[[SyRS]:[SyRS]],"")))</f>
        <v/>
      </c>
      <c r="K323" s="14" t="str" cm="1">
        <f t="array" ref="K323">_xlfn.TEXTJOIN(CHAR(10),TRUE,_xlfn._xlws.SORT(IF((--($B323=Flowdown_BTE[[URS]:[URS]]))*(--(K$14=Flowdown_BTE[[Source.Name]:[Source.Name]])),Flowdown_BTE[[SyRS]:[SyRS]],"")))</f>
        <v/>
      </c>
    </row>
    <row r="324" spans="2:11" ht="13.5" x14ac:dyDescent="0.2">
      <c r="B324" s="13" t="str">
        <v>UTICA-342</v>
      </c>
      <c r="C324" s="14" t="str" cm="1">
        <f t="array" ref="C324">_xlfn.TEXTJOIN(CHAR(10),TRUE,_xlfn._xlws.SORT(IF((--($B324=Flowdown_BTE[[URS]:[URS]]))*(--(C$14=Flowdown_BTE[[Source.Name]:[Source.Name]])),Flowdown_BTE[[SyRS]:[SyRS]],"")))</f>
        <v/>
      </c>
      <c r="D324" s="14" t="str" cm="1">
        <f t="array" ref="D324">_xlfn.TEXTJOIN(CHAR(10),TRUE,_xlfn._xlws.SORT(IF((--($B324=Flowdown_BTE[[URS]:[URS]]))*(--(D$14=Flowdown_BTE[[Source.Name]:[Source.Name]])),Flowdown_BTE[[SyRS]:[SyRS]],"")))</f>
        <v/>
      </c>
      <c r="E324" s="14" t="str" cm="1">
        <f t="array" ref="E324">_xlfn.TEXTJOIN(CHAR(10),TRUE,_xlfn._xlws.SORT(IF((--($B324=Flowdown_BTE[[URS]:[URS]]))*(--(E$14=Flowdown_BTE[[Source.Name]:[Source.Name]])),Flowdown_BTE[[SyRS]:[SyRS]],"")))</f>
        <v/>
      </c>
      <c r="F324" s="14" t="str" cm="1">
        <f t="array" ref="F324">_xlfn.TEXTJOIN(CHAR(10),TRUE,_xlfn._xlws.SORT(IF((--($B324=Flowdown_BTE[[URS]:[URS]]))*(--(F$14=Flowdown_BTE[[Source.Name]:[Source.Name]])),Flowdown_BTE[[SyRS]:[SyRS]],"")))</f>
        <v/>
      </c>
      <c r="G324" s="14" t="str" cm="1">
        <f t="array" ref="G324">_xlfn.TEXTJOIN(CHAR(10),TRUE,_xlfn._xlws.SORT(IF((--($B324=Flowdown_BTE[[URS]:[URS]]))*(--(G$14=Flowdown_BTE[[Source.Name]:[Source.Name]])),Flowdown_BTE[[SyRS]:[SyRS]],"")))</f>
        <v/>
      </c>
      <c r="H324" s="14" t="str" cm="1">
        <f t="array" ref="H324">_xlfn.TEXTJOIN(CHAR(10),TRUE,_xlfn._xlws.SORT(IF((--($B324=Flowdown_BTE[[URS]:[URS]]))*(--(H$14=Flowdown_BTE[[Source.Name]:[Source.Name]])),Flowdown_BTE[[SyRS]:[SyRS]],"")))</f>
        <v/>
      </c>
      <c r="I324" s="14" t="str" cm="1">
        <f t="array" ref="I324">_xlfn.TEXTJOIN(CHAR(10),TRUE,_xlfn._xlws.SORT(IF((--($B324=Flowdown_BTE[[URS]:[URS]]))*(--(I$14=Flowdown_BTE[[Source.Name]:[Source.Name]])),Flowdown_BTE[[SyRS]:[SyRS]],"")))</f>
        <v>UTICA-2495</v>
      </c>
      <c r="J324" s="14" t="str" cm="1">
        <f t="array" ref="J324">_xlfn.TEXTJOIN(CHAR(10),TRUE,_xlfn._xlws.SORT(IF((--($B324=Flowdown_BTE[[URS]:[URS]]))*(--(J$14=Flowdown_BTE[[Source.Name]:[Source.Name]])),Flowdown_BTE[[SyRS]:[SyRS]],"")))</f>
        <v>UTICA-2495</v>
      </c>
      <c r="K324" s="14" t="str" cm="1">
        <f t="array" ref="K324">_xlfn.TEXTJOIN(CHAR(10),TRUE,_xlfn._xlws.SORT(IF((--($B324=Flowdown_BTE[[URS]:[URS]]))*(--(K$14=Flowdown_BTE[[Source.Name]:[Source.Name]])),Flowdown_BTE[[SyRS]:[SyRS]],"")))</f>
        <v/>
      </c>
    </row>
    <row r="325" spans="2:11" ht="13.5" x14ac:dyDescent="0.2">
      <c r="B325" s="13" t="str">
        <v>UTICA-367</v>
      </c>
      <c r="C325" s="14" t="str" cm="1">
        <f t="array" ref="C325">_xlfn.TEXTJOIN(CHAR(10),TRUE,_xlfn._xlws.SORT(IF((--($B325=Flowdown_BTE[[URS]:[URS]]))*(--(C$14=Flowdown_BTE[[Source.Name]:[Source.Name]])),Flowdown_BTE[[SyRS]:[SyRS]],"")))</f>
        <v/>
      </c>
      <c r="D325" s="14" t="str" cm="1">
        <f t="array" ref="D325">_xlfn.TEXTJOIN(CHAR(10),TRUE,_xlfn._xlws.SORT(IF((--($B325=Flowdown_BTE[[URS]:[URS]]))*(--(D$14=Flowdown_BTE[[Source.Name]:[Source.Name]])),Flowdown_BTE[[SyRS]:[SyRS]],"")))</f>
        <v/>
      </c>
      <c r="E325" s="14" t="str" cm="1">
        <f t="array" ref="E325">_xlfn.TEXTJOIN(CHAR(10),TRUE,_xlfn._xlws.SORT(IF((--($B325=Flowdown_BTE[[URS]:[URS]]))*(--(E$14=Flowdown_BTE[[Source.Name]:[Source.Name]])),Flowdown_BTE[[SyRS]:[SyRS]],"")))</f>
        <v/>
      </c>
      <c r="F325" s="14" t="str" cm="1">
        <f t="array" ref="F325">_xlfn.TEXTJOIN(CHAR(10),TRUE,_xlfn._xlws.SORT(IF((--($B325=Flowdown_BTE[[URS]:[URS]]))*(--(F$14=Flowdown_BTE[[Source.Name]:[Source.Name]])),Flowdown_BTE[[SyRS]:[SyRS]],"")))</f>
        <v/>
      </c>
      <c r="G325" s="14" t="str" cm="1">
        <f t="array" ref="G325">_xlfn.TEXTJOIN(CHAR(10),TRUE,_xlfn._xlws.SORT(IF((--($B325=Flowdown_BTE[[URS]:[URS]]))*(--(G$14=Flowdown_BTE[[Source.Name]:[Source.Name]])),Flowdown_BTE[[SyRS]:[SyRS]],"")))</f>
        <v/>
      </c>
      <c r="H325" s="14" t="str" cm="1">
        <f t="array" ref="H325">_xlfn.TEXTJOIN(CHAR(10),TRUE,_xlfn._xlws.SORT(IF((--($B325=Flowdown_BTE[[URS]:[URS]]))*(--(H$14=Flowdown_BTE[[Source.Name]:[Source.Name]])),Flowdown_BTE[[SyRS]:[SyRS]],"")))</f>
        <v/>
      </c>
      <c r="I325" s="14" t="str" cm="1">
        <f t="array" ref="I325">_xlfn.TEXTJOIN(CHAR(10),TRUE,_xlfn._xlws.SORT(IF((--($B325=Flowdown_BTE[[URS]:[URS]]))*(--(I$14=Flowdown_BTE[[Source.Name]:[Source.Name]])),Flowdown_BTE[[SyRS]:[SyRS]],"")))</f>
        <v>MASTER-17107</v>
      </c>
      <c r="J325" s="14" t="str" cm="1">
        <f t="array" ref="J325">_xlfn.TEXTJOIN(CHAR(10),TRUE,_xlfn._xlws.SORT(IF((--($B325=Flowdown_BTE[[URS]:[URS]]))*(--(J$14=Flowdown_BTE[[Source.Name]:[Source.Name]])),Flowdown_BTE[[SyRS]:[SyRS]],"")))</f>
        <v/>
      </c>
      <c r="K325" s="14" t="str" cm="1">
        <f t="array" ref="K325">_xlfn.TEXTJOIN(CHAR(10),TRUE,_xlfn._xlws.SORT(IF((--($B325=Flowdown_BTE[[URS]:[URS]]))*(--(K$14=Flowdown_BTE[[Source.Name]:[Source.Name]])),Flowdown_BTE[[SyRS]:[SyRS]],"")))</f>
        <v/>
      </c>
    </row>
    <row r="326" spans="2:11" ht="13.5" x14ac:dyDescent="0.2">
      <c r="B326" s="13" t="str">
        <v>UTICA-9391</v>
      </c>
      <c r="C326" s="14" t="str" cm="1">
        <f t="array" ref="C326">_xlfn.TEXTJOIN(CHAR(10),TRUE,_xlfn._xlws.SORT(IF((--($B326=Flowdown_BTE[[URS]:[URS]]))*(--(C$14=Flowdown_BTE[[Source.Name]:[Source.Name]])),Flowdown_BTE[[SyRS]:[SyRS]],"")))</f>
        <v/>
      </c>
      <c r="D326" s="14" t="str" cm="1">
        <f t="array" ref="D326">_xlfn.TEXTJOIN(CHAR(10),TRUE,_xlfn._xlws.SORT(IF((--($B326=Flowdown_BTE[[URS]:[URS]]))*(--(D$14=Flowdown_BTE[[Source.Name]:[Source.Name]])),Flowdown_BTE[[SyRS]:[SyRS]],"")))</f>
        <v/>
      </c>
      <c r="E326" s="14" t="str" cm="1">
        <f t="array" ref="E326">_xlfn.TEXTJOIN(CHAR(10),TRUE,_xlfn._xlws.SORT(IF((--($B326=Flowdown_BTE[[URS]:[URS]]))*(--(E$14=Flowdown_BTE[[Source.Name]:[Source.Name]])),Flowdown_BTE[[SyRS]:[SyRS]],"")))</f>
        <v/>
      </c>
      <c r="F326" s="14" t="str" cm="1">
        <f t="array" ref="F326">_xlfn.TEXTJOIN(CHAR(10),TRUE,_xlfn._xlws.SORT(IF((--($B326=Flowdown_BTE[[URS]:[URS]]))*(--(F$14=Flowdown_BTE[[Source.Name]:[Source.Name]])),Flowdown_BTE[[SyRS]:[SyRS]],"")))</f>
        <v/>
      </c>
      <c r="G326" s="14" t="str" cm="1">
        <f t="array" ref="G326">_xlfn.TEXTJOIN(CHAR(10),TRUE,_xlfn._xlws.SORT(IF((--($B326=Flowdown_BTE[[URS]:[URS]]))*(--(G$14=Flowdown_BTE[[Source.Name]:[Source.Name]])),Flowdown_BTE[[SyRS]:[SyRS]],"")))</f>
        <v/>
      </c>
      <c r="H326" s="14" t="str" cm="1">
        <f t="array" ref="H326">_xlfn.TEXTJOIN(CHAR(10),TRUE,_xlfn._xlws.SORT(IF((--($B326=Flowdown_BTE[[URS]:[URS]]))*(--(H$14=Flowdown_BTE[[Source.Name]:[Source.Name]])),Flowdown_BTE[[SyRS]:[SyRS]],"")))</f>
        <v/>
      </c>
      <c r="I326" s="14" t="str" cm="1">
        <f t="array" ref="I326">_xlfn.TEXTJOIN(CHAR(10),TRUE,_xlfn._xlws.SORT(IF((--($B326=Flowdown_BTE[[URS]:[URS]]))*(--(I$14=Flowdown_BTE[[Source.Name]:[Source.Name]])),Flowdown_BTE[[SyRS]:[SyRS]],"")))</f>
        <v>MASTER-17107</v>
      </c>
      <c r="J326" s="14" t="str" cm="1">
        <f t="array" ref="J326">_xlfn.TEXTJOIN(CHAR(10),TRUE,_xlfn._xlws.SORT(IF((--($B326=Flowdown_BTE[[URS]:[URS]]))*(--(J$14=Flowdown_BTE[[Source.Name]:[Source.Name]])),Flowdown_BTE[[SyRS]:[SyRS]],"")))</f>
        <v/>
      </c>
      <c r="K326" s="14" t="str" cm="1">
        <f t="array" ref="K326">_xlfn.TEXTJOIN(CHAR(10),TRUE,_xlfn._xlws.SORT(IF((--($B326=Flowdown_BTE[[URS]:[URS]]))*(--(K$14=Flowdown_BTE[[Source.Name]:[Source.Name]])),Flowdown_BTE[[SyRS]:[SyRS]],"")))</f>
        <v/>
      </c>
    </row>
  </sheetData>
  <conditionalFormatting sqref="B15:L300">
    <cfRule type="expression" dxfId="18" priority="2">
      <formula>MOD(ROW(B15)-ROW($B$15),2)</formula>
    </cfRule>
  </conditionalFormatting>
  <conditionalFormatting sqref="B301:K326">
    <cfRule type="expression" dxfId="17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&amp;LBTE Trace Matrix&amp;R&amp;P of &amp;N&amp;CStarkey-Confidential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5376-99C7-4250-B786-10E04CBA509F}">
  <sheetPr codeName="Sheet4">
    <tabColor rgb="FF92D050"/>
    <pageSetUpPr fitToPage="1"/>
  </sheetPr>
  <dimension ref="A1:D99"/>
  <sheetViews>
    <sheetView topLeftCell="A91" workbookViewId="0">
      <selection activeCell="N20" sqref="N20"/>
    </sheetView>
  </sheetViews>
  <sheetFormatPr defaultRowHeight="12.75" x14ac:dyDescent="0.2"/>
  <cols>
    <col min="2" max="2" width="18.28515625" customWidth="1"/>
    <col min="3" max="3" width="23.140625" style="30" customWidth="1"/>
    <col min="4" max="4" width="8.85546875" hidden="1" customWidth="1"/>
  </cols>
  <sheetData>
    <row r="1" spans="1:4" x14ac:dyDescent="0.2">
      <c r="A1" s="1" t="s">
        <v>0</v>
      </c>
      <c r="B1" s="2" t="s">
        <v>1</v>
      </c>
      <c r="C1" s="29"/>
    </row>
    <row r="2" spans="1:4" x14ac:dyDescent="0.2">
      <c r="A2" s="1" t="s">
        <v>2</v>
      </c>
      <c r="B2" s="2" t="s">
        <v>2628</v>
      </c>
      <c r="C2" s="29"/>
    </row>
    <row r="3" spans="1:4" x14ac:dyDescent="0.2">
      <c r="A3" t="s">
        <v>3</v>
      </c>
      <c r="B3" s="2" t="str">
        <f>TEXT(DATE(2021,9,13),"dd-mmm-yyyy")</f>
        <v>13-Sep-2021</v>
      </c>
      <c r="C3" s="29"/>
    </row>
    <row r="5" spans="1:4" x14ac:dyDescent="0.2">
      <c r="A5" t="s">
        <v>2487</v>
      </c>
    </row>
    <row r="7" spans="1:4" x14ac:dyDescent="0.2">
      <c r="A7" t="s">
        <v>2490</v>
      </c>
      <c r="C7" s="30">
        <f>COUNTA(_xlfn.ANCHORARRAY(B15))</f>
        <v>85</v>
      </c>
    </row>
    <row r="8" spans="1:4" x14ac:dyDescent="0.2">
      <c r="A8" t="s">
        <v>2491</v>
      </c>
      <c r="C8" s="31" t="b">
        <f>AND(D15:D300)</f>
        <v>1</v>
      </c>
    </row>
    <row r="11" spans="1:4" ht="15" x14ac:dyDescent="0.25">
      <c r="A11" s="4" t="s">
        <v>2488</v>
      </c>
    </row>
    <row r="13" spans="1:4" ht="15" x14ac:dyDescent="0.2">
      <c r="C13" s="32" t="s">
        <v>2568</v>
      </c>
    </row>
    <row r="14" spans="1:4" ht="15.75" thickBot="1" x14ac:dyDescent="0.25">
      <c r="B14" s="15" t="s">
        <v>2595</v>
      </c>
      <c r="C14" s="33" t="str" cm="1">
        <f t="array" ref="C14">TRANSPOSE(_xlfn._xlws.SORT(_xlfn.UNIQUE(Flowdown_Thrive[Source.Name])))</f>
        <v>Thrive</v>
      </c>
    </row>
    <row r="15" spans="1:4" ht="14.25" thickTop="1" x14ac:dyDescent="0.2">
      <c r="B15" s="9" t="str" cm="1">
        <f t="array" ref="B15:B99">_xlfn.UNIQUE(_xlfn._xlws.SORT(Flowdown_Thrive[URS]))</f>
        <v>MASTER-64980</v>
      </c>
      <c r="C15" s="10" t="str" cm="1">
        <f t="array" ref="C15">_xlfn.TEXTJOIN(CHAR(10),TRUE,_xlfn._xlws.SORT(IF((--($B15=Flowdown_Thrive[[URS]:[URS]]))*(--(C$14=Flowdown_Thrive[[Source.Name]:[Source.Name]])),Flowdown_Thrive[[SyRS]:[SyRS]],"")))</f>
        <v>UTICA-25739</v>
      </c>
      <c r="D15" s="16" t="b" cm="1">
        <f t="array" ref="D15">OR(LEN(C15:C15)&gt;0)</f>
        <v>1</v>
      </c>
    </row>
    <row r="16" spans="1:4" ht="13.5" x14ac:dyDescent="0.2">
      <c r="B16" s="11" t="str">
        <v>MASTER-64981</v>
      </c>
      <c r="C16" s="12" t="str" cm="1">
        <f t="array" ref="C16">_xlfn.TEXTJOIN(CHAR(10),TRUE,_xlfn._xlws.SORT(IF((--($B16=Flowdown_Thrive[[URS]:[URS]]))*(--(C$14=Flowdown_Thrive[[Source.Name]:[Source.Name]])),Flowdown_Thrive[[SyRS]:[SyRS]],"")))</f>
        <v>UTICA-25739</v>
      </c>
      <c r="D16" s="16" t="b" cm="1">
        <f t="array" ref="D16">OR(LEN(C16:C16)&gt;0)</f>
        <v>1</v>
      </c>
    </row>
    <row r="17" spans="2:4" ht="13.5" x14ac:dyDescent="0.2">
      <c r="B17" s="11" t="str">
        <v>MASTER-64982</v>
      </c>
      <c r="C17" s="12" t="str" cm="1">
        <f t="array" ref="C17">_xlfn.TEXTJOIN(CHAR(10),TRUE,_xlfn._xlws.SORT(IF((--($B17=Flowdown_Thrive[[URS]:[URS]]))*(--(C$14=Flowdown_Thrive[[Source.Name]:[Source.Name]])),Flowdown_Thrive[[SyRS]:[SyRS]],"")))</f>
        <v>UTICA-25739</v>
      </c>
      <c r="D17" s="16" t="b" cm="1">
        <f t="array" ref="D17">OR(LEN(C17:C17)&gt;0)</f>
        <v>1</v>
      </c>
    </row>
    <row r="18" spans="2:4" ht="13.5" x14ac:dyDescent="0.2">
      <c r="B18" s="11" t="str">
        <v>MASTER-64983</v>
      </c>
      <c r="C18" s="12" t="str" cm="1">
        <f t="array" ref="C18">_xlfn.TEXTJOIN(CHAR(10),TRUE,_xlfn._xlws.SORT(IF((--($B18=Flowdown_Thrive[[URS]:[URS]]))*(--(C$14=Flowdown_Thrive[[Source.Name]:[Source.Name]])),Flowdown_Thrive[[SyRS]:[SyRS]],"")))</f>
        <v>UTICA-25739</v>
      </c>
      <c r="D18" s="16" t="b" cm="1">
        <f t="array" ref="D18">OR(LEN(C18:C18)&gt;0)</f>
        <v>1</v>
      </c>
    </row>
    <row r="19" spans="2:4" ht="324" x14ac:dyDescent="0.2">
      <c r="B19" s="11" t="str">
        <v>MASTER-64984</v>
      </c>
      <c r="C19" s="12" t="str" cm="1">
        <f t="array" ref="C19">_xlfn.TEXTJOIN(CHAR(10),TRUE,_xlfn._xlws.SORT(IF((--($B19=Flowdown_Thrive[[URS]:[URS]]))*(--(C$14=Flowdown_Thrive[[Source.Name]:[Source.Name]])),Flowdown_Thrive[[SyRS]:[SyRS]],"")))</f>
        <v>MASTER-50449
MASTER-50450
MASTER-50451
MASTER-50452
MASTER-50454
MASTER-50456
MASTER-50489
MASTER-50490
MASTER-50491
MASTER-50493
MASTER-50494
MASTER-50495
MASTER-50497
MASTER-50498
MASTER-50499
MASTER-50500
MASTER-50502
MASTER-50503
MASTER-50504
MASTER-50505
MASTER-50506
MASTER-50507
MASTER-50509
MASTER-50511</v>
      </c>
      <c r="D19" s="16" t="b" cm="1">
        <f t="array" ref="D19">OR(LEN(C19:C19)&gt;0)</f>
        <v>1</v>
      </c>
    </row>
    <row r="20" spans="2:4" ht="13.5" x14ac:dyDescent="0.2">
      <c r="B20" s="11" t="str">
        <v>MASTER-64986</v>
      </c>
      <c r="C20" s="12" t="str" cm="1">
        <f t="array" ref="C20">_xlfn.TEXTJOIN(CHAR(10),TRUE,_xlfn._xlws.SORT(IF((--($B20=Flowdown_Thrive[[URS]:[URS]]))*(--(C$14=Flowdown_Thrive[[Source.Name]:[Source.Name]])),Flowdown_Thrive[[SyRS]:[SyRS]],"")))</f>
        <v>UTICA-25739</v>
      </c>
      <c r="D20" s="16" t="b" cm="1">
        <f t="array" ref="D20">OR(LEN(C20:C20)&gt;0)</f>
        <v>1</v>
      </c>
    </row>
    <row r="21" spans="2:4" ht="13.5" x14ac:dyDescent="0.2">
      <c r="B21" s="11" t="str">
        <v>MASTER-64987</v>
      </c>
      <c r="C21" s="12" t="str" cm="1">
        <f t="array" ref="C21">_xlfn.TEXTJOIN(CHAR(10),TRUE,_xlfn._xlws.SORT(IF((--($B21=Flowdown_Thrive[[URS]:[URS]]))*(--(C$14=Flowdown_Thrive[[Source.Name]:[Source.Name]])),Flowdown_Thrive[[SyRS]:[SyRS]],"")))</f>
        <v>UTICA-25739</v>
      </c>
      <c r="D21" s="16" t="b" cm="1">
        <f t="array" ref="D21">OR(LEN(C21:C21)&gt;0)</f>
        <v>1</v>
      </c>
    </row>
    <row r="22" spans="2:4" ht="135" x14ac:dyDescent="0.2">
      <c r="B22" s="11" t="str">
        <v>MASTER-64989</v>
      </c>
      <c r="C22" s="12" t="str" cm="1">
        <f t="array" ref="C22">_xlfn.TEXTJOIN(CHAR(10),TRUE,_xlfn._xlws.SORT(IF((--($B22=Flowdown_Thrive[[URS]:[URS]]))*(--(C$14=Flowdown_Thrive[[Source.Name]:[Source.Name]])),Flowdown_Thrive[[SyRS]:[SyRS]],"")))</f>
        <v>MASTER-16490
MASTER-16491
MASTER-16499
MASTER-16501
MASTER-16502
MASTER-16503
MASTER-16510
MASTER-16514
MASTER-16520
MASTER-16521</v>
      </c>
      <c r="D22" s="16" t="b" cm="1">
        <f t="array" ref="D22">OR(LEN(C22:C22)&gt;0)</f>
        <v>1</v>
      </c>
    </row>
    <row r="23" spans="2:4" ht="121.5" x14ac:dyDescent="0.2">
      <c r="B23" s="11" t="str">
        <v>MASTER-64990</v>
      </c>
      <c r="C23" s="12" t="str" cm="1">
        <f t="array" ref="C23">_xlfn.TEXTJOIN(CHAR(10),TRUE,_xlfn._xlws.SORT(IF((--($B23=Flowdown_Thrive[[URS]:[URS]]))*(--(C$14=Flowdown_Thrive[[Source.Name]:[Source.Name]])),Flowdown_Thrive[[SyRS]:[SyRS]],"")))</f>
        <v>MASTER-16489
MASTER-16499
MASTER-16501
MASTER-16502
MASTER-16503
MASTER-16510
MASTER-16514
MASTER-16520
MASTER-16521</v>
      </c>
      <c r="D23" s="16" t="b" cm="1">
        <f t="array" ref="D23">OR(LEN(C23:C23)&gt;0)</f>
        <v>1</v>
      </c>
    </row>
    <row r="24" spans="2:4" ht="202.5" x14ac:dyDescent="0.2">
      <c r="B24" s="11" t="str">
        <v>MASTER-64991</v>
      </c>
      <c r="C24" s="12" t="str" cm="1">
        <f t="array" ref="C24">_xlfn.TEXTJOIN(CHAR(10),TRUE,_xlfn._xlws.SORT(IF((--($B24=Flowdown_Thrive[[URS]:[URS]]))*(--(C$14=Flowdown_Thrive[[Source.Name]:[Source.Name]])),Flowdown_Thrive[[SyRS]:[SyRS]],"")))</f>
        <v>MASTER-16494
MASTER-16495
MASTER-16500
MASTER-16507
MASTER-16510
MASTER-16512
MASTER-16515
MASTER-16516
MASTER-16517
MASTER-16518
MASTER-16520
MASTER-16521
MASTER-51247
MASTER-51249
MASTER-51250</v>
      </c>
      <c r="D24" s="16" t="b" cm="1">
        <f t="array" ref="D24">OR(LEN(C24:C24)&gt;0)</f>
        <v>1</v>
      </c>
    </row>
    <row r="25" spans="2:4" ht="54" x14ac:dyDescent="0.2">
      <c r="B25" s="11" t="str">
        <v>MASTER-64992</v>
      </c>
      <c r="C25" s="12" t="str" cm="1">
        <f t="array" ref="C25">_xlfn.TEXTJOIN(CHAR(10),TRUE,_xlfn._xlws.SORT(IF((--($B25=Flowdown_Thrive[[URS]:[URS]]))*(--(C$14=Flowdown_Thrive[[Source.Name]:[Source.Name]])),Flowdown_Thrive[[SyRS]:[SyRS]],"")))</f>
        <v>MASTER-16492
MASTER-16504
MASTER-16505
MASTER-16511</v>
      </c>
      <c r="D25" s="16" t="b" cm="1">
        <f t="array" ref="D25">OR(LEN(C25:C25)&gt;0)</f>
        <v>1</v>
      </c>
    </row>
    <row r="26" spans="2:4" ht="81" x14ac:dyDescent="0.2">
      <c r="B26" s="11" t="str">
        <v>MASTER-64994</v>
      </c>
      <c r="C26" s="12" t="str" cm="1">
        <f t="array" ref="C26">_xlfn.TEXTJOIN(CHAR(10),TRUE,_xlfn._xlws.SORT(IF((--($B26=Flowdown_Thrive[[URS]:[URS]]))*(--(C$14=Flowdown_Thrive[[Source.Name]:[Source.Name]])),Flowdown_Thrive[[SyRS]:[SyRS]],"")))</f>
        <v>MASTER-16578
MASTER-16584
MASTER-16585
MASTER-16588
MASTER-16589
MASTER-50118</v>
      </c>
      <c r="D26" s="16" t="b" cm="1">
        <f t="array" ref="D26">OR(LEN(C26:C26)&gt;0)</f>
        <v>1</v>
      </c>
    </row>
    <row r="27" spans="2:4" ht="94.5" x14ac:dyDescent="0.2">
      <c r="B27" s="11" t="str">
        <v>MASTER-64995</v>
      </c>
      <c r="C27" s="12" t="str" cm="1">
        <f t="array" ref="C27">_xlfn.TEXTJOIN(CHAR(10),TRUE,_xlfn._xlws.SORT(IF((--($B27=Flowdown_Thrive[[URS]:[URS]]))*(--(C$14=Flowdown_Thrive[[Source.Name]:[Source.Name]])),Flowdown_Thrive[[SyRS]:[SyRS]],"")))</f>
        <v>MASTER-16581
MASTER-16582
MASTER-16584
MASTER-16585
MASTER-16586
MASTER-16591
MASTER-16592</v>
      </c>
      <c r="D27" s="16" t="b" cm="1">
        <f t="array" ref="D27">OR(LEN(C27:C27)&gt;0)</f>
        <v>1</v>
      </c>
    </row>
    <row r="28" spans="2:4" ht="13.5" x14ac:dyDescent="0.2">
      <c r="B28" s="11" t="str">
        <v>MASTER-64996</v>
      </c>
      <c r="C28" s="12" t="str" cm="1">
        <f t="array" ref="C28">_xlfn.TEXTJOIN(CHAR(10),TRUE,_xlfn._xlws.SORT(IF((--($B28=Flowdown_Thrive[[URS]:[URS]]))*(--(C$14=Flowdown_Thrive[[Source.Name]:[Source.Name]])),Flowdown_Thrive[[SyRS]:[SyRS]],"")))</f>
        <v>MASTER-16620</v>
      </c>
      <c r="D28" s="16" t="b" cm="1">
        <f t="array" ref="D28">OR(LEN(C28:C28)&gt;0)</f>
        <v>1</v>
      </c>
    </row>
    <row r="29" spans="2:4" ht="256.5" x14ac:dyDescent="0.2">
      <c r="B29" s="11" t="str">
        <v>MASTER-64999</v>
      </c>
      <c r="C29" s="12" t="str" cm="1">
        <f t="array" ref="C29">_xlfn.TEXTJOIN(CHAR(10),TRUE,_xlfn._xlws.SORT(IF((--($B29=Flowdown_Thrive[[URS]:[URS]]))*(--(C$14=Flowdown_Thrive[[Source.Name]:[Source.Name]])),Flowdown_Thrive[[SyRS]:[SyRS]],"")))</f>
        <v>MASTER-16529
MASTER-16530
MASTER-16533
MASTER-16534
MASTER-16535
MASTER-16540
MASTER-16544
MASTER-16547
MASTER-16549
MASTER-16550
MASTER-16551
MASTER-16552
MASTER-16553
MASTER-16557
MASTER-16561
MASTER-16564
MASTER-16567
MASTER-16569
MASTER-16570</v>
      </c>
      <c r="D29" s="16" t="b" cm="1">
        <f t="array" ref="D29">OR(LEN(C29:C29)&gt;0)</f>
        <v>1</v>
      </c>
    </row>
    <row r="30" spans="2:4" ht="243" x14ac:dyDescent="0.2">
      <c r="B30" s="11" t="str">
        <v>MASTER-65000</v>
      </c>
      <c r="C30" s="12" t="str" cm="1">
        <f t="array" ref="C30">_xlfn.TEXTJOIN(CHAR(10),TRUE,_xlfn._xlws.SORT(IF((--($B30=Flowdown_Thrive[[URS]:[URS]]))*(--(C$14=Flowdown_Thrive[[Source.Name]:[Source.Name]])),Flowdown_Thrive[[SyRS]:[SyRS]],"")))</f>
        <v>MASTER-16529
MASTER-16530
MASTER-16532
MASTER-16535
MASTER-16540
MASTER-16544
MASTER-16547
MASTER-16549
MASTER-16550
MASTER-16551
MASTER-16552
MASTER-16553
MASTER-16557
MASTER-16561
MASTER-16564
MASTER-16567
MASTER-16569
MASTER-16570</v>
      </c>
      <c r="D30" s="16" t="b" cm="1">
        <f t="array" ref="D30">OR(LEN(C30:C30)&gt;0)</f>
        <v>1</v>
      </c>
    </row>
    <row r="31" spans="2:4" ht="135" x14ac:dyDescent="0.2">
      <c r="B31" s="11" t="str">
        <v>MASTER-65001</v>
      </c>
      <c r="C31" s="12" t="str" cm="1">
        <f t="array" ref="C31">_xlfn.TEXTJOIN(CHAR(10),TRUE,_xlfn._xlws.SORT(IF((--($B31=Flowdown_Thrive[[URS]:[URS]]))*(--(C$14=Flowdown_Thrive[[Source.Name]:[Source.Name]])),Flowdown_Thrive[[SyRS]:[SyRS]],"")))</f>
        <v>MASTER-16529
MASTER-16530
MASTER-16537
MASTER-16538
MASTER-16544
MASTER-16548
MASTER-16565
MASTER-16566
MASTER-16569
MASTER-16570</v>
      </c>
      <c r="D31" s="16" t="b" cm="1">
        <f t="array" ref="D31">OR(LEN(C31:C31)&gt;0)</f>
        <v>1</v>
      </c>
    </row>
    <row r="32" spans="2:4" ht="148.5" x14ac:dyDescent="0.2">
      <c r="B32" s="11" t="str">
        <v>MASTER-65003</v>
      </c>
      <c r="C32" s="12" t="str" cm="1">
        <f t="array" ref="C32">_xlfn.TEXTJOIN(CHAR(10),TRUE,_xlfn._xlws.SORT(IF((--($B32=Flowdown_Thrive[[URS]:[URS]]))*(--(C$14=Flowdown_Thrive[[Source.Name]:[Source.Name]])),Flowdown_Thrive[[SyRS]:[SyRS]],"")))</f>
        <v>MASTER-51252
MASTER-51255
MASTER-51256
MASTER-51257
MASTER-51259
MASTER-51262
MASTER-51263
MASTER-51264
MASTER-51266
MASTER-51267
MASTER-51269</v>
      </c>
      <c r="D32" s="16" t="b" cm="1">
        <f t="array" ref="D32">OR(LEN(C32:C32)&gt;0)</f>
        <v>1</v>
      </c>
    </row>
    <row r="33" spans="2:4" ht="13.5" x14ac:dyDescent="0.2">
      <c r="B33" s="11" t="str">
        <v>MASTER-65005</v>
      </c>
      <c r="C33" s="12" t="str" cm="1">
        <f t="array" ref="C33">_xlfn.TEXTJOIN(CHAR(10),TRUE,_xlfn._xlws.SORT(IF((--($B33=Flowdown_Thrive[[URS]:[URS]]))*(--(C$14=Flowdown_Thrive[[Source.Name]:[Source.Name]])),Flowdown_Thrive[[SyRS]:[SyRS]],"")))</f>
        <v>MASTER-16726</v>
      </c>
      <c r="D33" s="16" t="b" cm="1">
        <f t="array" ref="D33">OR(LEN(C33:C33)&gt;0)</f>
        <v>1</v>
      </c>
    </row>
    <row r="34" spans="2:4" ht="13.5" x14ac:dyDescent="0.2">
      <c r="B34" s="11" t="str">
        <v>MASTER-65006</v>
      </c>
      <c r="C34" s="12" t="str" cm="1">
        <f t="array" ref="C34">_xlfn.TEXTJOIN(CHAR(10),TRUE,_xlfn._xlws.SORT(IF((--($B34=Flowdown_Thrive[[URS]:[URS]]))*(--(C$14=Flowdown_Thrive[[Source.Name]:[Source.Name]])),Flowdown_Thrive[[SyRS]:[SyRS]],"")))</f>
        <v>MASTER-16728</v>
      </c>
      <c r="D34" s="16" t="b" cm="1">
        <f t="array" ref="D34">OR(LEN(C34:C34)&gt;0)</f>
        <v>1</v>
      </c>
    </row>
    <row r="35" spans="2:4" ht="54" x14ac:dyDescent="0.2">
      <c r="B35" s="11" t="str">
        <v>MASTER-65007</v>
      </c>
      <c r="C35" s="12" t="str" cm="1">
        <f t="array" ref="C35">_xlfn.TEXTJOIN(CHAR(10),TRUE,_xlfn._xlws.SORT(IF((--($B35=Flowdown_Thrive[[URS]:[URS]]))*(--(C$14=Flowdown_Thrive[[Source.Name]:[Source.Name]])),Flowdown_Thrive[[SyRS]:[SyRS]],"")))</f>
        <v>MASTER-50478
MASTER-50479
MASTER-50554
MASTER-50559</v>
      </c>
      <c r="D35" s="16" t="b" cm="1">
        <f t="array" ref="D35">OR(LEN(C35:C35)&gt;0)</f>
        <v>1</v>
      </c>
    </row>
    <row r="36" spans="2:4" ht="13.5" x14ac:dyDescent="0.2">
      <c r="B36" s="11" t="str">
        <v>MASTER-65008</v>
      </c>
      <c r="C36" s="12" t="str" cm="1">
        <f t="array" ref="C36">_xlfn.TEXTJOIN(CHAR(10),TRUE,_xlfn._xlws.SORT(IF((--($B36=Flowdown_Thrive[[URS]:[URS]]))*(--(C$14=Flowdown_Thrive[[Source.Name]:[Source.Name]])),Flowdown_Thrive[[SyRS]:[SyRS]],"")))</f>
        <v>MASTER-50182</v>
      </c>
      <c r="D36" s="16" t="b" cm="1">
        <f t="array" ref="D36">OR(LEN(C36:C36)&gt;0)</f>
        <v>1</v>
      </c>
    </row>
    <row r="37" spans="2:4" ht="13.5" x14ac:dyDescent="0.2">
      <c r="B37" s="11" t="str">
        <v>MASTER-65009</v>
      </c>
      <c r="C37" s="12" t="str" cm="1">
        <f t="array" ref="C37">_xlfn.TEXTJOIN(CHAR(10),TRUE,_xlfn._xlws.SORT(IF((--($B37=Flowdown_Thrive[[URS]:[URS]]))*(--(C$14=Flowdown_Thrive[[Source.Name]:[Source.Name]])),Flowdown_Thrive[[SyRS]:[SyRS]],"")))</f>
        <v>UTICA-25739</v>
      </c>
      <c r="D37" s="16" t="b" cm="1">
        <f t="array" ref="D37">OR(LEN(C37:C37)&gt;0)</f>
        <v>1</v>
      </c>
    </row>
    <row r="38" spans="2:4" ht="54" x14ac:dyDescent="0.2">
      <c r="B38" s="11" t="str">
        <v>MASTER-65011</v>
      </c>
      <c r="C38" s="12" t="str" cm="1">
        <f t="array" ref="C38">_xlfn.TEXTJOIN(CHAR(10),TRUE,_xlfn._xlws.SORT(IF((--($B38=Flowdown_Thrive[[URS]:[URS]]))*(--(C$14=Flowdown_Thrive[[Source.Name]:[Source.Name]])),Flowdown_Thrive[[SyRS]:[SyRS]],"")))</f>
        <v>MASTER-49268
MASTER-56840
MASTER-56841
MASTER-56842</v>
      </c>
      <c r="D38" s="16" t="b" cm="1">
        <f t="array" ref="D38">OR(LEN(C38:C38)&gt;0)</f>
        <v>1</v>
      </c>
    </row>
    <row r="39" spans="2:4" ht="409.5" x14ac:dyDescent="0.2">
      <c r="B39" s="11" t="str">
        <v>MASTER-65013</v>
      </c>
      <c r="C39" s="12" t="str" cm="1">
        <f t="array" ref="C39">_xlfn.TEXTJOIN(CHAR(10),TRUE,_xlfn._xlws.SORT(IF((--($B39=Flowdown_Thrive[[URS]:[URS]]))*(--(C$14=Flowdown_Thrive[[Source.Name]:[Source.Name]])),Flowdown_Thrive[[SyRS]:[SyRS]],"")))</f>
        <v>MASTER-16620
MASTER-16622
MASTER-16623
MASTER-16624
MASTER-16625
MASTER-16626
MASTER-16627
MASTER-16628
MASTER-16640
MASTER-16641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MASTER-50172
MASTER-50174
MASTER-64600
MASTER-67127
MASTER-67129
MASTER-67130
MASTER-67131
MASTER-67132
UTICA-6411</v>
      </c>
      <c r="D39" s="16" t="b" cm="1">
        <f t="array" ref="D39">OR(LEN(C39:C39)&gt;0)</f>
        <v>1</v>
      </c>
    </row>
    <row r="40" spans="2:4" ht="148.5" x14ac:dyDescent="0.2">
      <c r="B40" s="11" t="str">
        <v>MASTER-65019</v>
      </c>
      <c r="C40" s="12" t="str" cm="1">
        <f t="array" ref="C40">_xlfn.TEXTJOIN(CHAR(10),TRUE,_xlfn._xlws.SORT(IF((--($B40=Flowdown_Thrive[[URS]:[URS]]))*(--(C$14=Flowdown_Thrive[[Source.Name]:[Source.Name]])),Flowdown_Thrive[[SyRS]:[SyRS]],"")))</f>
        <v>MASTER-41931
MASTER-50091
MASTER-50092
MASTER-50095
MASTER-50099
MASTER-50100
MASTER-50102
MASTER-50106
MASTER-50685
MASTER-50686
MASTER-50687</v>
      </c>
      <c r="D40" s="16" t="b" cm="1">
        <f t="array" ref="D40">OR(LEN(C40:C40)&gt;0)</f>
        <v>1</v>
      </c>
    </row>
    <row r="41" spans="2:4" ht="243" x14ac:dyDescent="0.2">
      <c r="B41" s="11" t="str">
        <v>MASTER-65020</v>
      </c>
      <c r="C41" s="12" t="str" cm="1">
        <f t="array" ref="C41">_xlfn.TEXTJOIN(CHAR(10),TRUE,_xlfn._xlws.SORT(IF((--($B41=Flowdown_Thrive[[URS]:[URS]]))*(--(C$14=Flowdown_Thrive[[Source.Name]:[Source.Name]])),Flowdown_Thrive[[SyRS]:[SyRS]],"")))</f>
        <v>MASTER-41931
MASTER-41933
MASTER-41934
MASTER-41935
MASTER-41936
MASTER-41937
MASTER-41951
MASTER-41952
MASTER-41953
MASTER-50685
MASTER-50686
MASTER-50687
MASTER-51275
MASTER-51276
MASTER-51277
MASTER-58690
MASTER-58691
MASTER-58693</v>
      </c>
      <c r="D41" s="16" t="b" cm="1">
        <f t="array" ref="D41">OR(LEN(C41:C41)&gt;0)</f>
        <v>1</v>
      </c>
    </row>
    <row r="42" spans="2:4" ht="13.5" x14ac:dyDescent="0.2">
      <c r="B42" s="11" t="str">
        <v>MASTER-65021</v>
      </c>
      <c r="C42" s="12" t="str" cm="1">
        <f t="array" ref="C42">_xlfn.TEXTJOIN(CHAR(10),TRUE,_xlfn._xlws.SORT(IF((--($B42=Flowdown_Thrive[[URS]:[URS]]))*(--(C$14=Flowdown_Thrive[[Source.Name]:[Source.Name]])),Flowdown_Thrive[[SyRS]:[SyRS]],"")))</f>
        <v>MASTER-50090</v>
      </c>
      <c r="D42" s="16" t="b" cm="1">
        <f t="array" ref="D42">OR(LEN(C42:C42)&gt;0)</f>
        <v>1</v>
      </c>
    </row>
    <row r="43" spans="2:4" ht="13.5" x14ac:dyDescent="0.2">
      <c r="B43" s="11" t="str">
        <v>MASTER-65023</v>
      </c>
      <c r="C43" s="12" t="str" cm="1">
        <f t="array" ref="C43">_xlfn.TEXTJOIN(CHAR(10),TRUE,_xlfn._xlws.SORT(IF((--($B43=Flowdown_Thrive[[URS]:[URS]]))*(--(C$14=Flowdown_Thrive[[Source.Name]:[Source.Name]])),Flowdown_Thrive[[SyRS]:[SyRS]],"")))</f>
        <v>MASTER-50197</v>
      </c>
      <c r="D43" s="16" t="b" cm="1">
        <f t="array" ref="D43">OR(LEN(C43:C43)&gt;0)</f>
        <v>1</v>
      </c>
    </row>
    <row r="44" spans="2:4" ht="27" x14ac:dyDescent="0.2">
      <c r="B44" s="11" t="str">
        <v>MASTER-65024</v>
      </c>
      <c r="C44" s="12" t="str" cm="1">
        <f t="array" ref="C44">_xlfn.TEXTJOIN(CHAR(10),TRUE,_xlfn._xlws.SORT(IF((--($B44=Flowdown_Thrive[[URS]:[URS]]))*(--(C$14=Flowdown_Thrive[[Source.Name]:[Source.Name]])),Flowdown_Thrive[[SyRS]:[SyRS]],"")))</f>
        <v>MASTER-47607
MASTER-47608</v>
      </c>
      <c r="D44" s="16" t="b" cm="1">
        <f t="array" ref="D44">OR(LEN(C44:C44)&gt;0)</f>
        <v>1</v>
      </c>
    </row>
    <row r="45" spans="2:4" ht="94.5" x14ac:dyDescent="0.2">
      <c r="B45" s="11" t="str">
        <v>MASTER-65025</v>
      </c>
      <c r="C45" s="12" t="str" cm="1">
        <f t="array" ref="C45">_xlfn.TEXTJOIN(CHAR(10),TRUE,_xlfn._xlws.SORT(IF((--($B45=Flowdown_Thrive[[URS]:[URS]]))*(--(C$14=Flowdown_Thrive[[Source.Name]:[Source.Name]])),Flowdown_Thrive[[SyRS]:[SyRS]],"")))</f>
        <v>MASTER-50195
MASTER-50196
MASTER-50197
UTICA-6403
UTICA-6415
UTICA-6417
UTICA-6419</v>
      </c>
      <c r="D45" s="16" t="b" cm="1">
        <f t="array" ref="D45">OR(LEN(C45:C45)&gt;0)</f>
        <v>1</v>
      </c>
    </row>
    <row r="46" spans="2:4" ht="94.5" x14ac:dyDescent="0.2">
      <c r="B46" s="11" t="str">
        <v>MASTER-65026</v>
      </c>
      <c r="C46" s="12" t="str" cm="1">
        <f t="array" ref="C46">_xlfn.TEXTJOIN(CHAR(10),TRUE,_xlfn._xlws.SORT(IF((--($B46=Flowdown_Thrive[[URS]:[URS]]))*(--(C$14=Flowdown_Thrive[[Source.Name]:[Source.Name]])),Flowdown_Thrive[[SyRS]:[SyRS]],"")))</f>
        <v>MASTER-47592
MASTER-47593
MASTER-47596
MASTER-47600
MASTER-47602
UTICA-24855
UTICA-6418</v>
      </c>
      <c r="D46" s="16" t="b" cm="1">
        <f t="array" ref="D46">OR(LEN(C46:C46)&gt;0)</f>
        <v>1</v>
      </c>
    </row>
    <row r="47" spans="2:4" ht="13.5" x14ac:dyDescent="0.2">
      <c r="B47" s="11" t="str">
        <v>MASTER-65027</v>
      </c>
      <c r="C47" s="12" t="str" cm="1">
        <f t="array" ref="C47">_xlfn.TEXTJOIN(CHAR(10),TRUE,_xlfn._xlws.SORT(IF((--($B47=Flowdown_Thrive[[URS]:[URS]]))*(--(C$14=Flowdown_Thrive[[Source.Name]:[Source.Name]])),Flowdown_Thrive[[SyRS]:[SyRS]],"")))</f>
        <v>MASTER-47598</v>
      </c>
      <c r="D47" s="16" t="b" cm="1">
        <f t="array" ref="D47">OR(LEN(C47:C47)&gt;0)</f>
        <v>1</v>
      </c>
    </row>
    <row r="48" spans="2:4" ht="243" x14ac:dyDescent="0.2">
      <c r="B48" s="11" t="str">
        <v>MASTER-65029</v>
      </c>
      <c r="C48" s="12" t="str" cm="1">
        <f t="array" ref="C48">_xlfn.TEXTJOIN(CHAR(10),TRUE,_xlfn._xlws.SORT(IF((--($B48=Flowdown_Thrive[[URS]:[URS]]))*(--(C$14=Flowdown_Thrive[[Source.Name]:[Source.Name]])),Flowdown_Thrive[[SyRS]:[SyRS]],"")))</f>
        <v>MASTER-50201
MASTER-50204
MASTER-50207
MASTER-50210
MASTER-50212
MASTER-50213
MASTER-50214
MASTER-50215
MASTER-51790
UTICA-6399
UTICA-6400
UTICA-6405
UTICA-6406
UTICA-6408
UTICA-6409
UTICA-6412
UTICA-6414
UTICA-6416</v>
      </c>
      <c r="D48" s="16" t="b" cm="1">
        <f t="array" ref="D48">OR(LEN(C48:C48)&gt;0)</f>
        <v>1</v>
      </c>
    </row>
    <row r="49" spans="2:4" ht="13.5" x14ac:dyDescent="0.2">
      <c r="B49" s="11" t="str">
        <v>MASTER-65030</v>
      </c>
      <c r="C49" s="12" t="str" cm="1">
        <f t="array" ref="C49">_xlfn.TEXTJOIN(CHAR(10),TRUE,_xlfn._xlws.SORT(IF((--($B49=Flowdown_Thrive[[URS]:[URS]]))*(--(C$14=Flowdown_Thrive[[Source.Name]:[Source.Name]])),Flowdown_Thrive[[SyRS]:[SyRS]],"")))</f>
        <v>MASTER-50195</v>
      </c>
      <c r="D49" s="16" t="b" cm="1">
        <f t="array" ref="D49">OR(LEN(C49:C49)&gt;0)</f>
        <v>1</v>
      </c>
    </row>
    <row r="50" spans="2:4" ht="67.5" x14ac:dyDescent="0.2">
      <c r="B50" s="11" t="str">
        <v>MASTER-65031</v>
      </c>
      <c r="C50" s="12" t="str" cm="1">
        <f t="array" ref="C50">_xlfn.TEXTJOIN(CHAR(10),TRUE,_xlfn._xlws.SORT(IF((--($B50=Flowdown_Thrive[[URS]:[URS]]))*(--(C$14=Flowdown_Thrive[[Source.Name]:[Source.Name]])),Flowdown_Thrive[[SyRS]:[SyRS]],"")))</f>
        <v>MASTER-51651
MASTER-51665
UTICA-6402
UTICA-6404
UTICA-6407</v>
      </c>
      <c r="D50" s="16" t="b" cm="1">
        <f t="array" ref="D50">OR(LEN(C50:C50)&gt;0)</f>
        <v>1</v>
      </c>
    </row>
    <row r="51" spans="2:4" ht="13.5" x14ac:dyDescent="0.2">
      <c r="B51" s="11" t="str">
        <v>MASTER-65032</v>
      </c>
      <c r="C51" s="12" t="str" cm="1">
        <f t="array" ref="C51">_xlfn.TEXTJOIN(CHAR(10),TRUE,_xlfn._xlws.SORT(IF((--($B51=Flowdown_Thrive[[URS]:[URS]]))*(--(C$14=Flowdown_Thrive[[Source.Name]:[Source.Name]])),Flowdown_Thrive[[SyRS]:[SyRS]],"")))</f>
        <v>MASTER-50195</v>
      </c>
      <c r="D51" s="16" t="b" cm="1">
        <f t="array" ref="D51">OR(LEN(C51:C51)&gt;0)</f>
        <v>1</v>
      </c>
    </row>
    <row r="52" spans="2:4" ht="13.5" x14ac:dyDescent="0.2">
      <c r="B52" s="11" t="str">
        <v>MASTER-65034</v>
      </c>
      <c r="C52" s="12" t="str" cm="1">
        <f t="array" ref="C52">_xlfn.TEXTJOIN(CHAR(10),TRUE,_xlfn._xlws.SORT(IF((--($B52=Flowdown_Thrive[[URS]:[URS]]))*(--(C$14=Flowdown_Thrive[[Source.Name]:[Source.Name]])),Flowdown_Thrive[[SyRS]:[SyRS]],"")))</f>
        <v>MASTER-51833</v>
      </c>
      <c r="D52" s="16" t="b" cm="1">
        <f t="array" ref="D52">OR(LEN(C52:C52)&gt;0)</f>
        <v>1</v>
      </c>
    </row>
    <row r="53" spans="2:4" ht="40.5" x14ac:dyDescent="0.2">
      <c r="B53" s="11" t="str">
        <v>MASTER-65035</v>
      </c>
      <c r="C53" s="12" t="str" cm="1">
        <f t="array" ref="C53">_xlfn.TEXTJOIN(CHAR(10),TRUE,_xlfn._xlws.SORT(IF((--($B53=Flowdown_Thrive[[URS]:[URS]]))*(--(C$14=Flowdown_Thrive[[Source.Name]:[Source.Name]])),Flowdown_Thrive[[SyRS]:[SyRS]],"")))</f>
        <v>MASTER-51429
MASTER-51436
MASTER-51846</v>
      </c>
      <c r="D53" s="16" t="b" cm="1">
        <f t="array" ref="D53">OR(LEN(C53:C53)&gt;0)</f>
        <v>1</v>
      </c>
    </row>
    <row r="54" spans="2:4" ht="13.5" x14ac:dyDescent="0.2">
      <c r="B54" s="11" t="str">
        <v>MASTER-65036</v>
      </c>
      <c r="C54" s="12" t="str" cm="1">
        <f t="array" ref="C54">_xlfn.TEXTJOIN(CHAR(10),TRUE,_xlfn._xlws.SORT(IF((--($B54=Flowdown_Thrive[[URS]:[URS]]))*(--(C$14=Flowdown_Thrive[[Source.Name]:[Source.Name]])),Flowdown_Thrive[[SyRS]:[SyRS]],"")))</f>
        <v>MASTER-51429</v>
      </c>
      <c r="D54" s="16" t="b" cm="1">
        <f t="array" ref="D54">OR(LEN(C54:C54)&gt;0)</f>
        <v>1</v>
      </c>
    </row>
    <row r="55" spans="2:4" ht="54" x14ac:dyDescent="0.2">
      <c r="B55" s="11" t="str">
        <v>MASTER-65037</v>
      </c>
      <c r="C55" s="12" t="str" cm="1">
        <f t="array" ref="C55">_xlfn.TEXTJOIN(CHAR(10),TRUE,_xlfn._xlws.SORT(IF((--($B55=Flowdown_Thrive[[URS]:[URS]]))*(--(C$14=Flowdown_Thrive[[Source.Name]:[Source.Name]])),Flowdown_Thrive[[SyRS]:[SyRS]],"")))</f>
        <v>MASTER-51435
MASTER-51440
MASTER-51441
MASTER-51843</v>
      </c>
      <c r="D55" s="16" t="b" cm="1">
        <f t="array" ref="D55">OR(LEN(C55:C55)&gt;0)</f>
        <v>1</v>
      </c>
    </row>
    <row r="56" spans="2:4" ht="27" x14ac:dyDescent="0.2">
      <c r="B56" s="11" t="str">
        <v>MASTER-65038</v>
      </c>
      <c r="C56" s="12" t="str" cm="1">
        <f t="array" ref="C56">_xlfn.TEXTJOIN(CHAR(10),TRUE,_xlfn._xlws.SORT(IF((--($B56=Flowdown_Thrive[[URS]:[URS]]))*(--(C$14=Flowdown_Thrive[[Source.Name]:[Source.Name]])),Flowdown_Thrive[[SyRS]:[SyRS]],"")))</f>
        <v>MASTER-51837
MASTER-51845</v>
      </c>
      <c r="D56" s="16" t="b" cm="1">
        <f t="array" ref="D56">OR(LEN(C56:C56)&gt;0)</f>
        <v>1</v>
      </c>
    </row>
    <row r="57" spans="2:4" ht="162" x14ac:dyDescent="0.2">
      <c r="B57" s="11" t="str">
        <v>MASTER-65039</v>
      </c>
      <c r="C57" s="12" t="str" cm="1">
        <f t="array" ref="C57">_xlfn.TEXTJOIN(CHAR(10),TRUE,_xlfn._xlws.SORT(IF((--($B57=Flowdown_Thrive[[URS]:[URS]]))*(--(C$14=Flowdown_Thrive[[Source.Name]:[Source.Name]])),Flowdown_Thrive[[SyRS]:[SyRS]],"")))</f>
        <v>MASTER-51373
MASTER-51384
MASTER-51395
MASTER-51396
MASTER-51404
MASTER-51406
MASTER-51418
MASTER-51421
MASTER-51850
MASTER-51852
MASTER-51855
MASTER-51856</v>
      </c>
      <c r="D57" s="16" t="b" cm="1">
        <f t="array" ref="D57">OR(LEN(C57:C57)&gt;0)</f>
        <v>1</v>
      </c>
    </row>
    <row r="58" spans="2:4" ht="13.5" x14ac:dyDescent="0.2">
      <c r="B58" s="11" t="str">
        <v>MASTER-65040</v>
      </c>
      <c r="C58" s="12" t="str" cm="1">
        <f t="array" ref="C58">_xlfn.TEXTJOIN(CHAR(10),TRUE,_xlfn._xlws.SORT(IF((--($B58=Flowdown_Thrive[[URS]:[URS]]))*(--(C$14=Flowdown_Thrive[[Source.Name]:[Source.Name]])),Flowdown_Thrive[[SyRS]:[SyRS]],"")))</f>
        <v>MASTER-51832</v>
      </c>
      <c r="D58" s="16" t="b" cm="1">
        <f t="array" ref="D58">OR(LEN(C58:C58)&gt;0)</f>
        <v>1</v>
      </c>
    </row>
    <row r="59" spans="2:4" ht="40.5" x14ac:dyDescent="0.2">
      <c r="B59" s="11" t="str">
        <v>MASTER-65041</v>
      </c>
      <c r="C59" s="12" t="str" cm="1">
        <f t="array" ref="C59">_xlfn.TEXTJOIN(CHAR(10),TRUE,_xlfn._xlws.SORT(IF((--($B59=Flowdown_Thrive[[URS]:[URS]]))*(--(C$14=Flowdown_Thrive[[Source.Name]:[Source.Name]])),Flowdown_Thrive[[SyRS]:[SyRS]],"")))</f>
        <v>MASTER-51433
MASTER-51436
MASTER-51442</v>
      </c>
      <c r="D59" s="16" t="b" cm="1">
        <f t="array" ref="D59">OR(LEN(C59:C59)&gt;0)</f>
        <v>1</v>
      </c>
    </row>
    <row r="60" spans="2:4" ht="108" x14ac:dyDescent="0.2">
      <c r="B60" s="11" t="str">
        <v>MASTER-65042</v>
      </c>
      <c r="C60" s="12" t="str" cm="1">
        <f t="array" ref="C60">_xlfn.TEXTJOIN(CHAR(10),TRUE,_xlfn._xlws.SORT(IF((--($B60=Flowdown_Thrive[[URS]:[URS]]))*(--(C$14=Flowdown_Thrive[[Source.Name]:[Source.Name]])),Flowdown_Thrive[[SyRS]:[SyRS]],"")))</f>
        <v>MASTER-51365
MASTER-51375
MASTER-51406
MASTER-51421
MASTER-51848
MASTER-51849
MASTER-51855
MASTER-51856</v>
      </c>
      <c r="D60" s="16" t="b" cm="1">
        <f t="array" ref="D60">OR(LEN(C60:C60)&gt;0)</f>
        <v>1</v>
      </c>
    </row>
    <row r="61" spans="2:4" ht="13.5" x14ac:dyDescent="0.2">
      <c r="B61" s="11" t="str">
        <v>MASTER-65043</v>
      </c>
      <c r="C61" s="12" t="str" cm="1">
        <f t="array" ref="C61">_xlfn.TEXTJOIN(CHAR(10),TRUE,_xlfn._xlws.SORT(IF((--($B61=Flowdown_Thrive[[URS]:[URS]]))*(--(C$14=Flowdown_Thrive[[Source.Name]:[Source.Name]])),Flowdown_Thrive[[SyRS]:[SyRS]],"")))</f>
        <v>MASTER-51446</v>
      </c>
      <c r="D61" s="16" t="b" cm="1">
        <f t="array" ref="D61">OR(LEN(C61:C61)&gt;0)</f>
        <v>1</v>
      </c>
    </row>
    <row r="62" spans="2:4" ht="13.5" x14ac:dyDescent="0.2">
      <c r="B62" s="11" t="str">
        <v>MASTER-65044</v>
      </c>
      <c r="C62" s="12" t="str" cm="1">
        <f t="array" ref="C62">_xlfn.TEXTJOIN(CHAR(10),TRUE,_xlfn._xlws.SORT(IF((--($B62=Flowdown_Thrive[[URS]:[URS]]))*(--(C$14=Flowdown_Thrive[[Source.Name]:[Source.Name]])),Flowdown_Thrive[[SyRS]:[SyRS]],"")))</f>
        <v>MASTER-51833</v>
      </c>
      <c r="D62" s="16" t="b" cm="1">
        <f t="array" ref="D62">OR(LEN(C62:C62)&gt;0)</f>
        <v>1</v>
      </c>
    </row>
    <row r="63" spans="2:4" ht="27" x14ac:dyDescent="0.2">
      <c r="B63" s="11" t="str">
        <v>MASTER-65045</v>
      </c>
      <c r="C63" s="12" t="str" cm="1">
        <f t="array" ref="C63">_xlfn.TEXTJOIN(CHAR(10),TRUE,_xlfn._xlws.SORT(IF((--($B63=Flowdown_Thrive[[URS]:[URS]]))*(--(C$14=Flowdown_Thrive[[Source.Name]:[Source.Name]])),Flowdown_Thrive[[SyRS]:[SyRS]],"")))</f>
        <v>MASTER-51454
MASTER-51462</v>
      </c>
      <c r="D63" s="16" t="b" cm="1">
        <f t="array" ref="D63">OR(LEN(C63:C63)&gt;0)</f>
        <v>1</v>
      </c>
    </row>
    <row r="64" spans="2:4" ht="13.5" x14ac:dyDescent="0.2">
      <c r="B64" s="11" t="str">
        <v>MASTER-65046</v>
      </c>
      <c r="C64" s="12" t="str" cm="1">
        <f t="array" ref="C64">_xlfn.TEXTJOIN(CHAR(10),TRUE,_xlfn._xlws.SORT(IF((--($B64=Flowdown_Thrive[[URS]:[URS]]))*(--(C$14=Flowdown_Thrive[[Source.Name]:[Source.Name]])),Flowdown_Thrive[[SyRS]:[SyRS]],"")))</f>
        <v>MASTER-51455</v>
      </c>
      <c r="D64" s="16" t="b" cm="1">
        <f t="array" ref="D64">OR(LEN(C64:C64)&gt;0)</f>
        <v>1</v>
      </c>
    </row>
    <row r="65" spans="2:4" ht="13.5" x14ac:dyDescent="0.2">
      <c r="B65" s="11" t="str">
        <v>MASTER-65047</v>
      </c>
      <c r="C65" s="12" t="str" cm="1">
        <f t="array" ref="C65">_xlfn.TEXTJOIN(CHAR(10),TRUE,_xlfn._xlws.SORT(IF((--($B65=Flowdown_Thrive[[URS]:[URS]]))*(--(C$14=Flowdown_Thrive[[Source.Name]:[Source.Name]])),Flowdown_Thrive[[SyRS]:[SyRS]],"")))</f>
        <v>MASTER-51323</v>
      </c>
      <c r="D65" s="16" t="b" cm="1">
        <f t="array" ref="D65">OR(LEN(C65:C65)&gt;0)</f>
        <v>1</v>
      </c>
    </row>
    <row r="66" spans="2:4" ht="175.5" x14ac:dyDescent="0.2">
      <c r="B66" s="11" t="str">
        <v>MASTER-65049</v>
      </c>
      <c r="C66" s="12" t="str" cm="1">
        <f t="array" ref="C66">_xlfn.TEXTJOIN(CHAR(10),TRUE,_xlfn._xlws.SORT(IF((--($B66=Flowdown_Thrive[[URS]:[URS]]))*(--(C$14=Flowdown_Thrive[[Source.Name]:[Source.Name]])),Flowdown_Thrive[[SyRS]:[SyRS]],"")))</f>
        <v>MASTER-58694
MASTER-58697
MASTER-58698
MASTER-58699
MASTER-58701
MASTER-58702
MASTER-60868
MASTER-60871
MASTER-60875
MASTER-60876
MASTER-60877
MASTER-60880
MASTER-61784</v>
      </c>
      <c r="D66" s="16" t="b" cm="1">
        <f t="array" ref="D66">OR(LEN(C66:C66)&gt;0)</f>
        <v>1</v>
      </c>
    </row>
    <row r="67" spans="2:4" ht="13.5" x14ac:dyDescent="0.2">
      <c r="B67" s="11" t="str">
        <v>MASTER-65050</v>
      </c>
      <c r="C67" s="12" t="str" cm="1">
        <f t="array" ref="C67">_xlfn.TEXTJOIN(CHAR(10),TRUE,_xlfn._xlws.SORT(IF((--($B67=Flowdown_Thrive[[URS]:[URS]]))*(--(C$14=Flowdown_Thrive[[Source.Name]:[Source.Name]])),Flowdown_Thrive[[SyRS]:[SyRS]],"")))</f>
        <v>MASTER-58697</v>
      </c>
      <c r="D67" s="16" t="b" cm="1">
        <f t="array" ref="D67">OR(LEN(C67:C67)&gt;0)</f>
        <v>1</v>
      </c>
    </row>
    <row r="68" spans="2:4" ht="13.5" x14ac:dyDescent="0.2">
      <c r="B68" s="11" t="str">
        <v>MASTER-65051</v>
      </c>
      <c r="C68" s="12" t="str" cm="1">
        <f t="array" ref="C68">_xlfn.TEXTJOIN(CHAR(10),TRUE,_xlfn._xlws.SORT(IF((--($B68=Flowdown_Thrive[[URS]:[URS]]))*(--(C$14=Flowdown_Thrive[[Source.Name]:[Source.Name]])),Flowdown_Thrive[[SyRS]:[SyRS]],"")))</f>
        <v>MASTER-58697</v>
      </c>
      <c r="D68" s="16" t="b" cm="1">
        <f t="array" ref="D68">OR(LEN(C68:C68)&gt;0)</f>
        <v>1</v>
      </c>
    </row>
    <row r="69" spans="2:4" ht="27" x14ac:dyDescent="0.2">
      <c r="B69" s="11" t="str">
        <v>MASTER-65052</v>
      </c>
      <c r="C69" s="12" t="str" cm="1">
        <f t="array" ref="C69">_xlfn.TEXTJOIN(CHAR(10),TRUE,_xlfn._xlws.SORT(IF((--($B69=Flowdown_Thrive[[URS]:[URS]]))*(--(C$14=Flowdown_Thrive[[Source.Name]:[Source.Name]])),Flowdown_Thrive[[SyRS]:[SyRS]],"")))</f>
        <v>MASTER-58694
MASTER-58697</v>
      </c>
      <c r="D69" s="16" t="b" cm="1">
        <f t="array" ref="D69">OR(LEN(C69:C69)&gt;0)</f>
        <v>1</v>
      </c>
    </row>
    <row r="70" spans="2:4" ht="13.5" x14ac:dyDescent="0.2">
      <c r="B70" s="11" t="str">
        <v>MASTER-65053</v>
      </c>
      <c r="C70" s="12" t="str" cm="1">
        <f t="array" ref="C70">_xlfn.TEXTJOIN(CHAR(10),TRUE,_xlfn._xlws.SORT(IF((--($B70=Flowdown_Thrive[[URS]:[URS]]))*(--(C$14=Flowdown_Thrive[[Source.Name]:[Source.Name]])),Flowdown_Thrive[[SyRS]:[SyRS]],"")))</f>
        <v>MASTER-58695</v>
      </c>
      <c r="D70" s="16" t="b" cm="1">
        <f t="array" ref="D70">OR(LEN(C70:C70)&gt;0)</f>
        <v>1</v>
      </c>
    </row>
    <row r="71" spans="2:4" ht="13.5" x14ac:dyDescent="0.2">
      <c r="B71" s="11" t="str">
        <v>MASTER-65054</v>
      </c>
      <c r="C71" s="12" t="str" cm="1">
        <f t="array" ref="C71">_xlfn.TEXTJOIN(CHAR(10),TRUE,_xlfn._xlws.SORT(IF((--($B71=Flowdown_Thrive[[URS]:[URS]]))*(--(C$14=Flowdown_Thrive[[Source.Name]:[Source.Name]])),Flowdown_Thrive[[SyRS]:[SyRS]],"")))</f>
        <v>MASTER-58697</v>
      </c>
      <c r="D71" s="16" t="b" cm="1">
        <f t="array" ref="D71">OR(LEN(C71:C71)&gt;0)</f>
        <v>1</v>
      </c>
    </row>
    <row r="72" spans="2:4" ht="27" x14ac:dyDescent="0.2">
      <c r="B72" s="11" t="str">
        <v>MASTER-65055</v>
      </c>
      <c r="C72" s="12" t="str" cm="1">
        <f t="array" ref="C72">_xlfn.TEXTJOIN(CHAR(10),TRUE,_xlfn._xlws.SORT(IF((--($B72=Flowdown_Thrive[[URS]:[URS]]))*(--(C$14=Flowdown_Thrive[[Source.Name]:[Source.Name]])),Flowdown_Thrive[[SyRS]:[SyRS]],"")))</f>
        <v>MASTER-58700
MASTER-60881</v>
      </c>
      <c r="D72" s="16" t="b" cm="1">
        <f t="array" ref="D72">OR(LEN(C72:C72)&gt;0)</f>
        <v>1</v>
      </c>
    </row>
    <row r="73" spans="2:4" ht="121.5" x14ac:dyDescent="0.2">
      <c r="B73" s="11" t="str">
        <v>MASTER-65057</v>
      </c>
      <c r="C73" s="12" t="str" cm="1">
        <f t="array" ref="C73">_xlfn.TEXTJOIN(CHAR(10),TRUE,_xlfn._xlws.SORT(IF((--($B73=Flowdown_Thrive[[URS]:[URS]]))*(--(C$14=Flowdown_Thrive[[Source.Name]:[Source.Name]])),Flowdown_Thrive[[SyRS]:[SyRS]],"")))</f>
        <v>MASTER-56902
MASTER-56904
MASTER-56905
MASTER-56906
MASTER-56907
MASTER-56909
MASTER-56910
MASTER-56911
MASTER-56912</v>
      </c>
      <c r="D73" s="16" t="b" cm="1">
        <f t="array" ref="D73">OR(LEN(C73:C73)&gt;0)</f>
        <v>1</v>
      </c>
    </row>
    <row r="74" spans="2:4" ht="13.5" x14ac:dyDescent="0.2">
      <c r="B74" s="11" t="str">
        <v>MASTER-65058</v>
      </c>
      <c r="C74" s="12" t="str" cm="1">
        <f t="array" ref="C74">_xlfn.TEXTJOIN(CHAR(10),TRUE,_xlfn._xlws.SORT(IF((--($B74=Flowdown_Thrive[[URS]:[URS]]))*(--(C$14=Flowdown_Thrive[[Source.Name]:[Source.Name]])),Flowdown_Thrive[[SyRS]:[SyRS]],"")))</f>
        <v>MASTER-56902</v>
      </c>
      <c r="D74" s="16" t="b" cm="1">
        <f t="array" ref="D74">OR(LEN(C74:C74)&gt;0)</f>
        <v>1</v>
      </c>
    </row>
    <row r="75" spans="2:4" ht="27" x14ac:dyDescent="0.2">
      <c r="B75" s="11" t="str">
        <v>MASTER-65059</v>
      </c>
      <c r="C75" s="12" t="str" cm="1">
        <f t="array" ref="C75">_xlfn.TEXTJOIN(CHAR(10),TRUE,_xlfn._xlws.SORT(IF((--($B75=Flowdown_Thrive[[URS]:[URS]]))*(--(C$14=Flowdown_Thrive[[Source.Name]:[Source.Name]])),Flowdown_Thrive[[SyRS]:[SyRS]],"")))</f>
        <v>MASTER-56909
MASTER-56910</v>
      </c>
      <c r="D75" s="16" t="b" cm="1">
        <f t="array" ref="D75">OR(LEN(C75:C75)&gt;0)</f>
        <v>1</v>
      </c>
    </row>
    <row r="76" spans="2:4" ht="121.5" x14ac:dyDescent="0.2">
      <c r="B76" s="11" t="str">
        <v>MASTER-65061</v>
      </c>
      <c r="C76" s="12" t="str" cm="1">
        <f t="array" ref="C76">_xlfn.TEXTJOIN(CHAR(10),TRUE,_xlfn._xlws.SORT(IF((--($B76=Flowdown_Thrive[[URS]:[URS]]))*(--(C$14=Flowdown_Thrive[[Source.Name]:[Source.Name]])),Flowdown_Thrive[[SyRS]:[SyRS]],"")))</f>
        <v>MASTER-56823
MASTER-56824
MASTER-56825
MASTER-56826
MASTER-56828
MASTER-56829
MASTER-56831
MASTER-56832
MASTER-56835</v>
      </c>
      <c r="D76" s="16" t="b" cm="1">
        <f t="array" ref="D76">OR(LEN(C76:C76)&gt;0)</f>
        <v>1</v>
      </c>
    </row>
    <row r="77" spans="2:4" ht="13.5" x14ac:dyDescent="0.2">
      <c r="B77" s="11" t="str">
        <v>MASTER-65062</v>
      </c>
      <c r="C77" s="12" t="str" cm="1">
        <f t="array" ref="C77">_xlfn.TEXTJOIN(CHAR(10),TRUE,_xlfn._xlws.SORT(IF((--($B77=Flowdown_Thrive[[URS]:[URS]]))*(--(C$14=Flowdown_Thrive[[Source.Name]:[Source.Name]])),Flowdown_Thrive[[SyRS]:[SyRS]],"")))</f>
        <v>MASTER-56823</v>
      </c>
      <c r="D77" s="16" t="b" cm="1">
        <f t="array" ref="D77">OR(LEN(C77:C77)&gt;0)</f>
        <v>1</v>
      </c>
    </row>
    <row r="78" spans="2:4" ht="13.5" x14ac:dyDescent="0.2">
      <c r="B78" s="11" t="str">
        <v>MASTER-65063</v>
      </c>
      <c r="C78" s="12" t="str" cm="1">
        <f t="array" ref="C78">_xlfn.TEXTJOIN(CHAR(10),TRUE,_xlfn._xlws.SORT(IF((--($B78=Flowdown_Thrive[[URS]:[URS]]))*(--(C$14=Flowdown_Thrive[[Source.Name]:[Source.Name]])),Flowdown_Thrive[[SyRS]:[SyRS]],"")))</f>
        <v>MASTER-56833</v>
      </c>
      <c r="D78" s="16" t="b" cm="1">
        <f t="array" ref="D78">OR(LEN(C78:C78)&gt;0)</f>
        <v>1</v>
      </c>
    </row>
    <row r="79" spans="2:4" ht="67.5" x14ac:dyDescent="0.2">
      <c r="B79" s="11" t="str">
        <v>MASTER-65065</v>
      </c>
      <c r="C79" s="12" t="str" cm="1">
        <f t="array" ref="C79">_xlfn.TEXTJOIN(CHAR(10),TRUE,_xlfn._xlws.SORT(IF((--($B79=Flowdown_Thrive[[URS]:[URS]]))*(--(C$14=Flowdown_Thrive[[Source.Name]:[Source.Name]])),Flowdown_Thrive[[SyRS]:[SyRS]],"")))</f>
        <v>MASTER-56594
MASTER-56596
MASTER-56598
MASTER-57009
UTICA-24859</v>
      </c>
      <c r="D79" s="16" t="b" cm="1">
        <f t="array" ref="D79">OR(LEN(C79:C79)&gt;0)</f>
        <v>1</v>
      </c>
    </row>
    <row r="80" spans="2:4" ht="13.5" x14ac:dyDescent="0.2">
      <c r="B80" s="11" t="str">
        <v>MASTER-65066</v>
      </c>
      <c r="C80" s="12" t="str" cm="1">
        <f t="array" ref="C80">_xlfn.TEXTJOIN(CHAR(10),TRUE,_xlfn._xlws.SORT(IF((--($B80=Flowdown_Thrive[[URS]:[URS]]))*(--(C$14=Flowdown_Thrive[[Source.Name]:[Source.Name]])),Flowdown_Thrive[[SyRS]:[SyRS]],"")))</f>
        <v>UTICA-24859</v>
      </c>
      <c r="D80" s="16" t="b" cm="1">
        <f t="array" ref="D80">OR(LEN(C80:C80)&gt;0)</f>
        <v>1</v>
      </c>
    </row>
    <row r="81" spans="2:4" ht="13.5" x14ac:dyDescent="0.2">
      <c r="B81" s="11" t="str">
        <v>MASTER-65067</v>
      </c>
      <c r="C81" s="12" t="str" cm="1">
        <f t="array" ref="C81">_xlfn.TEXTJOIN(CHAR(10),TRUE,_xlfn._xlws.SORT(IF((--($B81=Flowdown_Thrive[[URS]:[URS]]))*(--(C$14=Flowdown_Thrive[[Source.Name]:[Source.Name]])),Flowdown_Thrive[[SyRS]:[SyRS]],"")))</f>
        <v>UTICA-24859</v>
      </c>
      <c r="D81" s="16" t="b" cm="1">
        <f t="array" ref="D81">OR(LEN(C81:C81)&gt;0)</f>
        <v>1</v>
      </c>
    </row>
    <row r="82" spans="2:4" ht="13.5" x14ac:dyDescent="0.2">
      <c r="B82" s="11" t="str">
        <v>MASTER-65069</v>
      </c>
      <c r="C82" s="12" t="str" cm="1">
        <f t="array" ref="C82">_xlfn.TEXTJOIN(CHAR(10),TRUE,_xlfn._xlws.SORT(IF((--($B82=Flowdown_Thrive[[URS]:[URS]]))*(--(C$14=Flowdown_Thrive[[Source.Name]:[Source.Name]])),Flowdown_Thrive[[SyRS]:[SyRS]],"")))</f>
        <v>UTICA-25739</v>
      </c>
      <c r="D82" s="16" t="b" cm="1">
        <f t="array" ref="D82">OR(LEN(C82:C82)&gt;0)</f>
        <v>1</v>
      </c>
    </row>
    <row r="83" spans="2:4" ht="337.5" x14ac:dyDescent="0.2">
      <c r="B83" s="11" t="str">
        <v>MASTER-65073</v>
      </c>
      <c r="C83" s="12" t="str" cm="1">
        <f t="array" ref="C83">_xlfn.TEXTJOIN(CHAR(10),TRUE,_xlfn._xlws.SORT(IF((--($B83=Flowdown_Thrive[[URS]:[URS]]))*(--(C$14=Flowdown_Thrive[[Source.Name]:[Source.Name]])),Flowdown_Thrive[[SyRS]:[SyRS]],"")))</f>
        <v>MASTER-56844
MASTER-56846
MASTER-56847
MASTER-56848
MASTER-56850
MASTER-56852
MASTER-56854
MASTER-56855
MASTER-56856
MASTER-56859
MASTER-56861
MASTER-56863
MASTER-56868
MASTER-56871
MASTER-56872
MASTER-60858
MASTER-60859
MASTER-60861
MASTER-60862
MASTER-60864
MASTER-60865
MASTER-60866
MASTER-60894
MASTER-61878
UTICA-24856</v>
      </c>
      <c r="D83" s="16" t="b" cm="1">
        <f t="array" ref="D83">OR(LEN(C83:C83)&gt;0)</f>
        <v>1</v>
      </c>
    </row>
    <row r="84" spans="2:4" ht="40.5" x14ac:dyDescent="0.2">
      <c r="B84" s="11" t="str">
        <v>MASTER-65075</v>
      </c>
      <c r="C84" s="12" t="str" cm="1">
        <f t="array" ref="C84">_xlfn.TEXTJOIN(CHAR(10),TRUE,_xlfn._xlws.SORT(IF((--($B84=Flowdown_Thrive[[URS]:[URS]]))*(--(C$14=Flowdown_Thrive[[Source.Name]:[Source.Name]])),Flowdown_Thrive[[SyRS]:[SyRS]],"")))</f>
        <v>MASTER-60877
MASTER-60880
MASTER-61784</v>
      </c>
      <c r="D84" s="16" t="b" cm="1">
        <f t="array" ref="D84">OR(LEN(C84:C84)&gt;0)</f>
        <v>1</v>
      </c>
    </row>
    <row r="85" spans="2:4" ht="351" x14ac:dyDescent="0.2">
      <c r="B85" s="11" t="str">
        <v>MASTER-65079</v>
      </c>
      <c r="C85" s="12" t="str" cm="1">
        <f t="array" ref="C85">_xlfn.TEXTJOIN(CHAR(10),TRUE,_xlfn._xlws.SORT(IF((--($B85=Flowdown_Thrive[[URS]:[URS]]))*(--(C$14=Flowdown_Thrive[[Source.Name]:[Source.Name]])),Flowdown_Thrive[[SyRS]:[SyRS]],"")))</f>
        <v>MASTER-56844
MASTER-56852
MASTER-56854
MASTER-56855
MASTER-56856
MASTER-56859
MASTER-56868
MASTER-56871
MASTER-56872
MASTER-60858
MASTER-60859
MASTER-60861
MASTER-60865
MASTER-60866
MASTER-60885
MASTER-60886
MASTER-60894
MASTER-61878
MASTER-62909
MASTER-62910
MASTER-62912
MASTER-62913
MASTER-62915
MASTER-62916
MASTER-62918
UTICA-24856</v>
      </c>
      <c r="D85" s="16" t="b" cm="1">
        <f t="array" ref="D85">OR(LEN(C85:C85)&gt;0)</f>
        <v>1</v>
      </c>
    </row>
    <row r="86" spans="2:4" ht="378" x14ac:dyDescent="0.2">
      <c r="B86" s="11" t="str">
        <v>MASTER-65084</v>
      </c>
      <c r="C86" s="12" t="str" cm="1">
        <f t="array" ref="C86">_xlfn.TEXTJOIN(CHAR(10),TRUE,_xlfn._xlws.SORT(IF((--($B86=Flowdown_Thrive[[URS]:[URS]]))*(--(C$14=Flowdown_Thrive[[Source.Name]:[Source.Name]])),Flowdown_Thrive[[SyRS]:[SyRS]],"")))</f>
        <v>MASTER-56844
MASTER-56850
MASTER-56852
MASTER-56854
MASTER-56855
MASTER-56856
MASTER-56859
MASTER-56868
MASTER-56871
MASTER-56872
MASTER-60858
MASTER-60859
MASTER-60861
MASTER-60865
MASTER-60866
MASTER-60883
MASTER-60884
MASTER-60885
MASTER-60886
MASTER-60887
MASTER-60888
MASTER-60889
MASTER-60890
MASTER-60892
MASTER-60893
MASTER-60894
MASTER-61878
UTICA-24856</v>
      </c>
      <c r="D86" s="16" t="b" cm="1">
        <f t="array" ref="D86">OR(LEN(C86:C86)&gt;0)</f>
        <v>1</v>
      </c>
    </row>
    <row r="87" spans="2:4" ht="13.5" x14ac:dyDescent="0.2">
      <c r="B87" s="11" t="str">
        <v>MASTER-65086</v>
      </c>
      <c r="C87" s="12" t="str" cm="1">
        <f t="array" ref="C87">_xlfn.TEXTJOIN(CHAR(10),TRUE,_xlfn._xlws.SORT(IF((--($B87=Flowdown_Thrive[[URS]:[URS]]))*(--(C$14=Flowdown_Thrive[[Source.Name]:[Source.Name]])),Flowdown_Thrive[[SyRS]:[SyRS]],"")))</f>
        <v>MASTER-16735</v>
      </c>
      <c r="D87" s="16" t="b" cm="1">
        <f t="array" ref="D87">OR(LEN(C87:C87)&gt;0)</f>
        <v>1</v>
      </c>
    </row>
    <row r="88" spans="2:4" ht="13.5" x14ac:dyDescent="0.2">
      <c r="B88" s="11" t="str">
        <v>MASTER-65087</v>
      </c>
      <c r="C88" s="12" t="str" cm="1">
        <f t="array" ref="C88">_xlfn.TEXTJOIN(CHAR(10),TRUE,_xlfn._xlws.SORT(IF((--($B88=Flowdown_Thrive[[URS]:[URS]]))*(--(C$14=Flowdown_Thrive[[Source.Name]:[Source.Name]])),Flowdown_Thrive[[SyRS]:[SyRS]],"")))</f>
        <v>MASTER-16736</v>
      </c>
      <c r="D88" s="16" t="b" cm="1">
        <f t="array" ref="D88">OR(LEN(C88:C88)&gt;0)</f>
        <v>1</v>
      </c>
    </row>
    <row r="89" spans="2:4" ht="13.5" x14ac:dyDescent="0.2">
      <c r="B89" s="11" t="str">
        <v>MASTER-65088</v>
      </c>
      <c r="C89" s="12" t="str" cm="1">
        <f t="array" ref="C89">_xlfn.TEXTJOIN(CHAR(10),TRUE,_xlfn._xlws.SORT(IF((--($B89=Flowdown_Thrive[[URS]:[URS]]))*(--(C$14=Flowdown_Thrive[[Source.Name]:[Source.Name]])),Flowdown_Thrive[[SyRS]:[SyRS]],"")))</f>
        <v>MASTER-16736</v>
      </c>
      <c r="D89" s="16" t="b" cm="1">
        <f t="array" ref="D89">OR(LEN(C89:C89)&gt;0)</f>
        <v>1</v>
      </c>
    </row>
    <row r="90" spans="2:4" ht="108" x14ac:dyDescent="0.2">
      <c r="B90" s="11" t="str">
        <v>MASTER-65090</v>
      </c>
      <c r="C90" s="12" t="str" cm="1">
        <f t="array" ref="C90">_xlfn.TEXTJOIN(CHAR(10),TRUE,_xlfn._xlws.SORT(IF((--($B90=Flowdown_Thrive[[URS]:[URS]]))*(--(C$14=Flowdown_Thrive[[Source.Name]:[Source.Name]])),Flowdown_Thrive[[SyRS]:[SyRS]],"")))</f>
        <v>MASTER-60886
MASTER-62909
MASTER-62910
MASTER-62912
MASTER-62913
MASTER-62915
MASTER-62916
MASTER-62918</v>
      </c>
      <c r="D90" s="16" t="b" cm="1">
        <f t="array" ref="D90">OR(LEN(C90:C90)&gt;0)</f>
        <v>1</v>
      </c>
    </row>
    <row r="91" spans="2:4" ht="67.5" x14ac:dyDescent="0.2">
      <c r="B91" s="11" t="str">
        <v>MASTER-65094</v>
      </c>
      <c r="C91" s="12" t="str" cm="1">
        <f t="array" ref="C91">_xlfn.TEXTJOIN(CHAR(10),TRUE,_xlfn._xlws.SORT(IF((--($B91=Flowdown_Thrive[[URS]:[URS]]))*(--(C$14=Flowdown_Thrive[[Source.Name]:[Source.Name]])),Flowdown_Thrive[[SyRS]:[SyRS]],"")))</f>
        <v>MASTER-61699
MASTER-61705
MASTER-61707
MASTER-61708
MASTER-61709</v>
      </c>
      <c r="D91" s="16" t="b" cm="1">
        <f t="array" ref="D91">OR(LEN(C91:C91)&gt;0)</f>
        <v>1</v>
      </c>
    </row>
    <row r="92" spans="2:4" ht="94.5" x14ac:dyDescent="0.2">
      <c r="B92" s="11" t="str">
        <v>MASTER-65095</v>
      </c>
      <c r="C92" s="12" t="str" cm="1">
        <f t="array" ref="C92">_xlfn.TEXTJOIN(CHAR(10),TRUE,_xlfn._xlws.SORT(IF((--($B92=Flowdown_Thrive[[URS]:[URS]]))*(--(C$14=Flowdown_Thrive[[Source.Name]:[Source.Name]])),Flowdown_Thrive[[SyRS]:[SyRS]],"")))</f>
        <v>MASTER-61701
MASTER-61702
MASTER-61704
MASTER-61705
MASTER-61707
MASTER-61708
MASTER-61709</v>
      </c>
      <c r="D92" s="16" t="b" cm="1">
        <f t="array" ref="D92">OR(LEN(C92:C92)&gt;0)</f>
        <v>1</v>
      </c>
    </row>
    <row r="93" spans="2:4" ht="40.5" x14ac:dyDescent="0.2">
      <c r="B93" s="11" t="str">
        <v>MASTER-65096</v>
      </c>
      <c r="C93" s="12" t="str" cm="1">
        <f t="array" ref="C93">_xlfn.TEXTJOIN(CHAR(10),TRUE,_xlfn._xlws.SORT(IF((--($B93=Flowdown_Thrive[[URS]:[URS]]))*(--(C$14=Flowdown_Thrive[[Source.Name]:[Source.Name]])),Flowdown_Thrive[[SyRS]:[SyRS]],"")))</f>
        <v>MASTER-61698
MASTER-61700
MASTER-61703</v>
      </c>
      <c r="D93" s="16" t="b" cm="1">
        <f t="array" ref="D93">OR(LEN(C93:C93)&gt;0)</f>
        <v>1</v>
      </c>
    </row>
    <row r="94" spans="2:4" ht="409.5" x14ac:dyDescent="0.2">
      <c r="B94" s="11" t="str">
        <v>MASTER-65098</v>
      </c>
      <c r="C94" s="12" t="str" cm="1">
        <f t="array" ref="C94">_xlfn.TEXTJOIN(CHAR(10),TRUE,_xlfn._xlws.SORT(IF((--($B94=Flowdown_Thrive[[URS]:[URS]]))*(--(C$14=Flowdown_Thrive[[Source.Name]:[Source.Name]])),Flowdown_Thrive[[SyRS]:[SyRS]],"")))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MASTER-64666
MASTER-64669
MASTER-64671
MASTER-64672
MASTER-64674
MASTER-64676
MASTER-64677
MASTER-66515
UTICA-25438
UTICA-28120
UTICA-28121
UTICA-6553
UTICA-6554
UTICA-6774
UTICA-6775
UTICA-6776</v>
      </c>
      <c r="D94" s="16" t="b" cm="1">
        <f t="array" ref="D94">OR(LEN(C94:C94)&gt;0)</f>
        <v>1</v>
      </c>
    </row>
    <row r="95" spans="2:4" ht="54" x14ac:dyDescent="0.2">
      <c r="B95" s="11" t="str">
        <v>MASTER-65100</v>
      </c>
      <c r="C95" s="12" t="str" cm="1">
        <f t="array" ref="C95">_xlfn.TEXTJOIN(CHAR(10),TRUE,_xlfn._xlws.SORT(IF((--($B95=Flowdown_Thrive[[URS]:[URS]]))*(--(C$14=Flowdown_Thrive[[Source.Name]:[Source.Name]])),Flowdown_Thrive[[SyRS]:[SyRS]],"")))</f>
        <v>MASTER-50513
MASTER-64656
UTICA-6774
UTICA-6775</v>
      </c>
      <c r="D95" s="16" t="b" cm="1">
        <f t="array" ref="D95">OR(LEN(C95:C95)&gt;0)</f>
        <v>1</v>
      </c>
    </row>
    <row r="96" spans="2:4" ht="13.5" x14ac:dyDescent="0.2">
      <c r="B96" s="11" t="str">
        <v>MASTER-65116</v>
      </c>
      <c r="C96" s="12" t="str" cm="1">
        <f t="array" ref="C96">_xlfn.TEXTJOIN(CHAR(10),TRUE,_xlfn._xlws.SORT(IF((--($B96=Flowdown_Thrive[[URS]:[URS]]))*(--(C$14=Flowdown_Thrive[[Source.Name]:[Source.Name]])),Flowdown_Thrive[[SyRS]:[SyRS]],"")))</f>
        <v>MASTER-60920</v>
      </c>
      <c r="D96" s="16" t="b" cm="1">
        <f t="array" ref="D96">OR(LEN(C96:C96)&gt;0)</f>
        <v>1</v>
      </c>
    </row>
    <row r="97" spans="2:4" ht="13.5" x14ac:dyDescent="0.2">
      <c r="B97" s="11" t="str">
        <v>MASTER-65118</v>
      </c>
      <c r="C97" s="12" t="str" cm="1">
        <f t="array" ref="C97">_xlfn.TEXTJOIN(CHAR(10),TRUE,_xlfn._xlws.SORT(IF((--($B97=Flowdown_Thrive[[URS]:[URS]]))*(--(C$14=Flowdown_Thrive[[Source.Name]:[Source.Name]])),Flowdown_Thrive[[SyRS]:[SyRS]],"")))</f>
        <v>UTICA-25739</v>
      </c>
      <c r="D97" s="16" t="b" cm="1">
        <f t="array" ref="D97">OR(LEN(C97:C97)&gt;0)</f>
        <v>1</v>
      </c>
    </row>
    <row r="98" spans="2:4" ht="13.5" x14ac:dyDescent="0.2">
      <c r="B98" s="11" t="str">
        <v>MASTER-65119</v>
      </c>
      <c r="C98" s="12" t="str" cm="1">
        <f t="array" ref="C98">_xlfn.TEXTJOIN(CHAR(10),TRUE,_xlfn._xlws.SORT(IF((--($B98=Flowdown_Thrive[[URS]:[URS]]))*(--(C$14=Flowdown_Thrive[[Source.Name]:[Source.Name]])),Flowdown_Thrive[[SyRS]:[SyRS]],"")))</f>
        <v>UTICA-25739</v>
      </c>
      <c r="D98" s="16" t="b" cm="1">
        <f t="array" ref="D98">OR(LEN(C98:C98)&gt;0)</f>
        <v>1</v>
      </c>
    </row>
    <row r="99" spans="2:4" ht="13.5" x14ac:dyDescent="0.2">
      <c r="B99" s="13" t="str">
        <v>MASTER-65120</v>
      </c>
      <c r="C99" s="12" t="str" cm="1">
        <f t="array" ref="C99">_xlfn.TEXTJOIN(CHAR(10),TRUE,_xlfn._xlws.SORT(IF((--($B99=Flowdown_Thrive[[URS]:[URS]]))*(--(C$14=Flowdown_Thrive[[Source.Name]:[Source.Name]])),Flowdown_Thrive[[SyRS]:[SyRS]],"")))</f>
        <v>UTICA-25739</v>
      </c>
      <c r="D99" s="16" t="b" cm="1">
        <f t="array" ref="D99">OR(LEN(C99:C99)&gt;0)</f>
        <v>1</v>
      </c>
    </row>
  </sheetData>
  <conditionalFormatting sqref="B15:D99">
    <cfRule type="expression" dxfId="16" priority="1">
      <formula>MOD(ROW(B15)-ROW($B$15),2)</formula>
    </cfRule>
  </conditionalFormatting>
  <pageMargins left="0.7" right="0.7" top="0.75" bottom="0.75" header="0.3" footer="0.3"/>
  <pageSetup fitToHeight="0" orientation="landscape" r:id="rId1"/>
  <headerFooter>
    <oddHeader>&amp;RGQ-RPT-01787
Rev 2.0&amp;LTrace Matrices for Utica Continuation Release 2.0</oddHeader>
    <oddFooter>&amp;LThrive Trace Matrix&amp;R&amp;P of &amp;N&amp;CStarkey-Confidential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0AA5-AF8D-4739-89AF-F697834877BF}">
  <sheetPr codeName="Sheet5">
    <tabColor rgb="FF92D050"/>
    <pageSetUpPr fitToPage="1"/>
  </sheetPr>
  <dimension ref="A1:L148"/>
  <sheetViews>
    <sheetView workbookViewId="0">
      <selection activeCell="N20" sqref="N20"/>
    </sheetView>
  </sheetViews>
  <sheetFormatPr defaultRowHeight="12.75" x14ac:dyDescent="0.2"/>
  <cols>
    <col min="2" max="2" width="19.140625" customWidth="1"/>
    <col min="3" max="11" width="16.42578125" customWidth="1"/>
    <col min="12" max="12" width="8.85546875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 t="s">
        <v>2628</v>
      </c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134</v>
      </c>
    </row>
    <row r="8" spans="1:12" x14ac:dyDescent="0.2">
      <c r="A8" t="s">
        <v>2491</v>
      </c>
      <c r="C8" s="17" t="b">
        <f>AND(L15:L148)</f>
        <v>1</v>
      </c>
    </row>
    <row r="10" spans="1:12" ht="4.9000000000000004" customHeight="1" x14ac:dyDescent="0.2"/>
    <row r="11" spans="1:12" ht="15" x14ac:dyDescent="0.25">
      <c r="A11" s="4" t="s">
        <v>2488</v>
      </c>
    </row>
    <row r="13" spans="1:12" ht="15" x14ac:dyDescent="0.2">
      <c r="C13" s="6" t="s">
        <v>2568</v>
      </c>
      <c r="D13" s="7"/>
      <c r="E13" s="7"/>
      <c r="F13" s="7"/>
      <c r="G13" s="7"/>
      <c r="H13" s="7"/>
      <c r="I13" s="7"/>
      <c r="J13" s="8"/>
      <c r="K13" s="8"/>
    </row>
    <row r="14" spans="1:12" ht="15.75" thickBot="1" x14ac:dyDescent="0.25">
      <c r="B14" s="15" t="s">
        <v>2596</v>
      </c>
      <c r="C14" s="5" t="str" cm="1">
        <f t="array" ref="C14:K14">TRANSPOSE(_xlfn._xlws.SORT(_xlfn.UNIQUE(Flowdown_Inspire[Source.Name])))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41.25" thickTop="1" x14ac:dyDescent="0.2">
      <c r="B15" s="9" t="str" cm="1">
        <f t="array" ref="B15:B148">_xlfn.UNIQUE(_xlfn._xlws.SORT(Flowdown_Inspire[URS]))</f>
        <v>MASTER-35635</v>
      </c>
      <c r="C15" s="10" t="str" cm="1">
        <f t="array" ref="C15">_xlfn.TEXTJOIN(CHAR(10),TRUE,_xlfn._xlws.SORT(IF((--($B15=Flowdown_Inspire[[URS]:[URS]]))*(--(C$14=Flowdown_Inspire[[Source.Name]:[Source.Name]])),Flowdown_Inspire[[SyRS]:[SyRS]],"")))</f>
        <v>MASTER-51109
MASTER-51110
MASTER-51646</v>
      </c>
      <c r="D15" s="10" t="str" cm="1">
        <f t="array" ref="D15">_xlfn.TEXTJOIN(CHAR(10),TRUE,_xlfn._xlws.SORT(IF((--($B15=Flowdown_Inspire[[URS]:[URS]]))*(--(D$14=Flowdown_Inspire[[Source.Name]:[Source.Name]])),Flowdown_Inspire[[SyRS]:[SyRS]],"")))</f>
        <v>MASTER-51109
MASTER-51110
MASTER-51646</v>
      </c>
      <c r="E15" s="10" t="str" cm="1">
        <f t="array" ref="E15">_xlfn.TEXTJOIN(CHAR(10),TRUE,_xlfn._xlws.SORT(IF((--($B15=Flowdown_Inspire[[URS]:[URS]]))*(--(E$14=Flowdown_Inspire[[Source.Name]:[Source.Name]])),Flowdown_Inspire[[SyRS]:[SyRS]],"")))</f>
        <v/>
      </c>
      <c r="F15" s="10" t="str" cm="1">
        <f t="array" ref="F15">_xlfn.TEXTJOIN(CHAR(10),TRUE,_xlfn._xlws.SORT(IF((--($B15=Flowdown_Inspire[[URS]:[URS]]))*(--(F$14=Flowdown_Inspire[[Source.Name]:[Source.Name]])),Flowdown_Inspire[[SyRS]:[SyRS]],"")))</f>
        <v/>
      </c>
      <c r="G15" s="10" t="str" cm="1">
        <f t="array" ref="G15">_xlfn.TEXTJOIN(CHAR(10),TRUE,_xlfn._xlws.SORT(IF((--($B15=Flowdown_Inspire[[URS]:[URS]]))*(--(G$14=Flowdown_Inspire[[Source.Name]:[Source.Name]])),Flowdown_Inspire[[SyRS]:[SyRS]],"")))</f>
        <v/>
      </c>
      <c r="H15" s="10" t="str" cm="1">
        <f t="array" ref="H15">_xlfn.TEXTJOIN(CHAR(10),TRUE,_xlfn._xlws.SORT(IF((--($B15=Flowdown_Inspire[[URS]:[URS]]))*(--(H$14=Flowdown_Inspire[[Source.Name]:[Source.Name]])),Flowdown_Inspire[[SyRS]:[SyRS]],"")))</f>
        <v/>
      </c>
      <c r="I15" s="10" t="str" cm="1">
        <f t="array" ref="I15">_xlfn.TEXTJOIN(CHAR(10),TRUE,_xlfn._xlws.SORT(IF((--($B15=Flowdown_Inspire[[URS]:[URS]]))*(--(I$14=Flowdown_Inspire[[Source.Name]:[Source.Name]])),Flowdown_Inspire[[SyRS]:[SyRS]],"")))</f>
        <v/>
      </c>
      <c r="J15" s="10" t="str" cm="1">
        <f t="array" ref="J15">_xlfn.TEXTJOIN(CHAR(10),TRUE,_xlfn._xlws.SORT(IF((--($B15=Flowdown_Inspire[[URS]:[URS]]))*(--(J$14=Flowdown_Inspire[[Source.Name]:[Source.Name]])),Flowdown_Inspire[[SyRS]:[SyRS]],"")))</f>
        <v/>
      </c>
      <c r="K15" s="10" t="str" cm="1">
        <f t="array" ref="K15">_xlfn.TEXTJOIN(CHAR(10),TRUE,_xlfn._xlws.SORT(IF((--($B15=Flowdown_Inspire[[URS]:[URS]]))*(--(K$14=Flowdown_Inspire[[Source.Name]:[Source.Name]])),Flowdown_Inspire[[SyRS]:[SyRS]],"")))</f>
        <v/>
      </c>
      <c r="L15" s="16" t="b" cm="1">
        <f t="array" ref="L15">OR(LEN(C15:K15)&gt;0)</f>
        <v>1</v>
      </c>
    </row>
    <row r="16" spans="1:12" ht="121.5" x14ac:dyDescent="0.2">
      <c r="B16" s="11" t="str">
        <v>MASTER-39835</v>
      </c>
      <c r="C16" s="12" t="str" cm="1">
        <f t="array" ref="C16">_xlfn.TEXTJOIN(CHAR(10),TRUE,_xlfn._xlws.SORT(IF((--($B16=Flowdown_Inspire[[URS]:[URS]]))*(--(C$14=Flowdown_Inspire[[Source.Name]:[Source.Name]])),Flowdown_Inspire[[SyRS]:[SyRS]],"")))</f>
        <v>MASTER-18351
MASTER-18352
MASTER-18354
MASTER-18355
MASTER-18359
MASTER-18360
MASTER-50242
MASTER-51893
MASTER-51894</v>
      </c>
      <c r="D16" s="12" t="str" cm="1">
        <f t="array" ref="D16">_xlfn.TEXTJOIN(CHAR(10),TRUE,_xlfn._xlws.SORT(IF((--($B16=Flowdown_Inspire[[URS]:[URS]]))*(--(D$14=Flowdown_Inspire[[Source.Name]:[Source.Name]])),Flowdown_Inspire[[SyRS]:[SyRS]],"")))</f>
        <v>MASTER-18351
MASTER-18352
MASTER-18354
MASTER-18355
MASTER-18359
MASTER-18360
MASTER-50242
MASTER-51893
MASTER-51894</v>
      </c>
      <c r="E16" s="12" t="str" cm="1">
        <f t="array" ref="E16">_xlfn.TEXTJOIN(CHAR(10),TRUE,_xlfn._xlws.SORT(IF((--($B16=Flowdown_Inspire[[URS]:[URS]]))*(--(E$14=Flowdown_Inspire[[Source.Name]:[Source.Name]])),Flowdown_Inspire[[SyRS]:[SyRS]],"")))</f>
        <v>MASTER-18351
MASTER-18352
MASTER-18354
MASTER-18355
MASTER-18359
MASTER-18360
MASTER-50242
MASTER-51893
MASTER-51894</v>
      </c>
      <c r="F16" s="12" t="str" cm="1">
        <f t="array" ref="F16">_xlfn.TEXTJOIN(CHAR(10),TRUE,_xlfn._xlws.SORT(IF((--($B16=Flowdown_Inspire[[URS]:[URS]]))*(--(F$14=Flowdown_Inspire[[Source.Name]:[Source.Name]])),Flowdown_Inspire[[SyRS]:[SyRS]],"")))</f>
        <v>MASTER-18351
MASTER-18352
MASTER-18354
MASTER-18355
MASTER-18359
MASTER-18360
MASTER-50242
MASTER-51893
MASTER-51894</v>
      </c>
      <c r="G16" s="12" t="str" cm="1">
        <f t="array" ref="G16">_xlfn.TEXTJOIN(CHAR(10),TRUE,_xlfn._xlws.SORT(IF((--($B16=Flowdown_Inspire[[URS]:[URS]]))*(--(G$14=Flowdown_Inspire[[Source.Name]:[Source.Name]])),Flowdown_Inspire[[SyRS]:[SyRS]],"")))</f>
        <v>MASTER-18351
MASTER-18352
MASTER-18354
MASTER-18355
MASTER-18359
MASTER-18360
MASTER-50242
MASTER-51893
MASTER-51894</v>
      </c>
      <c r="H16" s="12" t="str" cm="1">
        <f t="array" ref="H16">_xlfn.TEXTJOIN(CHAR(10),TRUE,_xlfn._xlws.SORT(IF((--($B16=Flowdown_Inspire[[URS]:[URS]]))*(--(H$14=Flowdown_Inspire[[Source.Name]:[Source.Name]])),Flowdown_Inspire[[SyRS]:[SyRS]],"")))</f>
        <v>MASTER-50255
MASTER-50256
MASTER-50257
MASTER-50258</v>
      </c>
      <c r="I16" s="12" t="str" cm="1">
        <f t="array" ref="I16">_xlfn.TEXTJOIN(CHAR(10),TRUE,_xlfn._xlws.SORT(IF((--($B16=Flowdown_Inspire[[URS]:[URS]]))*(--(I$14=Flowdown_Inspire[[Source.Name]:[Source.Name]])),Flowdown_Inspire[[SyRS]:[SyRS]],"")))</f>
        <v/>
      </c>
      <c r="J16" s="12" t="str" cm="1">
        <f t="array" ref="J16">_xlfn.TEXTJOIN(CHAR(10),TRUE,_xlfn._xlws.SORT(IF((--($B16=Flowdown_Inspire[[URS]:[URS]]))*(--(J$14=Flowdown_Inspire[[Source.Name]:[Source.Name]])),Flowdown_Inspire[[SyRS]:[SyRS]],"")))</f>
        <v/>
      </c>
      <c r="K16" s="12" t="str" cm="1">
        <f t="array" ref="K16">_xlfn.TEXTJOIN(CHAR(10),TRUE,_xlfn._xlws.SORT(IF((--($B16=Flowdown_Inspire[[URS]:[URS]]))*(--(K$14=Flowdown_Inspire[[Source.Name]:[Source.Name]])),Flowdown_Inspire[[SyRS]:[SyRS]],"")))</f>
        <v/>
      </c>
      <c r="L16" s="16" t="b" cm="1">
        <f t="array" ref="L16">OR(LEN(C16:K16)&gt;0)</f>
        <v>1</v>
      </c>
    </row>
    <row r="17" spans="2:12" ht="13.5" x14ac:dyDescent="0.2">
      <c r="B17" s="11" t="str">
        <v>MASTER-41911</v>
      </c>
      <c r="C17" s="12" t="str" cm="1">
        <f t="array" ref="C17">_xlfn.TEXTJOIN(CHAR(10),TRUE,_xlfn._xlws.SORT(IF((--($B17=Flowdown_Inspire[[URS]:[URS]]))*(--(C$14=Flowdown_Inspire[[Source.Name]:[Source.Name]])),Flowdown_Inspire[[SyRS]:[SyRS]],"")))</f>
        <v/>
      </c>
      <c r="D17" s="12" t="str" cm="1">
        <f t="array" ref="D17">_xlfn.TEXTJOIN(CHAR(10),TRUE,_xlfn._xlws.SORT(IF((--($B17=Flowdown_Inspire[[URS]:[URS]]))*(--(D$14=Flowdown_Inspire[[Source.Name]:[Source.Name]])),Flowdown_Inspire[[SyRS]:[SyRS]],"")))</f>
        <v/>
      </c>
      <c r="E17" s="12" t="str" cm="1">
        <f t="array" ref="E17">_xlfn.TEXTJOIN(CHAR(10),TRUE,_xlfn._xlws.SORT(IF((--($B17=Flowdown_Inspire[[URS]:[URS]]))*(--(E$14=Flowdown_Inspire[[Source.Name]:[Source.Name]])),Flowdown_Inspire[[SyRS]:[SyRS]],"")))</f>
        <v/>
      </c>
      <c r="F17" s="12" t="str" cm="1">
        <f t="array" ref="F17">_xlfn.TEXTJOIN(CHAR(10),TRUE,_xlfn._xlws.SORT(IF((--($B17=Flowdown_Inspire[[URS]:[URS]]))*(--(F$14=Flowdown_Inspire[[Source.Name]:[Source.Name]])),Flowdown_Inspire[[SyRS]:[SyRS]],"")))</f>
        <v/>
      </c>
      <c r="G17" s="12" t="str" cm="1">
        <f t="array" ref="G17">_xlfn.TEXTJOIN(CHAR(10),TRUE,_xlfn._xlws.SORT(IF((--($B17=Flowdown_Inspire[[URS]:[URS]]))*(--(G$14=Flowdown_Inspire[[Source.Name]:[Source.Name]])),Flowdown_Inspire[[SyRS]:[SyRS]],"")))</f>
        <v/>
      </c>
      <c r="H17" s="12" t="str" cm="1">
        <f t="array" ref="H17">_xlfn.TEXTJOIN(CHAR(10),TRUE,_xlfn._xlws.SORT(IF((--($B17=Flowdown_Inspire[[URS]:[URS]]))*(--(H$14=Flowdown_Inspire[[Source.Name]:[Source.Name]])),Flowdown_Inspire[[SyRS]:[SyRS]],"")))</f>
        <v>MASTER-51240</v>
      </c>
      <c r="I17" s="12" t="str" cm="1">
        <f t="array" ref="I17">_xlfn.TEXTJOIN(CHAR(10),TRUE,_xlfn._xlws.SORT(IF((--($B17=Flowdown_Inspire[[URS]:[URS]]))*(--(I$14=Flowdown_Inspire[[Source.Name]:[Source.Name]])),Flowdown_Inspire[[SyRS]:[SyRS]],"")))</f>
        <v/>
      </c>
      <c r="J17" s="12" t="str" cm="1">
        <f t="array" ref="J17">_xlfn.TEXTJOIN(CHAR(10),TRUE,_xlfn._xlws.SORT(IF((--($B17=Flowdown_Inspire[[URS]:[URS]]))*(--(J$14=Flowdown_Inspire[[Source.Name]:[Source.Name]])),Flowdown_Inspire[[SyRS]:[SyRS]],"")))</f>
        <v/>
      </c>
      <c r="K17" s="12" t="str" cm="1">
        <f t="array" ref="K17">_xlfn.TEXTJOIN(CHAR(10),TRUE,_xlfn._xlws.SORT(IF((--($B17=Flowdown_Inspire[[URS]:[URS]]))*(--(K$14=Flowdown_Inspire[[Source.Name]:[Source.Name]])),Flowdown_Inspire[[SyRS]:[SyRS]],"")))</f>
        <v/>
      </c>
      <c r="L17" s="16" t="b" cm="1">
        <f t="array" ref="L17">OR(LEN(C17:K17)&gt;0)</f>
        <v>1</v>
      </c>
    </row>
    <row r="18" spans="2:12" ht="54" x14ac:dyDescent="0.2">
      <c r="B18" s="11" t="str">
        <v>MASTER-41912</v>
      </c>
      <c r="C18" s="12" t="str" cm="1">
        <f t="array" ref="C18">_xlfn.TEXTJOIN(CHAR(10),TRUE,_xlfn._xlws.SORT(IF((--($B18=Flowdown_Inspire[[URS]:[URS]]))*(--(C$14=Flowdown_Inspire[[Source.Name]:[Source.Name]])),Flowdown_Inspire[[SyRS]:[SyRS]],"")))</f>
        <v/>
      </c>
      <c r="D18" s="12" t="str" cm="1">
        <f t="array" ref="D18">_xlfn.TEXTJOIN(CHAR(10),TRUE,_xlfn._xlws.SORT(IF((--($B18=Flowdown_Inspire[[URS]:[URS]]))*(--(D$14=Flowdown_Inspire[[Source.Name]:[Source.Name]])),Flowdown_Inspire[[SyRS]:[SyRS]],"")))</f>
        <v/>
      </c>
      <c r="E18" s="12" t="str" cm="1">
        <f t="array" ref="E18">_xlfn.TEXTJOIN(CHAR(10),TRUE,_xlfn._xlws.SORT(IF((--($B18=Flowdown_Inspire[[URS]:[URS]]))*(--(E$14=Flowdown_Inspire[[Source.Name]:[Source.Name]])),Flowdown_Inspire[[SyRS]:[SyRS]],"")))</f>
        <v/>
      </c>
      <c r="F18" s="12" t="str" cm="1">
        <f t="array" ref="F18">_xlfn.TEXTJOIN(CHAR(10),TRUE,_xlfn._xlws.SORT(IF((--($B18=Flowdown_Inspire[[URS]:[URS]]))*(--(F$14=Flowdown_Inspire[[Source.Name]:[Source.Name]])),Flowdown_Inspire[[SyRS]:[SyRS]],"")))</f>
        <v/>
      </c>
      <c r="G18" s="12" t="str" cm="1">
        <f t="array" ref="G18">_xlfn.TEXTJOIN(CHAR(10),TRUE,_xlfn._xlws.SORT(IF((--($B18=Flowdown_Inspire[[URS]:[URS]]))*(--(G$14=Flowdown_Inspire[[Source.Name]:[Source.Name]])),Flowdown_Inspire[[SyRS]:[SyRS]],"")))</f>
        <v/>
      </c>
      <c r="H18" s="12" t="str" cm="1">
        <f t="array" ref="H18">_xlfn.TEXTJOIN(CHAR(10),TRUE,_xlfn._xlws.SORT(IF((--($B18=Flowdown_Inspire[[URS]:[URS]]))*(--(H$14=Flowdown_Inspire[[Source.Name]:[Source.Name]])),Flowdown_Inspire[[SyRS]:[SyRS]],"")))</f>
        <v>MASTER-21593
MASTER-22238
MASTER-22521
MASTER-22523</v>
      </c>
      <c r="I18" s="12" t="str" cm="1">
        <f t="array" ref="I18">_xlfn.TEXTJOIN(CHAR(10),TRUE,_xlfn._xlws.SORT(IF((--($B18=Flowdown_Inspire[[URS]:[URS]]))*(--(I$14=Flowdown_Inspire[[Source.Name]:[Source.Name]])),Flowdown_Inspire[[SyRS]:[SyRS]],"")))</f>
        <v/>
      </c>
      <c r="J18" s="12" t="str" cm="1">
        <f t="array" ref="J18">_xlfn.TEXTJOIN(CHAR(10),TRUE,_xlfn._xlws.SORT(IF((--($B18=Flowdown_Inspire[[URS]:[URS]]))*(--(J$14=Flowdown_Inspire[[Source.Name]:[Source.Name]])),Flowdown_Inspire[[SyRS]:[SyRS]],"")))</f>
        <v/>
      </c>
      <c r="K18" s="12" t="str" cm="1">
        <f t="array" ref="K18">_xlfn.TEXTJOIN(CHAR(10),TRUE,_xlfn._xlws.SORT(IF((--($B18=Flowdown_Inspire[[URS]:[URS]]))*(--(K$14=Flowdown_Inspire[[Source.Name]:[Source.Name]])),Flowdown_Inspire[[SyRS]:[SyRS]],"")))</f>
        <v/>
      </c>
      <c r="L18" s="16" t="b" cm="1">
        <f t="array" ref="L18">OR(LEN(C18:K18)&gt;0)</f>
        <v>1</v>
      </c>
    </row>
    <row r="19" spans="2:12" ht="283.5" x14ac:dyDescent="0.2">
      <c r="B19" s="11" t="str">
        <v>MASTER-41913</v>
      </c>
      <c r="C19" s="12" t="str" cm="1">
        <f t="array" ref="C19">_xlfn.TEXTJOIN(CHAR(10),TRUE,_xlfn._xlws.SORT(IF((--($B19=Flowdown_Inspire[[URS]:[URS]]))*(--(C$14=Flowdown_Inspire[[Source.Name]:[Source.Name]])),Flowdown_Inspire[[SyRS]:[SyRS]],"")))</f>
        <v/>
      </c>
      <c r="D19" s="12" t="str" cm="1">
        <f t="array" ref="D19">_xlfn.TEXTJOIN(CHAR(10),TRUE,_xlfn._xlws.SORT(IF((--($B19=Flowdown_Inspire[[URS]:[URS]]))*(--(D$14=Flowdown_Inspire[[Source.Name]:[Source.Name]])),Flowdown_Inspire[[SyRS]:[SyRS]],"")))</f>
        <v/>
      </c>
      <c r="E19" s="12" t="str" cm="1">
        <f t="array" ref="E19">_xlfn.TEXTJOIN(CHAR(10),TRUE,_xlfn._xlws.SORT(IF((--($B19=Flowdown_Inspire[[URS]:[URS]]))*(--(E$14=Flowdown_Inspire[[Source.Name]:[Source.Name]])),Flowdown_Inspire[[SyRS]:[SyRS]],"")))</f>
        <v/>
      </c>
      <c r="F19" s="12" t="str" cm="1">
        <f t="array" ref="F19">_xlfn.TEXTJOIN(CHAR(10),TRUE,_xlfn._xlws.SORT(IF((--($B19=Flowdown_Inspire[[URS]:[URS]]))*(--(F$14=Flowdown_Inspire[[Source.Name]:[Source.Name]])),Flowdown_Inspire[[SyRS]:[SyRS]],"")))</f>
        <v/>
      </c>
      <c r="G19" s="12" t="str" cm="1">
        <f t="array" ref="G19">_xlfn.TEXTJOIN(CHAR(10),TRUE,_xlfn._xlws.SORT(IF((--($B19=Flowdown_Inspire[[URS]:[URS]]))*(--(G$14=Flowdown_Inspire[[Source.Name]:[Source.Name]])),Flowdown_Inspire[[SyRS]:[SyRS]],"")))</f>
        <v/>
      </c>
      <c r="H19" s="12" t="str" cm="1">
        <f t="array" ref="H19">_xlfn.TEXTJOIN(CHAR(10),TRUE,_xlfn._xlws.SORT(IF((--($B19=Flowdown_Inspire[[URS]:[URS]]))*(--(H$14=Flowdown_Inspire[[Source.Name]:[Source.Name]])),Flowdown_Inspire[[SyRS]:[SyRS]],"")))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19" s="12" t="str" cm="1">
        <f t="array" ref="I19">_xlfn.TEXTJOIN(CHAR(10),TRUE,_xlfn._xlws.SORT(IF((--($B19=Flowdown_Inspire[[URS]:[URS]]))*(--(I$14=Flowdown_Inspire[[Source.Name]:[Source.Name]])),Flowdown_Inspire[[SyRS]:[SyRS]],"")))</f>
        <v/>
      </c>
      <c r="J19" s="12" t="str" cm="1">
        <f t="array" ref="J19">_xlfn.TEXTJOIN(CHAR(10),TRUE,_xlfn._xlws.SORT(IF((--($B19=Flowdown_Inspire[[URS]:[URS]]))*(--(J$14=Flowdown_Inspire[[Source.Name]:[Source.Name]])),Flowdown_Inspire[[SyRS]:[SyRS]],"")))</f>
        <v/>
      </c>
      <c r="K19" s="12" t="str" cm="1">
        <f t="array" ref="K19">_xlfn.TEXTJOIN(CHAR(10),TRUE,_xlfn._xlws.SORT(IF((--($B19=Flowdown_Inspire[[URS]:[URS]]))*(--(K$14=Flowdown_Inspire[[Source.Name]:[Source.Name]])),Flowdown_Inspire[[SyRS]:[SyRS]],"")))</f>
        <v/>
      </c>
      <c r="L19" s="16" t="b" cm="1">
        <f t="array" ref="L19">OR(LEN(C19:K19)&gt;0)</f>
        <v>1</v>
      </c>
    </row>
    <row r="20" spans="2:12" ht="108" x14ac:dyDescent="0.2">
      <c r="B20" s="11" t="str">
        <v>MASTER-41914</v>
      </c>
      <c r="C20" s="12" t="str" cm="1">
        <f t="array" ref="C20">_xlfn.TEXTJOIN(CHAR(10),TRUE,_xlfn._xlws.SORT(IF((--($B20=Flowdown_Inspire[[URS]:[URS]]))*(--(C$14=Flowdown_Inspire[[Source.Name]:[Source.Name]])),Flowdown_Inspire[[SyRS]:[SyRS]],"")))</f>
        <v/>
      </c>
      <c r="D20" s="12" t="str" cm="1">
        <f t="array" ref="D20">_xlfn.TEXTJOIN(CHAR(10),TRUE,_xlfn._xlws.SORT(IF((--($B20=Flowdown_Inspire[[URS]:[URS]]))*(--(D$14=Flowdown_Inspire[[Source.Name]:[Source.Name]])),Flowdown_Inspire[[SyRS]:[SyRS]],"")))</f>
        <v/>
      </c>
      <c r="E20" s="12" t="str" cm="1">
        <f t="array" ref="E20">_xlfn.TEXTJOIN(CHAR(10),TRUE,_xlfn._xlws.SORT(IF((--($B20=Flowdown_Inspire[[URS]:[URS]]))*(--(E$14=Flowdown_Inspire[[Source.Name]:[Source.Name]])),Flowdown_Inspire[[SyRS]:[SyRS]],"")))</f>
        <v/>
      </c>
      <c r="F20" s="12" t="str" cm="1">
        <f t="array" ref="F20">_xlfn.TEXTJOIN(CHAR(10),TRUE,_xlfn._xlws.SORT(IF((--($B20=Flowdown_Inspire[[URS]:[URS]]))*(--(F$14=Flowdown_Inspire[[Source.Name]:[Source.Name]])),Flowdown_Inspire[[SyRS]:[SyRS]],"")))</f>
        <v/>
      </c>
      <c r="G20" s="12" t="str" cm="1">
        <f t="array" ref="G20">_xlfn.TEXTJOIN(CHAR(10),TRUE,_xlfn._xlws.SORT(IF((--($B20=Flowdown_Inspire[[URS]:[URS]]))*(--(G$14=Flowdown_Inspire[[Source.Name]:[Source.Name]])),Flowdown_Inspire[[SyRS]:[SyRS]],"")))</f>
        <v/>
      </c>
      <c r="H20" s="12" t="str" cm="1">
        <f t="array" ref="H20">_xlfn.TEXTJOIN(CHAR(10),TRUE,_xlfn._xlws.SORT(IF((--($B20=Flowdown_Inspire[[URS]:[URS]]))*(--(H$14=Flowdown_Inspire[[Source.Name]:[Source.Name]])),Flowdown_Inspire[[SyRS]:[SyRS]],"")))</f>
        <v>MASTER-21694
MASTER-21695
MASTER-21696
MASTER-22537
MASTER-22544
MASTER-22545
MASTER-22581
MASTER-51771</v>
      </c>
      <c r="I20" s="12" t="str" cm="1">
        <f t="array" ref="I20">_xlfn.TEXTJOIN(CHAR(10),TRUE,_xlfn._xlws.SORT(IF((--($B20=Flowdown_Inspire[[URS]:[URS]]))*(--(I$14=Flowdown_Inspire[[Source.Name]:[Source.Name]])),Flowdown_Inspire[[SyRS]:[SyRS]],"")))</f>
        <v/>
      </c>
      <c r="J20" s="12" t="str" cm="1">
        <f t="array" ref="J20">_xlfn.TEXTJOIN(CHAR(10),TRUE,_xlfn._xlws.SORT(IF((--($B20=Flowdown_Inspire[[URS]:[URS]]))*(--(J$14=Flowdown_Inspire[[Source.Name]:[Source.Name]])),Flowdown_Inspire[[SyRS]:[SyRS]],"")))</f>
        <v/>
      </c>
      <c r="K20" s="12" t="str" cm="1">
        <f t="array" ref="K20">_xlfn.TEXTJOIN(CHAR(10),TRUE,_xlfn._xlws.SORT(IF((--($B20=Flowdown_Inspire[[URS]:[URS]]))*(--(K$14=Flowdown_Inspire[[Source.Name]:[Source.Name]])),Flowdown_Inspire[[SyRS]:[SyRS]],"")))</f>
        <v/>
      </c>
      <c r="L20" s="16" t="b" cm="1">
        <f t="array" ref="L20">OR(LEN(C20:K20)&gt;0)</f>
        <v>1</v>
      </c>
    </row>
    <row r="21" spans="2:12" ht="409.5" x14ac:dyDescent="0.2">
      <c r="B21" s="11" t="str">
        <v>MASTER-41941</v>
      </c>
      <c r="C21" s="12" t="str" cm="1">
        <f t="array" ref="C21">_xlfn.TEXTJOIN(CHAR(10),TRUE,_xlfn._xlws.SORT(IF((--($B21=Flowdown_Inspire[[URS]:[URS]]))*(--(C$14=Flowdown_Inspire[[Source.Name]:[Source.Name]])),Flowdown_Inspire[[SyRS]:[SyRS]],"")))</f>
        <v/>
      </c>
      <c r="D21" s="12" t="str" cm="1">
        <f t="array" ref="D21">_xlfn.TEXTJOIN(CHAR(10),TRUE,_xlfn._xlws.SORT(IF((--($B21=Flowdown_Inspire[[URS]:[URS]]))*(--(D$14=Flowdown_Inspire[[Source.Name]:[Source.Name]])),Flowdown_Inspire[[SyRS]:[SyRS]],"")))</f>
        <v/>
      </c>
      <c r="E21" s="12" t="str" cm="1">
        <f t="array" ref="E21">_xlfn.TEXTJOIN(CHAR(10),TRUE,_xlfn._xlws.SORT(IF((--($B21=Flowdown_Inspire[[URS]:[URS]]))*(--(E$14=Flowdown_Inspire[[Source.Name]:[Source.Name]])),Flowdown_Inspire[[SyRS]:[SyRS]],"")))</f>
        <v/>
      </c>
      <c r="F21" s="12" t="str" cm="1">
        <f t="array" ref="F21">_xlfn.TEXTJOIN(CHAR(10),TRUE,_xlfn._xlws.SORT(IF((--($B21=Flowdown_Inspire[[URS]:[URS]]))*(--(F$14=Flowdown_Inspire[[Source.Name]:[Source.Name]])),Flowdown_Inspire[[SyRS]:[SyRS]],"")))</f>
        <v/>
      </c>
      <c r="G21" s="12" t="str" cm="1">
        <f t="array" ref="G21">_xlfn.TEXTJOIN(CHAR(10),TRUE,_xlfn._xlws.SORT(IF((--($B21=Flowdown_Inspire[[URS]:[URS]]))*(--(G$14=Flowdown_Inspire[[Source.Name]:[Source.Name]])),Flowdown_Inspire[[SyRS]:[SyRS]],"")))</f>
        <v/>
      </c>
      <c r="H21" s="12" t="str" cm="1">
        <f t="array" ref="H21">_xlfn.TEXTJOIN(CHAR(10),TRUE,_xlfn._xlws.SORT(IF((--($B21=Flowdown_Inspire[[URS]:[URS]]))*(--(H$14=Flowdown_Inspire[[Source.Name]:[Source.Name]])),Flowdown_Inspire[[SyRS]:[SyRS]],"")))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21" s="12" t="str" cm="1">
        <f t="array" ref="I21">_xlfn.TEXTJOIN(CHAR(10),TRUE,_xlfn._xlws.SORT(IF((--($B21=Flowdown_Inspire[[URS]:[URS]]))*(--(I$14=Flowdown_Inspire[[Source.Name]:[Source.Name]])),Flowdown_Inspire[[SyRS]:[SyRS]],"")))</f>
        <v/>
      </c>
      <c r="J21" s="12" t="str" cm="1">
        <f t="array" ref="J21">_xlfn.TEXTJOIN(CHAR(10),TRUE,_xlfn._xlws.SORT(IF((--($B21=Flowdown_Inspire[[URS]:[URS]]))*(--(J$14=Flowdown_Inspire[[Source.Name]:[Source.Name]])),Flowdown_Inspire[[SyRS]:[SyRS]],"")))</f>
        <v/>
      </c>
      <c r="K21" s="12" t="str" cm="1">
        <f t="array" ref="K21">_xlfn.TEXTJOIN(CHAR(10),TRUE,_xlfn._xlws.SORT(IF((--($B21=Flowdown_Inspire[[URS]:[URS]]))*(--(K$14=Flowdown_Inspire[[Source.Name]:[Source.Name]])),Flowdown_Inspire[[SyRS]:[SyRS]],"")))</f>
        <v/>
      </c>
      <c r="L21" s="16" t="b" cm="1">
        <f t="array" ref="L21">OR(LEN(C21:K21)&gt;0)</f>
        <v>1</v>
      </c>
    </row>
    <row r="22" spans="2:12" ht="81" x14ac:dyDescent="0.2">
      <c r="B22" s="11" t="str">
        <v>MASTER-41942</v>
      </c>
      <c r="C22" s="12" t="str" cm="1">
        <f t="array" ref="C22">_xlfn.TEXTJOIN(CHAR(10),TRUE,_xlfn._xlws.SORT(IF((--($B22=Flowdown_Inspire[[URS]:[URS]]))*(--(C$14=Flowdown_Inspire[[Source.Name]:[Source.Name]])),Flowdown_Inspire[[SyRS]:[SyRS]],"")))</f>
        <v/>
      </c>
      <c r="D22" s="12" t="str" cm="1">
        <f t="array" ref="D22">_xlfn.TEXTJOIN(CHAR(10),TRUE,_xlfn._xlws.SORT(IF((--($B22=Flowdown_Inspire[[URS]:[URS]]))*(--(D$14=Flowdown_Inspire[[Source.Name]:[Source.Name]])),Flowdown_Inspire[[SyRS]:[SyRS]],"")))</f>
        <v/>
      </c>
      <c r="E22" s="12" t="str" cm="1">
        <f t="array" ref="E22">_xlfn.TEXTJOIN(CHAR(10),TRUE,_xlfn._xlws.SORT(IF((--($B22=Flowdown_Inspire[[URS]:[URS]]))*(--(E$14=Flowdown_Inspire[[Source.Name]:[Source.Name]])),Flowdown_Inspire[[SyRS]:[SyRS]],"")))</f>
        <v/>
      </c>
      <c r="F22" s="12" t="str" cm="1">
        <f t="array" ref="F22">_xlfn.TEXTJOIN(CHAR(10),TRUE,_xlfn._xlws.SORT(IF((--($B22=Flowdown_Inspire[[URS]:[URS]]))*(--(F$14=Flowdown_Inspire[[Source.Name]:[Source.Name]])),Flowdown_Inspire[[SyRS]:[SyRS]],"")))</f>
        <v/>
      </c>
      <c r="G22" s="12" t="str" cm="1">
        <f t="array" ref="G22">_xlfn.TEXTJOIN(CHAR(10),TRUE,_xlfn._xlws.SORT(IF((--($B22=Flowdown_Inspire[[URS]:[URS]]))*(--(G$14=Flowdown_Inspire[[Source.Name]:[Source.Name]])),Flowdown_Inspire[[SyRS]:[SyRS]],"")))</f>
        <v/>
      </c>
      <c r="H22" s="12" t="str" cm="1">
        <f t="array" ref="H22">_xlfn.TEXTJOIN(CHAR(10),TRUE,_xlfn._xlws.SORT(IF((--($B22=Flowdown_Inspire[[URS]:[URS]]))*(--(H$14=Flowdown_Inspire[[Source.Name]:[Source.Name]])),Flowdown_Inspire[[SyRS]:[SyRS]],"")))</f>
        <v>MASTER-22463
MASTER-22487
MASTER-22488
MASTER-22490
MASTER-22492
MASTER-22494</v>
      </c>
      <c r="I22" s="12" t="str" cm="1">
        <f t="array" ref="I22">_xlfn.TEXTJOIN(CHAR(10),TRUE,_xlfn._xlws.SORT(IF((--($B22=Flowdown_Inspire[[URS]:[URS]]))*(--(I$14=Flowdown_Inspire[[Source.Name]:[Source.Name]])),Flowdown_Inspire[[SyRS]:[SyRS]],"")))</f>
        <v/>
      </c>
      <c r="J22" s="12" t="str" cm="1">
        <f t="array" ref="J22">_xlfn.TEXTJOIN(CHAR(10),TRUE,_xlfn._xlws.SORT(IF((--($B22=Flowdown_Inspire[[URS]:[URS]]))*(--(J$14=Flowdown_Inspire[[Source.Name]:[Source.Name]])),Flowdown_Inspire[[SyRS]:[SyRS]],"")))</f>
        <v/>
      </c>
      <c r="K22" s="12" t="str" cm="1">
        <f t="array" ref="K22">_xlfn.TEXTJOIN(CHAR(10),TRUE,_xlfn._xlws.SORT(IF((--($B22=Flowdown_Inspire[[URS]:[URS]]))*(--(K$14=Flowdown_Inspire[[Source.Name]:[Source.Name]])),Flowdown_Inspire[[SyRS]:[SyRS]],"")))</f>
        <v/>
      </c>
      <c r="L22" s="16" t="b" cm="1">
        <f t="array" ref="L22">OR(LEN(C22:K22)&gt;0)</f>
        <v>1</v>
      </c>
    </row>
    <row r="23" spans="2:12" ht="108" x14ac:dyDescent="0.2">
      <c r="B23" s="11" t="str">
        <v>MASTER-41943</v>
      </c>
      <c r="C23" s="12" t="str" cm="1">
        <f t="array" ref="C23">_xlfn.TEXTJOIN(CHAR(10),TRUE,_xlfn._xlws.SORT(IF((--($B23=Flowdown_Inspire[[URS]:[URS]]))*(--(C$14=Flowdown_Inspire[[Source.Name]:[Source.Name]])),Flowdown_Inspire[[SyRS]:[SyRS]],"")))</f>
        <v/>
      </c>
      <c r="D23" s="12" t="str" cm="1">
        <f t="array" ref="D23">_xlfn.TEXTJOIN(CHAR(10),TRUE,_xlfn._xlws.SORT(IF((--($B23=Flowdown_Inspire[[URS]:[URS]]))*(--(D$14=Flowdown_Inspire[[Source.Name]:[Source.Name]])),Flowdown_Inspire[[SyRS]:[SyRS]],"")))</f>
        <v/>
      </c>
      <c r="E23" s="12" t="str" cm="1">
        <f t="array" ref="E23">_xlfn.TEXTJOIN(CHAR(10),TRUE,_xlfn._xlws.SORT(IF((--($B23=Flowdown_Inspire[[URS]:[URS]]))*(--(E$14=Flowdown_Inspire[[Source.Name]:[Source.Name]])),Flowdown_Inspire[[SyRS]:[SyRS]],"")))</f>
        <v/>
      </c>
      <c r="F23" s="12" t="str" cm="1">
        <f t="array" ref="F23">_xlfn.TEXTJOIN(CHAR(10),TRUE,_xlfn._xlws.SORT(IF((--($B23=Flowdown_Inspire[[URS]:[URS]]))*(--(F$14=Flowdown_Inspire[[Source.Name]:[Source.Name]])),Flowdown_Inspire[[SyRS]:[SyRS]],"")))</f>
        <v/>
      </c>
      <c r="G23" s="12" t="str" cm="1">
        <f t="array" ref="G23">_xlfn.TEXTJOIN(CHAR(10),TRUE,_xlfn._xlws.SORT(IF((--($B23=Flowdown_Inspire[[URS]:[URS]]))*(--(G$14=Flowdown_Inspire[[Source.Name]:[Source.Name]])),Flowdown_Inspire[[SyRS]:[SyRS]],"")))</f>
        <v/>
      </c>
      <c r="H23" s="12" t="str" cm="1">
        <f t="array" ref="H23">_xlfn.TEXTJOIN(CHAR(10),TRUE,_xlfn._xlws.SORT(IF((--($B23=Flowdown_Inspire[[URS]:[URS]]))*(--(H$14=Flowdown_Inspire[[Source.Name]:[Source.Name]])),Flowdown_Inspire[[SyRS]:[SyRS]],"")))</f>
        <v>MASTER-21585
MASTER-21593
MASTER-22463
MASTER-22491
MASTER-22494
MASTER-22517
MASTER-22521
MASTER-22522</v>
      </c>
      <c r="I23" s="12" t="str" cm="1">
        <f t="array" ref="I23">_xlfn.TEXTJOIN(CHAR(10),TRUE,_xlfn._xlws.SORT(IF((--($B23=Flowdown_Inspire[[URS]:[URS]]))*(--(I$14=Flowdown_Inspire[[Source.Name]:[Source.Name]])),Flowdown_Inspire[[SyRS]:[SyRS]],"")))</f>
        <v/>
      </c>
      <c r="J23" s="12" t="str" cm="1">
        <f t="array" ref="J23">_xlfn.TEXTJOIN(CHAR(10),TRUE,_xlfn._xlws.SORT(IF((--($B23=Flowdown_Inspire[[URS]:[URS]]))*(--(J$14=Flowdown_Inspire[[Source.Name]:[Source.Name]])),Flowdown_Inspire[[SyRS]:[SyRS]],"")))</f>
        <v/>
      </c>
      <c r="K23" s="12" t="str" cm="1">
        <f t="array" ref="K23">_xlfn.TEXTJOIN(CHAR(10),TRUE,_xlfn._xlws.SORT(IF((--($B23=Flowdown_Inspire[[URS]:[URS]]))*(--(K$14=Flowdown_Inspire[[Source.Name]:[Source.Name]])),Flowdown_Inspire[[SyRS]:[SyRS]],"")))</f>
        <v/>
      </c>
      <c r="L23" s="16" t="b" cm="1">
        <f t="array" ref="L23">OR(LEN(C23:K23)&gt;0)</f>
        <v>1</v>
      </c>
    </row>
    <row r="24" spans="2:12" ht="270" x14ac:dyDescent="0.2">
      <c r="B24" s="11" t="str">
        <v>MASTER-41944</v>
      </c>
      <c r="C24" s="12" t="str" cm="1">
        <f t="array" ref="C24">_xlfn.TEXTJOIN(CHAR(10),TRUE,_xlfn._xlws.SORT(IF((--($B24=Flowdown_Inspire[[URS]:[URS]]))*(--(C$14=Flowdown_Inspire[[Source.Name]:[Source.Name]])),Flowdown_Inspire[[SyRS]:[SyRS]],"")))</f>
        <v/>
      </c>
      <c r="D24" s="12" t="str" cm="1">
        <f t="array" ref="D24">_xlfn.TEXTJOIN(CHAR(10),TRUE,_xlfn._xlws.SORT(IF((--($B24=Flowdown_Inspire[[URS]:[URS]]))*(--(D$14=Flowdown_Inspire[[Source.Name]:[Source.Name]])),Flowdown_Inspire[[SyRS]:[SyRS]],"")))</f>
        <v/>
      </c>
      <c r="E24" s="12" t="str" cm="1">
        <f t="array" ref="E24">_xlfn.TEXTJOIN(CHAR(10),TRUE,_xlfn._xlws.SORT(IF((--($B24=Flowdown_Inspire[[URS]:[URS]]))*(--(E$14=Flowdown_Inspire[[Source.Name]:[Source.Name]])),Flowdown_Inspire[[SyRS]:[SyRS]],"")))</f>
        <v/>
      </c>
      <c r="F24" s="12" t="str" cm="1">
        <f t="array" ref="F24">_xlfn.TEXTJOIN(CHAR(10),TRUE,_xlfn._xlws.SORT(IF((--($B24=Flowdown_Inspire[[URS]:[URS]]))*(--(F$14=Flowdown_Inspire[[Source.Name]:[Source.Name]])),Flowdown_Inspire[[SyRS]:[SyRS]],"")))</f>
        <v/>
      </c>
      <c r="G24" s="12" t="str" cm="1">
        <f t="array" ref="G24">_xlfn.TEXTJOIN(CHAR(10),TRUE,_xlfn._xlws.SORT(IF((--($B24=Flowdown_Inspire[[URS]:[URS]]))*(--(G$14=Flowdown_Inspire[[Source.Name]:[Source.Name]])),Flowdown_Inspire[[SyRS]:[SyRS]],"")))</f>
        <v/>
      </c>
      <c r="H24" s="12" t="str" cm="1">
        <f t="array" ref="H24">_xlfn.TEXTJOIN(CHAR(10),TRUE,_xlfn._xlws.SORT(IF((--($B24=Flowdown_Inspire[[URS]:[URS]]))*(--(H$14=Flowdown_Inspire[[Source.Name]:[Source.Name]])),Flowdown_Inspire[[SyRS]:[SyRS]],"")))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24" s="12" t="str" cm="1">
        <f t="array" ref="I24">_xlfn.TEXTJOIN(CHAR(10),TRUE,_xlfn._xlws.SORT(IF((--($B24=Flowdown_Inspire[[URS]:[URS]]))*(--(I$14=Flowdown_Inspire[[Source.Name]:[Source.Name]])),Flowdown_Inspire[[SyRS]:[SyRS]],"")))</f>
        <v/>
      </c>
      <c r="J24" s="12" t="str" cm="1">
        <f t="array" ref="J24">_xlfn.TEXTJOIN(CHAR(10),TRUE,_xlfn._xlws.SORT(IF((--($B24=Flowdown_Inspire[[URS]:[URS]]))*(--(J$14=Flowdown_Inspire[[Source.Name]:[Source.Name]])),Flowdown_Inspire[[SyRS]:[SyRS]],"")))</f>
        <v/>
      </c>
      <c r="K24" s="12" t="str" cm="1">
        <f t="array" ref="K24">_xlfn.TEXTJOIN(CHAR(10),TRUE,_xlfn._xlws.SORT(IF((--($B24=Flowdown_Inspire[[URS]:[URS]]))*(--(K$14=Flowdown_Inspire[[Source.Name]:[Source.Name]])),Flowdown_Inspire[[SyRS]:[SyRS]],"")))</f>
        <v/>
      </c>
      <c r="L24" s="16" t="b" cm="1">
        <f t="array" ref="L24">OR(LEN(C24:K24)&gt;0)</f>
        <v>1</v>
      </c>
    </row>
    <row r="25" spans="2:12" ht="243" x14ac:dyDescent="0.2">
      <c r="B25" s="11" t="str">
        <v>MASTER-41945</v>
      </c>
      <c r="C25" s="12" t="str" cm="1">
        <f t="array" ref="C25">_xlfn.TEXTJOIN(CHAR(10),TRUE,_xlfn._xlws.SORT(IF((--($B25=Flowdown_Inspire[[URS]:[URS]]))*(--(C$14=Flowdown_Inspire[[Source.Name]:[Source.Name]])),Flowdown_Inspire[[SyRS]:[SyRS]],"")))</f>
        <v/>
      </c>
      <c r="D25" s="12" t="str" cm="1">
        <f t="array" ref="D25">_xlfn.TEXTJOIN(CHAR(10),TRUE,_xlfn._xlws.SORT(IF((--($B25=Flowdown_Inspire[[URS]:[URS]]))*(--(D$14=Flowdown_Inspire[[Source.Name]:[Source.Name]])),Flowdown_Inspire[[SyRS]:[SyRS]],"")))</f>
        <v/>
      </c>
      <c r="E25" s="12" t="str" cm="1">
        <f t="array" ref="E25">_xlfn.TEXTJOIN(CHAR(10),TRUE,_xlfn._xlws.SORT(IF((--($B25=Flowdown_Inspire[[URS]:[URS]]))*(--(E$14=Flowdown_Inspire[[Source.Name]:[Source.Name]])),Flowdown_Inspire[[SyRS]:[SyRS]],"")))</f>
        <v/>
      </c>
      <c r="F25" s="12" t="str" cm="1">
        <f t="array" ref="F25">_xlfn.TEXTJOIN(CHAR(10),TRUE,_xlfn._xlws.SORT(IF((--($B25=Flowdown_Inspire[[URS]:[URS]]))*(--(F$14=Flowdown_Inspire[[Source.Name]:[Source.Name]])),Flowdown_Inspire[[SyRS]:[SyRS]],"")))</f>
        <v/>
      </c>
      <c r="G25" s="12" t="str" cm="1">
        <f t="array" ref="G25">_xlfn.TEXTJOIN(CHAR(10),TRUE,_xlfn._xlws.SORT(IF((--($B25=Flowdown_Inspire[[URS]:[URS]]))*(--(G$14=Flowdown_Inspire[[Source.Name]:[Source.Name]])),Flowdown_Inspire[[SyRS]:[SyRS]],"")))</f>
        <v/>
      </c>
      <c r="H25" s="12" t="str" cm="1">
        <f t="array" ref="H25">_xlfn.TEXTJOIN(CHAR(10),TRUE,_xlfn._xlws.SORT(IF((--($B25=Flowdown_Inspire[[URS]:[URS]]))*(--(H$14=Flowdown_Inspire[[Source.Name]:[Source.Name]])),Flowdown_Inspire[[SyRS]:[SyRS]],"")))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25" s="12" t="str" cm="1">
        <f t="array" ref="I25">_xlfn.TEXTJOIN(CHAR(10),TRUE,_xlfn._xlws.SORT(IF((--($B25=Flowdown_Inspire[[URS]:[URS]]))*(--(I$14=Flowdown_Inspire[[Source.Name]:[Source.Name]])),Flowdown_Inspire[[SyRS]:[SyRS]],"")))</f>
        <v/>
      </c>
      <c r="J25" s="12" t="str" cm="1">
        <f t="array" ref="J25">_xlfn.TEXTJOIN(CHAR(10),TRUE,_xlfn._xlws.SORT(IF((--($B25=Flowdown_Inspire[[URS]:[URS]]))*(--(J$14=Flowdown_Inspire[[Source.Name]:[Source.Name]])),Flowdown_Inspire[[SyRS]:[SyRS]],"")))</f>
        <v/>
      </c>
      <c r="K25" s="12" t="str" cm="1">
        <f t="array" ref="K25">_xlfn.TEXTJOIN(CHAR(10),TRUE,_xlfn._xlws.SORT(IF((--($B25=Flowdown_Inspire[[URS]:[URS]]))*(--(K$14=Flowdown_Inspire[[Source.Name]:[Source.Name]])),Flowdown_Inspire[[SyRS]:[SyRS]],"")))</f>
        <v/>
      </c>
      <c r="L25" s="16" t="b" cm="1">
        <f t="array" ref="L25">OR(LEN(C25:K25)&gt;0)</f>
        <v>1</v>
      </c>
    </row>
    <row r="26" spans="2:12" ht="202.5" x14ac:dyDescent="0.2">
      <c r="B26" s="11" t="str">
        <v>MASTER-41946</v>
      </c>
      <c r="C26" s="12" t="str" cm="1">
        <f t="array" ref="C26">_xlfn.TEXTJOIN(CHAR(10),TRUE,_xlfn._xlws.SORT(IF((--($B26=Flowdown_Inspire[[URS]:[URS]]))*(--(C$14=Flowdown_Inspire[[Source.Name]:[Source.Name]])),Flowdown_Inspire[[SyRS]:[SyRS]],"")))</f>
        <v/>
      </c>
      <c r="D26" s="12" t="str" cm="1">
        <f t="array" ref="D26">_xlfn.TEXTJOIN(CHAR(10),TRUE,_xlfn._xlws.SORT(IF((--($B26=Flowdown_Inspire[[URS]:[URS]]))*(--(D$14=Flowdown_Inspire[[Source.Name]:[Source.Name]])),Flowdown_Inspire[[SyRS]:[SyRS]],"")))</f>
        <v/>
      </c>
      <c r="E26" s="12" t="str" cm="1">
        <f t="array" ref="E26">_xlfn.TEXTJOIN(CHAR(10),TRUE,_xlfn._xlws.SORT(IF((--($B26=Flowdown_Inspire[[URS]:[URS]]))*(--(E$14=Flowdown_Inspire[[Source.Name]:[Source.Name]])),Flowdown_Inspire[[SyRS]:[SyRS]],"")))</f>
        <v/>
      </c>
      <c r="F26" s="12" t="str" cm="1">
        <f t="array" ref="F26">_xlfn.TEXTJOIN(CHAR(10),TRUE,_xlfn._xlws.SORT(IF((--($B26=Flowdown_Inspire[[URS]:[URS]]))*(--(F$14=Flowdown_Inspire[[Source.Name]:[Source.Name]])),Flowdown_Inspire[[SyRS]:[SyRS]],"")))</f>
        <v/>
      </c>
      <c r="G26" s="12" t="str" cm="1">
        <f t="array" ref="G26">_xlfn.TEXTJOIN(CHAR(10),TRUE,_xlfn._xlws.SORT(IF((--($B26=Flowdown_Inspire[[URS]:[URS]]))*(--(G$14=Flowdown_Inspire[[Source.Name]:[Source.Name]])),Flowdown_Inspire[[SyRS]:[SyRS]],"")))</f>
        <v/>
      </c>
      <c r="H26" s="12" t="str" cm="1">
        <f t="array" ref="H26">_xlfn.TEXTJOIN(CHAR(10),TRUE,_xlfn._xlws.SORT(IF((--($B26=Flowdown_Inspire[[URS]:[URS]]))*(--(H$14=Flowdown_Inspire[[Source.Name]:[Source.Name]])),Flowdown_Inspire[[SyRS]:[SyRS]],"")))</f>
        <v>MASTER-21588
MASTER-21593
MASTER-22463
MASTER-22466
MASTER-22467
MASTER-22472
MASTER-22491
MASTER-22493
MASTER-22497
MASTER-22498
MASTER-22509
MASTER-22511
MASTER-22518
MASTER-22521
MASTER-22522</v>
      </c>
      <c r="I26" s="12" t="str" cm="1">
        <f t="array" ref="I26">_xlfn.TEXTJOIN(CHAR(10),TRUE,_xlfn._xlws.SORT(IF((--($B26=Flowdown_Inspire[[URS]:[URS]]))*(--(I$14=Flowdown_Inspire[[Source.Name]:[Source.Name]])),Flowdown_Inspire[[SyRS]:[SyRS]],"")))</f>
        <v/>
      </c>
      <c r="J26" s="12" t="str" cm="1">
        <f t="array" ref="J26">_xlfn.TEXTJOIN(CHAR(10),TRUE,_xlfn._xlws.SORT(IF((--($B26=Flowdown_Inspire[[URS]:[URS]]))*(--(J$14=Flowdown_Inspire[[Source.Name]:[Source.Name]])),Flowdown_Inspire[[SyRS]:[SyRS]],"")))</f>
        <v/>
      </c>
      <c r="K26" s="12" t="str" cm="1">
        <f t="array" ref="K26">_xlfn.TEXTJOIN(CHAR(10),TRUE,_xlfn._xlws.SORT(IF((--($B26=Flowdown_Inspire[[URS]:[URS]]))*(--(K$14=Flowdown_Inspire[[Source.Name]:[Source.Name]])),Flowdown_Inspire[[SyRS]:[SyRS]],"")))</f>
        <v/>
      </c>
      <c r="L26" s="16" t="b" cm="1">
        <f t="array" ref="L26">OR(LEN(C26:K26)&gt;0)</f>
        <v>1</v>
      </c>
    </row>
    <row r="27" spans="2:12" ht="135" x14ac:dyDescent="0.2">
      <c r="B27" s="11" t="str">
        <v>MASTER-41947</v>
      </c>
      <c r="C27" s="12" t="str" cm="1">
        <f t="array" ref="C27">_xlfn.TEXTJOIN(CHAR(10),TRUE,_xlfn._xlws.SORT(IF((--($B27=Flowdown_Inspire[[URS]:[URS]]))*(--(C$14=Flowdown_Inspire[[Source.Name]:[Source.Name]])),Flowdown_Inspire[[SyRS]:[SyRS]],"")))</f>
        <v/>
      </c>
      <c r="D27" s="12" t="str" cm="1">
        <f t="array" ref="D27">_xlfn.TEXTJOIN(CHAR(10),TRUE,_xlfn._xlws.SORT(IF((--($B27=Flowdown_Inspire[[URS]:[URS]]))*(--(D$14=Flowdown_Inspire[[Source.Name]:[Source.Name]])),Flowdown_Inspire[[SyRS]:[SyRS]],"")))</f>
        <v/>
      </c>
      <c r="E27" s="12" t="str" cm="1">
        <f t="array" ref="E27">_xlfn.TEXTJOIN(CHAR(10),TRUE,_xlfn._xlws.SORT(IF((--($B27=Flowdown_Inspire[[URS]:[URS]]))*(--(E$14=Flowdown_Inspire[[Source.Name]:[Source.Name]])),Flowdown_Inspire[[SyRS]:[SyRS]],"")))</f>
        <v/>
      </c>
      <c r="F27" s="12" t="str" cm="1">
        <f t="array" ref="F27">_xlfn.TEXTJOIN(CHAR(10),TRUE,_xlfn._xlws.SORT(IF((--($B27=Flowdown_Inspire[[URS]:[URS]]))*(--(F$14=Flowdown_Inspire[[Source.Name]:[Source.Name]])),Flowdown_Inspire[[SyRS]:[SyRS]],"")))</f>
        <v/>
      </c>
      <c r="G27" s="12" t="str" cm="1">
        <f t="array" ref="G27">_xlfn.TEXTJOIN(CHAR(10),TRUE,_xlfn._xlws.SORT(IF((--($B27=Flowdown_Inspire[[URS]:[URS]]))*(--(G$14=Flowdown_Inspire[[Source.Name]:[Source.Name]])),Flowdown_Inspire[[SyRS]:[SyRS]],"")))</f>
        <v/>
      </c>
      <c r="H27" s="12" t="str" cm="1">
        <f t="array" ref="H27">_xlfn.TEXTJOIN(CHAR(10),TRUE,_xlfn._xlws.SORT(IF((--($B27=Flowdown_Inspire[[URS]:[URS]]))*(--(H$14=Flowdown_Inspire[[Source.Name]:[Source.Name]])),Flowdown_Inspire[[SyRS]:[SyRS]],"")))</f>
        <v>MASTER-22463
MASTER-22465
MASTER-22466
MASTER-22474
MASTER-22488
MASTER-22489
MASTER-22492
MASTER-22513
MASTER-22514
MASTER-22525</v>
      </c>
      <c r="I27" s="12" t="str" cm="1">
        <f t="array" ref="I27">_xlfn.TEXTJOIN(CHAR(10),TRUE,_xlfn._xlws.SORT(IF((--($B27=Flowdown_Inspire[[URS]:[URS]]))*(--(I$14=Flowdown_Inspire[[Source.Name]:[Source.Name]])),Flowdown_Inspire[[SyRS]:[SyRS]],"")))</f>
        <v/>
      </c>
      <c r="J27" s="12" t="str" cm="1">
        <f t="array" ref="J27">_xlfn.TEXTJOIN(CHAR(10),TRUE,_xlfn._xlws.SORT(IF((--($B27=Flowdown_Inspire[[URS]:[URS]]))*(--(J$14=Flowdown_Inspire[[Source.Name]:[Source.Name]])),Flowdown_Inspire[[SyRS]:[SyRS]],"")))</f>
        <v/>
      </c>
      <c r="K27" s="12" t="str" cm="1">
        <f t="array" ref="K27">_xlfn.TEXTJOIN(CHAR(10),TRUE,_xlfn._xlws.SORT(IF((--($B27=Flowdown_Inspire[[URS]:[URS]]))*(--(K$14=Flowdown_Inspire[[Source.Name]:[Source.Name]])),Flowdown_Inspire[[SyRS]:[SyRS]],"")))</f>
        <v/>
      </c>
      <c r="L27" s="16" t="b" cm="1">
        <f t="array" ref="L27">OR(LEN(C27:K27)&gt;0)</f>
        <v>1</v>
      </c>
    </row>
    <row r="28" spans="2:12" ht="4.9000000000000004" customHeight="1" x14ac:dyDescent="0.2">
      <c r="B28" s="11" t="str">
        <v>MASTER-46243</v>
      </c>
      <c r="C28" s="12" t="str" cm="1">
        <f t="array" ref="C28">_xlfn.TEXTJOIN(CHAR(10),TRUE,_xlfn._xlws.SORT(IF((--($B28=Flowdown_Inspire[[URS]:[URS]]))*(--(C$14=Flowdown_Inspire[[Source.Name]:[Source.Name]])),Flowdown_Inspire[[SyRS]:[SyRS]],"")))</f>
        <v>MASTER-49260
MASTER-49262
MASTER-49266
MASTER-50794
MASTER-60679
MASTER-60680
MASTER-60683</v>
      </c>
      <c r="D28" s="12" t="str" cm="1">
        <f t="array" ref="D28">_xlfn.TEXTJOIN(CHAR(10),TRUE,_xlfn._xlws.SORT(IF((--($B28=Flowdown_Inspire[[URS]:[URS]]))*(--(D$14=Flowdown_Inspire[[Source.Name]:[Source.Name]])),Flowdown_Inspire[[SyRS]:[SyRS]],"")))</f>
        <v>MASTER-49260
MASTER-49262
MASTER-49266
MASTER-50794
MASTER-60679
MASTER-60680
MASTER-60683</v>
      </c>
      <c r="E28" s="12" t="str" cm="1">
        <f t="array" ref="E28">_xlfn.TEXTJOIN(CHAR(10),TRUE,_xlfn._xlws.SORT(IF((--($B28=Flowdown_Inspire[[URS]:[URS]]))*(--(E$14=Flowdown_Inspire[[Source.Name]:[Source.Name]])),Flowdown_Inspire[[SyRS]:[SyRS]],"")))</f>
        <v>MASTER-49260
MASTER-49262
MASTER-49266
MASTER-50794
MASTER-60679
MASTER-60683</v>
      </c>
      <c r="F28" s="12" t="str" cm="1">
        <f t="array" ref="F28">_xlfn.TEXTJOIN(CHAR(10),TRUE,_xlfn._xlws.SORT(IF((--($B28=Flowdown_Inspire[[URS]:[URS]]))*(--(F$14=Flowdown_Inspire[[Source.Name]:[Source.Name]])),Flowdown_Inspire[[SyRS]:[SyRS]],"")))</f>
        <v>MASTER-49260
MASTER-49262
MASTER-49266
MASTER-50794
MASTER-60679
MASTER-60683</v>
      </c>
      <c r="G28" s="12" t="str" cm="1">
        <f t="array" ref="G28">_xlfn.TEXTJOIN(CHAR(10),TRUE,_xlfn._xlws.SORT(IF((--($B28=Flowdown_Inspire[[URS]:[URS]]))*(--(G$14=Flowdown_Inspire[[Source.Name]:[Source.Name]])),Flowdown_Inspire[[SyRS]:[SyRS]],"")))</f>
        <v>MASTER-49260
MASTER-49262
MASTER-49266
MASTER-50794
MASTER-60679
MASTER-60680
MASTER-60683</v>
      </c>
      <c r="H28" s="12" t="str" cm="1">
        <f t="array" ref="H28">_xlfn.TEXTJOIN(CHAR(10),TRUE,_xlfn._xlws.SORT(IF((--($B28=Flowdown_Inspire[[URS]:[URS]]))*(--(H$14=Flowdown_Inspire[[Source.Name]:[Source.Name]])),Flowdown_Inspire[[SyRS]:[SyRS]],"")))</f>
        <v>MASTER-60789
MASTER-60791
MASTER-60795</v>
      </c>
      <c r="I28" s="12" t="str" cm="1">
        <f t="array" ref="I28">_xlfn.TEXTJOIN(CHAR(10),TRUE,_xlfn._xlws.SORT(IF((--($B28=Flowdown_Inspire[[URS]:[URS]]))*(--(I$14=Flowdown_Inspire[[Source.Name]:[Source.Name]])),Flowdown_Inspire[[SyRS]:[SyRS]],"")))</f>
        <v/>
      </c>
      <c r="J28" s="12" t="str" cm="1">
        <f t="array" ref="J28">_xlfn.TEXTJOIN(CHAR(10),TRUE,_xlfn._xlws.SORT(IF((--($B28=Flowdown_Inspire[[URS]:[URS]]))*(--(J$14=Flowdown_Inspire[[Source.Name]:[Source.Name]])),Flowdown_Inspire[[SyRS]:[SyRS]],"")))</f>
        <v/>
      </c>
      <c r="K28" s="12" t="str" cm="1">
        <f t="array" ref="K28">_xlfn.TEXTJOIN(CHAR(10),TRUE,_xlfn._xlws.SORT(IF((--($B28=Flowdown_Inspire[[URS]:[URS]]))*(--(K$14=Flowdown_Inspire[[Source.Name]:[Source.Name]])),Flowdown_Inspire[[SyRS]:[SyRS]],"")))</f>
        <v>MASTER-49268
MASTER-56840
MASTER-56841
MASTER-56842</v>
      </c>
      <c r="L28" s="16" t="b" cm="1">
        <f t="array" ref="L28">OR(LEN(C28:K28)&gt;0)</f>
        <v>1</v>
      </c>
    </row>
    <row r="29" spans="2:12" ht="121.5" x14ac:dyDescent="0.2">
      <c r="B29" s="11" t="str">
        <v>MASTER-48039</v>
      </c>
      <c r="C29" s="12" t="str" cm="1">
        <f t="array" ref="C29">_xlfn.TEXTJOIN(CHAR(10),TRUE,_xlfn._xlws.SORT(IF((--($B29=Flowdown_Inspire[[URS]:[URS]]))*(--(C$14=Flowdown_Inspire[[Source.Name]:[Source.Name]])),Flowdown_Inspire[[SyRS]:[SyRS]],"")))</f>
        <v>MASTER-19239
MASTER-19240
MASTER-19241
MASTER-19242
MASTER-25416
MASTER-50664
MASTER-50665
MASTER-51530
MASTER-51531</v>
      </c>
      <c r="D29" s="12" t="str" cm="1">
        <f t="array" ref="D29">_xlfn.TEXTJOIN(CHAR(10),TRUE,_xlfn._xlws.SORT(IF((--($B29=Flowdown_Inspire[[URS]:[URS]]))*(--(D$14=Flowdown_Inspire[[Source.Name]:[Source.Name]])),Flowdown_Inspire[[SyRS]:[SyRS]],"")))</f>
        <v>MASTER-19239
MASTER-19240
MASTER-19241
MASTER-19242
MASTER-25416
MASTER-50664
MASTER-50665
MASTER-51530
MASTER-51531</v>
      </c>
      <c r="E29" s="12" t="str" cm="1">
        <f t="array" ref="E29">_xlfn.TEXTJOIN(CHAR(10),TRUE,_xlfn._xlws.SORT(IF((--($B29=Flowdown_Inspire[[URS]:[URS]]))*(--(E$14=Flowdown_Inspire[[Source.Name]:[Source.Name]])),Flowdown_Inspire[[SyRS]:[SyRS]],"")))</f>
        <v>MASTER-19239
MASTER-19240
MASTER-19241
MASTER-19242
MASTER-25416
MASTER-50664
MASTER-50665
MASTER-51530
MASTER-51531</v>
      </c>
      <c r="F29" s="12" t="str" cm="1">
        <f t="array" ref="F29">_xlfn.TEXTJOIN(CHAR(10),TRUE,_xlfn._xlws.SORT(IF((--($B29=Flowdown_Inspire[[URS]:[URS]]))*(--(F$14=Flowdown_Inspire[[Source.Name]:[Source.Name]])),Flowdown_Inspire[[SyRS]:[SyRS]],"")))</f>
        <v>MASTER-19239
MASTER-19240
MASTER-19241
MASTER-19242
MASTER-25416
MASTER-50664
MASTER-50665
MASTER-51530
MASTER-51531</v>
      </c>
      <c r="G29" s="12" t="str" cm="1">
        <f t="array" ref="G29">_xlfn.TEXTJOIN(CHAR(10),TRUE,_xlfn._xlws.SORT(IF((--($B29=Flowdown_Inspire[[URS]:[URS]]))*(--(G$14=Flowdown_Inspire[[Source.Name]:[Source.Name]])),Flowdown_Inspire[[SyRS]:[SyRS]],"")))</f>
        <v>MASTER-19239
MASTER-19240
MASTER-19241
MASTER-19242
MASTER-25416
MASTER-50664
MASTER-50665
MASTER-51530
MASTER-51531</v>
      </c>
      <c r="H29" s="12" t="str" cm="1">
        <f t="array" ref="H29">_xlfn.TEXTJOIN(CHAR(10),TRUE,_xlfn._xlws.SORT(IF((--($B29=Flowdown_Inspire[[URS]:[URS]]))*(--(H$14=Flowdown_Inspire[[Source.Name]:[Source.Name]])),Flowdown_Inspire[[SyRS]:[SyRS]],"")))</f>
        <v>MASTER-50682</v>
      </c>
      <c r="I29" s="12" t="str" cm="1">
        <f t="array" ref="I29">_xlfn.TEXTJOIN(CHAR(10),TRUE,_xlfn._xlws.SORT(IF((--($B29=Flowdown_Inspire[[URS]:[URS]]))*(--(I$14=Flowdown_Inspire[[Source.Name]:[Source.Name]])),Flowdown_Inspire[[SyRS]:[SyRS]],"")))</f>
        <v/>
      </c>
      <c r="J29" s="12" t="str" cm="1">
        <f t="array" ref="J29">_xlfn.TEXTJOIN(CHAR(10),TRUE,_xlfn._xlws.SORT(IF((--($B29=Flowdown_Inspire[[URS]:[URS]]))*(--(J$14=Flowdown_Inspire[[Source.Name]:[Source.Name]])),Flowdown_Inspire[[SyRS]:[SyRS]],"")))</f>
        <v/>
      </c>
      <c r="K29" s="12" t="str" cm="1">
        <f t="array" ref="K29">_xlfn.TEXTJOIN(CHAR(10),TRUE,_xlfn._xlws.SORT(IF((--($B29=Flowdown_Inspire[[URS]:[URS]]))*(--(K$14=Flowdown_Inspire[[Source.Name]:[Source.Name]])),Flowdown_Inspire[[SyRS]:[SyRS]],"")))</f>
        <v/>
      </c>
      <c r="L29" s="16" t="b" cm="1">
        <f t="array" ref="L29">OR(LEN(C29:K29)&gt;0)</f>
        <v>1</v>
      </c>
    </row>
    <row r="30" spans="2:12" ht="202.5" x14ac:dyDescent="0.2">
      <c r="B30" s="11" t="str">
        <v>MASTER-48042</v>
      </c>
      <c r="C30" s="12" t="str" cm="1">
        <f t="array" ref="C30">_xlfn.TEXTJOIN(CHAR(10),TRUE,_xlfn._xlws.SORT(IF((--($B30=Flowdown_Inspire[[URS]:[URS]]))*(--(C$14=Flowdown_Inspire[[Source.Name]:[Source.Name]])),Flowdown_Inspire[[SyRS]:[SyRS]],"")))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D30" s="12" t="str" cm="1">
        <f t="array" ref="D30">_xlfn.TEXTJOIN(CHAR(10),TRUE,_xlfn._xlws.SORT(IF((--($B30=Flowdown_Inspire[[URS]:[URS]]))*(--(D$14=Flowdown_Inspire[[Source.Name]:[Source.Name]])),Flowdown_Inspire[[SyRS]:[SyRS]],"")))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E30" s="12" t="str" cm="1">
        <f t="array" ref="E30">_xlfn.TEXTJOIN(CHAR(10),TRUE,_xlfn._xlws.SORT(IF((--($B30=Flowdown_Inspire[[URS]:[URS]]))*(--(E$14=Flowdown_Inspire[[Source.Name]:[Source.Name]])),Flowdown_Inspire[[SyRS]:[SyRS]],"")))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F30" s="12" t="str" cm="1">
        <f t="array" ref="F30">_xlfn.TEXTJOIN(CHAR(10),TRUE,_xlfn._xlws.SORT(IF((--($B30=Flowdown_Inspire[[URS]:[URS]]))*(--(F$14=Flowdown_Inspire[[Source.Name]:[Source.Name]])),Flowdown_Inspire[[SyRS]:[SyRS]],"")))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G30" s="12" t="str" cm="1">
        <f t="array" ref="G30">_xlfn.TEXTJOIN(CHAR(10),TRUE,_xlfn._xlws.SORT(IF((--($B30=Flowdown_Inspire[[URS]:[URS]]))*(--(G$14=Flowdown_Inspire[[Source.Name]:[Source.Name]])),Flowdown_Inspire[[SyRS]:[SyRS]],"")))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H30" s="12" t="str" cm="1">
        <f t="array" ref="H30">_xlfn.TEXTJOIN(CHAR(10),TRUE,_xlfn._xlws.SORT(IF((--($B30=Flowdown_Inspire[[URS]:[URS]]))*(--(H$14=Flowdown_Inspire[[Source.Name]:[Source.Name]])),Flowdown_Inspire[[SyRS]:[SyRS]],"")))</f>
        <v>MASTER-50682</v>
      </c>
      <c r="I30" s="12" t="str" cm="1">
        <f t="array" ref="I30">_xlfn.TEXTJOIN(CHAR(10),TRUE,_xlfn._xlws.SORT(IF((--($B30=Flowdown_Inspire[[URS]:[URS]]))*(--(I$14=Flowdown_Inspire[[Source.Name]:[Source.Name]])),Flowdown_Inspire[[SyRS]:[SyRS]],"")))</f>
        <v/>
      </c>
      <c r="J30" s="12" t="str" cm="1">
        <f t="array" ref="J30">_xlfn.TEXTJOIN(CHAR(10),TRUE,_xlfn._xlws.SORT(IF((--($B30=Flowdown_Inspire[[URS]:[URS]]))*(--(J$14=Flowdown_Inspire[[Source.Name]:[Source.Name]])),Flowdown_Inspire[[SyRS]:[SyRS]],"")))</f>
        <v/>
      </c>
      <c r="K30" s="12" t="str" cm="1">
        <f t="array" ref="K30">_xlfn.TEXTJOIN(CHAR(10),TRUE,_xlfn._xlws.SORT(IF((--($B30=Flowdown_Inspire[[URS]:[URS]]))*(--(K$14=Flowdown_Inspire[[Source.Name]:[Source.Name]])),Flowdown_Inspire[[SyRS]:[SyRS]],"")))</f>
        <v/>
      </c>
      <c r="L30" s="16" t="b" cm="1">
        <f t="array" ref="L30">OR(LEN(C30:K30)&gt;0)</f>
        <v>1</v>
      </c>
    </row>
    <row r="31" spans="2:12" ht="4.9000000000000004" customHeight="1" x14ac:dyDescent="0.2">
      <c r="B31" s="11" t="str">
        <v>MASTER-48045</v>
      </c>
      <c r="C31" s="12" t="str" cm="1">
        <f t="array" ref="C31">_xlfn.TEXTJOIN(CHAR(10),TRUE,_xlfn._xlws.SORT(IF((--($B31=Flowdown_Inspire[[URS]:[URS]]))*(--(C$14=Flowdown_Inspire[[Source.Name]:[Source.Name]])),Flowdown_Inspire[[SyRS]:[SyRS]],"")))</f>
        <v>MASTER-42156
MASTER-42157
MASTER-42158
MASTER-42159
MASTER-50668
MASTER-51530
MASTER-51531</v>
      </c>
      <c r="D31" s="12" t="str" cm="1">
        <f t="array" ref="D31">_xlfn.TEXTJOIN(CHAR(10),TRUE,_xlfn._xlws.SORT(IF((--($B31=Flowdown_Inspire[[URS]:[URS]]))*(--(D$14=Flowdown_Inspire[[Source.Name]:[Source.Name]])),Flowdown_Inspire[[SyRS]:[SyRS]],"")))</f>
        <v>MASTER-42156
MASTER-42157
MASTER-42158
MASTER-42159
MASTER-50668
MASTER-51530
MASTER-51531
UTICA-5364</v>
      </c>
      <c r="E31" s="12" t="str" cm="1">
        <f t="array" ref="E31">_xlfn.TEXTJOIN(CHAR(10),TRUE,_xlfn._xlws.SORT(IF((--($B31=Flowdown_Inspire[[URS]:[URS]]))*(--(E$14=Flowdown_Inspire[[Source.Name]:[Source.Name]])),Flowdown_Inspire[[SyRS]:[SyRS]],"")))</f>
        <v>MASTER-42156
MASTER-42157
MASTER-42158
MASTER-42159
MASTER-50668
MASTER-51530
MASTER-51531</v>
      </c>
      <c r="F31" s="12" t="str" cm="1">
        <f t="array" ref="F31">_xlfn.TEXTJOIN(CHAR(10),TRUE,_xlfn._xlws.SORT(IF((--($B31=Flowdown_Inspire[[URS]:[URS]]))*(--(F$14=Flowdown_Inspire[[Source.Name]:[Source.Name]])),Flowdown_Inspire[[SyRS]:[SyRS]],"")))</f>
        <v>MASTER-42156
MASTER-42157
MASTER-42158
MASTER-42159
MASTER-50668
MASTER-51530
MASTER-51531
UTICA-4135</v>
      </c>
      <c r="G31" s="12" t="str" cm="1">
        <f t="array" ref="G31">_xlfn.TEXTJOIN(CHAR(10),TRUE,_xlfn._xlws.SORT(IF((--($B31=Flowdown_Inspire[[URS]:[URS]]))*(--(G$14=Flowdown_Inspire[[Source.Name]:[Source.Name]])),Flowdown_Inspire[[SyRS]:[SyRS]],"")))</f>
        <v>MASTER-42156
MASTER-42157
MASTER-42158
MASTER-42159
MASTER-50668
MASTER-51530
MASTER-51531
UTICA-3212</v>
      </c>
      <c r="H31" s="12" t="str" cm="1">
        <f t="array" ref="H31">_xlfn.TEXTJOIN(CHAR(10),TRUE,_xlfn._xlws.SORT(IF((--($B31=Flowdown_Inspire[[URS]:[URS]]))*(--(H$14=Flowdown_Inspire[[Source.Name]:[Source.Name]])),Flowdown_Inspire[[SyRS]:[SyRS]],"")))</f>
        <v>MASTER-50682</v>
      </c>
      <c r="I31" s="12" t="str" cm="1">
        <f t="array" ref="I31">_xlfn.TEXTJOIN(CHAR(10),TRUE,_xlfn._xlws.SORT(IF((--($B31=Flowdown_Inspire[[URS]:[URS]]))*(--(I$14=Flowdown_Inspire[[Source.Name]:[Source.Name]])),Flowdown_Inspire[[SyRS]:[SyRS]],"")))</f>
        <v/>
      </c>
      <c r="J31" s="12" t="str" cm="1">
        <f t="array" ref="J31">_xlfn.TEXTJOIN(CHAR(10),TRUE,_xlfn._xlws.SORT(IF((--($B31=Flowdown_Inspire[[URS]:[URS]]))*(--(J$14=Flowdown_Inspire[[Source.Name]:[Source.Name]])),Flowdown_Inspire[[SyRS]:[SyRS]],"")))</f>
        <v/>
      </c>
      <c r="K31" s="12" t="str" cm="1">
        <f t="array" ref="K31">_xlfn.TEXTJOIN(CHAR(10),TRUE,_xlfn._xlws.SORT(IF((--($B31=Flowdown_Inspire[[URS]:[URS]]))*(--(K$14=Flowdown_Inspire[[Source.Name]:[Source.Name]])),Flowdown_Inspire[[SyRS]:[SyRS]],"")))</f>
        <v/>
      </c>
      <c r="L31" s="16" t="b" cm="1">
        <f t="array" ref="L31">OR(LEN(C31:K31)&gt;0)</f>
        <v>1</v>
      </c>
    </row>
    <row r="32" spans="2:12" ht="108" x14ac:dyDescent="0.2">
      <c r="B32" s="11" t="str">
        <v>MASTER-48048</v>
      </c>
      <c r="C32" s="12" t="str" cm="1">
        <f t="array" ref="C32">_xlfn.TEXTJOIN(CHAR(10),TRUE,_xlfn._xlws.SORT(IF((--($B32=Flowdown_Inspire[[URS]:[URS]]))*(--(C$14=Flowdown_Inspire[[Source.Name]:[Source.Name]])),Flowdown_Inspire[[SyRS]:[SyRS]],"")))</f>
        <v>MASTER-51530
MASTER-51531
MASTER-62843
MASTER-62844
MASTER-62845
MASTER-62846
MASTER-62847
MASTER-62848</v>
      </c>
      <c r="D32" s="12" t="str" cm="1">
        <f t="array" ref="D32">_xlfn.TEXTJOIN(CHAR(10),TRUE,_xlfn._xlws.SORT(IF((--($B32=Flowdown_Inspire[[URS]:[URS]]))*(--(D$14=Flowdown_Inspire[[Source.Name]:[Source.Name]])),Flowdown_Inspire[[SyRS]:[SyRS]],"")))</f>
        <v>MASTER-51530
MASTER-51531
MASTER-62843
MASTER-62844
MASTER-62845
MASTER-62846
MASTER-62847
MASTER-62848</v>
      </c>
      <c r="E32" s="12" t="str" cm="1">
        <f t="array" ref="E32">_xlfn.TEXTJOIN(CHAR(10),TRUE,_xlfn._xlws.SORT(IF((--($B32=Flowdown_Inspire[[URS]:[URS]]))*(--(E$14=Flowdown_Inspire[[Source.Name]:[Source.Name]])),Flowdown_Inspire[[SyRS]:[SyRS]],"")))</f>
        <v>MASTER-51530
MASTER-51531
MASTER-62843
MASTER-62844
MASTER-62845
MASTER-62846
MASTER-62847
MASTER-62848</v>
      </c>
      <c r="F32" s="12" t="str" cm="1">
        <f t="array" ref="F32">_xlfn.TEXTJOIN(CHAR(10),TRUE,_xlfn._xlws.SORT(IF((--($B32=Flowdown_Inspire[[URS]:[URS]]))*(--(F$14=Flowdown_Inspire[[Source.Name]:[Source.Name]])),Flowdown_Inspire[[SyRS]:[SyRS]],"")))</f>
        <v>MASTER-51530
MASTER-51531
MASTER-62843
MASTER-62844
MASTER-62845
MASTER-62846
MASTER-62847
MASTER-62848</v>
      </c>
      <c r="G32" s="12" t="str" cm="1">
        <f t="array" ref="G32">_xlfn.TEXTJOIN(CHAR(10),TRUE,_xlfn._xlws.SORT(IF((--($B32=Flowdown_Inspire[[URS]:[URS]]))*(--(G$14=Flowdown_Inspire[[Source.Name]:[Source.Name]])),Flowdown_Inspire[[SyRS]:[SyRS]],"")))</f>
        <v>MASTER-51530
MASTER-51531
MASTER-62843
MASTER-62844
MASTER-62845
MASTER-62846
MASTER-62847
MASTER-62848</v>
      </c>
      <c r="H32" s="12" t="str" cm="1">
        <f t="array" ref="H32">_xlfn.TEXTJOIN(CHAR(10),TRUE,_xlfn._xlws.SORT(IF((--($B32=Flowdown_Inspire[[URS]:[URS]]))*(--(H$14=Flowdown_Inspire[[Source.Name]:[Source.Name]])),Flowdown_Inspire[[SyRS]:[SyRS]],"")))</f>
        <v>MASTER-50682</v>
      </c>
      <c r="I32" s="12" t="str" cm="1">
        <f t="array" ref="I32">_xlfn.TEXTJOIN(CHAR(10),TRUE,_xlfn._xlws.SORT(IF((--($B32=Flowdown_Inspire[[URS]:[URS]]))*(--(I$14=Flowdown_Inspire[[Source.Name]:[Source.Name]])),Flowdown_Inspire[[SyRS]:[SyRS]],"")))</f>
        <v/>
      </c>
      <c r="J32" s="12" t="str" cm="1">
        <f t="array" ref="J32">_xlfn.TEXTJOIN(CHAR(10),TRUE,_xlfn._xlws.SORT(IF((--($B32=Flowdown_Inspire[[URS]:[URS]]))*(--(J$14=Flowdown_Inspire[[Source.Name]:[Source.Name]])),Flowdown_Inspire[[SyRS]:[SyRS]],"")))</f>
        <v/>
      </c>
      <c r="K32" s="12" t="str" cm="1">
        <f t="array" ref="K32">_xlfn.TEXTJOIN(CHAR(10),TRUE,_xlfn._xlws.SORT(IF((--($B32=Flowdown_Inspire[[URS]:[URS]]))*(--(K$14=Flowdown_Inspire[[Source.Name]:[Source.Name]])),Flowdown_Inspire[[SyRS]:[SyRS]],"")))</f>
        <v/>
      </c>
      <c r="L32" s="16" t="b" cm="1">
        <f t="array" ref="L32">OR(LEN(C32:K32)&gt;0)</f>
        <v>1</v>
      </c>
    </row>
    <row r="33" spans="2:12" ht="13.5" x14ac:dyDescent="0.2">
      <c r="B33" s="11" t="str">
        <v>MASTER-51673</v>
      </c>
      <c r="C33" s="12" t="str" cm="1">
        <f t="array" ref="C33">_xlfn.TEXTJOIN(CHAR(10),TRUE,_xlfn._xlws.SORT(IF((--($B33=Flowdown_Inspire[[URS]:[URS]]))*(--(C$14=Flowdown_Inspire[[Source.Name]:[Source.Name]])),Flowdown_Inspire[[SyRS]:[SyRS]],"")))</f>
        <v>MASTER-60757</v>
      </c>
      <c r="D33" s="12" t="str" cm="1">
        <f t="array" ref="D33">_xlfn.TEXTJOIN(CHAR(10),TRUE,_xlfn._xlws.SORT(IF((--($B33=Flowdown_Inspire[[URS]:[URS]]))*(--(D$14=Flowdown_Inspire[[Source.Name]:[Source.Name]])),Flowdown_Inspire[[SyRS]:[SyRS]],"")))</f>
        <v>MASTER-60757</v>
      </c>
      <c r="E33" s="12" t="str" cm="1">
        <f t="array" ref="E33">_xlfn.TEXTJOIN(CHAR(10),TRUE,_xlfn._xlws.SORT(IF((--($B33=Flowdown_Inspire[[URS]:[URS]]))*(--(E$14=Flowdown_Inspire[[Source.Name]:[Source.Name]])),Flowdown_Inspire[[SyRS]:[SyRS]],"")))</f>
        <v>MASTER-60757</v>
      </c>
      <c r="F33" s="12" t="str" cm="1">
        <f t="array" ref="F33">_xlfn.TEXTJOIN(CHAR(10),TRUE,_xlfn._xlws.SORT(IF((--($B33=Flowdown_Inspire[[URS]:[URS]]))*(--(F$14=Flowdown_Inspire[[Source.Name]:[Source.Name]])),Flowdown_Inspire[[SyRS]:[SyRS]],"")))</f>
        <v>MASTER-60757</v>
      </c>
      <c r="G33" s="12" t="str" cm="1">
        <f t="array" ref="G33">_xlfn.TEXTJOIN(CHAR(10),TRUE,_xlfn._xlws.SORT(IF((--($B33=Flowdown_Inspire[[URS]:[URS]]))*(--(G$14=Flowdown_Inspire[[Source.Name]:[Source.Name]])),Flowdown_Inspire[[SyRS]:[SyRS]],"")))</f>
        <v>MASTER-60757</v>
      </c>
      <c r="H33" s="12" t="str" cm="1">
        <f t="array" ref="H33">_xlfn.TEXTJOIN(CHAR(10),TRUE,_xlfn._xlws.SORT(IF((--($B33=Flowdown_Inspire[[URS]:[URS]]))*(--(H$14=Flowdown_Inspire[[Source.Name]:[Source.Name]])),Flowdown_Inspire[[SyRS]:[SyRS]],"")))</f>
        <v/>
      </c>
      <c r="I33" s="12" t="str" cm="1">
        <f t="array" ref="I33">_xlfn.TEXTJOIN(CHAR(10),TRUE,_xlfn._xlws.SORT(IF((--($B33=Flowdown_Inspire[[URS]:[URS]]))*(--(I$14=Flowdown_Inspire[[Source.Name]:[Source.Name]])),Flowdown_Inspire[[SyRS]:[SyRS]],"")))</f>
        <v/>
      </c>
      <c r="J33" s="12" t="str" cm="1">
        <f t="array" ref="J33">_xlfn.TEXTJOIN(CHAR(10),TRUE,_xlfn._xlws.SORT(IF((--($B33=Flowdown_Inspire[[URS]:[URS]]))*(--(J$14=Flowdown_Inspire[[Source.Name]:[Source.Name]])),Flowdown_Inspire[[SyRS]:[SyRS]],"")))</f>
        <v/>
      </c>
      <c r="K33" s="12" t="str" cm="1">
        <f t="array" ref="K33">_xlfn.TEXTJOIN(CHAR(10),TRUE,_xlfn._xlws.SORT(IF((--($B33=Flowdown_Inspire[[URS]:[URS]]))*(--(K$14=Flowdown_Inspire[[Source.Name]:[Source.Name]])),Flowdown_Inspire[[SyRS]:[SyRS]],"")))</f>
        <v/>
      </c>
      <c r="L33" s="16" t="b" cm="1">
        <f t="array" ref="L33">OR(LEN(C33:K33)&gt;0)</f>
        <v>1</v>
      </c>
    </row>
    <row r="34" spans="2:12" ht="27" x14ac:dyDescent="0.2">
      <c r="B34" s="11" t="str">
        <v>MASTER-51679</v>
      </c>
      <c r="C34" s="12" t="str" cm="1">
        <f t="array" ref="C34">_xlfn.TEXTJOIN(CHAR(10),TRUE,_xlfn._xlws.SORT(IF((--($B34=Flowdown_Inspire[[URS]:[URS]]))*(--(C$14=Flowdown_Inspire[[Source.Name]:[Source.Name]])),Flowdown_Inspire[[SyRS]:[SyRS]],"")))</f>
        <v>MASTER-60681</v>
      </c>
      <c r="D34" s="12" t="str" cm="1">
        <f t="array" ref="D34">_xlfn.TEXTJOIN(CHAR(10),TRUE,_xlfn._xlws.SORT(IF((--($B34=Flowdown_Inspire[[URS]:[URS]]))*(--(D$14=Flowdown_Inspire[[Source.Name]:[Source.Name]])),Flowdown_Inspire[[SyRS]:[SyRS]],"")))</f>
        <v>MASTER-60675
MASTER-60681</v>
      </c>
      <c r="E34" s="12" t="str" cm="1">
        <f t="array" ref="E34">_xlfn.TEXTJOIN(CHAR(10),TRUE,_xlfn._xlws.SORT(IF((--($B34=Flowdown_Inspire[[URS]:[URS]]))*(--(E$14=Flowdown_Inspire[[Source.Name]:[Source.Name]])),Flowdown_Inspire[[SyRS]:[SyRS]],"")))</f>
        <v>MASTER-60675</v>
      </c>
      <c r="F34" s="12" t="str" cm="1">
        <f t="array" ref="F34">_xlfn.TEXTJOIN(CHAR(10),TRUE,_xlfn._xlws.SORT(IF((--($B34=Flowdown_Inspire[[URS]:[URS]]))*(--(F$14=Flowdown_Inspire[[Source.Name]:[Source.Name]])),Flowdown_Inspire[[SyRS]:[SyRS]],"")))</f>
        <v>MASTER-60675
MASTER-60681</v>
      </c>
      <c r="G34" s="12" t="str" cm="1">
        <f t="array" ref="G34">_xlfn.TEXTJOIN(CHAR(10),TRUE,_xlfn._xlws.SORT(IF((--($B34=Flowdown_Inspire[[URS]:[URS]]))*(--(G$14=Flowdown_Inspire[[Source.Name]:[Source.Name]])),Flowdown_Inspire[[SyRS]:[SyRS]],"")))</f>
        <v>MASTER-60675
MASTER-60681</v>
      </c>
      <c r="H34" s="12" t="str" cm="1">
        <f t="array" ref="H34">_xlfn.TEXTJOIN(CHAR(10),TRUE,_xlfn._xlws.SORT(IF((--($B34=Flowdown_Inspire[[URS]:[URS]]))*(--(H$14=Flowdown_Inspire[[Source.Name]:[Source.Name]])),Flowdown_Inspire[[SyRS]:[SyRS]],"")))</f>
        <v>MASTER-60782
MASTER-60787</v>
      </c>
      <c r="I34" s="12" t="str" cm="1">
        <f t="array" ref="I34">_xlfn.TEXTJOIN(CHAR(10),TRUE,_xlfn._xlws.SORT(IF((--($B34=Flowdown_Inspire[[URS]:[URS]]))*(--(I$14=Flowdown_Inspire[[Source.Name]:[Source.Name]])),Flowdown_Inspire[[SyRS]:[SyRS]],"")))</f>
        <v/>
      </c>
      <c r="J34" s="12" t="str" cm="1">
        <f t="array" ref="J34">_xlfn.TEXTJOIN(CHAR(10),TRUE,_xlfn._xlws.SORT(IF((--($B34=Flowdown_Inspire[[URS]:[URS]]))*(--(J$14=Flowdown_Inspire[[Source.Name]:[Source.Name]])),Flowdown_Inspire[[SyRS]:[SyRS]],"")))</f>
        <v/>
      </c>
      <c r="K34" s="12" t="str" cm="1">
        <f t="array" ref="K34">_xlfn.TEXTJOIN(CHAR(10),TRUE,_xlfn._xlws.SORT(IF((--($B34=Flowdown_Inspire[[URS]:[URS]]))*(--(K$14=Flowdown_Inspire[[Source.Name]:[Source.Name]])),Flowdown_Inspire[[SyRS]:[SyRS]],"")))</f>
        <v/>
      </c>
      <c r="L34" s="16" t="b" cm="1">
        <f t="array" ref="L34">OR(LEN(C34:K34)&gt;0)</f>
        <v>1</v>
      </c>
    </row>
    <row r="35" spans="2:12" ht="54" x14ac:dyDescent="0.2">
      <c r="B35" s="11" t="str">
        <v>MASTER-51685</v>
      </c>
      <c r="C35" s="12" t="str" cm="1">
        <f t="array" ref="C35">_xlfn.TEXTJOIN(CHAR(10),TRUE,_xlfn._xlws.SORT(IF((--($B35=Flowdown_Inspire[[URS]:[URS]]))*(--(C$14=Flowdown_Inspire[[Source.Name]:[Source.Name]])),Flowdown_Inspire[[SyRS]:[SyRS]],"")))</f>
        <v>MASTER-51330
MASTER-51809
MASTER-56914
MASTER-56916</v>
      </c>
      <c r="D35" s="12" t="str" cm="1">
        <f t="array" ref="D35">_xlfn.TEXTJOIN(CHAR(10),TRUE,_xlfn._xlws.SORT(IF((--($B35=Flowdown_Inspire[[URS]:[URS]]))*(--(D$14=Flowdown_Inspire[[Source.Name]:[Source.Name]])),Flowdown_Inspire[[SyRS]:[SyRS]],"")))</f>
        <v>MASTER-51330
MASTER-51809
MASTER-56914
MASTER-56916</v>
      </c>
      <c r="E35" s="12" t="str" cm="1">
        <f t="array" ref="E35">_xlfn.TEXTJOIN(CHAR(10),TRUE,_xlfn._xlws.SORT(IF((--($B35=Flowdown_Inspire[[URS]:[URS]]))*(--(E$14=Flowdown_Inspire[[Source.Name]:[Source.Name]])),Flowdown_Inspire[[SyRS]:[SyRS]],"")))</f>
        <v>MASTER-51330
MASTER-51809</v>
      </c>
      <c r="F35" s="12" t="str" cm="1">
        <f t="array" ref="F35">_xlfn.TEXTJOIN(CHAR(10),TRUE,_xlfn._xlws.SORT(IF((--($B35=Flowdown_Inspire[[URS]:[URS]]))*(--(F$14=Flowdown_Inspire[[Source.Name]:[Source.Name]])),Flowdown_Inspire[[SyRS]:[SyRS]],"")))</f>
        <v>MASTER-51330
MASTER-51809</v>
      </c>
      <c r="G35" s="12" t="str" cm="1">
        <f t="array" ref="G35">_xlfn.TEXTJOIN(CHAR(10),TRUE,_xlfn._xlws.SORT(IF((--($B35=Flowdown_Inspire[[URS]:[URS]]))*(--(G$14=Flowdown_Inspire[[Source.Name]:[Source.Name]])),Flowdown_Inspire[[SyRS]:[SyRS]],"")))</f>
        <v>MASTER-51330
MASTER-51809</v>
      </c>
      <c r="H35" s="12" t="str" cm="1">
        <f t="array" ref="H35">_xlfn.TEXTJOIN(CHAR(10),TRUE,_xlfn._xlws.SORT(IF((--($B35=Flowdown_Inspire[[URS]:[URS]]))*(--(H$14=Flowdown_Inspire[[Source.Name]:[Source.Name]])),Flowdown_Inspire[[SyRS]:[SyRS]],"")))</f>
        <v>MASTER-51319
MASTER-56919</v>
      </c>
      <c r="I35" s="12" t="str" cm="1">
        <f t="array" ref="I35">_xlfn.TEXTJOIN(CHAR(10),TRUE,_xlfn._xlws.SORT(IF((--($B35=Flowdown_Inspire[[URS]:[URS]]))*(--(I$14=Flowdown_Inspire[[Source.Name]:[Source.Name]])),Flowdown_Inspire[[SyRS]:[SyRS]],"")))</f>
        <v/>
      </c>
      <c r="J35" s="12" t="str" cm="1">
        <f t="array" ref="J35">_xlfn.TEXTJOIN(CHAR(10),TRUE,_xlfn._xlws.SORT(IF((--($B35=Flowdown_Inspire[[URS]:[URS]]))*(--(J$14=Flowdown_Inspire[[Source.Name]:[Source.Name]])),Flowdown_Inspire[[SyRS]:[SyRS]],"")))</f>
        <v/>
      </c>
      <c r="K35" s="12" t="str" cm="1">
        <f t="array" ref="K35">_xlfn.TEXTJOIN(CHAR(10),TRUE,_xlfn._xlws.SORT(IF((--($B35=Flowdown_Inspire[[URS]:[URS]]))*(--(K$14=Flowdown_Inspire[[Source.Name]:[Source.Name]])),Flowdown_Inspire[[SyRS]:[SyRS]],"")))</f>
        <v/>
      </c>
      <c r="L35" s="16" t="b" cm="1">
        <f t="array" ref="L35">OR(LEN(C35:K35)&gt;0)</f>
        <v>1</v>
      </c>
    </row>
    <row r="36" spans="2:12" ht="40.5" x14ac:dyDescent="0.2">
      <c r="B36" s="11" t="str">
        <v>MASTER-51686</v>
      </c>
      <c r="C36" s="12" t="str" cm="1">
        <f t="array" ref="C36">_xlfn.TEXTJOIN(CHAR(10),TRUE,_xlfn._xlws.SORT(IF((--($B36=Flowdown_Inspire[[URS]:[URS]]))*(--(C$14=Flowdown_Inspire[[Source.Name]:[Source.Name]])),Flowdown_Inspire[[SyRS]:[SyRS]],"")))</f>
        <v>MASTER-51353</v>
      </c>
      <c r="D36" s="12" t="str" cm="1">
        <f t="array" ref="D36">_xlfn.TEXTJOIN(CHAR(10),TRUE,_xlfn._xlws.SORT(IF((--($B36=Flowdown_Inspire[[URS]:[URS]]))*(--(D$14=Flowdown_Inspire[[Source.Name]:[Source.Name]])),Flowdown_Inspire[[SyRS]:[SyRS]],"")))</f>
        <v>MASTER-51353</v>
      </c>
      <c r="E36" s="12" t="str" cm="1">
        <f t="array" ref="E36">_xlfn.TEXTJOIN(CHAR(10),TRUE,_xlfn._xlws.SORT(IF((--($B36=Flowdown_Inspire[[URS]:[URS]]))*(--(E$14=Flowdown_Inspire[[Source.Name]:[Source.Name]])),Flowdown_Inspire[[SyRS]:[SyRS]],"")))</f>
        <v>MASTER-51353</v>
      </c>
      <c r="F36" s="12" t="str" cm="1">
        <f t="array" ref="F36">_xlfn.TEXTJOIN(CHAR(10),TRUE,_xlfn._xlws.SORT(IF((--($B36=Flowdown_Inspire[[URS]:[URS]]))*(--(F$14=Flowdown_Inspire[[Source.Name]:[Source.Name]])),Flowdown_Inspire[[SyRS]:[SyRS]],"")))</f>
        <v>MASTER-51353</v>
      </c>
      <c r="G36" s="12" t="str" cm="1">
        <f t="array" ref="G36">_xlfn.TEXTJOIN(CHAR(10),TRUE,_xlfn._xlws.SORT(IF((--($B36=Flowdown_Inspire[[URS]:[URS]]))*(--(G$14=Flowdown_Inspire[[Source.Name]:[Source.Name]])),Flowdown_Inspire[[SyRS]:[SyRS]],"")))</f>
        <v>MASTER-51353</v>
      </c>
      <c r="H36" s="12" t="str" cm="1">
        <f t="array" ref="H36">_xlfn.TEXTJOIN(CHAR(10),TRUE,_xlfn._xlws.SORT(IF((--($B36=Flowdown_Inspire[[URS]:[URS]]))*(--(H$14=Flowdown_Inspire[[Source.Name]:[Source.Name]])),Flowdown_Inspire[[SyRS]:[SyRS]],"")))</f>
        <v>MASTER-51325
MASTER-51326
MASTER-51351</v>
      </c>
      <c r="I36" s="12" t="str" cm="1">
        <f t="array" ref="I36">_xlfn.TEXTJOIN(CHAR(10),TRUE,_xlfn._xlws.SORT(IF((--($B36=Flowdown_Inspire[[URS]:[URS]]))*(--(I$14=Flowdown_Inspire[[Source.Name]:[Source.Name]])),Flowdown_Inspire[[SyRS]:[SyRS]],"")))</f>
        <v/>
      </c>
      <c r="J36" s="12" t="str" cm="1">
        <f t="array" ref="J36">_xlfn.TEXTJOIN(CHAR(10),TRUE,_xlfn._xlws.SORT(IF((--($B36=Flowdown_Inspire[[URS]:[URS]]))*(--(J$14=Flowdown_Inspire[[Source.Name]:[Source.Name]])),Flowdown_Inspire[[SyRS]:[SyRS]],"")))</f>
        <v/>
      </c>
      <c r="K36" s="12" t="str" cm="1">
        <f t="array" ref="K36">_xlfn.TEXTJOIN(CHAR(10),TRUE,_xlfn._xlws.SORT(IF((--($B36=Flowdown_Inspire[[URS]:[URS]]))*(--(K$14=Flowdown_Inspire[[Source.Name]:[Source.Name]])),Flowdown_Inspire[[SyRS]:[SyRS]],"")))</f>
        <v>MASTER-51454</v>
      </c>
      <c r="L36" s="16" t="b" cm="1">
        <f t="array" ref="L36">OR(LEN(C36:K36)&gt;0)</f>
        <v>1</v>
      </c>
    </row>
    <row r="37" spans="2:12" ht="13.5" x14ac:dyDescent="0.2">
      <c r="B37" s="11" t="str">
        <v>MASTER-51904</v>
      </c>
      <c r="C37" s="12" t="str" cm="1">
        <f t="array" ref="C37">_xlfn.TEXTJOIN(CHAR(10),TRUE,_xlfn._xlws.SORT(IF((--($B37=Flowdown_Inspire[[URS]:[URS]]))*(--(C$14=Flowdown_Inspire[[Source.Name]:[Source.Name]])),Flowdown_Inspire[[SyRS]:[SyRS]],"")))</f>
        <v>MASTER-51110</v>
      </c>
      <c r="D37" s="12" t="str" cm="1">
        <f t="array" ref="D37">_xlfn.TEXTJOIN(CHAR(10),TRUE,_xlfn._xlws.SORT(IF((--($B37=Flowdown_Inspire[[URS]:[URS]]))*(--(D$14=Flowdown_Inspire[[Source.Name]:[Source.Name]])),Flowdown_Inspire[[SyRS]:[SyRS]],"")))</f>
        <v>MASTER-51110</v>
      </c>
      <c r="E37" s="12" t="str" cm="1">
        <f t="array" ref="E37">_xlfn.TEXTJOIN(CHAR(10),TRUE,_xlfn._xlws.SORT(IF((--($B37=Flowdown_Inspire[[URS]:[URS]]))*(--(E$14=Flowdown_Inspire[[Source.Name]:[Source.Name]])),Flowdown_Inspire[[SyRS]:[SyRS]],"")))</f>
        <v/>
      </c>
      <c r="F37" s="12" t="str" cm="1">
        <f t="array" ref="F37">_xlfn.TEXTJOIN(CHAR(10),TRUE,_xlfn._xlws.SORT(IF((--($B37=Flowdown_Inspire[[URS]:[URS]]))*(--(F$14=Flowdown_Inspire[[Source.Name]:[Source.Name]])),Flowdown_Inspire[[SyRS]:[SyRS]],"")))</f>
        <v/>
      </c>
      <c r="G37" s="12" t="str" cm="1">
        <f t="array" ref="G37">_xlfn.TEXTJOIN(CHAR(10),TRUE,_xlfn._xlws.SORT(IF((--($B37=Flowdown_Inspire[[URS]:[URS]]))*(--(G$14=Flowdown_Inspire[[Source.Name]:[Source.Name]])),Flowdown_Inspire[[SyRS]:[SyRS]],"")))</f>
        <v/>
      </c>
      <c r="H37" s="12" t="str" cm="1">
        <f t="array" ref="H37">_xlfn.TEXTJOIN(CHAR(10),TRUE,_xlfn._xlws.SORT(IF((--($B37=Flowdown_Inspire[[URS]:[URS]]))*(--(H$14=Flowdown_Inspire[[Source.Name]:[Source.Name]])),Flowdown_Inspire[[SyRS]:[SyRS]],"")))</f>
        <v/>
      </c>
      <c r="I37" s="12" t="str" cm="1">
        <f t="array" ref="I37">_xlfn.TEXTJOIN(CHAR(10),TRUE,_xlfn._xlws.SORT(IF((--($B37=Flowdown_Inspire[[URS]:[URS]]))*(--(I$14=Flowdown_Inspire[[Source.Name]:[Source.Name]])),Flowdown_Inspire[[SyRS]:[SyRS]],"")))</f>
        <v/>
      </c>
      <c r="J37" s="12" t="str" cm="1">
        <f t="array" ref="J37">_xlfn.TEXTJOIN(CHAR(10),TRUE,_xlfn._xlws.SORT(IF((--($B37=Flowdown_Inspire[[URS]:[URS]]))*(--(J$14=Flowdown_Inspire[[Source.Name]:[Source.Name]])),Flowdown_Inspire[[SyRS]:[SyRS]],"")))</f>
        <v/>
      </c>
      <c r="K37" s="12" t="str" cm="1">
        <f t="array" ref="K37">_xlfn.TEXTJOIN(CHAR(10),TRUE,_xlfn._xlws.SORT(IF((--($B37=Flowdown_Inspire[[URS]:[URS]]))*(--(K$14=Flowdown_Inspire[[Source.Name]:[Source.Name]])),Flowdown_Inspire[[SyRS]:[SyRS]],"")))</f>
        <v/>
      </c>
      <c r="L37" s="16" t="b" cm="1">
        <f t="array" ref="L37">OR(LEN(C37:K37)&gt;0)</f>
        <v>1</v>
      </c>
    </row>
    <row r="38" spans="2:12" ht="94.5" x14ac:dyDescent="0.2">
      <c r="B38" s="11" t="str">
        <v>MASTER-53050</v>
      </c>
      <c r="C38" s="12" t="str" cm="1">
        <f t="array" ref="C38">_xlfn.TEXTJOIN(CHAR(10),TRUE,_xlfn._xlws.SORT(IF((--($B38=Flowdown_Inspire[[URS]:[URS]]))*(--(C$14=Flowdown_Inspire[[Source.Name]:[Source.Name]])),Flowdown_Inspire[[SyRS]:[SyRS]],"")))</f>
        <v>MASTER-51891
MASTER-51893
MASTER-51894
MASTER-51895
MASTER-51897
MASTER-51898
MASTER-51899</v>
      </c>
      <c r="D38" s="12" t="str" cm="1">
        <f t="array" ref="D38">_xlfn.TEXTJOIN(CHAR(10),TRUE,_xlfn._xlws.SORT(IF((--($B38=Flowdown_Inspire[[URS]:[URS]]))*(--(D$14=Flowdown_Inspire[[Source.Name]:[Source.Name]])),Flowdown_Inspire[[SyRS]:[SyRS]],"")))</f>
        <v>MASTER-51891
MASTER-51893
MASTER-51894
MASTER-51895
MASTER-51897
MASTER-51898
MASTER-51899</v>
      </c>
      <c r="E38" s="12" t="str" cm="1">
        <f t="array" ref="E38">_xlfn.TEXTJOIN(CHAR(10),TRUE,_xlfn._xlws.SORT(IF((--($B38=Flowdown_Inspire[[URS]:[URS]]))*(--(E$14=Flowdown_Inspire[[Source.Name]:[Source.Name]])),Flowdown_Inspire[[SyRS]:[SyRS]],"")))</f>
        <v>MASTER-51891
MASTER-51893
MASTER-51894
MASTER-51895
MASTER-51897
MASTER-51898
MASTER-51899</v>
      </c>
      <c r="F38" s="12" t="str" cm="1">
        <f t="array" ref="F38">_xlfn.TEXTJOIN(CHAR(10),TRUE,_xlfn._xlws.SORT(IF((--($B38=Flowdown_Inspire[[URS]:[URS]]))*(--(F$14=Flowdown_Inspire[[Source.Name]:[Source.Name]])),Flowdown_Inspire[[SyRS]:[SyRS]],"")))</f>
        <v>MASTER-51891
MASTER-51893
MASTER-51894
MASTER-51895
MASTER-51897
MASTER-51898
MASTER-51899</v>
      </c>
      <c r="G38" s="12" t="str" cm="1">
        <f t="array" ref="G38">_xlfn.TEXTJOIN(CHAR(10),TRUE,_xlfn._xlws.SORT(IF((--($B38=Flowdown_Inspire[[URS]:[URS]]))*(--(G$14=Flowdown_Inspire[[Source.Name]:[Source.Name]])),Flowdown_Inspire[[SyRS]:[SyRS]],"")))</f>
        <v>MASTER-51891
MASTER-51893
MASTER-51894
MASTER-51895
MASTER-51897
MASTER-51898
MASTER-51899</v>
      </c>
      <c r="H38" s="12" t="str" cm="1">
        <f t="array" ref="H38">_xlfn.TEXTJOIN(CHAR(10),TRUE,_xlfn._xlws.SORT(IF((--($B38=Flowdown_Inspire[[URS]:[URS]]))*(--(H$14=Flowdown_Inspire[[Source.Name]:[Source.Name]])),Flowdown_Inspire[[SyRS]:[SyRS]],"")))</f>
        <v>MASTER-51883
MASTER-51886
MASTER-51887
MASTER-51888
MASTER-51889
MASTER-51890
UTICA-4774</v>
      </c>
      <c r="I38" s="12" t="str" cm="1">
        <f t="array" ref="I38">_xlfn.TEXTJOIN(CHAR(10),TRUE,_xlfn._xlws.SORT(IF((--($B38=Flowdown_Inspire[[URS]:[URS]]))*(--(I$14=Flowdown_Inspire[[Source.Name]:[Source.Name]])),Flowdown_Inspire[[SyRS]:[SyRS]],"")))</f>
        <v/>
      </c>
      <c r="J38" s="12" t="str" cm="1">
        <f t="array" ref="J38">_xlfn.TEXTJOIN(CHAR(10),TRUE,_xlfn._xlws.SORT(IF((--($B38=Flowdown_Inspire[[URS]:[URS]]))*(--(J$14=Flowdown_Inspire[[Source.Name]:[Source.Name]])),Flowdown_Inspire[[SyRS]:[SyRS]],"")))</f>
        <v/>
      </c>
      <c r="K38" s="12" t="str" cm="1">
        <f t="array" ref="K38">_xlfn.TEXTJOIN(CHAR(10),TRUE,_xlfn._xlws.SORT(IF((--($B38=Flowdown_Inspire[[URS]:[URS]]))*(--(K$14=Flowdown_Inspire[[Source.Name]:[Source.Name]])),Flowdown_Inspire[[SyRS]:[SyRS]],"")))</f>
        <v/>
      </c>
      <c r="L38" s="16" t="b" cm="1">
        <f t="array" ref="L38">OR(LEN(C38:K38)&gt;0)</f>
        <v>1</v>
      </c>
    </row>
    <row r="39" spans="2:12" ht="202.5" x14ac:dyDescent="0.2">
      <c r="B39" s="11" t="str">
        <v>MASTER-56062</v>
      </c>
      <c r="C39" s="12" t="str" cm="1">
        <f t="array" ref="C39">_xlfn.TEXTJOIN(CHAR(10),TRUE,_xlfn._xlws.SORT(IF((--($B39=Flowdown_Inspire[[URS]:[URS]]))*(--(C$14=Flowdown_Inspire[[Source.Name]:[Source.Name]])),Flowdown_Inspire[[SyRS]:[SyRS]],"")))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D39" s="12" t="str" cm="1">
        <f t="array" ref="D39">_xlfn.TEXTJOIN(CHAR(10),TRUE,_xlfn._xlws.SORT(IF((--($B39=Flowdown_Inspire[[URS]:[URS]]))*(--(D$14=Flowdown_Inspire[[Source.Name]:[Source.Name]])),Flowdown_Inspire[[SyRS]:[SyRS]],"")))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E39" s="12" t="str" cm="1">
        <f t="array" ref="E39">_xlfn.TEXTJOIN(CHAR(10),TRUE,_xlfn._xlws.SORT(IF((--($B39=Flowdown_Inspire[[URS]:[URS]]))*(--(E$14=Flowdown_Inspire[[Source.Name]:[Source.Name]])),Flowdown_Inspire[[SyRS]:[SyRS]],"")))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F39" s="12" t="str" cm="1">
        <f t="array" ref="F39">_xlfn.TEXTJOIN(CHAR(10),TRUE,_xlfn._xlws.SORT(IF((--($B39=Flowdown_Inspire[[URS]:[URS]]))*(--(F$14=Flowdown_Inspire[[Source.Name]:[Source.Name]])),Flowdown_Inspire[[SyRS]:[SyRS]],"")))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G39" s="12" t="str" cm="1">
        <f t="array" ref="G39">_xlfn.TEXTJOIN(CHAR(10),TRUE,_xlfn._xlws.SORT(IF((--($B39=Flowdown_Inspire[[URS]:[URS]]))*(--(G$14=Flowdown_Inspire[[Source.Name]:[Source.Name]])),Flowdown_Inspire[[SyRS]:[SyRS]],"")))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H39" s="12" t="str" cm="1">
        <f t="array" ref="H39">_xlfn.TEXTJOIN(CHAR(10),TRUE,_xlfn._xlws.SORT(IF((--($B39=Flowdown_Inspire[[URS]:[URS]]))*(--(H$14=Flowdown_Inspire[[Source.Name]:[Source.Name]])),Flowdown_Inspire[[SyRS]:[SyRS]],"")))</f>
        <v>MASTER-56575
MASTER-56578
MASTER-56579
MASTER-56583
MASTER-56585
MASTER-56586
MASTER-56589</v>
      </c>
      <c r="I39" s="12" t="str" cm="1">
        <f t="array" ref="I39">_xlfn.TEXTJOIN(CHAR(10),TRUE,_xlfn._xlws.SORT(IF((--($B39=Flowdown_Inspire[[URS]:[URS]]))*(--(I$14=Flowdown_Inspire[[Source.Name]:[Source.Name]])),Flowdown_Inspire[[SyRS]:[SyRS]],"")))</f>
        <v/>
      </c>
      <c r="J39" s="12" t="str" cm="1">
        <f t="array" ref="J39">_xlfn.TEXTJOIN(CHAR(10),TRUE,_xlfn._xlws.SORT(IF((--($B39=Flowdown_Inspire[[URS]:[URS]]))*(--(J$14=Flowdown_Inspire[[Source.Name]:[Source.Name]])),Flowdown_Inspire[[SyRS]:[SyRS]],"")))</f>
        <v/>
      </c>
      <c r="K39" s="12" t="str" cm="1">
        <f t="array" ref="K39">_xlfn.TEXTJOIN(CHAR(10),TRUE,_xlfn._xlws.SORT(IF((--($B39=Flowdown_Inspire[[URS]:[URS]]))*(--(K$14=Flowdown_Inspire[[Source.Name]:[Source.Name]])),Flowdown_Inspire[[SyRS]:[SyRS]],"")))</f>
        <v/>
      </c>
      <c r="L39" s="16" t="b" cm="1">
        <f t="array" ref="L39">OR(LEN(C39:K39)&gt;0)</f>
        <v>1</v>
      </c>
    </row>
    <row r="40" spans="2:12" ht="27" x14ac:dyDescent="0.2">
      <c r="B40" s="11" t="str">
        <v>MASTER-59959</v>
      </c>
      <c r="C40" s="12" t="str" cm="1">
        <f t="array" ref="C40">_xlfn.TEXTJOIN(CHAR(10),TRUE,_xlfn._xlws.SORT(IF((--($B40=Flowdown_Inspire[[URS]:[URS]]))*(--(C$14=Flowdown_Inspire[[Source.Name]:[Source.Name]])),Flowdown_Inspire[[SyRS]:[SyRS]],"")))</f>
        <v>MASTER-56559
MASTER-56561</v>
      </c>
      <c r="D40" s="12" t="str" cm="1">
        <f t="array" ref="D40">_xlfn.TEXTJOIN(CHAR(10),TRUE,_xlfn._xlws.SORT(IF((--($B40=Flowdown_Inspire[[URS]:[URS]]))*(--(D$14=Flowdown_Inspire[[Source.Name]:[Source.Name]])),Flowdown_Inspire[[SyRS]:[SyRS]],"")))</f>
        <v>MASTER-56559
MASTER-56561</v>
      </c>
      <c r="E40" s="12" t="str" cm="1">
        <f t="array" ref="E40">_xlfn.TEXTJOIN(CHAR(10),TRUE,_xlfn._xlws.SORT(IF((--($B40=Flowdown_Inspire[[URS]:[URS]]))*(--(E$14=Flowdown_Inspire[[Source.Name]:[Source.Name]])),Flowdown_Inspire[[SyRS]:[SyRS]],"")))</f>
        <v>MASTER-56559
MASTER-56561</v>
      </c>
      <c r="F40" s="12" t="str" cm="1">
        <f t="array" ref="F40">_xlfn.TEXTJOIN(CHAR(10),TRUE,_xlfn._xlws.SORT(IF((--($B40=Flowdown_Inspire[[URS]:[URS]]))*(--(F$14=Flowdown_Inspire[[Source.Name]:[Source.Name]])),Flowdown_Inspire[[SyRS]:[SyRS]],"")))</f>
        <v>MASTER-56559
MASTER-56561</v>
      </c>
      <c r="G40" s="12" t="str" cm="1">
        <f t="array" ref="G40">_xlfn.TEXTJOIN(CHAR(10),TRUE,_xlfn._xlws.SORT(IF((--($B40=Flowdown_Inspire[[URS]:[URS]]))*(--(G$14=Flowdown_Inspire[[Source.Name]:[Source.Name]])),Flowdown_Inspire[[SyRS]:[SyRS]],"")))</f>
        <v>MASTER-56559
MASTER-56561</v>
      </c>
      <c r="H40" s="12" t="str" cm="1">
        <f t="array" ref="H40">_xlfn.TEXTJOIN(CHAR(10),TRUE,_xlfn._xlws.SORT(IF((--($B40=Flowdown_Inspire[[URS]:[URS]]))*(--(H$14=Flowdown_Inspire[[Source.Name]:[Source.Name]])),Flowdown_Inspire[[SyRS]:[SyRS]],"")))</f>
        <v/>
      </c>
      <c r="I40" s="12" t="str" cm="1">
        <f t="array" ref="I40">_xlfn.TEXTJOIN(CHAR(10),TRUE,_xlfn._xlws.SORT(IF((--($B40=Flowdown_Inspire[[URS]:[URS]]))*(--(I$14=Flowdown_Inspire[[Source.Name]:[Source.Name]])),Flowdown_Inspire[[SyRS]:[SyRS]],"")))</f>
        <v/>
      </c>
      <c r="J40" s="12" t="str" cm="1">
        <f t="array" ref="J40">_xlfn.TEXTJOIN(CHAR(10),TRUE,_xlfn._xlws.SORT(IF((--($B40=Flowdown_Inspire[[URS]:[URS]]))*(--(J$14=Flowdown_Inspire[[Source.Name]:[Source.Name]])),Flowdown_Inspire[[SyRS]:[SyRS]],"")))</f>
        <v/>
      </c>
      <c r="K40" s="12" t="str" cm="1">
        <f t="array" ref="K40">_xlfn.TEXTJOIN(CHAR(10),TRUE,_xlfn._xlws.SORT(IF((--($B40=Flowdown_Inspire[[URS]:[URS]]))*(--(K$14=Flowdown_Inspire[[Source.Name]:[Source.Name]])),Flowdown_Inspire[[SyRS]:[SyRS]],"")))</f>
        <v/>
      </c>
      <c r="L40" s="16" t="b" cm="1">
        <f t="array" ref="L40">OR(LEN(C40:K40)&gt;0)</f>
        <v>1</v>
      </c>
    </row>
    <row r="41" spans="2:12" ht="13.5" x14ac:dyDescent="0.2">
      <c r="B41" s="11" t="str">
        <v>MASTER-61605</v>
      </c>
      <c r="C41" s="12" t="str" cm="1">
        <f t="array" ref="C41">_xlfn.TEXTJOIN(CHAR(10),TRUE,_xlfn._xlws.SORT(IF((--($B41=Flowdown_Inspire[[URS]:[URS]]))*(--(C$14=Flowdown_Inspire[[Source.Name]:[Source.Name]])),Flowdown_Inspire[[SyRS]:[SyRS]],"")))</f>
        <v/>
      </c>
      <c r="D41" s="12" t="str" cm="1">
        <f t="array" ref="D41">_xlfn.TEXTJOIN(CHAR(10),TRUE,_xlfn._xlws.SORT(IF((--($B41=Flowdown_Inspire[[URS]:[URS]]))*(--(D$14=Flowdown_Inspire[[Source.Name]:[Source.Name]])),Flowdown_Inspire[[SyRS]:[SyRS]],"")))</f>
        <v/>
      </c>
      <c r="E41" s="12" t="str" cm="1">
        <f t="array" ref="E41">_xlfn.TEXTJOIN(CHAR(10),TRUE,_xlfn._xlws.SORT(IF((--($B41=Flowdown_Inspire[[URS]:[URS]]))*(--(E$14=Flowdown_Inspire[[Source.Name]:[Source.Name]])),Flowdown_Inspire[[SyRS]:[SyRS]],"")))</f>
        <v/>
      </c>
      <c r="F41" s="12" t="str" cm="1">
        <f t="array" ref="F41">_xlfn.TEXTJOIN(CHAR(10),TRUE,_xlfn._xlws.SORT(IF((--($B41=Flowdown_Inspire[[URS]:[URS]]))*(--(F$14=Flowdown_Inspire[[Source.Name]:[Source.Name]])),Flowdown_Inspire[[SyRS]:[SyRS]],"")))</f>
        <v/>
      </c>
      <c r="G41" s="12" t="str" cm="1">
        <f t="array" ref="G41">_xlfn.TEXTJOIN(CHAR(10),TRUE,_xlfn._xlws.SORT(IF((--($B41=Flowdown_Inspire[[URS]:[URS]]))*(--(G$14=Flowdown_Inspire[[Source.Name]:[Source.Name]])),Flowdown_Inspire[[SyRS]:[SyRS]],"")))</f>
        <v/>
      </c>
      <c r="H41" s="12" t="str" cm="1">
        <f t="array" ref="H41">_xlfn.TEXTJOIN(CHAR(10),TRUE,_xlfn._xlws.SORT(IF((--($B41=Flowdown_Inspire[[URS]:[URS]]))*(--(H$14=Flowdown_Inspire[[Source.Name]:[Source.Name]])),Flowdown_Inspire[[SyRS]:[SyRS]],"")))</f>
        <v>MASTER-22463</v>
      </c>
      <c r="I41" s="12" t="str" cm="1">
        <f t="array" ref="I41">_xlfn.TEXTJOIN(CHAR(10),TRUE,_xlfn._xlws.SORT(IF((--($B41=Flowdown_Inspire[[URS]:[URS]]))*(--(I$14=Flowdown_Inspire[[Source.Name]:[Source.Name]])),Flowdown_Inspire[[SyRS]:[SyRS]],"")))</f>
        <v/>
      </c>
      <c r="J41" s="12" t="str" cm="1">
        <f t="array" ref="J41">_xlfn.TEXTJOIN(CHAR(10),TRUE,_xlfn._xlws.SORT(IF((--($B41=Flowdown_Inspire[[URS]:[URS]]))*(--(J$14=Flowdown_Inspire[[Source.Name]:[Source.Name]])),Flowdown_Inspire[[SyRS]:[SyRS]],"")))</f>
        <v/>
      </c>
      <c r="K41" s="12" t="str" cm="1">
        <f t="array" ref="K41">_xlfn.TEXTJOIN(CHAR(10),TRUE,_xlfn._xlws.SORT(IF((--($B41=Flowdown_Inspire[[URS]:[URS]]))*(--(K$14=Flowdown_Inspire[[Source.Name]:[Source.Name]])),Flowdown_Inspire[[SyRS]:[SyRS]],"")))</f>
        <v/>
      </c>
      <c r="L41" s="16" t="b" cm="1">
        <f t="array" ref="L41">OR(LEN(C41:K41)&gt;0)</f>
        <v>1</v>
      </c>
    </row>
    <row r="42" spans="2:12" ht="13.5" x14ac:dyDescent="0.2">
      <c r="B42" s="11" t="str">
        <v>MASTER-63178</v>
      </c>
      <c r="C42" s="12" t="str" cm="1">
        <f t="array" ref="C42">_xlfn.TEXTJOIN(CHAR(10),TRUE,_xlfn._xlws.SORT(IF((--($B42=Flowdown_Inspire[[URS]:[URS]]))*(--(C$14=Flowdown_Inspire[[Source.Name]:[Source.Name]])),Flowdown_Inspire[[SyRS]:[SyRS]],"")))</f>
        <v>MASTER-19840</v>
      </c>
      <c r="D42" s="12" t="str" cm="1">
        <f t="array" ref="D42">_xlfn.TEXTJOIN(CHAR(10),TRUE,_xlfn._xlws.SORT(IF((--($B42=Flowdown_Inspire[[URS]:[URS]]))*(--(D$14=Flowdown_Inspire[[Source.Name]:[Source.Name]])),Flowdown_Inspire[[SyRS]:[SyRS]],"")))</f>
        <v>MASTER-19840</v>
      </c>
      <c r="E42" s="12" t="str" cm="1">
        <f t="array" ref="E42">_xlfn.TEXTJOIN(CHAR(10),TRUE,_xlfn._xlws.SORT(IF((--($B42=Flowdown_Inspire[[URS]:[URS]]))*(--(E$14=Flowdown_Inspire[[Source.Name]:[Source.Name]])),Flowdown_Inspire[[SyRS]:[SyRS]],"")))</f>
        <v>MASTER-19840</v>
      </c>
      <c r="F42" s="12" t="str" cm="1">
        <f t="array" ref="F42">_xlfn.TEXTJOIN(CHAR(10),TRUE,_xlfn._xlws.SORT(IF((--($B42=Flowdown_Inspire[[URS]:[URS]]))*(--(F$14=Flowdown_Inspire[[Source.Name]:[Source.Name]])),Flowdown_Inspire[[SyRS]:[SyRS]],"")))</f>
        <v>MASTER-19840</v>
      </c>
      <c r="G42" s="12" t="str" cm="1">
        <f t="array" ref="G42">_xlfn.TEXTJOIN(CHAR(10),TRUE,_xlfn._xlws.SORT(IF((--($B42=Flowdown_Inspire[[URS]:[URS]]))*(--(G$14=Flowdown_Inspire[[Source.Name]:[Source.Name]])),Flowdown_Inspire[[SyRS]:[SyRS]],"")))</f>
        <v>MASTER-19840</v>
      </c>
      <c r="H42" s="12" t="str" cm="1">
        <f t="array" ref="H42">_xlfn.TEXTJOIN(CHAR(10),TRUE,_xlfn._xlws.SORT(IF((--($B42=Flowdown_Inspire[[URS]:[URS]]))*(--(H$14=Flowdown_Inspire[[Source.Name]:[Source.Name]])),Flowdown_Inspire[[SyRS]:[SyRS]],"")))</f>
        <v/>
      </c>
      <c r="I42" s="12" t="str" cm="1">
        <f t="array" ref="I42">_xlfn.TEXTJOIN(CHAR(10),TRUE,_xlfn._xlws.SORT(IF((--($B42=Flowdown_Inspire[[URS]:[URS]]))*(--(I$14=Flowdown_Inspire[[Source.Name]:[Source.Name]])),Flowdown_Inspire[[SyRS]:[SyRS]],"")))</f>
        <v>MASTER-19840</v>
      </c>
      <c r="J42" s="12" t="str" cm="1">
        <f t="array" ref="J42">_xlfn.TEXTJOIN(CHAR(10),TRUE,_xlfn._xlws.SORT(IF((--($B42=Flowdown_Inspire[[URS]:[URS]]))*(--(J$14=Flowdown_Inspire[[Source.Name]:[Source.Name]])),Flowdown_Inspire[[SyRS]:[SyRS]],"")))</f>
        <v>MASTER-19840</v>
      </c>
      <c r="K42" s="12" t="str" cm="1">
        <f t="array" ref="K42">_xlfn.TEXTJOIN(CHAR(10),TRUE,_xlfn._xlws.SORT(IF((--($B42=Flowdown_Inspire[[URS]:[URS]]))*(--(K$14=Flowdown_Inspire[[Source.Name]:[Source.Name]])),Flowdown_Inspire[[SyRS]:[SyRS]],"")))</f>
        <v/>
      </c>
      <c r="L42" s="16" t="b" cm="1">
        <f t="array" ref="L42">OR(LEN(C42:K42)&gt;0)</f>
        <v>1</v>
      </c>
    </row>
    <row r="43" spans="2:12" ht="27" x14ac:dyDescent="0.2">
      <c r="B43" s="11" t="str">
        <v>MASTER-6358</v>
      </c>
      <c r="C43" s="12" t="str" cm="1">
        <f t="array" ref="C43">_xlfn.TEXTJOIN(CHAR(10),TRUE,_xlfn._xlws.SORT(IF((--($B43=Flowdown_Inspire[[URS]:[URS]]))*(--(C$14=Flowdown_Inspire[[Source.Name]:[Source.Name]])),Flowdown_Inspire[[SyRS]:[SyRS]],"")))</f>
        <v>MASTER-17676
MASTER-17679</v>
      </c>
      <c r="D43" s="12" t="str" cm="1">
        <f t="array" ref="D43">_xlfn.TEXTJOIN(CHAR(10),TRUE,_xlfn._xlws.SORT(IF((--($B43=Flowdown_Inspire[[URS]:[URS]]))*(--(D$14=Flowdown_Inspire[[Source.Name]:[Source.Name]])),Flowdown_Inspire[[SyRS]:[SyRS]],"")))</f>
        <v>MASTER-17676
MASTER-17679</v>
      </c>
      <c r="E43" s="12" t="str" cm="1">
        <f t="array" ref="E43">_xlfn.TEXTJOIN(CHAR(10),TRUE,_xlfn._xlws.SORT(IF((--($B43=Flowdown_Inspire[[URS]:[URS]]))*(--(E$14=Flowdown_Inspire[[Source.Name]:[Source.Name]])),Flowdown_Inspire[[SyRS]:[SyRS]],"")))</f>
        <v>MASTER-17676
MASTER-17679</v>
      </c>
      <c r="F43" s="12" t="str" cm="1">
        <f t="array" ref="F43">_xlfn.TEXTJOIN(CHAR(10),TRUE,_xlfn._xlws.SORT(IF((--($B43=Flowdown_Inspire[[URS]:[URS]]))*(--(F$14=Flowdown_Inspire[[Source.Name]:[Source.Name]])),Flowdown_Inspire[[SyRS]:[SyRS]],"")))</f>
        <v>MASTER-17676
MASTER-17679</v>
      </c>
      <c r="G43" s="12" t="str" cm="1">
        <f t="array" ref="G43">_xlfn.TEXTJOIN(CHAR(10),TRUE,_xlfn._xlws.SORT(IF((--($B43=Flowdown_Inspire[[URS]:[URS]]))*(--(G$14=Flowdown_Inspire[[Source.Name]:[Source.Name]])),Flowdown_Inspire[[SyRS]:[SyRS]],"")))</f>
        <v>MASTER-17676
MASTER-17679</v>
      </c>
      <c r="H43" s="12" t="str" cm="1">
        <f t="array" ref="H43">_xlfn.TEXTJOIN(CHAR(10),TRUE,_xlfn._xlws.SORT(IF((--($B43=Flowdown_Inspire[[URS]:[URS]]))*(--(H$14=Flowdown_Inspire[[Source.Name]:[Source.Name]])),Flowdown_Inspire[[SyRS]:[SyRS]],"")))</f>
        <v>MASTER-21791</v>
      </c>
      <c r="I43" s="12" t="str" cm="1">
        <f t="array" ref="I43">_xlfn.TEXTJOIN(CHAR(10),TRUE,_xlfn._xlws.SORT(IF((--($B43=Flowdown_Inspire[[URS]:[URS]]))*(--(I$14=Flowdown_Inspire[[Source.Name]:[Source.Name]])),Flowdown_Inspire[[SyRS]:[SyRS]],"")))</f>
        <v/>
      </c>
      <c r="J43" s="12" t="str" cm="1">
        <f t="array" ref="J43">_xlfn.TEXTJOIN(CHAR(10),TRUE,_xlfn._xlws.SORT(IF((--($B43=Flowdown_Inspire[[URS]:[URS]]))*(--(J$14=Flowdown_Inspire[[Source.Name]:[Source.Name]])),Flowdown_Inspire[[SyRS]:[SyRS]],"")))</f>
        <v/>
      </c>
      <c r="K43" s="12" t="str" cm="1">
        <f t="array" ref="K43">_xlfn.TEXTJOIN(CHAR(10),TRUE,_xlfn._xlws.SORT(IF((--($B43=Flowdown_Inspire[[URS]:[URS]]))*(--(K$14=Flowdown_Inspire[[Source.Name]:[Source.Name]])),Flowdown_Inspire[[SyRS]:[SyRS]],"")))</f>
        <v/>
      </c>
      <c r="L43" s="16" t="b" cm="1">
        <f t="array" ref="L43">OR(LEN(C43:K43)&gt;0)</f>
        <v>1</v>
      </c>
    </row>
    <row r="44" spans="2:12" ht="108" x14ac:dyDescent="0.2">
      <c r="B44" s="11" t="str">
        <v>MASTER-6359</v>
      </c>
      <c r="C44" s="12" t="str" cm="1">
        <f t="array" ref="C44">_xlfn.TEXTJOIN(CHAR(10),TRUE,_xlfn._xlws.SORT(IF((--($B44=Flowdown_Inspire[[URS]:[URS]]))*(--(C$14=Flowdown_Inspire[[Source.Name]:[Source.Name]])),Flowdown_Inspire[[SyRS]:[SyRS]],"")))</f>
        <v>MASTER-18353</v>
      </c>
      <c r="D44" s="12" t="str" cm="1">
        <f t="array" ref="D44">_xlfn.TEXTJOIN(CHAR(10),TRUE,_xlfn._xlws.SORT(IF((--($B44=Flowdown_Inspire[[URS]:[URS]]))*(--(D$14=Flowdown_Inspire[[Source.Name]:[Source.Name]])),Flowdown_Inspire[[SyRS]:[SyRS]],"")))</f>
        <v>MASTER-18353</v>
      </c>
      <c r="E44" s="12" t="str" cm="1">
        <f t="array" ref="E44">_xlfn.TEXTJOIN(CHAR(10),TRUE,_xlfn._xlws.SORT(IF((--($B44=Flowdown_Inspire[[URS]:[URS]]))*(--(E$14=Flowdown_Inspire[[Source.Name]:[Source.Name]])),Flowdown_Inspire[[SyRS]:[SyRS]],"")))</f>
        <v>MASTER-18353</v>
      </c>
      <c r="F44" s="12" t="str" cm="1">
        <f t="array" ref="F44">_xlfn.TEXTJOIN(CHAR(10),TRUE,_xlfn._xlws.SORT(IF((--($B44=Flowdown_Inspire[[URS]:[URS]]))*(--(F$14=Flowdown_Inspire[[Source.Name]:[Source.Name]])),Flowdown_Inspire[[SyRS]:[SyRS]],"")))</f>
        <v>MASTER-18353</v>
      </c>
      <c r="G44" s="12" t="str" cm="1">
        <f t="array" ref="G44">_xlfn.TEXTJOIN(CHAR(10),TRUE,_xlfn._xlws.SORT(IF((--($B44=Flowdown_Inspire[[URS]:[URS]]))*(--(G$14=Flowdown_Inspire[[Source.Name]:[Source.Name]])),Flowdown_Inspire[[SyRS]:[SyRS]],"")))</f>
        <v>MASTER-18353</v>
      </c>
      <c r="H44" s="12" t="str" cm="1">
        <f t="array" ref="H44">_xlfn.TEXTJOIN(CHAR(10),TRUE,_xlfn._xlws.SORT(IF((--($B44=Flowdown_Inspire[[URS]:[URS]]))*(--(H$14=Flowdown_Inspire[[Source.Name]:[Source.Name]])),Flowdown_Inspire[[SyRS]:[SyRS]],"")))</f>
        <v>MASTER-21791
MASTER-21792
MASTER-21793
MASTER-21794
MASTER-21795
MASTER-50255
MASTER-76083
UTICA-25681</v>
      </c>
      <c r="I44" s="12" t="str" cm="1">
        <f t="array" ref="I44">_xlfn.TEXTJOIN(CHAR(10),TRUE,_xlfn._xlws.SORT(IF((--($B44=Flowdown_Inspire[[URS]:[URS]]))*(--(I$14=Flowdown_Inspire[[Source.Name]:[Source.Name]])),Flowdown_Inspire[[SyRS]:[SyRS]],"")))</f>
        <v/>
      </c>
      <c r="J44" s="12" t="str" cm="1">
        <f t="array" ref="J44">_xlfn.TEXTJOIN(CHAR(10),TRUE,_xlfn._xlws.SORT(IF((--($B44=Flowdown_Inspire[[URS]:[URS]]))*(--(J$14=Flowdown_Inspire[[Source.Name]:[Source.Name]])),Flowdown_Inspire[[SyRS]:[SyRS]],"")))</f>
        <v/>
      </c>
      <c r="K44" s="12" t="str" cm="1">
        <f t="array" ref="K44">_xlfn.TEXTJOIN(CHAR(10),TRUE,_xlfn._xlws.SORT(IF((--($B44=Flowdown_Inspire[[URS]:[URS]]))*(--(K$14=Flowdown_Inspire[[Source.Name]:[Source.Name]])),Flowdown_Inspire[[SyRS]:[SyRS]],"")))</f>
        <v/>
      </c>
      <c r="L44" s="16" t="b" cm="1">
        <f t="array" ref="L44">OR(LEN(C44:K44)&gt;0)</f>
        <v>1</v>
      </c>
    </row>
    <row r="45" spans="2:12" ht="67.5" x14ac:dyDescent="0.2">
      <c r="B45" s="11" t="str">
        <v>MASTER-6360</v>
      </c>
      <c r="C45" s="12" t="str" cm="1">
        <f t="array" ref="C45">_xlfn.TEXTJOIN(CHAR(10),TRUE,_xlfn._xlws.SORT(IF((--($B45=Flowdown_Inspire[[URS]:[URS]]))*(--(C$14=Flowdown_Inspire[[Source.Name]:[Source.Name]])),Flowdown_Inspire[[SyRS]:[SyRS]],"")))</f>
        <v>MASTER-17676
MASTER-17679
MASTER-18684</v>
      </c>
      <c r="D45" s="12" t="str" cm="1">
        <f t="array" ref="D45">_xlfn.TEXTJOIN(CHAR(10),TRUE,_xlfn._xlws.SORT(IF((--($B45=Flowdown_Inspire[[URS]:[URS]]))*(--(D$14=Flowdown_Inspire[[Source.Name]:[Source.Name]])),Flowdown_Inspire[[SyRS]:[SyRS]],"")))</f>
        <v>MASTER-17676
MASTER-17679
MASTER-18684</v>
      </c>
      <c r="E45" s="12" t="str" cm="1">
        <f t="array" ref="E45">_xlfn.TEXTJOIN(CHAR(10),TRUE,_xlfn._xlws.SORT(IF((--($B45=Flowdown_Inspire[[URS]:[URS]]))*(--(E$14=Flowdown_Inspire[[Source.Name]:[Source.Name]])),Flowdown_Inspire[[SyRS]:[SyRS]],"")))</f>
        <v>MASTER-17676
MASTER-17679
MASTER-18684</v>
      </c>
      <c r="F45" s="12" t="str" cm="1">
        <f t="array" ref="F45">_xlfn.TEXTJOIN(CHAR(10),TRUE,_xlfn._xlws.SORT(IF((--($B45=Flowdown_Inspire[[URS]:[URS]]))*(--(F$14=Flowdown_Inspire[[Source.Name]:[Source.Name]])),Flowdown_Inspire[[SyRS]:[SyRS]],"")))</f>
        <v>MASTER-17676
MASTER-17679
MASTER-18684</v>
      </c>
      <c r="G45" s="12" t="str" cm="1">
        <f t="array" ref="G45">_xlfn.TEXTJOIN(CHAR(10),TRUE,_xlfn._xlws.SORT(IF((--($B45=Flowdown_Inspire[[URS]:[URS]]))*(--(G$14=Flowdown_Inspire[[Source.Name]:[Source.Name]])),Flowdown_Inspire[[SyRS]:[SyRS]],"")))</f>
        <v>MASTER-17676
MASTER-17679
MASTER-18684</v>
      </c>
      <c r="H45" s="12" t="str" cm="1">
        <f t="array" ref="H45">_xlfn.TEXTJOIN(CHAR(10),TRUE,_xlfn._xlws.SORT(IF((--($B45=Flowdown_Inspire[[URS]:[URS]]))*(--(H$14=Flowdown_Inspire[[Source.Name]:[Source.Name]])),Flowdown_Inspire[[SyRS]:[SyRS]],"")))</f>
        <v>MASTER-21791
MASTER-21792
MASTER-21793
MASTER-21794
MASTER-21795</v>
      </c>
      <c r="I45" s="12" t="str" cm="1">
        <f t="array" ref="I45">_xlfn.TEXTJOIN(CHAR(10),TRUE,_xlfn._xlws.SORT(IF((--($B45=Flowdown_Inspire[[URS]:[URS]]))*(--(I$14=Flowdown_Inspire[[Source.Name]:[Source.Name]])),Flowdown_Inspire[[SyRS]:[SyRS]],"")))</f>
        <v/>
      </c>
      <c r="J45" s="12" t="str" cm="1">
        <f t="array" ref="J45">_xlfn.TEXTJOIN(CHAR(10),TRUE,_xlfn._xlws.SORT(IF((--($B45=Flowdown_Inspire[[URS]:[URS]]))*(--(J$14=Flowdown_Inspire[[Source.Name]:[Source.Name]])),Flowdown_Inspire[[SyRS]:[SyRS]],"")))</f>
        <v/>
      </c>
      <c r="K45" s="12" t="str" cm="1">
        <f t="array" ref="K45">_xlfn.TEXTJOIN(CHAR(10),TRUE,_xlfn._xlws.SORT(IF((--($B45=Flowdown_Inspire[[URS]:[URS]]))*(--(K$14=Flowdown_Inspire[[Source.Name]:[Source.Name]])),Flowdown_Inspire[[SyRS]:[SyRS]],"")))</f>
        <v/>
      </c>
      <c r="L45" s="16" t="b" cm="1">
        <f t="array" ref="L45">OR(LEN(C45:K45)&gt;0)</f>
        <v>1</v>
      </c>
    </row>
    <row r="46" spans="2:12" ht="27" x14ac:dyDescent="0.2">
      <c r="B46" s="11" t="str">
        <v>MASTER-6362</v>
      </c>
      <c r="C46" s="12" t="str" cm="1">
        <f t="array" ref="C46">_xlfn.TEXTJOIN(CHAR(10),TRUE,_xlfn._xlws.SORT(IF((--($B46=Flowdown_Inspire[[URS]:[URS]]))*(--(C$14=Flowdown_Inspire[[Source.Name]:[Source.Name]])),Flowdown_Inspire[[SyRS]:[SyRS]],"")))</f>
        <v>MASTER-19181
MASTER-19249</v>
      </c>
      <c r="D46" s="12" t="str" cm="1">
        <f t="array" ref="D46">_xlfn.TEXTJOIN(CHAR(10),TRUE,_xlfn._xlws.SORT(IF((--($B46=Flowdown_Inspire[[URS]:[URS]]))*(--(D$14=Flowdown_Inspire[[Source.Name]:[Source.Name]])),Flowdown_Inspire[[SyRS]:[SyRS]],"")))</f>
        <v>MASTER-19181
MASTER-19249</v>
      </c>
      <c r="E46" s="12" t="str" cm="1">
        <f t="array" ref="E46">_xlfn.TEXTJOIN(CHAR(10),TRUE,_xlfn._xlws.SORT(IF((--($B46=Flowdown_Inspire[[URS]:[URS]]))*(--(E$14=Flowdown_Inspire[[Source.Name]:[Source.Name]])),Flowdown_Inspire[[SyRS]:[SyRS]],"")))</f>
        <v>MASTER-19181
MASTER-19249</v>
      </c>
      <c r="F46" s="12" t="str" cm="1">
        <f t="array" ref="F46">_xlfn.TEXTJOIN(CHAR(10),TRUE,_xlfn._xlws.SORT(IF((--($B46=Flowdown_Inspire[[URS]:[URS]]))*(--(F$14=Flowdown_Inspire[[Source.Name]:[Source.Name]])),Flowdown_Inspire[[SyRS]:[SyRS]],"")))</f>
        <v>MASTER-19181
MASTER-19249</v>
      </c>
      <c r="G46" s="12" t="str" cm="1">
        <f t="array" ref="G46">_xlfn.TEXTJOIN(CHAR(10),TRUE,_xlfn._xlws.SORT(IF((--($B46=Flowdown_Inspire[[URS]:[URS]]))*(--(G$14=Flowdown_Inspire[[Source.Name]:[Source.Name]])),Flowdown_Inspire[[SyRS]:[SyRS]],"")))</f>
        <v>MASTER-19181
MASTER-19249</v>
      </c>
      <c r="H46" s="12" t="str" cm="1">
        <f t="array" ref="H46">_xlfn.TEXTJOIN(CHAR(10),TRUE,_xlfn._xlws.SORT(IF((--($B46=Flowdown_Inspire[[URS]:[URS]]))*(--(H$14=Flowdown_Inspire[[Source.Name]:[Source.Name]])),Flowdown_Inspire[[SyRS]:[SyRS]],"")))</f>
        <v>MASTER-22580
MASTER-22581</v>
      </c>
      <c r="I46" s="12" t="str" cm="1">
        <f t="array" ref="I46">_xlfn.TEXTJOIN(CHAR(10),TRUE,_xlfn._xlws.SORT(IF((--($B46=Flowdown_Inspire[[URS]:[URS]]))*(--(I$14=Flowdown_Inspire[[Source.Name]:[Source.Name]])),Flowdown_Inspire[[SyRS]:[SyRS]],"")))</f>
        <v>MASTER-20027
UTICA-210</v>
      </c>
      <c r="J46" s="12" t="str" cm="1">
        <f t="array" ref="J46">_xlfn.TEXTJOIN(CHAR(10),TRUE,_xlfn._xlws.SORT(IF((--($B46=Flowdown_Inspire[[URS]:[URS]]))*(--(J$14=Flowdown_Inspire[[Source.Name]:[Source.Name]])),Flowdown_Inspire[[SyRS]:[SyRS]],"")))</f>
        <v>MASTER-20027</v>
      </c>
      <c r="K46" s="12" t="str" cm="1">
        <f t="array" ref="K46">_xlfn.TEXTJOIN(CHAR(10),TRUE,_xlfn._xlws.SORT(IF((--($B46=Flowdown_Inspire[[URS]:[URS]]))*(--(K$14=Flowdown_Inspire[[Source.Name]:[Source.Name]])),Flowdown_Inspire[[SyRS]:[SyRS]],"")))</f>
        <v/>
      </c>
      <c r="L46" s="16" t="b" cm="1">
        <f t="array" ref="L46">OR(LEN(C46:K46)&gt;0)</f>
        <v>1</v>
      </c>
    </row>
    <row r="47" spans="2:12" ht="27" x14ac:dyDescent="0.2">
      <c r="B47" s="11" t="str">
        <v>MASTER-6363</v>
      </c>
      <c r="C47" s="12" t="str" cm="1">
        <f t="array" ref="C47">_xlfn.TEXTJOIN(CHAR(10),TRUE,_xlfn._xlws.SORT(IF((--($B47=Flowdown_Inspire[[URS]:[URS]]))*(--(C$14=Flowdown_Inspire[[Source.Name]:[Source.Name]])),Flowdown_Inspire[[SyRS]:[SyRS]],"")))</f>
        <v>MASTER-19181</v>
      </c>
      <c r="D47" s="12" t="str" cm="1">
        <f t="array" ref="D47">_xlfn.TEXTJOIN(CHAR(10),TRUE,_xlfn._xlws.SORT(IF((--($B47=Flowdown_Inspire[[URS]:[URS]]))*(--(D$14=Flowdown_Inspire[[Source.Name]:[Source.Name]])),Flowdown_Inspire[[SyRS]:[SyRS]],"")))</f>
        <v>MASTER-19181</v>
      </c>
      <c r="E47" s="12" t="str" cm="1">
        <f t="array" ref="E47">_xlfn.TEXTJOIN(CHAR(10),TRUE,_xlfn._xlws.SORT(IF((--($B47=Flowdown_Inspire[[URS]:[URS]]))*(--(E$14=Flowdown_Inspire[[Source.Name]:[Source.Name]])),Flowdown_Inspire[[SyRS]:[SyRS]],"")))</f>
        <v>MASTER-19181</v>
      </c>
      <c r="F47" s="12" t="str" cm="1">
        <f t="array" ref="F47">_xlfn.TEXTJOIN(CHAR(10),TRUE,_xlfn._xlws.SORT(IF((--($B47=Flowdown_Inspire[[URS]:[URS]]))*(--(F$14=Flowdown_Inspire[[Source.Name]:[Source.Name]])),Flowdown_Inspire[[SyRS]:[SyRS]],"")))</f>
        <v>MASTER-19181</v>
      </c>
      <c r="G47" s="12" t="str" cm="1">
        <f t="array" ref="G47">_xlfn.TEXTJOIN(CHAR(10),TRUE,_xlfn._xlws.SORT(IF((--($B47=Flowdown_Inspire[[URS]:[URS]]))*(--(G$14=Flowdown_Inspire[[Source.Name]:[Source.Name]])),Flowdown_Inspire[[SyRS]:[SyRS]],"")))</f>
        <v>MASTER-19181</v>
      </c>
      <c r="H47" s="12" t="str" cm="1">
        <f t="array" ref="H47">_xlfn.TEXTJOIN(CHAR(10),TRUE,_xlfn._xlws.SORT(IF((--($B47=Flowdown_Inspire[[URS]:[URS]]))*(--(H$14=Flowdown_Inspire[[Source.Name]:[Source.Name]])),Flowdown_Inspire[[SyRS]:[SyRS]],"")))</f>
        <v/>
      </c>
      <c r="I47" s="12" t="str" cm="1">
        <f t="array" ref="I47">_xlfn.TEXTJOIN(CHAR(10),TRUE,_xlfn._xlws.SORT(IF((--($B47=Flowdown_Inspire[[URS]:[URS]]))*(--(I$14=Flowdown_Inspire[[Source.Name]:[Source.Name]])),Flowdown_Inspire[[SyRS]:[SyRS]],"")))</f>
        <v>MASTER-20027
UTICA-210</v>
      </c>
      <c r="J47" s="12" t="str" cm="1">
        <f t="array" ref="J47">_xlfn.TEXTJOIN(CHAR(10),TRUE,_xlfn._xlws.SORT(IF((--($B47=Flowdown_Inspire[[URS]:[URS]]))*(--(J$14=Flowdown_Inspire[[Source.Name]:[Source.Name]])),Flowdown_Inspire[[SyRS]:[SyRS]],"")))</f>
        <v>MASTER-20027</v>
      </c>
      <c r="K47" s="12" t="str" cm="1">
        <f t="array" ref="K47">_xlfn.TEXTJOIN(CHAR(10),TRUE,_xlfn._xlws.SORT(IF((--($B47=Flowdown_Inspire[[URS]:[URS]]))*(--(K$14=Flowdown_Inspire[[Source.Name]:[Source.Name]])),Flowdown_Inspire[[SyRS]:[SyRS]],"")))</f>
        <v/>
      </c>
      <c r="L47" s="16" t="b" cm="1">
        <f t="array" ref="L47">OR(LEN(C47:K47)&gt;0)</f>
        <v>1</v>
      </c>
    </row>
    <row r="48" spans="2:12" ht="81" x14ac:dyDescent="0.2">
      <c r="B48" s="11" t="str">
        <v>MASTER-6364</v>
      </c>
      <c r="C48" s="12" t="str" cm="1">
        <f t="array" ref="C48">_xlfn.TEXTJOIN(CHAR(10),TRUE,_xlfn._xlws.SORT(IF((--($B48=Flowdown_Inspire[[URS]:[URS]]))*(--(C$14=Flowdown_Inspire[[Source.Name]:[Source.Name]])),Flowdown_Inspire[[SyRS]:[SyRS]],"")))</f>
        <v/>
      </c>
      <c r="D48" s="12" t="str" cm="1">
        <f t="array" ref="D48">_xlfn.TEXTJOIN(CHAR(10),TRUE,_xlfn._xlws.SORT(IF((--($B48=Flowdown_Inspire[[URS]:[URS]]))*(--(D$14=Flowdown_Inspire[[Source.Name]:[Source.Name]])),Flowdown_Inspire[[SyRS]:[SyRS]],"")))</f>
        <v/>
      </c>
      <c r="E48" s="12" t="str" cm="1">
        <f t="array" ref="E48">_xlfn.TEXTJOIN(CHAR(10),TRUE,_xlfn._xlws.SORT(IF((--($B48=Flowdown_Inspire[[URS]:[URS]]))*(--(E$14=Flowdown_Inspire[[Source.Name]:[Source.Name]])),Flowdown_Inspire[[SyRS]:[SyRS]],"")))</f>
        <v/>
      </c>
      <c r="F48" s="12" t="str" cm="1">
        <f t="array" ref="F48">_xlfn.TEXTJOIN(CHAR(10),TRUE,_xlfn._xlws.SORT(IF((--($B48=Flowdown_Inspire[[URS]:[URS]]))*(--(F$14=Flowdown_Inspire[[Source.Name]:[Source.Name]])),Flowdown_Inspire[[SyRS]:[SyRS]],"")))</f>
        <v/>
      </c>
      <c r="G48" s="12" t="str" cm="1">
        <f t="array" ref="G48">_xlfn.TEXTJOIN(CHAR(10),TRUE,_xlfn._xlws.SORT(IF((--($B48=Flowdown_Inspire[[URS]:[URS]]))*(--(G$14=Flowdown_Inspire[[Source.Name]:[Source.Name]])),Flowdown_Inspire[[SyRS]:[SyRS]],"")))</f>
        <v/>
      </c>
      <c r="H48" s="12" t="str" cm="1">
        <f t="array" ref="H48">_xlfn.TEXTJOIN(CHAR(10),TRUE,_xlfn._xlws.SORT(IF((--($B48=Flowdown_Inspire[[URS]:[URS]]))*(--(H$14=Flowdown_Inspire[[Source.Name]:[Source.Name]])),Flowdown_Inspire[[SyRS]:[SyRS]],"")))</f>
        <v>MASTER-22208
MASTER-22210
MASTER-22211
MASTER-22212
MASTER-22214
MASTER-22216</v>
      </c>
      <c r="I48" s="12" t="str" cm="1">
        <f t="array" ref="I48">_xlfn.TEXTJOIN(CHAR(10),TRUE,_xlfn._xlws.SORT(IF((--($B48=Flowdown_Inspire[[URS]:[URS]]))*(--(I$14=Flowdown_Inspire[[Source.Name]:[Source.Name]])),Flowdown_Inspire[[SyRS]:[SyRS]],"")))</f>
        <v/>
      </c>
      <c r="J48" s="12" t="str" cm="1">
        <f t="array" ref="J48">_xlfn.TEXTJOIN(CHAR(10),TRUE,_xlfn._xlws.SORT(IF((--($B48=Flowdown_Inspire[[URS]:[URS]]))*(--(J$14=Flowdown_Inspire[[Source.Name]:[Source.Name]])),Flowdown_Inspire[[SyRS]:[SyRS]],"")))</f>
        <v/>
      </c>
      <c r="K48" s="12" t="str" cm="1">
        <f t="array" ref="K48">_xlfn.TEXTJOIN(CHAR(10),TRUE,_xlfn._xlws.SORT(IF((--($B48=Flowdown_Inspire[[URS]:[URS]]))*(--(K$14=Flowdown_Inspire[[Source.Name]:[Source.Name]])),Flowdown_Inspire[[SyRS]:[SyRS]],"")))</f>
        <v/>
      </c>
      <c r="L48" s="16" t="b" cm="1">
        <f t="array" ref="L48">OR(LEN(C48:K48)&gt;0)</f>
        <v>1</v>
      </c>
    </row>
    <row r="49" spans="2:12" ht="54" x14ac:dyDescent="0.2">
      <c r="B49" s="11" t="str">
        <v>MASTER-6365</v>
      </c>
      <c r="C49" s="12" t="str" cm="1">
        <f t="array" ref="C49">_xlfn.TEXTJOIN(CHAR(10),TRUE,_xlfn._xlws.SORT(IF((--($B49=Flowdown_Inspire[[URS]:[URS]]))*(--(C$14=Flowdown_Inspire[[Source.Name]:[Source.Name]])),Flowdown_Inspire[[SyRS]:[SyRS]],"")))</f>
        <v>MASTER-19216
MASTER-19217
MASTER-42144
MASTER-42145</v>
      </c>
      <c r="D49" s="12" t="str" cm="1">
        <f t="array" ref="D49">_xlfn.TEXTJOIN(CHAR(10),TRUE,_xlfn._xlws.SORT(IF((--($B49=Flowdown_Inspire[[URS]:[URS]]))*(--(D$14=Flowdown_Inspire[[Source.Name]:[Source.Name]])),Flowdown_Inspire[[SyRS]:[SyRS]],"")))</f>
        <v>MASTER-19217
MASTER-42144
MASTER-42145</v>
      </c>
      <c r="E49" s="12" t="str" cm="1">
        <f t="array" ref="E49">_xlfn.TEXTJOIN(CHAR(10),TRUE,_xlfn._xlws.SORT(IF((--($B49=Flowdown_Inspire[[URS]:[URS]]))*(--(E$14=Flowdown_Inspire[[Source.Name]:[Source.Name]])),Flowdown_Inspire[[SyRS]:[SyRS]],"")))</f>
        <v>MASTER-19217
MASTER-42144
MASTER-42145</v>
      </c>
      <c r="F49" s="12" t="str" cm="1">
        <f t="array" ref="F49">_xlfn.TEXTJOIN(CHAR(10),TRUE,_xlfn._xlws.SORT(IF((--($B49=Flowdown_Inspire[[URS]:[URS]]))*(--(F$14=Flowdown_Inspire[[Source.Name]:[Source.Name]])),Flowdown_Inspire[[SyRS]:[SyRS]],"")))</f>
        <v>MASTER-19217
MASTER-42144
MASTER-42145</v>
      </c>
      <c r="G49" s="12" t="str" cm="1">
        <f t="array" ref="G49">_xlfn.TEXTJOIN(CHAR(10),TRUE,_xlfn._xlws.SORT(IF((--($B49=Flowdown_Inspire[[URS]:[URS]]))*(--(G$14=Flowdown_Inspire[[Source.Name]:[Source.Name]])),Flowdown_Inspire[[SyRS]:[SyRS]],"")))</f>
        <v>MASTER-19217
MASTER-42144
MASTER-42145</v>
      </c>
      <c r="H49" s="12" t="str" cm="1">
        <f t="array" ref="H49">_xlfn.TEXTJOIN(CHAR(10),TRUE,_xlfn._xlws.SORT(IF((--($B49=Flowdown_Inspire[[URS]:[URS]]))*(--(H$14=Flowdown_Inspire[[Source.Name]:[Source.Name]])),Flowdown_Inspire[[SyRS]:[SyRS]],"")))</f>
        <v>MASTER-22275
MASTER-22276</v>
      </c>
      <c r="I49" s="12" t="str" cm="1">
        <f t="array" ref="I49">_xlfn.TEXTJOIN(CHAR(10),TRUE,_xlfn._xlws.SORT(IF((--($B49=Flowdown_Inspire[[URS]:[URS]]))*(--(I$14=Flowdown_Inspire[[Source.Name]:[Source.Name]])),Flowdown_Inspire[[SyRS]:[SyRS]],"")))</f>
        <v/>
      </c>
      <c r="J49" s="12" t="str" cm="1">
        <f t="array" ref="J49">_xlfn.TEXTJOIN(CHAR(10),TRUE,_xlfn._xlws.SORT(IF((--($B49=Flowdown_Inspire[[URS]:[URS]]))*(--(J$14=Flowdown_Inspire[[Source.Name]:[Source.Name]])),Flowdown_Inspire[[SyRS]:[SyRS]],"")))</f>
        <v/>
      </c>
      <c r="K49" s="12" t="str" cm="1">
        <f t="array" ref="K49">_xlfn.TEXTJOIN(CHAR(10),TRUE,_xlfn._xlws.SORT(IF((--($B49=Flowdown_Inspire[[URS]:[URS]]))*(--(K$14=Flowdown_Inspire[[Source.Name]:[Source.Name]])),Flowdown_Inspire[[SyRS]:[SyRS]],"")))</f>
        <v/>
      </c>
      <c r="L49" s="16" t="b" cm="1">
        <f t="array" ref="L49">OR(LEN(C49:K49)&gt;0)</f>
        <v>1</v>
      </c>
    </row>
    <row r="50" spans="2:12" ht="409.5" x14ac:dyDescent="0.2">
      <c r="B50" s="11" t="str">
        <v>MASTER-6370</v>
      </c>
      <c r="C50" s="12" t="str" cm="1">
        <f t="array" ref="C50">_xlfn.TEXTJOIN(CHAR(10),TRUE,_xlfn._xlws.SORT(IF((--($B50=Flowdown_Inspire[[URS]:[URS]]))*(--(C$14=Flowdown_Inspire[[Source.Name]:[Source.Name]])),Flowdown_Inspire[[SyRS]:[SyRS]],"")))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50" s="12" t="str" cm="1">
        <f t="array" ref="D50">_xlfn.TEXTJOIN(CHAR(10),TRUE,_xlfn._xlws.SORT(IF((--($B50=Flowdown_Inspire[[URS]:[URS]]))*(--(D$14=Flowdown_Inspire[[Source.Name]:[Source.Name]])),Flowdown_Inspire[[SyRS]:[SyRS]],"")))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50" s="12" t="str" cm="1">
        <f t="array" ref="E50">_xlfn.TEXTJOIN(CHAR(10),TRUE,_xlfn._xlws.SORT(IF((--($B50=Flowdown_Inspire[[URS]:[URS]]))*(--(E$14=Flowdown_Inspire[[Source.Name]:[Source.Name]])),Flowdown_Inspire[[SyRS]:[SyRS]],"")))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50" s="12" t="str" cm="1">
        <f t="array" ref="F50">_xlfn.TEXTJOIN(CHAR(10),TRUE,_xlfn._xlws.SORT(IF((--($B50=Flowdown_Inspire[[URS]:[URS]]))*(--(F$14=Flowdown_Inspire[[Source.Name]:[Source.Name]])),Flowdown_Inspire[[SyRS]:[SyRS]],"")))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50" s="12" t="str" cm="1">
        <f t="array" ref="G50">_xlfn.TEXTJOIN(CHAR(10),TRUE,_xlfn._xlws.SORT(IF((--($B50=Flowdown_Inspire[[URS]:[URS]]))*(--(G$14=Flowdown_Inspire[[Source.Name]:[Source.Name]])),Flowdown_Inspire[[SyRS]:[SyRS]],"")))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50" s="12" t="str" cm="1">
        <f t="array" ref="H50">_xlfn.TEXTJOIN(CHAR(10),TRUE,_xlfn._xlws.SORT(IF((--($B50=Flowdown_Inspire[[URS]:[URS]]))*(--(H$14=Flowdown_Inspire[[Source.Name]:[Source.Name]])),Flowdown_Inspire[[SyRS]:[SyRS]],"")))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50" s="12" t="str" cm="1">
        <f t="array" ref="I50">_xlfn.TEXTJOIN(CHAR(10),TRUE,_xlfn._xlws.SORT(IF((--($B50=Flowdown_Inspire[[URS]:[URS]]))*(--(I$14=Flowdown_Inspire[[Source.Name]:[Source.Name]])),Flowdown_Inspire[[SyRS]:[SyRS]],"")))</f>
        <v/>
      </c>
      <c r="J50" s="12" t="str" cm="1">
        <f t="array" ref="J50">_xlfn.TEXTJOIN(CHAR(10),TRUE,_xlfn._xlws.SORT(IF((--($B50=Flowdown_Inspire[[URS]:[URS]]))*(--(J$14=Flowdown_Inspire[[Source.Name]:[Source.Name]])),Flowdown_Inspire[[SyRS]:[SyRS]],"")))</f>
        <v/>
      </c>
      <c r="K50" s="12" t="str" cm="1">
        <f t="array" ref="K50">_xlfn.TEXTJOIN(CHAR(10),TRUE,_xlfn._xlws.SORT(IF((--($B50=Flowdown_Inspire[[URS]:[URS]]))*(--(K$14=Flowdown_Inspire[[Source.Name]:[Source.Name]])),Flowdown_Inspire[[SyRS]:[SyRS]],"")))</f>
        <v/>
      </c>
      <c r="L50" s="16" t="b" cm="1">
        <f t="array" ref="L50">OR(LEN(C50:K50)&gt;0)</f>
        <v>1</v>
      </c>
    </row>
    <row r="51" spans="2:12" ht="67.5" x14ac:dyDescent="0.2">
      <c r="B51" s="11" t="str">
        <v>MASTER-6371</v>
      </c>
      <c r="C51" s="12" t="str" cm="1">
        <f t="array" ref="C51">_xlfn.TEXTJOIN(CHAR(10),TRUE,_xlfn._xlws.SORT(IF((--($B51=Flowdown_Inspire[[URS]:[URS]]))*(--(C$14=Flowdown_Inspire[[Source.Name]:[Source.Name]])),Flowdown_Inspire[[SyRS]:[SyRS]],"")))</f>
        <v/>
      </c>
      <c r="D51" s="12" t="str" cm="1">
        <f t="array" ref="D51">_xlfn.TEXTJOIN(CHAR(10),TRUE,_xlfn._xlws.SORT(IF((--($B51=Flowdown_Inspire[[URS]:[URS]]))*(--(D$14=Flowdown_Inspire[[Source.Name]:[Source.Name]])),Flowdown_Inspire[[SyRS]:[SyRS]],"")))</f>
        <v/>
      </c>
      <c r="E51" s="12" t="str" cm="1">
        <f t="array" ref="E51">_xlfn.TEXTJOIN(CHAR(10),TRUE,_xlfn._xlws.SORT(IF((--($B51=Flowdown_Inspire[[URS]:[URS]]))*(--(E$14=Flowdown_Inspire[[Source.Name]:[Source.Name]])),Flowdown_Inspire[[SyRS]:[SyRS]],"")))</f>
        <v>MASTER-17709
MASTER-17710
MASTER-60684
MASTER-60685
MASTER-60703</v>
      </c>
      <c r="F51" s="12" t="str" cm="1">
        <f t="array" ref="F51">_xlfn.TEXTJOIN(CHAR(10),TRUE,_xlfn._xlws.SORT(IF((--($B51=Flowdown_Inspire[[URS]:[URS]]))*(--(F$14=Flowdown_Inspire[[Source.Name]:[Source.Name]])),Flowdown_Inspire[[SyRS]:[SyRS]],"")))</f>
        <v/>
      </c>
      <c r="G51" s="12" t="str" cm="1">
        <f t="array" ref="G51">_xlfn.TEXTJOIN(CHAR(10),TRUE,_xlfn._xlws.SORT(IF((--($B51=Flowdown_Inspire[[URS]:[URS]]))*(--(G$14=Flowdown_Inspire[[Source.Name]:[Source.Name]])),Flowdown_Inspire[[SyRS]:[SyRS]],"")))</f>
        <v/>
      </c>
      <c r="H51" s="12" t="str" cm="1">
        <f t="array" ref="H51">_xlfn.TEXTJOIN(CHAR(10),TRUE,_xlfn._xlws.SORT(IF((--($B51=Flowdown_Inspire[[URS]:[URS]]))*(--(H$14=Flowdown_Inspire[[Source.Name]:[Source.Name]])),Flowdown_Inspire[[SyRS]:[SyRS]],"")))</f>
        <v>MASTER-60792</v>
      </c>
      <c r="I51" s="12" t="str" cm="1">
        <f t="array" ref="I51">_xlfn.TEXTJOIN(CHAR(10),TRUE,_xlfn._xlws.SORT(IF((--($B51=Flowdown_Inspire[[URS]:[URS]]))*(--(I$14=Flowdown_Inspire[[Source.Name]:[Source.Name]])),Flowdown_Inspire[[SyRS]:[SyRS]],"")))</f>
        <v/>
      </c>
      <c r="J51" s="12" t="str" cm="1">
        <f t="array" ref="J51">_xlfn.TEXTJOIN(CHAR(10),TRUE,_xlfn._xlws.SORT(IF((--($B51=Flowdown_Inspire[[URS]:[URS]]))*(--(J$14=Flowdown_Inspire[[Source.Name]:[Source.Name]])),Flowdown_Inspire[[SyRS]:[SyRS]],"")))</f>
        <v/>
      </c>
      <c r="K51" s="12" t="str" cm="1">
        <f t="array" ref="K51">_xlfn.TEXTJOIN(CHAR(10),TRUE,_xlfn._xlws.SORT(IF((--($B51=Flowdown_Inspire[[URS]:[URS]]))*(--(K$14=Flowdown_Inspire[[Source.Name]:[Source.Name]])),Flowdown_Inspire[[SyRS]:[SyRS]],"")))</f>
        <v/>
      </c>
      <c r="L51" s="16" t="b" cm="1">
        <f t="array" ref="L51">OR(LEN(C51:K51)&gt;0)</f>
        <v>1</v>
      </c>
    </row>
    <row r="52" spans="2:12" ht="13.5" x14ac:dyDescent="0.2">
      <c r="B52" s="11" t="str">
        <v>MASTER-6372</v>
      </c>
      <c r="C52" s="12" t="str" cm="1">
        <f t="array" ref="C52">_xlfn.TEXTJOIN(CHAR(10),TRUE,_xlfn._xlws.SORT(IF((--($B52=Flowdown_Inspire[[URS]:[URS]]))*(--(C$14=Flowdown_Inspire[[Source.Name]:[Source.Name]])),Flowdown_Inspire[[SyRS]:[SyRS]],"")))</f>
        <v/>
      </c>
      <c r="D52" s="12" t="str" cm="1">
        <f t="array" ref="D52">_xlfn.TEXTJOIN(CHAR(10),TRUE,_xlfn._xlws.SORT(IF((--($B52=Flowdown_Inspire[[URS]:[URS]]))*(--(D$14=Flowdown_Inspire[[Source.Name]:[Source.Name]])),Flowdown_Inspire[[SyRS]:[SyRS]],"")))</f>
        <v/>
      </c>
      <c r="E52" s="12" t="str" cm="1">
        <f t="array" ref="E52">_xlfn.TEXTJOIN(CHAR(10),TRUE,_xlfn._xlws.SORT(IF((--($B52=Flowdown_Inspire[[URS]:[URS]]))*(--(E$14=Flowdown_Inspire[[Source.Name]:[Source.Name]])),Flowdown_Inspire[[SyRS]:[SyRS]],"")))</f>
        <v/>
      </c>
      <c r="F52" s="12" t="str" cm="1">
        <f t="array" ref="F52">_xlfn.TEXTJOIN(CHAR(10),TRUE,_xlfn._xlws.SORT(IF((--($B52=Flowdown_Inspire[[URS]:[URS]]))*(--(F$14=Flowdown_Inspire[[Source.Name]:[Source.Name]])),Flowdown_Inspire[[SyRS]:[SyRS]],"")))</f>
        <v/>
      </c>
      <c r="G52" s="12" t="str" cm="1">
        <f t="array" ref="G52">_xlfn.TEXTJOIN(CHAR(10),TRUE,_xlfn._xlws.SORT(IF((--($B52=Flowdown_Inspire[[URS]:[URS]]))*(--(G$14=Flowdown_Inspire[[Source.Name]:[Source.Name]])),Flowdown_Inspire[[SyRS]:[SyRS]],"")))</f>
        <v/>
      </c>
      <c r="H52" s="12" t="str" cm="1">
        <f t="array" ref="H52">_xlfn.TEXTJOIN(CHAR(10),TRUE,_xlfn._xlws.SORT(IF((--($B52=Flowdown_Inspire[[URS]:[URS]]))*(--(H$14=Flowdown_Inspire[[Source.Name]:[Source.Name]])),Flowdown_Inspire[[SyRS]:[SyRS]],"")))</f>
        <v>MASTER-60792</v>
      </c>
      <c r="I52" s="12" t="str" cm="1">
        <f t="array" ref="I52">_xlfn.TEXTJOIN(CHAR(10),TRUE,_xlfn._xlws.SORT(IF((--($B52=Flowdown_Inspire[[URS]:[URS]]))*(--(I$14=Flowdown_Inspire[[Source.Name]:[Source.Name]])),Flowdown_Inspire[[SyRS]:[SyRS]],"")))</f>
        <v/>
      </c>
      <c r="J52" s="12" t="str" cm="1">
        <f t="array" ref="J52">_xlfn.TEXTJOIN(CHAR(10),TRUE,_xlfn._xlws.SORT(IF((--($B52=Flowdown_Inspire[[URS]:[URS]]))*(--(J$14=Flowdown_Inspire[[Source.Name]:[Source.Name]])),Flowdown_Inspire[[SyRS]:[SyRS]],"")))</f>
        <v/>
      </c>
      <c r="K52" s="12" t="str" cm="1">
        <f t="array" ref="K52">_xlfn.TEXTJOIN(CHAR(10),TRUE,_xlfn._xlws.SORT(IF((--($B52=Flowdown_Inspire[[URS]:[URS]]))*(--(K$14=Flowdown_Inspire[[Source.Name]:[Source.Name]])),Flowdown_Inspire[[SyRS]:[SyRS]],"")))</f>
        <v/>
      </c>
      <c r="L52" s="16" t="b" cm="1">
        <f t="array" ref="L52">OR(LEN(C52:K52)&gt;0)</f>
        <v>1</v>
      </c>
    </row>
    <row r="53" spans="2:12" ht="108" x14ac:dyDescent="0.2">
      <c r="B53" s="11" t="str">
        <v>MASTER-6375</v>
      </c>
      <c r="C53" s="12" t="str" cm="1">
        <f t="array" ref="C53">_xlfn.TEXTJOIN(CHAR(10),TRUE,_xlfn._xlws.SORT(IF((--($B53=Flowdown_Inspire[[URS]:[URS]]))*(--(C$14=Flowdown_Inspire[[Source.Name]:[Source.Name]])),Flowdown_Inspire[[SyRS]:[SyRS]],"")))</f>
        <v>MASTER-19249
MASTER-50013
MASTER-50021</v>
      </c>
      <c r="D53" s="12" t="str" cm="1">
        <f t="array" ref="D53">_xlfn.TEXTJOIN(CHAR(10),TRUE,_xlfn._xlws.SORT(IF((--($B53=Flowdown_Inspire[[URS]:[URS]]))*(--(D$14=Flowdown_Inspire[[Source.Name]:[Source.Name]])),Flowdown_Inspire[[SyRS]:[SyRS]],"")))</f>
        <v>MASTER-19249
MASTER-50013
MASTER-50021</v>
      </c>
      <c r="E53" s="12" t="str" cm="1">
        <f t="array" ref="E53">_xlfn.TEXTJOIN(CHAR(10),TRUE,_xlfn._xlws.SORT(IF((--($B53=Flowdown_Inspire[[URS]:[URS]]))*(--(E$14=Flowdown_Inspire[[Source.Name]:[Source.Name]])),Flowdown_Inspire[[SyRS]:[SyRS]],"")))</f>
        <v>MASTER-19249
MASTER-50013
MASTER-50021</v>
      </c>
      <c r="F53" s="12" t="str" cm="1">
        <f t="array" ref="F53">_xlfn.TEXTJOIN(CHAR(10),TRUE,_xlfn._xlws.SORT(IF((--($B53=Flowdown_Inspire[[URS]:[URS]]))*(--(F$14=Flowdown_Inspire[[Source.Name]:[Source.Name]])),Flowdown_Inspire[[SyRS]:[SyRS]],"")))</f>
        <v>MASTER-19249
MASTER-50013
MASTER-50021</v>
      </c>
      <c r="G53" s="12" t="str" cm="1">
        <f t="array" ref="G53">_xlfn.TEXTJOIN(CHAR(10),TRUE,_xlfn._xlws.SORT(IF((--($B53=Flowdown_Inspire[[URS]:[URS]]))*(--(G$14=Flowdown_Inspire[[Source.Name]:[Source.Name]])),Flowdown_Inspire[[SyRS]:[SyRS]],"")))</f>
        <v>MASTER-19249
MASTER-50013
MASTER-50021</v>
      </c>
      <c r="H53" s="12" t="str" cm="1">
        <f t="array" ref="H53">_xlfn.TEXTJOIN(CHAR(10),TRUE,_xlfn._xlws.SORT(IF((--($B53=Flowdown_Inspire[[URS]:[URS]]))*(--(H$14=Flowdown_Inspire[[Source.Name]:[Source.Name]])),Flowdown_Inspire[[SyRS]:[SyRS]],"")))</f>
        <v>MASTER-60782
MASTER-60784
MASTER-60785
MASTER-60786
MASTER-60787
MASTER-60788
MASTER-60793
MASTER-60796</v>
      </c>
      <c r="I53" s="12" t="str" cm="1">
        <f t="array" ref="I53">_xlfn.TEXTJOIN(CHAR(10),TRUE,_xlfn._xlws.SORT(IF((--($B53=Flowdown_Inspire[[URS]:[URS]]))*(--(I$14=Flowdown_Inspire[[Source.Name]:[Source.Name]])),Flowdown_Inspire[[SyRS]:[SyRS]],"")))</f>
        <v>MASTER-20021
MASTER-64822
UTICA-209</v>
      </c>
      <c r="J53" s="12" t="str" cm="1">
        <f t="array" ref="J53">_xlfn.TEXTJOIN(CHAR(10),TRUE,_xlfn._xlws.SORT(IF((--($B53=Flowdown_Inspire[[URS]:[URS]]))*(--(J$14=Flowdown_Inspire[[Source.Name]:[Source.Name]])),Flowdown_Inspire[[SyRS]:[SyRS]],"")))</f>
        <v/>
      </c>
      <c r="K53" s="12" t="str" cm="1">
        <f t="array" ref="K53">_xlfn.TEXTJOIN(CHAR(10),TRUE,_xlfn._xlws.SORT(IF((--($B53=Flowdown_Inspire[[URS]:[URS]]))*(--(K$14=Flowdown_Inspire[[Source.Name]:[Source.Name]])),Flowdown_Inspire[[SyRS]:[SyRS]],"")))</f>
        <v/>
      </c>
      <c r="L53" s="16" t="b" cm="1">
        <f t="array" ref="L53">OR(LEN(C53:K53)&gt;0)</f>
        <v>1</v>
      </c>
    </row>
    <row r="54" spans="2:12" ht="54" x14ac:dyDescent="0.2">
      <c r="B54" s="11" t="str">
        <v>MASTER-6376</v>
      </c>
      <c r="C54" s="12" t="str" cm="1">
        <f t="array" ref="C54">_xlfn.TEXTJOIN(CHAR(10),TRUE,_xlfn._xlws.SORT(IF((--($B54=Flowdown_Inspire[[URS]:[URS]]))*(--(C$14=Flowdown_Inspire[[Source.Name]:[Source.Name]])),Flowdown_Inspire[[SyRS]:[SyRS]],"")))</f>
        <v>MASTER-60679
MASTER-60680
MASTER-60681</v>
      </c>
      <c r="D54" s="12" t="str" cm="1">
        <f t="array" ref="D54">_xlfn.TEXTJOIN(CHAR(10),TRUE,_xlfn._xlws.SORT(IF((--($B54=Flowdown_Inspire[[URS]:[URS]]))*(--(D$14=Flowdown_Inspire[[Source.Name]:[Source.Name]])),Flowdown_Inspire[[SyRS]:[SyRS]],"")))</f>
        <v>MASTER-60675
MASTER-60679
MASTER-60680
MASTER-60681</v>
      </c>
      <c r="E54" s="12" t="str" cm="1">
        <f t="array" ref="E54">_xlfn.TEXTJOIN(CHAR(10),TRUE,_xlfn._xlws.SORT(IF((--($B54=Flowdown_Inspire[[URS]:[URS]]))*(--(E$14=Flowdown_Inspire[[Source.Name]:[Source.Name]])),Flowdown_Inspire[[SyRS]:[SyRS]],"")))</f>
        <v>MASTER-60675
MASTER-60679
MASTER-60685</v>
      </c>
      <c r="F54" s="12" t="str" cm="1">
        <f t="array" ref="F54">_xlfn.TEXTJOIN(CHAR(10),TRUE,_xlfn._xlws.SORT(IF((--($B54=Flowdown_Inspire[[URS]:[URS]]))*(--(F$14=Flowdown_Inspire[[Source.Name]:[Source.Name]])),Flowdown_Inspire[[SyRS]:[SyRS]],"")))</f>
        <v>MASTER-60675
MASTER-60679
MASTER-60681</v>
      </c>
      <c r="G54" s="12" t="str" cm="1">
        <f t="array" ref="G54">_xlfn.TEXTJOIN(CHAR(10),TRUE,_xlfn._xlws.SORT(IF((--($B54=Flowdown_Inspire[[URS]:[URS]]))*(--(G$14=Flowdown_Inspire[[Source.Name]:[Source.Name]])),Flowdown_Inspire[[SyRS]:[SyRS]],"")))</f>
        <v>MASTER-60675
MASTER-60679
MASTER-60680
MASTER-60681</v>
      </c>
      <c r="H54" s="12" t="str" cm="1">
        <f t="array" ref="H54">_xlfn.TEXTJOIN(CHAR(10),TRUE,_xlfn._xlws.SORT(IF((--($B54=Flowdown_Inspire[[URS]:[URS]]))*(--(H$14=Flowdown_Inspire[[Source.Name]:[Source.Name]])),Flowdown_Inspire[[SyRS]:[SyRS]],"")))</f>
        <v>MASTER-60779</v>
      </c>
      <c r="I54" s="12" t="str" cm="1">
        <f t="array" ref="I54">_xlfn.TEXTJOIN(CHAR(10),TRUE,_xlfn._xlws.SORT(IF((--($B54=Flowdown_Inspire[[URS]:[URS]]))*(--(I$14=Flowdown_Inspire[[Source.Name]:[Source.Name]])),Flowdown_Inspire[[SyRS]:[SyRS]],"")))</f>
        <v/>
      </c>
      <c r="J54" s="12" t="str" cm="1">
        <f t="array" ref="J54">_xlfn.TEXTJOIN(CHAR(10),TRUE,_xlfn._xlws.SORT(IF((--($B54=Flowdown_Inspire[[URS]:[URS]]))*(--(J$14=Flowdown_Inspire[[Source.Name]:[Source.Name]])),Flowdown_Inspire[[SyRS]:[SyRS]],"")))</f>
        <v/>
      </c>
      <c r="K54" s="12" t="str" cm="1">
        <f t="array" ref="K54">_xlfn.TEXTJOIN(CHAR(10),TRUE,_xlfn._xlws.SORT(IF((--($B54=Flowdown_Inspire[[URS]:[URS]]))*(--(K$14=Flowdown_Inspire[[Source.Name]:[Source.Name]])),Flowdown_Inspire[[SyRS]:[SyRS]],"")))</f>
        <v/>
      </c>
      <c r="L54" s="16" t="b" cm="1">
        <f t="array" ref="L54">OR(LEN(C54:K54)&gt;0)</f>
        <v>1</v>
      </c>
    </row>
    <row r="55" spans="2:12" ht="27" x14ac:dyDescent="0.2">
      <c r="B55" s="11" t="str">
        <v>MASTER-6379</v>
      </c>
      <c r="C55" s="12" t="str" cm="1">
        <f t="array" ref="C55">_xlfn.TEXTJOIN(CHAR(10),TRUE,_xlfn._xlws.SORT(IF((--($B55=Flowdown_Inspire[[URS]:[URS]]))*(--(C$14=Flowdown_Inspire[[Source.Name]:[Source.Name]])),Flowdown_Inspire[[SyRS]:[SyRS]],"")))</f>
        <v/>
      </c>
      <c r="D55" s="12" t="str" cm="1">
        <f t="array" ref="D55">_xlfn.TEXTJOIN(CHAR(10),TRUE,_xlfn._xlws.SORT(IF((--($B55=Flowdown_Inspire[[URS]:[URS]]))*(--(D$14=Flowdown_Inspire[[Source.Name]:[Source.Name]])),Flowdown_Inspire[[SyRS]:[SyRS]],"")))</f>
        <v>MASTER-19710
MASTER-51873</v>
      </c>
      <c r="E55" s="12" t="str" cm="1">
        <f t="array" ref="E55">_xlfn.TEXTJOIN(CHAR(10),TRUE,_xlfn._xlws.SORT(IF((--($B55=Flowdown_Inspire[[URS]:[URS]]))*(--(E$14=Flowdown_Inspire[[Source.Name]:[Source.Name]])),Flowdown_Inspire[[SyRS]:[SyRS]],"")))</f>
        <v/>
      </c>
      <c r="F55" s="12" t="str" cm="1">
        <f t="array" ref="F55">_xlfn.TEXTJOIN(CHAR(10),TRUE,_xlfn._xlws.SORT(IF((--($B55=Flowdown_Inspire[[URS]:[URS]]))*(--(F$14=Flowdown_Inspire[[Source.Name]:[Source.Name]])),Flowdown_Inspire[[SyRS]:[SyRS]],"")))</f>
        <v/>
      </c>
      <c r="G55" s="12" t="str" cm="1">
        <f t="array" ref="G55">_xlfn.TEXTJOIN(CHAR(10),TRUE,_xlfn._xlws.SORT(IF((--($B55=Flowdown_Inspire[[URS]:[URS]]))*(--(G$14=Flowdown_Inspire[[Source.Name]:[Source.Name]])),Flowdown_Inspire[[SyRS]:[SyRS]],"")))</f>
        <v/>
      </c>
      <c r="H55" s="12" t="str" cm="1">
        <f t="array" ref="H55">_xlfn.TEXTJOIN(CHAR(10),TRUE,_xlfn._xlws.SORT(IF((--($B55=Flowdown_Inspire[[URS]:[URS]]))*(--(H$14=Flowdown_Inspire[[Source.Name]:[Source.Name]])),Flowdown_Inspire[[SyRS]:[SyRS]],"")))</f>
        <v/>
      </c>
      <c r="I55" s="12" t="str" cm="1">
        <f t="array" ref="I55">_xlfn.TEXTJOIN(CHAR(10),TRUE,_xlfn._xlws.SORT(IF((--($B55=Flowdown_Inspire[[URS]:[URS]]))*(--(I$14=Flowdown_Inspire[[Source.Name]:[Source.Name]])),Flowdown_Inspire[[SyRS]:[SyRS]],"")))</f>
        <v/>
      </c>
      <c r="J55" s="12" t="str" cm="1">
        <f t="array" ref="J55">_xlfn.TEXTJOIN(CHAR(10),TRUE,_xlfn._xlws.SORT(IF((--($B55=Flowdown_Inspire[[URS]:[URS]]))*(--(J$14=Flowdown_Inspire[[Source.Name]:[Source.Name]])),Flowdown_Inspire[[SyRS]:[SyRS]],"")))</f>
        <v/>
      </c>
      <c r="K55" s="12" t="str" cm="1">
        <f t="array" ref="K55">_xlfn.TEXTJOIN(CHAR(10),TRUE,_xlfn._xlws.SORT(IF((--($B55=Flowdown_Inspire[[URS]:[URS]]))*(--(K$14=Flowdown_Inspire[[Source.Name]:[Source.Name]])),Flowdown_Inspire[[SyRS]:[SyRS]],"")))</f>
        <v/>
      </c>
      <c r="L55" s="16" t="b" cm="1">
        <f t="array" ref="L55">OR(LEN(C55:K55)&gt;0)</f>
        <v>1</v>
      </c>
    </row>
    <row r="56" spans="2:12" ht="81" x14ac:dyDescent="0.2">
      <c r="B56" s="11" t="str">
        <v>MASTER-6383</v>
      </c>
      <c r="C56" s="12" t="str" cm="1">
        <f t="array" ref="C56">_xlfn.TEXTJOIN(CHAR(10),TRUE,_xlfn._xlws.SORT(IF((--($B56=Flowdown_Inspire[[URS]:[URS]]))*(--(C$14=Flowdown_Inspire[[Source.Name]:[Source.Name]])),Flowdown_Inspire[[SyRS]:[SyRS]],"")))</f>
        <v>MASTER-18114
MASTER-18225
MASTER-18227
MASTER-18282
MASTER-18283
MASTER-18284</v>
      </c>
      <c r="D56" s="12" t="str" cm="1">
        <f t="array" ref="D56">_xlfn.TEXTJOIN(CHAR(10),TRUE,_xlfn._xlws.SORT(IF((--($B56=Flowdown_Inspire[[URS]:[URS]]))*(--(D$14=Flowdown_Inspire[[Source.Name]:[Source.Name]])),Flowdown_Inspire[[SyRS]:[SyRS]],"")))</f>
        <v>MASTER-18114
MASTER-18225
MASTER-18227
MASTER-18282
MASTER-18283
MASTER-18284</v>
      </c>
      <c r="E56" s="12" t="str" cm="1">
        <f t="array" ref="E56">_xlfn.TEXTJOIN(CHAR(10),TRUE,_xlfn._xlws.SORT(IF((--($B56=Flowdown_Inspire[[URS]:[URS]]))*(--(E$14=Flowdown_Inspire[[Source.Name]:[Source.Name]])),Flowdown_Inspire[[SyRS]:[SyRS]],"")))</f>
        <v>MASTER-18114
MASTER-18225
MASTER-18227
MASTER-18282
MASTER-18283
MASTER-18284</v>
      </c>
      <c r="F56" s="12" t="str" cm="1">
        <f t="array" ref="F56">_xlfn.TEXTJOIN(CHAR(10),TRUE,_xlfn._xlws.SORT(IF((--($B56=Flowdown_Inspire[[URS]:[URS]]))*(--(F$14=Flowdown_Inspire[[Source.Name]:[Source.Name]])),Flowdown_Inspire[[SyRS]:[SyRS]],"")))</f>
        <v>MASTER-18114
MASTER-18225
MASTER-18227
MASTER-18282
MASTER-18283
MASTER-18284</v>
      </c>
      <c r="G56" s="12" t="str" cm="1">
        <f t="array" ref="G56">_xlfn.TEXTJOIN(CHAR(10),TRUE,_xlfn._xlws.SORT(IF((--($B56=Flowdown_Inspire[[URS]:[URS]]))*(--(G$14=Flowdown_Inspire[[Source.Name]:[Source.Name]])),Flowdown_Inspire[[SyRS]:[SyRS]],"")))</f>
        <v>MASTER-18114
MASTER-18225
MASTER-18227
MASTER-18282
MASTER-18283
MASTER-18284</v>
      </c>
      <c r="H56" s="12" t="str" cm="1">
        <f t="array" ref="H56">_xlfn.TEXTJOIN(CHAR(10),TRUE,_xlfn._xlws.SORT(IF((--($B56=Flowdown_Inspire[[URS]:[URS]]))*(--(H$14=Flowdown_Inspire[[Source.Name]:[Source.Name]])),Flowdown_Inspire[[SyRS]:[SyRS]],"")))</f>
        <v/>
      </c>
      <c r="I56" s="12" t="str" cm="1">
        <f t="array" ref="I56">_xlfn.TEXTJOIN(CHAR(10),TRUE,_xlfn._xlws.SORT(IF((--($B56=Flowdown_Inspire[[URS]:[URS]]))*(--(I$14=Flowdown_Inspire[[Source.Name]:[Source.Name]])),Flowdown_Inspire[[SyRS]:[SyRS]],"")))</f>
        <v/>
      </c>
      <c r="J56" s="12" t="str" cm="1">
        <f t="array" ref="J56">_xlfn.TEXTJOIN(CHAR(10),TRUE,_xlfn._xlws.SORT(IF((--($B56=Flowdown_Inspire[[URS]:[URS]]))*(--(J$14=Flowdown_Inspire[[Source.Name]:[Source.Name]])),Flowdown_Inspire[[SyRS]:[SyRS]],"")))</f>
        <v/>
      </c>
      <c r="K56" s="12" t="str" cm="1">
        <f t="array" ref="K56">_xlfn.TEXTJOIN(CHAR(10),TRUE,_xlfn._xlws.SORT(IF((--($B56=Flowdown_Inspire[[URS]:[URS]]))*(--(K$14=Flowdown_Inspire[[Source.Name]:[Source.Name]])),Flowdown_Inspire[[SyRS]:[SyRS]],"")))</f>
        <v>MASTER-16552
MASTER-16553
MASTER-16561</v>
      </c>
      <c r="L56" s="16" t="b" cm="1">
        <f t="array" ref="L56">OR(LEN(C56:K56)&gt;0)</f>
        <v>1</v>
      </c>
    </row>
    <row r="57" spans="2:12" ht="27" x14ac:dyDescent="0.2">
      <c r="B57" s="11" t="str">
        <v>MASTER-6385</v>
      </c>
      <c r="C57" s="12" t="str" cm="1">
        <f t="array" ref="C57">_xlfn.TEXTJOIN(CHAR(10),TRUE,_xlfn._xlws.SORT(IF((--($B57=Flowdown_Inspire[[URS]:[URS]]))*(--(C$14=Flowdown_Inspire[[Source.Name]:[Source.Name]])),Flowdown_Inspire[[SyRS]:[SyRS]],"")))</f>
        <v>MASTER-60681</v>
      </c>
      <c r="D57" s="12" t="str" cm="1">
        <f t="array" ref="D57">_xlfn.TEXTJOIN(CHAR(10),TRUE,_xlfn._xlws.SORT(IF((--($B57=Flowdown_Inspire[[URS]:[URS]]))*(--(D$14=Flowdown_Inspire[[Source.Name]:[Source.Name]])),Flowdown_Inspire[[SyRS]:[SyRS]],"")))</f>
        <v>MASTER-60675
MASTER-60681</v>
      </c>
      <c r="E57" s="12" t="str" cm="1">
        <f t="array" ref="E57">_xlfn.TEXTJOIN(CHAR(10),TRUE,_xlfn._xlws.SORT(IF((--($B57=Flowdown_Inspire[[URS]:[URS]]))*(--(E$14=Flowdown_Inspire[[Source.Name]:[Source.Name]])),Flowdown_Inspire[[SyRS]:[SyRS]],"")))</f>
        <v>MASTER-60675
MASTER-60685</v>
      </c>
      <c r="F57" s="12" t="str" cm="1">
        <f t="array" ref="F57">_xlfn.TEXTJOIN(CHAR(10),TRUE,_xlfn._xlws.SORT(IF((--($B57=Flowdown_Inspire[[URS]:[URS]]))*(--(F$14=Flowdown_Inspire[[Source.Name]:[Source.Name]])),Flowdown_Inspire[[SyRS]:[SyRS]],"")))</f>
        <v>MASTER-60675
MASTER-60681</v>
      </c>
      <c r="G57" s="12" t="str" cm="1">
        <f t="array" ref="G57">_xlfn.TEXTJOIN(CHAR(10),TRUE,_xlfn._xlws.SORT(IF((--($B57=Flowdown_Inspire[[URS]:[URS]]))*(--(G$14=Flowdown_Inspire[[Source.Name]:[Source.Name]])),Flowdown_Inspire[[SyRS]:[SyRS]],"")))</f>
        <v>MASTER-60675
MASTER-60681</v>
      </c>
      <c r="H57" s="12" t="str" cm="1">
        <f t="array" ref="H57">_xlfn.TEXTJOIN(CHAR(10),TRUE,_xlfn._xlws.SORT(IF((--($B57=Flowdown_Inspire[[URS]:[URS]]))*(--(H$14=Flowdown_Inspire[[Source.Name]:[Source.Name]])),Flowdown_Inspire[[SyRS]:[SyRS]],"")))</f>
        <v>MASTER-22345</v>
      </c>
      <c r="I57" s="12" t="str" cm="1">
        <f t="array" ref="I57">_xlfn.TEXTJOIN(CHAR(10),TRUE,_xlfn._xlws.SORT(IF((--($B57=Flowdown_Inspire[[URS]:[URS]]))*(--(I$14=Flowdown_Inspire[[Source.Name]:[Source.Name]])),Flowdown_Inspire[[SyRS]:[SyRS]],"")))</f>
        <v/>
      </c>
      <c r="J57" s="12" t="str" cm="1">
        <f t="array" ref="J57">_xlfn.TEXTJOIN(CHAR(10),TRUE,_xlfn._xlws.SORT(IF((--($B57=Flowdown_Inspire[[URS]:[URS]]))*(--(J$14=Flowdown_Inspire[[Source.Name]:[Source.Name]])),Flowdown_Inspire[[SyRS]:[SyRS]],"")))</f>
        <v/>
      </c>
      <c r="K57" s="12" t="str" cm="1">
        <f t="array" ref="K57">_xlfn.TEXTJOIN(CHAR(10),TRUE,_xlfn._xlws.SORT(IF((--($B57=Flowdown_Inspire[[URS]:[URS]]))*(--(K$14=Flowdown_Inspire[[Source.Name]:[Source.Name]])),Flowdown_Inspire[[SyRS]:[SyRS]],"")))</f>
        <v/>
      </c>
      <c r="L57" s="16" t="b" cm="1">
        <f t="array" ref="L57">OR(LEN(C57:K57)&gt;0)</f>
        <v>1</v>
      </c>
    </row>
    <row r="58" spans="2:12" ht="40.5" x14ac:dyDescent="0.2">
      <c r="B58" s="11" t="str">
        <v>MASTER-6386</v>
      </c>
      <c r="C58" s="12" t="str" cm="1">
        <f t="array" ref="C58">_xlfn.TEXTJOIN(CHAR(10),TRUE,_xlfn._xlws.SORT(IF((--($B58=Flowdown_Inspire[[URS]:[URS]]))*(--(C$14=Flowdown_Inspire[[Source.Name]:[Source.Name]])),Flowdown_Inspire[[SyRS]:[SyRS]],"")))</f>
        <v>MASTER-19249</v>
      </c>
      <c r="D58" s="12" t="str" cm="1">
        <f t="array" ref="D58">_xlfn.TEXTJOIN(CHAR(10),TRUE,_xlfn._xlws.SORT(IF((--($B58=Flowdown_Inspire[[URS]:[URS]]))*(--(D$14=Flowdown_Inspire[[Source.Name]:[Source.Name]])),Flowdown_Inspire[[SyRS]:[SyRS]],"")))</f>
        <v>MASTER-19249</v>
      </c>
      <c r="E58" s="12" t="str" cm="1">
        <f t="array" ref="E58">_xlfn.TEXTJOIN(CHAR(10),TRUE,_xlfn._xlws.SORT(IF((--($B58=Flowdown_Inspire[[URS]:[URS]]))*(--(E$14=Flowdown_Inspire[[Source.Name]:[Source.Name]])),Flowdown_Inspire[[SyRS]:[SyRS]],"")))</f>
        <v>MASTER-19249</v>
      </c>
      <c r="F58" s="12" t="str" cm="1">
        <f t="array" ref="F58">_xlfn.TEXTJOIN(CHAR(10),TRUE,_xlfn._xlws.SORT(IF((--($B58=Flowdown_Inspire[[URS]:[URS]]))*(--(F$14=Flowdown_Inspire[[Source.Name]:[Source.Name]])),Flowdown_Inspire[[SyRS]:[SyRS]],"")))</f>
        <v>MASTER-19249</v>
      </c>
      <c r="G58" s="12" t="str" cm="1">
        <f t="array" ref="G58">_xlfn.TEXTJOIN(CHAR(10),TRUE,_xlfn._xlws.SORT(IF((--($B58=Flowdown_Inspire[[URS]:[URS]]))*(--(G$14=Flowdown_Inspire[[Source.Name]:[Source.Name]])),Flowdown_Inspire[[SyRS]:[SyRS]],"")))</f>
        <v>MASTER-19249</v>
      </c>
      <c r="H58" s="12" t="str" cm="1">
        <f t="array" ref="H58">_xlfn.TEXTJOIN(CHAR(10),TRUE,_xlfn._xlws.SORT(IF((--($B58=Flowdown_Inspire[[URS]:[URS]]))*(--(H$14=Flowdown_Inspire[[Source.Name]:[Source.Name]])),Flowdown_Inspire[[SyRS]:[SyRS]],"")))</f>
        <v/>
      </c>
      <c r="I58" s="12" t="str" cm="1">
        <f t="array" ref="I58">_xlfn.TEXTJOIN(CHAR(10),TRUE,_xlfn._xlws.SORT(IF((--($B58=Flowdown_Inspire[[URS]:[URS]]))*(--(I$14=Flowdown_Inspire[[Source.Name]:[Source.Name]])),Flowdown_Inspire[[SyRS]:[SyRS]],"")))</f>
        <v>MASTER-20021
MASTER-64822
UTICA-209</v>
      </c>
      <c r="J58" s="12" t="str" cm="1">
        <f t="array" ref="J58">_xlfn.TEXTJOIN(CHAR(10),TRUE,_xlfn._xlws.SORT(IF((--($B58=Flowdown_Inspire[[URS]:[URS]]))*(--(J$14=Flowdown_Inspire[[Source.Name]:[Source.Name]])),Flowdown_Inspire[[SyRS]:[SyRS]],"")))</f>
        <v/>
      </c>
      <c r="K58" s="12" t="str" cm="1">
        <f t="array" ref="K58">_xlfn.TEXTJOIN(CHAR(10),TRUE,_xlfn._xlws.SORT(IF((--($B58=Flowdown_Inspire[[URS]:[URS]]))*(--(K$14=Flowdown_Inspire[[Source.Name]:[Source.Name]])),Flowdown_Inspire[[SyRS]:[SyRS]],"")))</f>
        <v/>
      </c>
      <c r="L58" s="16" t="b" cm="1">
        <f t="array" ref="L58">OR(LEN(C58:K58)&gt;0)</f>
        <v>1</v>
      </c>
    </row>
    <row r="59" spans="2:12" ht="243" x14ac:dyDescent="0.2">
      <c r="B59" s="11" t="str">
        <v>MASTER-6387</v>
      </c>
      <c r="C59" s="12" t="str" cm="1">
        <f t="array" ref="C59">_xlfn.TEXTJOIN(CHAR(10),TRUE,_xlfn._xlws.SORT(IF((--($B59=Flowdown_Inspire[[URS]:[URS]]))*(--(C$14=Flowdown_Inspire[[Source.Name]:[Source.Name]])),Flowdown_Inspire[[SyRS]:[SyRS]],"")))</f>
        <v>MASTER-18248
MASTER-18249</v>
      </c>
      <c r="D59" s="12" t="str" cm="1">
        <f t="array" ref="D59">_xlfn.TEXTJOIN(CHAR(10),TRUE,_xlfn._xlws.SORT(IF((--($B59=Flowdown_Inspire[[URS]:[URS]]))*(--(D$14=Flowdown_Inspire[[Source.Name]:[Source.Name]])),Flowdown_Inspire[[SyRS]:[SyRS]],"")))</f>
        <v>MASTER-18248
MASTER-18249</v>
      </c>
      <c r="E59" s="12" t="str" cm="1">
        <f t="array" ref="E59">_xlfn.TEXTJOIN(CHAR(10),TRUE,_xlfn._xlws.SORT(IF((--($B59=Flowdown_Inspire[[URS]:[URS]]))*(--(E$14=Flowdown_Inspire[[Source.Name]:[Source.Name]])),Flowdown_Inspire[[SyRS]:[SyRS]],"")))</f>
        <v>MASTER-18248
MASTER-18249</v>
      </c>
      <c r="F59" s="12" t="str" cm="1">
        <f t="array" ref="F59">_xlfn.TEXTJOIN(CHAR(10),TRUE,_xlfn._xlws.SORT(IF((--($B59=Flowdown_Inspire[[URS]:[URS]]))*(--(F$14=Flowdown_Inspire[[Source.Name]:[Source.Name]])),Flowdown_Inspire[[SyRS]:[SyRS]],"")))</f>
        <v>MASTER-18248
MASTER-18249</v>
      </c>
      <c r="G59" s="12" t="str" cm="1">
        <f t="array" ref="G59">_xlfn.TEXTJOIN(CHAR(10),TRUE,_xlfn._xlws.SORT(IF((--($B59=Flowdown_Inspire[[URS]:[URS]]))*(--(G$14=Flowdown_Inspire[[Source.Name]:[Source.Name]])),Flowdown_Inspire[[SyRS]:[SyRS]],"")))</f>
        <v>MASTER-18248
MASTER-18249</v>
      </c>
      <c r="H59" s="12" t="str" cm="1">
        <f t="array" ref="H59">_xlfn.TEXTJOIN(CHAR(10),TRUE,_xlfn._xlws.SORT(IF((--($B59=Flowdown_Inspire[[URS]:[URS]]))*(--(H$14=Flowdown_Inspire[[Source.Name]:[Source.Name]])),Flowdown_Inspire[[SyRS]:[SyRS]],"")))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59" s="12" t="str" cm="1">
        <f t="array" ref="I59">_xlfn.TEXTJOIN(CHAR(10),TRUE,_xlfn._xlws.SORT(IF((--($B59=Flowdown_Inspire[[URS]:[URS]]))*(--(I$14=Flowdown_Inspire[[Source.Name]:[Source.Name]])),Flowdown_Inspire[[SyRS]:[SyRS]],"")))</f>
        <v/>
      </c>
      <c r="J59" s="12" t="str" cm="1">
        <f t="array" ref="J59">_xlfn.TEXTJOIN(CHAR(10),TRUE,_xlfn._xlws.SORT(IF((--($B59=Flowdown_Inspire[[URS]:[URS]]))*(--(J$14=Flowdown_Inspire[[Source.Name]:[Source.Name]])),Flowdown_Inspire[[SyRS]:[SyRS]],"")))</f>
        <v/>
      </c>
      <c r="K59" s="12" t="str" cm="1">
        <f t="array" ref="K59">_xlfn.TEXTJOIN(CHAR(10),TRUE,_xlfn._xlws.SORT(IF((--($B59=Flowdown_Inspire[[URS]:[URS]]))*(--(K$14=Flowdown_Inspire[[Source.Name]:[Source.Name]])),Flowdown_Inspire[[SyRS]:[SyRS]],"")))</f>
        <v/>
      </c>
      <c r="L59" s="16" t="b" cm="1">
        <f t="array" ref="L59">OR(LEN(C59:K59)&gt;0)</f>
        <v>1</v>
      </c>
    </row>
    <row r="60" spans="2:12" ht="108" x14ac:dyDescent="0.2">
      <c r="B60" s="11" t="str">
        <v>MASTER-6391</v>
      </c>
      <c r="C60" s="12" t="str" cm="1">
        <f t="array" ref="C60">_xlfn.TEXTJOIN(CHAR(10),TRUE,_xlfn._xlws.SORT(IF((--($B60=Flowdown_Inspire[[URS]:[URS]]))*(--(C$14=Flowdown_Inspire[[Source.Name]:[Source.Name]])),Flowdown_Inspire[[SyRS]:[SyRS]],"")))</f>
        <v>MASTER-60681</v>
      </c>
      <c r="D60" s="12" t="str" cm="1">
        <f t="array" ref="D60">_xlfn.TEXTJOIN(CHAR(10),TRUE,_xlfn._xlws.SORT(IF((--($B60=Flowdown_Inspire[[URS]:[URS]]))*(--(D$14=Flowdown_Inspire[[Source.Name]:[Source.Name]])),Flowdown_Inspire[[SyRS]:[SyRS]],"")))</f>
        <v>MASTER-60675
MASTER-60681</v>
      </c>
      <c r="E60" s="12" t="str" cm="1">
        <f t="array" ref="E60">_xlfn.TEXTJOIN(CHAR(10),TRUE,_xlfn._xlws.SORT(IF((--($B60=Flowdown_Inspire[[URS]:[URS]]))*(--(E$14=Flowdown_Inspire[[Source.Name]:[Source.Name]])),Flowdown_Inspire[[SyRS]:[SyRS]],"")))</f>
        <v>MASTER-60675</v>
      </c>
      <c r="F60" s="12" t="str" cm="1">
        <f t="array" ref="F60">_xlfn.TEXTJOIN(CHAR(10),TRUE,_xlfn._xlws.SORT(IF((--($B60=Flowdown_Inspire[[URS]:[URS]]))*(--(F$14=Flowdown_Inspire[[Source.Name]:[Source.Name]])),Flowdown_Inspire[[SyRS]:[SyRS]],"")))</f>
        <v>MASTER-60675
MASTER-60681</v>
      </c>
      <c r="G60" s="12" t="str" cm="1">
        <f t="array" ref="G60">_xlfn.TEXTJOIN(CHAR(10),TRUE,_xlfn._xlws.SORT(IF((--($B60=Flowdown_Inspire[[URS]:[URS]]))*(--(G$14=Flowdown_Inspire[[Source.Name]:[Source.Name]])),Flowdown_Inspire[[SyRS]:[SyRS]],"")))</f>
        <v>MASTER-60675
MASTER-60681</v>
      </c>
      <c r="H60" s="12" t="str" cm="1">
        <f t="array" ref="H60">_xlfn.TEXTJOIN(CHAR(10),TRUE,_xlfn._xlws.SORT(IF((--($B60=Flowdown_Inspire[[URS]:[URS]]))*(--(H$14=Flowdown_Inspire[[Source.Name]:[Source.Name]])),Flowdown_Inspire[[SyRS]:[SyRS]],"")))</f>
        <v>MASTER-21877
MASTER-21878
MASTER-21930
MASTER-21935
MASTER-21937
MASTER-21939
MASTER-21941
MASTER-21951</v>
      </c>
      <c r="I60" s="12" t="str" cm="1">
        <f t="array" ref="I60">_xlfn.TEXTJOIN(CHAR(10),TRUE,_xlfn._xlws.SORT(IF((--($B60=Flowdown_Inspire[[URS]:[URS]]))*(--(I$14=Flowdown_Inspire[[Source.Name]:[Source.Name]])),Flowdown_Inspire[[SyRS]:[SyRS]],"")))</f>
        <v/>
      </c>
      <c r="J60" s="12" t="str" cm="1">
        <f t="array" ref="J60">_xlfn.TEXTJOIN(CHAR(10),TRUE,_xlfn._xlws.SORT(IF((--($B60=Flowdown_Inspire[[URS]:[URS]]))*(--(J$14=Flowdown_Inspire[[Source.Name]:[Source.Name]])),Flowdown_Inspire[[SyRS]:[SyRS]],"")))</f>
        <v/>
      </c>
      <c r="K60" s="12" t="str" cm="1">
        <f t="array" ref="K60">_xlfn.TEXTJOIN(CHAR(10),TRUE,_xlfn._xlws.SORT(IF((--($B60=Flowdown_Inspire[[URS]:[URS]]))*(--(K$14=Flowdown_Inspire[[Source.Name]:[Source.Name]])),Flowdown_Inspire[[SyRS]:[SyRS]],"")))</f>
        <v/>
      </c>
      <c r="L60" s="16" t="b" cm="1">
        <f t="array" ref="L60">OR(LEN(C60:K60)&gt;0)</f>
        <v>1</v>
      </c>
    </row>
    <row r="61" spans="2:12" ht="67.5" x14ac:dyDescent="0.2">
      <c r="B61" s="11" t="str">
        <v>MASTER-6392</v>
      </c>
      <c r="C61" s="12" t="str" cm="1">
        <f t="array" ref="C61">_xlfn.TEXTJOIN(CHAR(10),TRUE,_xlfn._xlws.SORT(IF((--($B61=Flowdown_Inspire[[URS]:[URS]]))*(--(C$14=Flowdown_Inspire[[Source.Name]:[Source.Name]])),Flowdown_Inspire[[SyRS]:[SyRS]],"")))</f>
        <v>MASTER-19249
MASTER-60732
MASTER-60733
MASTER-60735
MASTER-60737</v>
      </c>
      <c r="D61" s="12" t="str" cm="1">
        <f t="array" ref="D61">_xlfn.TEXTJOIN(CHAR(10),TRUE,_xlfn._xlws.SORT(IF((--($B61=Flowdown_Inspire[[URS]:[URS]]))*(--(D$14=Flowdown_Inspire[[Source.Name]:[Source.Name]])),Flowdown_Inspire[[SyRS]:[SyRS]],"")))</f>
        <v>MASTER-19249
MASTER-60732
MASTER-60733
MASTER-60735
MASTER-60737</v>
      </c>
      <c r="E61" s="12" t="str" cm="1">
        <f t="array" ref="E61">_xlfn.TEXTJOIN(CHAR(10),TRUE,_xlfn._xlws.SORT(IF((--($B61=Flowdown_Inspire[[URS]:[URS]]))*(--(E$14=Flowdown_Inspire[[Source.Name]:[Source.Name]])),Flowdown_Inspire[[SyRS]:[SyRS]],"")))</f>
        <v>MASTER-19249
MASTER-60732
MASTER-60733
MASTER-60735</v>
      </c>
      <c r="F61" s="12" t="str" cm="1">
        <f t="array" ref="F61">_xlfn.TEXTJOIN(CHAR(10),TRUE,_xlfn._xlws.SORT(IF((--($B61=Flowdown_Inspire[[URS]:[URS]]))*(--(F$14=Flowdown_Inspire[[Source.Name]:[Source.Name]])),Flowdown_Inspire[[SyRS]:[SyRS]],"")))</f>
        <v>MASTER-19249
MASTER-60732
MASTER-60733
MASTER-60735</v>
      </c>
      <c r="G61" s="12" t="str" cm="1">
        <f t="array" ref="G61">_xlfn.TEXTJOIN(CHAR(10),TRUE,_xlfn._xlws.SORT(IF((--($B61=Flowdown_Inspire[[URS]:[URS]]))*(--(G$14=Flowdown_Inspire[[Source.Name]:[Source.Name]])),Flowdown_Inspire[[SyRS]:[SyRS]],"")))</f>
        <v>MASTER-19249
MASTER-60732
MASTER-60733
MASTER-60735</v>
      </c>
      <c r="H61" s="12" t="str" cm="1">
        <f t="array" ref="H61">_xlfn.TEXTJOIN(CHAR(10),TRUE,_xlfn._xlws.SORT(IF((--($B61=Flowdown_Inspire[[URS]:[URS]]))*(--(H$14=Flowdown_Inspire[[Source.Name]:[Source.Name]])),Flowdown_Inspire[[SyRS]:[SyRS]],"")))</f>
        <v/>
      </c>
      <c r="I61" s="12" t="str" cm="1">
        <f t="array" ref="I61">_xlfn.TEXTJOIN(CHAR(10),TRUE,_xlfn._xlws.SORT(IF((--($B61=Flowdown_Inspire[[URS]:[URS]]))*(--(I$14=Flowdown_Inspire[[Source.Name]:[Source.Name]])),Flowdown_Inspire[[SyRS]:[SyRS]],"")))</f>
        <v>MASTER-64822</v>
      </c>
      <c r="J61" s="12" t="str" cm="1">
        <f t="array" ref="J61">_xlfn.TEXTJOIN(CHAR(10),TRUE,_xlfn._xlws.SORT(IF((--($B61=Flowdown_Inspire[[URS]:[URS]]))*(--(J$14=Flowdown_Inspire[[Source.Name]:[Source.Name]])),Flowdown_Inspire[[SyRS]:[SyRS]],"")))</f>
        <v/>
      </c>
      <c r="K61" s="12" t="str" cm="1">
        <f t="array" ref="K61">_xlfn.TEXTJOIN(CHAR(10),TRUE,_xlfn._xlws.SORT(IF((--($B61=Flowdown_Inspire[[URS]:[URS]]))*(--(K$14=Flowdown_Inspire[[Source.Name]:[Source.Name]])),Flowdown_Inspire[[SyRS]:[SyRS]],"")))</f>
        <v>MASTER-16739</v>
      </c>
      <c r="L61" s="16" t="b" cm="1">
        <f t="array" ref="L61">OR(LEN(C61:K61)&gt;0)</f>
        <v>1</v>
      </c>
    </row>
    <row r="62" spans="2:12" ht="40.5" x14ac:dyDescent="0.2">
      <c r="B62" s="11" t="str">
        <v>MASTER-6393</v>
      </c>
      <c r="C62" s="12" t="str" cm="1">
        <f t="array" ref="C62">_xlfn.TEXTJOIN(CHAR(10),TRUE,_xlfn._xlws.SORT(IF((--($B62=Flowdown_Inspire[[URS]:[URS]]))*(--(C$14=Flowdown_Inspire[[Source.Name]:[Source.Name]])),Flowdown_Inspire[[SyRS]:[SyRS]],"")))</f>
        <v/>
      </c>
      <c r="D62" s="12" t="str" cm="1">
        <f t="array" ref="D62">_xlfn.TEXTJOIN(CHAR(10),TRUE,_xlfn._xlws.SORT(IF((--($B62=Flowdown_Inspire[[URS]:[URS]]))*(--(D$14=Flowdown_Inspire[[Source.Name]:[Source.Name]])),Flowdown_Inspire[[SyRS]:[SyRS]],"")))</f>
        <v/>
      </c>
      <c r="E62" s="12" t="str" cm="1">
        <f t="array" ref="E62">_xlfn.TEXTJOIN(CHAR(10),TRUE,_xlfn._xlws.SORT(IF((--($B62=Flowdown_Inspire[[URS]:[URS]]))*(--(E$14=Flowdown_Inspire[[Source.Name]:[Source.Name]])),Flowdown_Inspire[[SyRS]:[SyRS]],"")))</f>
        <v/>
      </c>
      <c r="F62" s="12" t="str" cm="1">
        <f t="array" ref="F62">_xlfn.TEXTJOIN(CHAR(10),TRUE,_xlfn._xlws.SORT(IF((--($B62=Flowdown_Inspire[[URS]:[URS]]))*(--(F$14=Flowdown_Inspire[[Source.Name]:[Source.Name]])),Flowdown_Inspire[[SyRS]:[SyRS]],"")))</f>
        <v/>
      </c>
      <c r="G62" s="12" t="str" cm="1">
        <f t="array" ref="G62">_xlfn.TEXTJOIN(CHAR(10),TRUE,_xlfn._xlws.SORT(IF((--($B62=Flowdown_Inspire[[URS]:[URS]]))*(--(G$14=Flowdown_Inspire[[Source.Name]:[Source.Name]])),Flowdown_Inspire[[SyRS]:[SyRS]],"")))</f>
        <v/>
      </c>
      <c r="H62" s="12" t="str" cm="1">
        <f t="array" ref="H62">_xlfn.TEXTJOIN(CHAR(10),TRUE,_xlfn._xlws.SORT(IF((--($B62=Flowdown_Inspire[[URS]:[URS]]))*(--(H$14=Flowdown_Inspire[[Source.Name]:[Source.Name]])),Flowdown_Inspire[[SyRS]:[SyRS]],"")))</f>
        <v>MASTER-21937
MASTER-21941</v>
      </c>
      <c r="I62" s="12" t="str" cm="1">
        <f t="array" ref="I62">_xlfn.TEXTJOIN(CHAR(10),TRUE,_xlfn._xlws.SORT(IF((--($B62=Flowdown_Inspire[[URS]:[URS]]))*(--(I$14=Flowdown_Inspire[[Source.Name]:[Source.Name]])),Flowdown_Inspire[[SyRS]:[SyRS]],"")))</f>
        <v>MASTER-20021
MASTER-64822
UTICA-209</v>
      </c>
      <c r="J62" s="12" t="str" cm="1">
        <f t="array" ref="J62">_xlfn.TEXTJOIN(CHAR(10),TRUE,_xlfn._xlws.SORT(IF((--($B62=Flowdown_Inspire[[URS]:[URS]]))*(--(J$14=Flowdown_Inspire[[Source.Name]:[Source.Name]])),Flowdown_Inspire[[SyRS]:[SyRS]],"")))</f>
        <v/>
      </c>
      <c r="K62" s="12" t="str" cm="1">
        <f t="array" ref="K62">_xlfn.TEXTJOIN(CHAR(10),TRUE,_xlfn._xlws.SORT(IF((--($B62=Flowdown_Inspire[[URS]:[URS]]))*(--(K$14=Flowdown_Inspire[[Source.Name]:[Source.Name]])),Flowdown_Inspire[[SyRS]:[SyRS]],"")))</f>
        <v/>
      </c>
      <c r="L62" s="16" t="b" cm="1">
        <f t="array" ref="L62">OR(LEN(C62:K62)&gt;0)</f>
        <v>1</v>
      </c>
    </row>
    <row r="63" spans="2:12" ht="337.5" x14ac:dyDescent="0.2">
      <c r="B63" s="11" t="str">
        <v>MASTER-6395</v>
      </c>
      <c r="C63" s="12" t="str" cm="1">
        <f t="array" ref="C63">_xlfn.TEXTJOIN(CHAR(10),TRUE,_xlfn._xlws.SORT(IF((--($B63=Flowdown_Inspire[[URS]:[URS]]))*(--(C$14=Flowdown_Inspire[[Source.Name]:[Source.Name]])),Flowdown_Inspire[[SyRS]:[SyRS]],"")))</f>
        <v>MASTER-18189
MASTER-18201</v>
      </c>
      <c r="D63" s="12" t="str" cm="1">
        <f t="array" ref="D63">_xlfn.TEXTJOIN(CHAR(10),TRUE,_xlfn._xlws.SORT(IF((--($B63=Flowdown_Inspire[[URS]:[URS]]))*(--(D$14=Flowdown_Inspire[[Source.Name]:[Source.Name]])),Flowdown_Inspire[[SyRS]:[SyRS]],"")))</f>
        <v>MASTER-18189
MASTER-18201</v>
      </c>
      <c r="E63" s="12" t="str" cm="1">
        <f t="array" ref="E63">_xlfn.TEXTJOIN(CHAR(10),TRUE,_xlfn._xlws.SORT(IF((--($B63=Flowdown_Inspire[[URS]:[URS]]))*(--(E$14=Flowdown_Inspire[[Source.Name]:[Source.Name]])),Flowdown_Inspire[[SyRS]:[SyRS]],"")))</f>
        <v>MASTER-18189
MASTER-18201</v>
      </c>
      <c r="F63" s="12" t="str" cm="1">
        <f t="array" ref="F63">_xlfn.TEXTJOIN(CHAR(10),TRUE,_xlfn._xlws.SORT(IF((--($B63=Flowdown_Inspire[[URS]:[URS]]))*(--(F$14=Flowdown_Inspire[[Source.Name]:[Source.Name]])),Flowdown_Inspire[[SyRS]:[SyRS]],"")))</f>
        <v>MASTER-18189
MASTER-18201</v>
      </c>
      <c r="G63" s="12" t="str" cm="1">
        <f t="array" ref="G63">_xlfn.TEXTJOIN(CHAR(10),TRUE,_xlfn._xlws.SORT(IF((--($B63=Flowdown_Inspire[[URS]:[URS]]))*(--(G$14=Flowdown_Inspire[[Source.Name]:[Source.Name]])),Flowdown_Inspire[[SyRS]:[SyRS]],"")))</f>
        <v>MASTER-18189
MASTER-18201</v>
      </c>
      <c r="H63" s="12" t="str" cm="1">
        <f t="array" ref="H63">_xlfn.TEXTJOIN(CHAR(10),TRUE,_xlfn._xlws.SORT(IF((--($B63=Flowdown_Inspire[[URS]:[URS]]))*(--(H$14=Flowdown_Inspire[[Source.Name]:[Source.Name]])),Flowdown_Inspire[[SyRS]:[SyRS]],"")))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63" s="12" t="str" cm="1">
        <f t="array" ref="I63">_xlfn.TEXTJOIN(CHAR(10),TRUE,_xlfn._xlws.SORT(IF((--($B63=Flowdown_Inspire[[URS]:[URS]]))*(--(I$14=Flowdown_Inspire[[Source.Name]:[Source.Name]])),Flowdown_Inspire[[SyRS]:[SyRS]],"")))</f>
        <v/>
      </c>
      <c r="J63" s="12" t="str" cm="1">
        <f t="array" ref="J63">_xlfn.TEXTJOIN(CHAR(10),TRUE,_xlfn._xlws.SORT(IF((--($B63=Flowdown_Inspire[[URS]:[URS]]))*(--(J$14=Flowdown_Inspire[[Source.Name]:[Source.Name]])),Flowdown_Inspire[[SyRS]:[SyRS]],"")))</f>
        <v/>
      </c>
      <c r="K63" s="12" t="str" cm="1">
        <f t="array" ref="K63">_xlfn.TEXTJOIN(CHAR(10),TRUE,_xlfn._xlws.SORT(IF((--($B63=Flowdown_Inspire[[URS]:[URS]]))*(--(K$14=Flowdown_Inspire[[Source.Name]:[Source.Name]])),Flowdown_Inspire[[SyRS]:[SyRS]],"")))</f>
        <v/>
      </c>
      <c r="L63" s="16" t="b" cm="1">
        <f t="array" ref="L63">OR(LEN(C63:K63)&gt;0)</f>
        <v>1</v>
      </c>
    </row>
    <row r="64" spans="2:12" ht="67.5" x14ac:dyDescent="0.2">
      <c r="B64" s="11" t="str">
        <v>MASTER-6396</v>
      </c>
      <c r="C64" s="12" t="str" cm="1">
        <f t="array" ref="C64">_xlfn.TEXTJOIN(CHAR(10),TRUE,_xlfn._xlws.SORT(IF((--($B64=Flowdown_Inspire[[URS]:[URS]]))*(--(C$14=Flowdown_Inspire[[Source.Name]:[Source.Name]])),Flowdown_Inspire[[SyRS]:[SyRS]],"")))</f>
        <v>MASTER-18189
MASTER-18200
MASTER-18201
MASTER-19314
MASTER-50183</v>
      </c>
      <c r="D64" s="12" t="str" cm="1">
        <f t="array" ref="D64">_xlfn.TEXTJOIN(CHAR(10),TRUE,_xlfn._xlws.SORT(IF((--($B64=Flowdown_Inspire[[URS]:[URS]]))*(--(D$14=Flowdown_Inspire[[Source.Name]:[Source.Name]])),Flowdown_Inspire[[SyRS]:[SyRS]],"")))</f>
        <v>MASTER-18189
MASTER-18200
MASTER-18201
MASTER-19314
MASTER-50183</v>
      </c>
      <c r="E64" s="12" t="str" cm="1">
        <f t="array" ref="E64">_xlfn.TEXTJOIN(CHAR(10),TRUE,_xlfn._xlws.SORT(IF((--($B64=Flowdown_Inspire[[URS]:[URS]]))*(--(E$14=Flowdown_Inspire[[Source.Name]:[Source.Name]])),Flowdown_Inspire[[SyRS]:[SyRS]],"")))</f>
        <v>MASTER-18189
MASTER-18200
MASTER-18201
MASTER-19314
MASTER-50183</v>
      </c>
      <c r="F64" s="12" t="str" cm="1">
        <f t="array" ref="F64">_xlfn.TEXTJOIN(CHAR(10),TRUE,_xlfn._xlws.SORT(IF((--($B64=Flowdown_Inspire[[URS]:[URS]]))*(--(F$14=Flowdown_Inspire[[Source.Name]:[Source.Name]])),Flowdown_Inspire[[SyRS]:[SyRS]],"")))</f>
        <v>MASTER-18189
MASTER-18200
MASTER-18201
MASTER-19314
MASTER-50183</v>
      </c>
      <c r="G64" s="12" t="str" cm="1">
        <f t="array" ref="G64">_xlfn.TEXTJOIN(CHAR(10),TRUE,_xlfn._xlws.SORT(IF((--($B64=Flowdown_Inspire[[URS]:[URS]]))*(--(G$14=Flowdown_Inspire[[Source.Name]:[Source.Name]])),Flowdown_Inspire[[SyRS]:[SyRS]],"")))</f>
        <v>MASTER-18189
MASTER-18200
MASTER-18201
MASTER-19314
MASTER-50183</v>
      </c>
      <c r="H64" s="12" t="str" cm="1">
        <f t="array" ref="H64">_xlfn.TEXTJOIN(CHAR(10),TRUE,_xlfn._xlws.SORT(IF((--($B64=Flowdown_Inspire[[URS]:[URS]]))*(--(H$14=Flowdown_Inspire[[Source.Name]:[Source.Name]])),Flowdown_Inspire[[SyRS]:[SyRS]],"")))</f>
        <v>MASTER-20651
MASTER-20652</v>
      </c>
      <c r="I64" s="12" t="str" cm="1">
        <f t="array" ref="I64">_xlfn.TEXTJOIN(CHAR(10),TRUE,_xlfn._xlws.SORT(IF((--($B64=Flowdown_Inspire[[URS]:[URS]]))*(--(I$14=Flowdown_Inspire[[Source.Name]:[Source.Name]])),Flowdown_Inspire[[SyRS]:[SyRS]],"")))</f>
        <v/>
      </c>
      <c r="J64" s="12" t="str" cm="1">
        <f t="array" ref="J64">_xlfn.TEXTJOIN(CHAR(10),TRUE,_xlfn._xlws.SORT(IF((--($B64=Flowdown_Inspire[[URS]:[URS]]))*(--(J$14=Flowdown_Inspire[[Source.Name]:[Source.Name]])),Flowdown_Inspire[[SyRS]:[SyRS]],"")))</f>
        <v/>
      </c>
      <c r="K64" s="12" t="str" cm="1">
        <f t="array" ref="K64">_xlfn.TEXTJOIN(CHAR(10),TRUE,_xlfn._xlws.SORT(IF((--($B64=Flowdown_Inspire[[URS]:[URS]]))*(--(K$14=Flowdown_Inspire[[Source.Name]:[Source.Name]])),Flowdown_Inspire[[SyRS]:[SyRS]],"")))</f>
        <v/>
      </c>
      <c r="L64" s="16" t="b" cm="1">
        <f t="array" ref="L64">OR(LEN(C64:K64)&gt;0)</f>
        <v>1</v>
      </c>
    </row>
    <row r="65" spans="2:12" ht="13.5" x14ac:dyDescent="0.2">
      <c r="B65" s="11" t="str">
        <v>MASTER-6398</v>
      </c>
      <c r="C65" s="12" t="str" cm="1">
        <f t="array" ref="C65">_xlfn.TEXTJOIN(CHAR(10),TRUE,_xlfn._xlws.SORT(IF((--($B65=Flowdown_Inspire[[URS]:[URS]]))*(--(C$14=Flowdown_Inspire[[Source.Name]:[Source.Name]])),Flowdown_Inspire[[SyRS]:[SyRS]],"")))</f>
        <v/>
      </c>
      <c r="D65" s="12" t="str" cm="1">
        <f t="array" ref="D65">_xlfn.TEXTJOIN(CHAR(10),TRUE,_xlfn._xlws.SORT(IF((--($B65=Flowdown_Inspire[[URS]:[URS]]))*(--(D$14=Flowdown_Inspire[[Source.Name]:[Source.Name]])),Flowdown_Inspire[[SyRS]:[SyRS]],"")))</f>
        <v/>
      </c>
      <c r="E65" s="12" t="str" cm="1">
        <f t="array" ref="E65">_xlfn.TEXTJOIN(CHAR(10),TRUE,_xlfn._xlws.SORT(IF((--($B65=Flowdown_Inspire[[URS]:[URS]]))*(--(E$14=Flowdown_Inspire[[Source.Name]:[Source.Name]])),Flowdown_Inspire[[SyRS]:[SyRS]],"")))</f>
        <v/>
      </c>
      <c r="F65" s="12" t="str" cm="1">
        <f t="array" ref="F65">_xlfn.TEXTJOIN(CHAR(10),TRUE,_xlfn._xlws.SORT(IF((--($B65=Flowdown_Inspire[[URS]:[URS]]))*(--(F$14=Flowdown_Inspire[[Source.Name]:[Source.Name]])),Flowdown_Inspire[[SyRS]:[SyRS]],"")))</f>
        <v/>
      </c>
      <c r="G65" s="12" t="str" cm="1">
        <f t="array" ref="G65">_xlfn.TEXTJOIN(CHAR(10),TRUE,_xlfn._xlws.SORT(IF((--($B65=Flowdown_Inspire[[URS]:[URS]]))*(--(G$14=Flowdown_Inspire[[Source.Name]:[Source.Name]])),Flowdown_Inspire[[SyRS]:[SyRS]],"")))</f>
        <v/>
      </c>
      <c r="H65" s="12" t="str" cm="1">
        <f t="array" ref="H65">_xlfn.TEXTJOIN(CHAR(10),TRUE,_xlfn._xlws.SORT(IF((--($B65=Flowdown_Inspire[[URS]:[URS]]))*(--(H$14=Flowdown_Inspire[[Source.Name]:[Source.Name]])),Flowdown_Inspire[[SyRS]:[SyRS]],"")))</f>
        <v/>
      </c>
      <c r="I65" s="12" t="str" cm="1">
        <f t="array" ref="I65">_xlfn.TEXTJOIN(CHAR(10),TRUE,_xlfn._xlws.SORT(IF((--($B65=Flowdown_Inspire[[URS]:[URS]]))*(--(I$14=Flowdown_Inspire[[Source.Name]:[Source.Name]])),Flowdown_Inspire[[SyRS]:[SyRS]],"")))</f>
        <v/>
      </c>
      <c r="J65" s="12" t="str" cm="1">
        <f t="array" ref="J65">_xlfn.TEXTJOIN(CHAR(10),TRUE,_xlfn._xlws.SORT(IF((--($B65=Flowdown_Inspire[[URS]:[URS]]))*(--(J$14=Flowdown_Inspire[[Source.Name]:[Source.Name]])),Flowdown_Inspire[[SyRS]:[SyRS]],"")))</f>
        <v/>
      </c>
      <c r="K65" s="12" t="str" cm="1">
        <f t="array" ref="K65">_xlfn.TEXTJOIN(CHAR(10),TRUE,_xlfn._xlws.SORT(IF((--($B65=Flowdown_Inspire[[URS]:[URS]]))*(--(K$14=Flowdown_Inspire[[Source.Name]:[Source.Name]])),Flowdown_Inspire[[SyRS]:[SyRS]],"")))</f>
        <v>UTICA-6120</v>
      </c>
      <c r="L65" s="16" t="b" cm="1">
        <f t="array" ref="L65">OR(LEN(C65:K65)&gt;0)</f>
        <v>1</v>
      </c>
    </row>
    <row r="66" spans="2:12" ht="54" x14ac:dyDescent="0.2">
      <c r="B66" s="11" t="str">
        <v>MASTER-6401</v>
      </c>
      <c r="C66" s="12" t="str" cm="1">
        <f t="array" ref="C66">_xlfn.TEXTJOIN(CHAR(10),TRUE,_xlfn._xlws.SORT(IF((--($B66=Flowdown_Inspire[[URS]:[URS]]))*(--(C$14=Flowdown_Inspire[[Source.Name]:[Source.Name]])),Flowdown_Inspire[[SyRS]:[SyRS]],"")))</f>
        <v>MASTER-60681</v>
      </c>
      <c r="D66" s="12" t="str" cm="1">
        <f t="array" ref="D66">_xlfn.TEXTJOIN(CHAR(10),TRUE,_xlfn._xlws.SORT(IF((--($B66=Flowdown_Inspire[[URS]:[URS]]))*(--(D$14=Flowdown_Inspire[[Source.Name]:[Source.Name]])),Flowdown_Inspire[[SyRS]:[SyRS]],"")))</f>
        <v>MASTER-60675
MASTER-60681</v>
      </c>
      <c r="E66" s="12" t="str" cm="1">
        <f t="array" ref="E66">_xlfn.TEXTJOIN(CHAR(10),TRUE,_xlfn._xlws.SORT(IF((--($B66=Flowdown_Inspire[[URS]:[URS]]))*(--(E$14=Flowdown_Inspire[[Source.Name]:[Source.Name]])),Flowdown_Inspire[[SyRS]:[SyRS]],"")))</f>
        <v>MASTER-60675
MASTER-60685</v>
      </c>
      <c r="F66" s="12" t="str" cm="1">
        <f t="array" ref="F66">_xlfn.TEXTJOIN(CHAR(10),TRUE,_xlfn._xlws.SORT(IF((--($B66=Flowdown_Inspire[[URS]:[URS]]))*(--(F$14=Flowdown_Inspire[[Source.Name]:[Source.Name]])),Flowdown_Inspire[[SyRS]:[SyRS]],"")))</f>
        <v>MASTER-60675
MASTER-60681</v>
      </c>
      <c r="G66" s="12" t="str" cm="1">
        <f t="array" ref="G66">_xlfn.TEXTJOIN(CHAR(10),TRUE,_xlfn._xlws.SORT(IF((--($B66=Flowdown_Inspire[[URS]:[URS]]))*(--(G$14=Flowdown_Inspire[[Source.Name]:[Source.Name]])),Flowdown_Inspire[[SyRS]:[SyRS]],"")))</f>
        <v>MASTER-60675
MASTER-60681</v>
      </c>
      <c r="H66" s="12" t="str" cm="1">
        <f t="array" ref="H66">_xlfn.TEXTJOIN(CHAR(10),TRUE,_xlfn._xlws.SORT(IF((--($B66=Flowdown_Inspire[[URS]:[URS]]))*(--(H$14=Flowdown_Inspire[[Source.Name]:[Source.Name]])),Flowdown_Inspire[[SyRS]:[SyRS]],"")))</f>
        <v/>
      </c>
      <c r="I66" s="12" t="str" cm="1">
        <f t="array" ref="I66">_xlfn.TEXTJOIN(CHAR(10),TRUE,_xlfn._xlws.SORT(IF((--($B66=Flowdown_Inspire[[URS]:[URS]]))*(--(I$14=Flowdown_Inspire[[Source.Name]:[Source.Name]])),Flowdown_Inspire[[SyRS]:[SyRS]],"")))</f>
        <v/>
      </c>
      <c r="J66" s="12" t="str" cm="1">
        <f t="array" ref="J66">_xlfn.TEXTJOIN(CHAR(10),TRUE,_xlfn._xlws.SORT(IF((--($B66=Flowdown_Inspire[[URS]:[URS]]))*(--(J$14=Flowdown_Inspire[[Source.Name]:[Source.Name]])),Flowdown_Inspire[[SyRS]:[SyRS]],"")))</f>
        <v/>
      </c>
      <c r="K66" s="12" t="str" cm="1">
        <f t="array" ref="K66">_xlfn.TEXTJOIN(CHAR(10),TRUE,_xlfn._xlws.SORT(IF((--($B66=Flowdown_Inspire[[URS]:[URS]]))*(--(K$14=Flowdown_Inspire[[Source.Name]:[Source.Name]])),Flowdown_Inspire[[SyRS]:[SyRS]],"")))</f>
        <v>MASTER-16489
MASTER-16490
MASTER-16491
MASTER-16492</v>
      </c>
      <c r="L66" s="16" t="b" cm="1">
        <f t="array" ref="L66">OR(LEN(C66:K66)&gt;0)</f>
        <v>1</v>
      </c>
    </row>
    <row r="67" spans="2:12" ht="40.5" x14ac:dyDescent="0.2">
      <c r="B67" s="11" t="str">
        <v>MASTER-6404</v>
      </c>
      <c r="C67" s="12" t="str" cm="1">
        <f t="array" ref="C67">_xlfn.TEXTJOIN(CHAR(10),TRUE,_xlfn._xlws.SORT(IF((--($B67=Flowdown_Inspire[[URS]:[URS]]))*(--(C$14=Flowdown_Inspire[[Source.Name]:[Source.Name]])),Flowdown_Inspire[[SyRS]:[SyRS]],"")))</f>
        <v>MASTER-19249</v>
      </c>
      <c r="D67" s="12" t="str" cm="1">
        <f t="array" ref="D67">_xlfn.TEXTJOIN(CHAR(10),TRUE,_xlfn._xlws.SORT(IF((--($B67=Flowdown_Inspire[[URS]:[URS]]))*(--(D$14=Flowdown_Inspire[[Source.Name]:[Source.Name]])),Flowdown_Inspire[[SyRS]:[SyRS]],"")))</f>
        <v>MASTER-19249</v>
      </c>
      <c r="E67" s="12" t="str" cm="1">
        <f t="array" ref="E67">_xlfn.TEXTJOIN(CHAR(10),TRUE,_xlfn._xlws.SORT(IF((--($B67=Flowdown_Inspire[[URS]:[URS]]))*(--(E$14=Flowdown_Inspire[[Source.Name]:[Source.Name]])),Flowdown_Inspire[[SyRS]:[SyRS]],"")))</f>
        <v>MASTER-19249</v>
      </c>
      <c r="F67" s="12" t="str" cm="1">
        <f t="array" ref="F67">_xlfn.TEXTJOIN(CHAR(10),TRUE,_xlfn._xlws.SORT(IF((--($B67=Flowdown_Inspire[[URS]:[URS]]))*(--(F$14=Flowdown_Inspire[[Source.Name]:[Source.Name]])),Flowdown_Inspire[[SyRS]:[SyRS]],"")))</f>
        <v>MASTER-19249</v>
      </c>
      <c r="G67" s="12" t="str" cm="1">
        <f t="array" ref="G67">_xlfn.TEXTJOIN(CHAR(10),TRUE,_xlfn._xlws.SORT(IF((--($B67=Flowdown_Inspire[[URS]:[URS]]))*(--(G$14=Flowdown_Inspire[[Source.Name]:[Source.Name]])),Flowdown_Inspire[[SyRS]:[SyRS]],"")))</f>
        <v>MASTER-19249</v>
      </c>
      <c r="H67" s="12" t="str" cm="1">
        <f t="array" ref="H67">_xlfn.TEXTJOIN(CHAR(10),TRUE,_xlfn._xlws.SORT(IF((--($B67=Flowdown_Inspire[[URS]:[URS]]))*(--(H$14=Flowdown_Inspire[[Source.Name]:[Source.Name]])),Flowdown_Inspire[[SyRS]:[SyRS]],"")))</f>
        <v>MASTER-21897
MASTER-21900
MASTER-21901</v>
      </c>
      <c r="I67" s="12" t="str" cm="1">
        <f t="array" ref="I67">_xlfn.TEXTJOIN(CHAR(10),TRUE,_xlfn._xlws.SORT(IF((--($B67=Flowdown_Inspire[[URS]:[URS]]))*(--(I$14=Flowdown_Inspire[[Source.Name]:[Source.Name]])),Flowdown_Inspire[[SyRS]:[SyRS]],"")))</f>
        <v>MASTER-20021
MASTER-64822
UTICA-209</v>
      </c>
      <c r="J67" s="12" t="str" cm="1">
        <f t="array" ref="J67">_xlfn.TEXTJOIN(CHAR(10),TRUE,_xlfn._xlws.SORT(IF((--($B67=Flowdown_Inspire[[URS]:[URS]]))*(--(J$14=Flowdown_Inspire[[Source.Name]:[Source.Name]])),Flowdown_Inspire[[SyRS]:[SyRS]],"")))</f>
        <v/>
      </c>
      <c r="K67" s="12" t="str" cm="1">
        <f t="array" ref="K67">_xlfn.TEXTJOIN(CHAR(10),TRUE,_xlfn._xlws.SORT(IF((--($B67=Flowdown_Inspire[[URS]:[URS]]))*(--(K$14=Flowdown_Inspire[[Source.Name]:[Source.Name]])),Flowdown_Inspire[[SyRS]:[SyRS]],"")))</f>
        <v>MASTER-16739</v>
      </c>
      <c r="L67" s="16" t="b" cm="1">
        <f t="array" ref="L67">OR(LEN(C67:K67)&gt;0)</f>
        <v>1</v>
      </c>
    </row>
    <row r="68" spans="2:12" ht="229.5" x14ac:dyDescent="0.2">
      <c r="B68" s="11" t="str">
        <v>MASTER-6405</v>
      </c>
      <c r="C68" s="12" t="str" cm="1">
        <f t="array" ref="C68">_xlfn.TEXTJOIN(CHAR(10),TRUE,_xlfn._xlws.SORT(IF((--($B68=Flowdown_Inspire[[URS]:[URS]]))*(--(C$14=Flowdown_Inspire[[Source.Name]:[Source.Name]])),Flowdown_Inspire[[SyRS]:[SyRS]],"")))</f>
        <v>MASTER-18116
MASTER-18160
MASTER-18162
MASTER-18167
MASTER-24072
MASTER-50015
MASTER-50017
MASTER-64681</v>
      </c>
      <c r="D68" s="12" t="str" cm="1">
        <f t="array" ref="D68">_xlfn.TEXTJOIN(CHAR(10),TRUE,_xlfn._xlws.SORT(IF((--($B68=Flowdown_Inspire[[URS]:[URS]]))*(--(D$14=Flowdown_Inspire[[Source.Name]:[Source.Name]])),Flowdown_Inspire[[SyRS]:[SyRS]],"")))</f>
        <v>MASTER-18116
MASTER-18160
MASTER-18162
MASTER-18167
MASTER-24072
MASTER-50015
MASTER-50017
MASTER-64681</v>
      </c>
      <c r="E68" s="12" t="str" cm="1">
        <f t="array" ref="E68">_xlfn.TEXTJOIN(CHAR(10),TRUE,_xlfn._xlws.SORT(IF((--($B68=Flowdown_Inspire[[URS]:[URS]]))*(--(E$14=Flowdown_Inspire[[Source.Name]:[Source.Name]])),Flowdown_Inspire[[SyRS]:[SyRS]],"")))</f>
        <v>MASTER-18116
MASTER-18132
MASTER-18160
MASTER-18162
MASTER-18167
MASTER-24072
MASTER-50015
MASTER-50017
MASTER-64681</v>
      </c>
      <c r="F68" s="12" t="str" cm="1">
        <f t="array" ref="F68">_xlfn.TEXTJOIN(CHAR(10),TRUE,_xlfn._xlws.SORT(IF((--($B68=Flowdown_Inspire[[URS]:[URS]]))*(--(F$14=Flowdown_Inspire[[Source.Name]:[Source.Name]])),Flowdown_Inspire[[SyRS]:[SyRS]],"")))</f>
        <v>MASTER-18116
MASTER-18160
MASTER-18162
MASTER-18167
MASTER-24072
MASTER-50015
MASTER-50017
MASTER-64681</v>
      </c>
      <c r="G68" s="12" t="str" cm="1">
        <f t="array" ref="G68">_xlfn.TEXTJOIN(CHAR(10),TRUE,_xlfn._xlws.SORT(IF((--($B68=Flowdown_Inspire[[URS]:[URS]]))*(--(G$14=Flowdown_Inspire[[Source.Name]:[Source.Name]])),Flowdown_Inspire[[SyRS]:[SyRS]],"")))</f>
        <v>MASTER-18116
MASTER-18160
MASTER-18162
MASTER-18167
MASTER-24072
MASTER-50015
MASTER-50017
MASTER-64681</v>
      </c>
      <c r="H68" s="12" t="str" cm="1">
        <f t="array" ref="H68">_xlfn.TEXTJOIN(CHAR(10),TRUE,_xlfn._xlws.SORT(IF((--($B68=Flowdown_Inspire[[URS]:[URS]]))*(--(H$14=Flowdown_Inspire[[Source.Name]:[Source.Name]])),Flowdown_Inspire[[SyRS]:[SyRS]],"")))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68" s="12" t="str" cm="1">
        <f t="array" ref="I68">_xlfn.TEXTJOIN(CHAR(10),TRUE,_xlfn._xlws.SORT(IF((--($B68=Flowdown_Inspire[[URS]:[URS]]))*(--(I$14=Flowdown_Inspire[[Source.Name]:[Source.Name]])),Flowdown_Inspire[[SyRS]:[SyRS]],"")))</f>
        <v/>
      </c>
      <c r="J68" s="12" t="str" cm="1">
        <f t="array" ref="J68">_xlfn.TEXTJOIN(CHAR(10),TRUE,_xlfn._xlws.SORT(IF((--($B68=Flowdown_Inspire[[URS]:[URS]]))*(--(J$14=Flowdown_Inspire[[Source.Name]:[Source.Name]])),Flowdown_Inspire[[SyRS]:[SyRS]],"")))</f>
        <v/>
      </c>
      <c r="K68" s="12" t="str" cm="1">
        <f t="array" ref="K68">_xlfn.TEXTJOIN(CHAR(10),TRUE,_xlfn._xlws.SORT(IF((--($B68=Flowdown_Inspire[[URS]:[URS]]))*(--(K$14=Flowdown_Inspire[[Source.Name]:[Source.Name]])),Flowdown_Inspire[[SyRS]:[SyRS]],"")))</f>
        <v/>
      </c>
      <c r="L68" s="16" t="b" cm="1">
        <f t="array" ref="L68">OR(LEN(C68:K68)&gt;0)</f>
        <v>1</v>
      </c>
    </row>
    <row r="69" spans="2:12" ht="94.5" x14ac:dyDescent="0.2">
      <c r="B69" s="11" t="str">
        <v>MASTER-6406</v>
      </c>
      <c r="C69" s="12" t="str" cm="1">
        <f t="array" ref="C69">_xlfn.TEXTJOIN(CHAR(10),TRUE,_xlfn._xlws.SORT(IF((--($B69=Flowdown_Inspire[[URS]:[URS]]))*(--(C$14=Flowdown_Inspire[[Source.Name]:[Source.Name]])),Flowdown_Inspire[[SyRS]:[SyRS]],"")))</f>
        <v>MASTER-18119
MASTER-18144
MASTER-18152
MASTER-42113
MASTER-42114
MASTER-50018</v>
      </c>
      <c r="D69" s="12" t="str" cm="1">
        <f t="array" ref="D69">_xlfn.TEXTJOIN(CHAR(10),TRUE,_xlfn._xlws.SORT(IF((--($B69=Flowdown_Inspire[[URS]:[URS]]))*(--(D$14=Flowdown_Inspire[[Source.Name]:[Source.Name]])),Flowdown_Inspire[[SyRS]:[SyRS]],"")))</f>
        <v>MASTER-18119
MASTER-18144
MASTER-18152
MASTER-18155
MASTER-42113
MASTER-42114
MASTER-50018</v>
      </c>
      <c r="E69" s="12" t="str" cm="1">
        <f t="array" ref="E69">_xlfn.TEXTJOIN(CHAR(10),TRUE,_xlfn._xlws.SORT(IF((--($B69=Flowdown_Inspire[[URS]:[URS]]))*(--(E$14=Flowdown_Inspire[[Source.Name]:[Source.Name]])),Flowdown_Inspire[[SyRS]:[SyRS]],"")))</f>
        <v>MASTER-18119
MASTER-18144
MASTER-18152
MASTER-42113
MASTER-42114
MASTER-50018</v>
      </c>
      <c r="F69" s="12" t="str" cm="1">
        <f t="array" ref="F69">_xlfn.TEXTJOIN(CHAR(10),TRUE,_xlfn._xlws.SORT(IF((--($B69=Flowdown_Inspire[[URS]:[URS]]))*(--(F$14=Flowdown_Inspire[[Source.Name]:[Source.Name]])),Flowdown_Inspire[[SyRS]:[SyRS]],"")))</f>
        <v>MASTER-18119
MASTER-18144
MASTER-18152
MASTER-42113
MASTER-42114
MASTER-50018</v>
      </c>
      <c r="G69" s="12" t="str" cm="1">
        <f t="array" ref="G69">_xlfn.TEXTJOIN(CHAR(10),TRUE,_xlfn._xlws.SORT(IF((--($B69=Flowdown_Inspire[[URS]:[URS]]))*(--(G$14=Flowdown_Inspire[[Source.Name]:[Source.Name]])),Flowdown_Inspire[[SyRS]:[SyRS]],"")))</f>
        <v>MASTER-18119
MASTER-18144
MASTER-18152
MASTER-42113
MASTER-42114
MASTER-50018</v>
      </c>
      <c r="H69" s="12" t="str" cm="1">
        <f t="array" ref="H69">_xlfn.TEXTJOIN(CHAR(10),TRUE,_xlfn._xlws.SORT(IF((--($B69=Flowdown_Inspire[[URS]:[URS]]))*(--(H$14=Flowdown_Inspire[[Source.Name]:[Source.Name]])),Flowdown_Inspire[[SyRS]:[SyRS]],"")))</f>
        <v>MASTER-21894
MASTER-21904</v>
      </c>
      <c r="I69" s="12" t="str" cm="1">
        <f t="array" ref="I69">_xlfn.TEXTJOIN(CHAR(10),TRUE,_xlfn._xlws.SORT(IF((--($B69=Flowdown_Inspire[[URS]:[URS]]))*(--(I$14=Flowdown_Inspire[[Source.Name]:[Source.Name]])),Flowdown_Inspire[[SyRS]:[SyRS]],"")))</f>
        <v/>
      </c>
      <c r="J69" s="12" t="str" cm="1">
        <f t="array" ref="J69">_xlfn.TEXTJOIN(CHAR(10),TRUE,_xlfn._xlws.SORT(IF((--($B69=Flowdown_Inspire[[URS]:[URS]]))*(--(J$14=Flowdown_Inspire[[Source.Name]:[Source.Name]])),Flowdown_Inspire[[SyRS]:[SyRS]],"")))</f>
        <v/>
      </c>
      <c r="K69" s="12" t="str" cm="1">
        <f t="array" ref="K69">_xlfn.TEXTJOIN(CHAR(10),TRUE,_xlfn._xlws.SORT(IF((--($B69=Flowdown_Inspire[[URS]:[URS]]))*(--(K$14=Flowdown_Inspire[[Source.Name]:[Source.Name]])),Flowdown_Inspire[[SyRS]:[SyRS]],"")))</f>
        <v/>
      </c>
      <c r="L69" s="16" t="b" cm="1">
        <f t="array" ref="L69">OR(LEN(C69:K69)&gt;0)</f>
        <v>1</v>
      </c>
    </row>
    <row r="70" spans="2:12" ht="67.5" x14ac:dyDescent="0.2">
      <c r="B70" s="11" t="str">
        <v>MASTER-6407</v>
      </c>
      <c r="C70" s="12" t="str" cm="1">
        <f t="array" ref="C70">_xlfn.TEXTJOIN(CHAR(10),TRUE,_xlfn._xlws.SORT(IF((--($B70=Flowdown_Inspire[[URS]:[URS]]))*(--(C$14=Flowdown_Inspire[[Source.Name]:[Source.Name]])),Flowdown_Inspire[[SyRS]:[SyRS]],"")))</f>
        <v>MASTER-18118
MASTER-18119
MASTER-18163
MASTER-18164
MASTER-50018</v>
      </c>
      <c r="D70" s="12" t="str" cm="1">
        <f t="array" ref="D70">_xlfn.TEXTJOIN(CHAR(10),TRUE,_xlfn._xlws.SORT(IF((--($B70=Flowdown_Inspire[[URS]:[URS]]))*(--(D$14=Flowdown_Inspire[[Source.Name]:[Source.Name]])),Flowdown_Inspire[[SyRS]:[SyRS]],"")))</f>
        <v>MASTER-18118
MASTER-18119
MASTER-18163
MASTER-18164
MASTER-50018</v>
      </c>
      <c r="E70" s="12" t="str" cm="1">
        <f t="array" ref="E70">_xlfn.TEXTJOIN(CHAR(10),TRUE,_xlfn._xlws.SORT(IF((--($B70=Flowdown_Inspire[[URS]:[URS]]))*(--(E$14=Flowdown_Inspire[[Source.Name]:[Source.Name]])),Flowdown_Inspire[[SyRS]:[SyRS]],"")))</f>
        <v>MASTER-18118
MASTER-18119
MASTER-18163
MASTER-18164
MASTER-50018</v>
      </c>
      <c r="F70" s="12" t="str" cm="1">
        <f t="array" ref="F70">_xlfn.TEXTJOIN(CHAR(10),TRUE,_xlfn._xlws.SORT(IF((--($B70=Flowdown_Inspire[[URS]:[URS]]))*(--(F$14=Flowdown_Inspire[[Source.Name]:[Source.Name]])),Flowdown_Inspire[[SyRS]:[SyRS]],"")))</f>
        <v>MASTER-18118
MASTER-18119
MASTER-18163
MASTER-18164
MASTER-50018</v>
      </c>
      <c r="G70" s="12" t="str" cm="1">
        <f t="array" ref="G70">_xlfn.TEXTJOIN(CHAR(10),TRUE,_xlfn._xlws.SORT(IF((--($B70=Flowdown_Inspire[[URS]:[URS]]))*(--(G$14=Flowdown_Inspire[[Source.Name]:[Source.Name]])),Flowdown_Inspire[[SyRS]:[SyRS]],"")))</f>
        <v>MASTER-18118
MASTER-18119
MASTER-18163
MASTER-18164
MASTER-50018</v>
      </c>
      <c r="H70" s="12" t="str" cm="1">
        <f t="array" ref="H70">_xlfn.TEXTJOIN(CHAR(10),TRUE,_xlfn._xlws.SORT(IF((--($B70=Flowdown_Inspire[[URS]:[URS]]))*(--(H$14=Flowdown_Inspire[[Source.Name]:[Source.Name]])),Flowdown_Inspire[[SyRS]:[SyRS]],"")))</f>
        <v>MASTER-21899
MASTER-21900
MASTER-21901
MASTER-22555
MASTER-22556</v>
      </c>
      <c r="I70" s="12" t="str" cm="1">
        <f t="array" ref="I70">_xlfn.TEXTJOIN(CHAR(10),TRUE,_xlfn._xlws.SORT(IF((--($B70=Flowdown_Inspire[[URS]:[URS]]))*(--(I$14=Flowdown_Inspire[[Source.Name]:[Source.Name]])),Flowdown_Inspire[[SyRS]:[SyRS]],"")))</f>
        <v/>
      </c>
      <c r="J70" s="12" t="str" cm="1">
        <f t="array" ref="J70">_xlfn.TEXTJOIN(CHAR(10),TRUE,_xlfn._xlws.SORT(IF((--($B70=Flowdown_Inspire[[URS]:[URS]]))*(--(J$14=Flowdown_Inspire[[Source.Name]:[Source.Name]])),Flowdown_Inspire[[SyRS]:[SyRS]],"")))</f>
        <v/>
      </c>
      <c r="K70" s="12" t="str" cm="1">
        <f t="array" ref="K70">_xlfn.TEXTJOIN(CHAR(10),TRUE,_xlfn._xlws.SORT(IF((--($B70=Flowdown_Inspire[[URS]:[URS]]))*(--(K$14=Flowdown_Inspire[[Source.Name]:[Source.Name]])),Flowdown_Inspire[[SyRS]:[SyRS]],"")))</f>
        <v/>
      </c>
      <c r="L70" s="16" t="b" cm="1">
        <f t="array" ref="L70">OR(LEN(C70:K70)&gt;0)</f>
        <v>1</v>
      </c>
    </row>
    <row r="71" spans="2:12" ht="229.5" x14ac:dyDescent="0.2">
      <c r="B71" s="11" t="str">
        <v>MASTER-6412</v>
      </c>
      <c r="C71" s="12" t="str" cm="1">
        <f t="array" ref="C71">_xlfn.TEXTJOIN(CHAR(10),TRUE,_xlfn._xlws.SORT(IF((--($B71=Flowdown_Inspire[[URS]:[URS]]))*(--(C$14=Flowdown_Inspire[[Source.Name]:[Source.Name]])),Flowdown_Inspire[[SyRS]:[SyRS]],"")))</f>
        <v>MASTER-18351
MASTER-18354
MASTER-18357
MASTER-18359
MASTER-18361
MASTER-18362
MASTER-18363
MASTER-55395</v>
      </c>
      <c r="D71" s="12" t="str" cm="1">
        <f t="array" ref="D71">_xlfn.TEXTJOIN(CHAR(10),TRUE,_xlfn._xlws.SORT(IF((--($B71=Flowdown_Inspire[[URS]:[URS]]))*(--(D$14=Flowdown_Inspire[[Source.Name]:[Source.Name]])),Flowdown_Inspire[[SyRS]:[SyRS]],"")))</f>
        <v>MASTER-18351
MASTER-18354
MASTER-18357
MASTER-18359
MASTER-18361
MASTER-18362
MASTER-18363
MASTER-55395</v>
      </c>
      <c r="E71" s="12" t="str" cm="1">
        <f t="array" ref="E71">_xlfn.TEXTJOIN(CHAR(10),TRUE,_xlfn._xlws.SORT(IF((--($B71=Flowdown_Inspire[[URS]:[URS]]))*(--(E$14=Flowdown_Inspire[[Source.Name]:[Source.Name]])),Flowdown_Inspire[[SyRS]:[SyRS]],"")))</f>
        <v>MASTER-18351
MASTER-18354
MASTER-18357
MASTER-18359
MASTER-18361
MASTER-18362
MASTER-18363</v>
      </c>
      <c r="F71" s="12" t="str" cm="1">
        <f t="array" ref="F71">_xlfn.TEXTJOIN(CHAR(10),TRUE,_xlfn._xlws.SORT(IF((--($B71=Flowdown_Inspire[[URS]:[URS]]))*(--(F$14=Flowdown_Inspire[[Source.Name]:[Source.Name]])),Flowdown_Inspire[[SyRS]:[SyRS]],"")))</f>
        <v>MASTER-18351
MASTER-18354
MASTER-18357
MASTER-18359
MASTER-18361
MASTER-18362
MASTER-18363</v>
      </c>
      <c r="G71" s="12" t="str" cm="1">
        <f t="array" ref="G71">_xlfn.TEXTJOIN(CHAR(10),TRUE,_xlfn._xlws.SORT(IF((--($B71=Flowdown_Inspire[[URS]:[URS]]))*(--(G$14=Flowdown_Inspire[[Source.Name]:[Source.Name]])),Flowdown_Inspire[[SyRS]:[SyRS]],"")))</f>
        <v>MASTER-18351
MASTER-18354
MASTER-18357
MASTER-18359
MASTER-18361
MASTER-18362
MASTER-18363</v>
      </c>
      <c r="H71" s="12" t="str" cm="1">
        <f t="array" ref="H71">_xlfn.TEXTJOIN(CHAR(10),TRUE,_xlfn._xlws.SORT(IF((--($B71=Flowdown_Inspire[[URS]:[URS]]))*(--(H$14=Flowdown_Inspire[[Source.Name]:[Source.Name]])),Flowdown_Inspire[[SyRS]:[SyRS]],"")))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71" s="12" t="str" cm="1">
        <f t="array" ref="I71">_xlfn.TEXTJOIN(CHAR(10),TRUE,_xlfn._xlws.SORT(IF((--($B71=Flowdown_Inspire[[URS]:[URS]]))*(--(I$14=Flowdown_Inspire[[Source.Name]:[Source.Name]])),Flowdown_Inspire[[SyRS]:[SyRS]],"")))</f>
        <v/>
      </c>
      <c r="J71" s="12" t="str" cm="1">
        <f t="array" ref="J71">_xlfn.TEXTJOIN(CHAR(10),TRUE,_xlfn._xlws.SORT(IF((--($B71=Flowdown_Inspire[[URS]:[URS]]))*(--(J$14=Flowdown_Inspire[[Source.Name]:[Source.Name]])),Flowdown_Inspire[[SyRS]:[SyRS]],"")))</f>
        <v/>
      </c>
      <c r="K71" s="12" t="str" cm="1">
        <f t="array" ref="K71">_xlfn.TEXTJOIN(CHAR(10),TRUE,_xlfn._xlws.SORT(IF((--($B71=Flowdown_Inspire[[URS]:[URS]]))*(--(K$14=Flowdown_Inspire[[Source.Name]:[Source.Name]])),Flowdown_Inspire[[SyRS]:[SyRS]],"")))</f>
        <v/>
      </c>
      <c r="L71" s="16" t="b" cm="1">
        <f t="array" ref="L71">OR(LEN(C71:K71)&gt;0)</f>
        <v>1</v>
      </c>
    </row>
    <row r="72" spans="2:12" ht="108" x14ac:dyDescent="0.2">
      <c r="B72" s="11" t="str">
        <v>MASTER-6413</v>
      </c>
      <c r="C72" s="12" t="str" cm="1">
        <f t="array" ref="C72">_xlfn.TEXTJOIN(CHAR(10),TRUE,_xlfn._xlws.SORT(IF((--($B72=Flowdown_Inspire[[URS]:[URS]]))*(--(C$14=Flowdown_Inspire[[Source.Name]:[Source.Name]])),Flowdown_Inspire[[SyRS]:[SyRS]],"")))</f>
        <v/>
      </c>
      <c r="D72" s="12" t="str" cm="1">
        <f t="array" ref="D72">_xlfn.TEXTJOIN(CHAR(10),TRUE,_xlfn._xlws.SORT(IF((--($B72=Flowdown_Inspire[[URS]:[URS]]))*(--(D$14=Flowdown_Inspire[[Source.Name]:[Source.Name]])),Flowdown_Inspire[[SyRS]:[SyRS]],"")))</f>
        <v/>
      </c>
      <c r="E72" s="12" t="str" cm="1">
        <f t="array" ref="E72">_xlfn.TEXTJOIN(CHAR(10),TRUE,_xlfn._xlws.SORT(IF((--($B72=Flowdown_Inspire[[URS]:[URS]]))*(--(E$14=Flowdown_Inspire[[Source.Name]:[Source.Name]])),Flowdown_Inspire[[SyRS]:[SyRS]],"")))</f>
        <v/>
      </c>
      <c r="F72" s="12" t="str" cm="1">
        <f t="array" ref="F72">_xlfn.TEXTJOIN(CHAR(10),TRUE,_xlfn._xlws.SORT(IF((--($B72=Flowdown_Inspire[[URS]:[URS]]))*(--(F$14=Flowdown_Inspire[[Source.Name]:[Source.Name]])),Flowdown_Inspire[[SyRS]:[SyRS]],"")))</f>
        <v/>
      </c>
      <c r="G72" s="12" t="str" cm="1">
        <f t="array" ref="G72">_xlfn.TEXTJOIN(CHAR(10),TRUE,_xlfn._xlws.SORT(IF((--($B72=Flowdown_Inspire[[URS]:[URS]]))*(--(G$14=Flowdown_Inspire[[Source.Name]:[Source.Name]])),Flowdown_Inspire[[SyRS]:[SyRS]],"")))</f>
        <v/>
      </c>
      <c r="H72" s="12" t="str" cm="1">
        <f t="array" ref="H72">_xlfn.TEXTJOIN(CHAR(10),TRUE,_xlfn._xlws.SORT(IF((--($B72=Flowdown_Inspire[[URS]:[URS]]))*(--(H$14=Flowdown_Inspire[[Source.Name]:[Source.Name]])),Flowdown_Inspire[[SyRS]:[SyRS]],"")))</f>
        <v>MASTER-21975
MASTER-21979
MASTER-21987
MASTER-21996
MASTER-50255
MASTER-50256
MASTER-50257
MASTER-50258</v>
      </c>
      <c r="I72" s="12" t="str" cm="1">
        <f t="array" ref="I72">_xlfn.TEXTJOIN(CHAR(10),TRUE,_xlfn._xlws.SORT(IF((--($B72=Flowdown_Inspire[[URS]:[URS]]))*(--(I$14=Flowdown_Inspire[[Source.Name]:[Source.Name]])),Flowdown_Inspire[[SyRS]:[SyRS]],"")))</f>
        <v/>
      </c>
      <c r="J72" s="12" t="str" cm="1">
        <f t="array" ref="J72">_xlfn.TEXTJOIN(CHAR(10),TRUE,_xlfn._xlws.SORT(IF((--($B72=Flowdown_Inspire[[URS]:[URS]]))*(--(J$14=Flowdown_Inspire[[Source.Name]:[Source.Name]])),Flowdown_Inspire[[SyRS]:[SyRS]],"")))</f>
        <v/>
      </c>
      <c r="K72" s="12" t="str" cm="1">
        <f t="array" ref="K72">_xlfn.TEXTJOIN(CHAR(10),TRUE,_xlfn._xlws.SORT(IF((--($B72=Flowdown_Inspire[[URS]:[URS]]))*(--(K$14=Flowdown_Inspire[[Source.Name]:[Source.Name]])),Flowdown_Inspire[[SyRS]:[SyRS]],"")))</f>
        <v/>
      </c>
      <c r="L72" s="16" t="b" cm="1">
        <f t="array" ref="L72">OR(LEN(C72:K72)&gt;0)</f>
        <v>1</v>
      </c>
    </row>
    <row r="73" spans="2:12" ht="40.5" x14ac:dyDescent="0.2">
      <c r="B73" s="11" t="str">
        <v>MASTER-6414</v>
      </c>
      <c r="C73" s="12" t="str" cm="1">
        <f t="array" ref="C73">_xlfn.TEXTJOIN(CHAR(10),TRUE,_xlfn._xlws.SORT(IF((--($B73=Flowdown_Inspire[[URS]:[URS]]))*(--(C$14=Flowdown_Inspire[[Source.Name]:[Source.Name]])),Flowdown_Inspire[[SyRS]:[SyRS]],"")))</f>
        <v>MASTER-18352
MASTER-18360
MASTER-19249</v>
      </c>
      <c r="D73" s="12" t="str" cm="1">
        <f t="array" ref="D73">_xlfn.TEXTJOIN(CHAR(10),TRUE,_xlfn._xlws.SORT(IF((--($B73=Flowdown_Inspire[[URS]:[URS]]))*(--(D$14=Flowdown_Inspire[[Source.Name]:[Source.Name]])),Flowdown_Inspire[[SyRS]:[SyRS]],"")))</f>
        <v>MASTER-18352
MASTER-18360
MASTER-19249</v>
      </c>
      <c r="E73" s="12" t="str" cm="1">
        <f t="array" ref="E73">_xlfn.TEXTJOIN(CHAR(10),TRUE,_xlfn._xlws.SORT(IF((--($B73=Flowdown_Inspire[[URS]:[URS]]))*(--(E$14=Flowdown_Inspire[[Source.Name]:[Source.Name]])),Flowdown_Inspire[[SyRS]:[SyRS]],"")))</f>
        <v>MASTER-18352
MASTER-18360
MASTER-19249</v>
      </c>
      <c r="F73" s="12" t="str" cm="1">
        <f t="array" ref="F73">_xlfn.TEXTJOIN(CHAR(10),TRUE,_xlfn._xlws.SORT(IF((--($B73=Flowdown_Inspire[[URS]:[URS]]))*(--(F$14=Flowdown_Inspire[[Source.Name]:[Source.Name]])),Flowdown_Inspire[[SyRS]:[SyRS]],"")))</f>
        <v>MASTER-18352
MASTER-18360
MASTER-19249</v>
      </c>
      <c r="G73" s="12" t="str" cm="1">
        <f t="array" ref="G73">_xlfn.TEXTJOIN(CHAR(10),TRUE,_xlfn._xlws.SORT(IF((--($B73=Flowdown_Inspire[[URS]:[URS]]))*(--(G$14=Flowdown_Inspire[[Source.Name]:[Source.Name]])),Flowdown_Inspire[[SyRS]:[SyRS]],"")))</f>
        <v>MASTER-18352
MASTER-18360
MASTER-19249</v>
      </c>
      <c r="H73" s="12" t="str" cm="1">
        <f t="array" ref="H73">_xlfn.TEXTJOIN(CHAR(10),TRUE,_xlfn._xlws.SORT(IF((--($B73=Flowdown_Inspire[[URS]:[URS]]))*(--(H$14=Flowdown_Inspire[[Source.Name]:[Source.Name]])),Flowdown_Inspire[[SyRS]:[SyRS]],"")))</f>
        <v>MASTER-21984
MASTER-21993
MASTER-22002</v>
      </c>
      <c r="I73" s="12" t="str" cm="1">
        <f t="array" ref="I73">_xlfn.TEXTJOIN(CHAR(10),TRUE,_xlfn._xlws.SORT(IF((--($B73=Flowdown_Inspire[[URS]:[URS]]))*(--(I$14=Flowdown_Inspire[[Source.Name]:[Source.Name]])),Flowdown_Inspire[[SyRS]:[SyRS]],"")))</f>
        <v/>
      </c>
      <c r="J73" s="12" t="str" cm="1">
        <f t="array" ref="J73">_xlfn.TEXTJOIN(CHAR(10),TRUE,_xlfn._xlws.SORT(IF((--($B73=Flowdown_Inspire[[URS]:[URS]]))*(--(J$14=Flowdown_Inspire[[Source.Name]:[Source.Name]])),Flowdown_Inspire[[SyRS]:[SyRS]],"")))</f>
        <v/>
      </c>
      <c r="K73" s="12" t="str" cm="1">
        <f t="array" ref="K73">_xlfn.TEXTJOIN(CHAR(10),TRUE,_xlfn._xlws.SORT(IF((--($B73=Flowdown_Inspire[[URS]:[URS]]))*(--(K$14=Flowdown_Inspire[[Source.Name]:[Source.Name]])),Flowdown_Inspire[[SyRS]:[SyRS]],"")))</f>
        <v/>
      </c>
      <c r="L73" s="16" t="b" cm="1">
        <f t="array" ref="L73">OR(LEN(C73:K73)&gt;0)</f>
        <v>1</v>
      </c>
    </row>
    <row r="74" spans="2:12" ht="27" x14ac:dyDescent="0.2">
      <c r="B74" s="11" t="str">
        <v>MASTER-6415</v>
      </c>
      <c r="C74" s="12" t="str" cm="1">
        <f t="array" ref="C74">_xlfn.TEXTJOIN(CHAR(10),TRUE,_xlfn._xlws.SORT(IF((--($B74=Flowdown_Inspire[[URS]:[URS]]))*(--(C$14=Flowdown_Inspire[[Source.Name]:[Source.Name]])),Flowdown_Inspire[[SyRS]:[SyRS]],"")))</f>
        <v>MASTER-18634
MASTER-18638</v>
      </c>
      <c r="D74" s="12" t="str" cm="1">
        <f t="array" ref="D74">_xlfn.TEXTJOIN(CHAR(10),TRUE,_xlfn._xlws.SORT(IF((--($B74=Flowdown_Inspire[[URS]:[URS]]))*(--(D$14=Flowdown_Inspire[[Source.Name]:[Source.Name]])),Flowdown_Inspire[[SyRS]:[SyRS]],"")))</f>
        <v>MASTER-18634
MASTER-18638</v>
      </c>
      <c r="E74" s="12" t="str" cm="1">
        <f t="array" ref="E74">_xlfn.TEXTJOIN(CHAR(10),TRUE,_xlfn._xlws.SORT(IF((--($B74=Flowdown_Inspire[[URS]:[URS]]))*(--(E$14=Flowdown_Inspire[[Source.Name]:[Source.Name]])),Flowdown_Inspire[[SyRS]:[SyRS]],"")))</f>
        <v>MASTER-18634
MASTER-18638</v>
      </c>
      <c r="F74" s="12" t="str" cm="1">
        <f t="array" ref="F74">_xlfn.TEXTJOIN(CHAR(10),TRUE,_xlfn._xlws.SORT(IF((--($B74=Flowdown_Inspire[[URS]:[URS]]))*(--(F$14=Flowdown_Inspire[[Source.Name]:[Source.Name]])),Flowdown_Inspire[[SyRS]:[SyRS]],"")))</f>
        <v>MASTER-18634
MASTER-18638</v>
      </c>
      <c r="G74" s="12" t="str" cm="1">
        <f t="array" ref="G74">_xlfn.TEXTJOIN(CHAR(10),TRUE,_xlfn._xlws.SORT(IF((--($B74=Flowdown_Inspire[[URS]:[URS]]))*(--(G$14=Flowdown_Inspire[[Source.Name]:[Source.Name]])),Flowdown_Inspire[[SyRS]:[SyRS]],"")))</f>
        <v>MASTER-18634
MASTER-18638</v>
      </c>
      <c r="H74" s="12" t="str" cm="1">
        <f t="array" ref="H74">_xlfn.TEXTJOIN(CHAR(10),TRUE,_xlfn._xlws.SORT(IF((--($B74=Flowdown_Inspire[[URS]:[URS]]))*(--(H$14=Flowdown_Inspire[[Source.Name]:[Source.Name]])),Flowdown_Inspire[[SyRS]:[SyRS]],"")))</f>
        <v>MASTER-51789</v>
      </c>
      <c r="I74" s="12" t="str" cm="1">
        <f t="array" ref="I74">_xlfn.TEXTJOIN(CHAR(10),TRUE,_xlfn._xlws.SORT(IF((--($B74=Flowdown_Inspire[[URS]:[URS]]))*(--(I$14=Flowdown_Inspire[[Source.Name]:[Source.Name]])),Flowdown_Inspire[[SyRS]:[SyRS]],"")))</f>
        <v/>
      </c>
      <c r="J74" s="12" t="str" cm="1">
        <f t="array" ref="J74">_xlfn.TEXTJOIN(CHAR(10),TRUE,_xlfn._xlws.SORT(IF((--($B74=Flowdown_Inspire[[URS]:[URS]]))*(--(J$14=Flowdown_Inspire[[Source.Name]:[Source.Name]])),Flowdown_Inspire[[SyRS]:[SyRS]],"")))</f>
        <v/>
      </c>
      <c r="K74" s="12" t="str" cm="1">
        <f t="array" ref="K74">_xlfn.TEXTJOIN(CHAR(10),TRUE,_xlfn._xlws.SORT(IF((--($B74=Flowdown_Inspire[[URS]:[URS]]))*(--(K$14=Flowdown_Inspire[[Source.Name]:[Source.Name]])),Flowdown_Inspire[[SyRS]:[SyRS]],"")))</f>
        <v/>
      </c>
      <c r="L74" s="16" t="b" cm="1">
        <f t="array" ref="L74">OR(LEN(C74:K74)&gt;0)</f>
        <v>1</v>
      </c>
    </row>
    <row r="75" spans="2:12" ht="229.5" x14ac:dyDescent="0.2">
      <c r="B75" s="11" t="str">
        <v>MASTER-6434</v>
      </c>
      <c r="C75" s="12" t="str" cm="1">
        <f t="array" ref="C75">_xlfn.TEXTJOIN(CHAR(10),TRUE,_xlfn._xlws.SORT(IF((--($B75=Flowdown_Inspire[[URS]:[URS]]))*(--(C$14=Flowdown_Inspire[[Source.Name]:[Source.Name]])),Flowdown_Inspire[[SyRS]:[SyRS]],"")))</f>
        <v>MASTER-18465</v>
      </c>
      <c r="D75" s="12" t="str" cm="1">
        <f t="array" ref="D75">_xlfn.TEXTJOIN(CHAR(10),TRUE,_xlfn._xlws.SORT(IF((--($B75=Flowdown_Inspire[[URS]:[URS]]))*(--(D$14=Flowdown_Inspire[[Source.Name]:[Source.Name]])),Flowdown_Inspire[[SyRS]:[SyRS]],"")))</f>
        <v>MASTER-18465</v>
      </c>
      <c r="E75" s="12" t="str" cm="1">
        <f t="array" ref="E75">_xlfn.TEXTJOIN(CHAR(10),TRUE,_xlfn._xlws.SORT(IF((--($B75=Flowdown_Inspire[[URS]:[URS]]))*(--(E$14=Flowdown_Inspire[[Source.Name]:[Source.Name]])),Flowdown_Inspire[[SyRS]:[SyRS]],"")))</f>
        <v>MASTER-18465</v>
      </c>
      <c r="F75" s="12" t="str" cm="1">
        <f t="array" ref="F75">_xlfn.TEXTJOIN(CHAR(10),TRUE,_xlfn._xlws.SORT(IF((--($B75=Flowdown_Inspire[[URS]:[URS]]))*(--(F$14=Flowdown_Inspire[[Source.Name]:[Source.Name]])),Flowdown_Inspire[[SyRS]:[SyRS]],"")))</f>
        <v>MASTER-18465</v>
      </c>
      <c r="G75" s="12" t="str" cm="1">
        <f t="array" ref="G75">_xlfn.TEXTJOIN(CHAR(10),TRUE,_xlfn._xlws.SORT(IF((--($B75=Flowdown_Inspire[[URS]:[URS]]))*(--(G$14=Flowdown_Inspire[[Source.Name]:[Source.Name]])),Flowdown_Inspire[[SyRS]:[SyRS]],"")))</f>
        <v>MASTER-18465</v>
      </c>
      <c r="H75" s="12" t="str" cm="1">
        <f t="array" ref="H75">_xlfn.TEXTJOIN(CHAR(10),TRUE,_xlfn._xlws.SORT(IF((--($B75=Flowdown_Inspire[[URS]:[URS]]))*(--(H$14=Flowdown_Inspire[[Source.Name]:[Source.Name]])),Flowdown_Inspire[[SyRS]:[SyRS]],"")))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75" s="12" t="str" cm="1">
        <f t="array" ref="I75">_xlfn.TEXTJOIN(CHAR(10),TRUE,_xlfn._xlws.SORT(IF((--($B75=Flowdown_Inspire[[URS]:[URS]]))*(--(I$14=Flowdown_Inspire[[Source.Name]:[Source.Name]])),Flowdown_Inspire[[SyRS]:[SyRS]],"")))</f>
        <v/>
      </c>
      <c r="J75" s="12" t="str" cm="1">
        <f t="array" ref="J75">_xlfn.TEXTJOIN(CHAR(10),TRUE,_xlfn._xlws.SORT(IF((--($B75=Flowdown_Inspire[[URS]:[URS]]))*(--(J$14=Flowdown_Inspire[[Source.Name]:[Source.Name]])),Flowdown_Inspire[[SyRS]:[SyRS]],"")))</f>
        <v/>
      </c>
      <c r="K75" s="12" t="str" cm="1">
        <f t="array" ref="K75">_xlfn.TEXTJOIN(CHAR(10),TRUE,_xlfn._xlws.SORT(IF((--($B75=Flowdown_Inspire[[URS]:[URS]]))*(--(K$14=Flowdown_Inspire[[Source.Name]:[Source.Name]])),Flowdown_Inspire[[SyRS]:[SyRS]],"")))</f>
        <v/>
      </c>
      <c r="L75" s="16" t="b" cm="1">
        <f t="array" ref="L75">OR(LEN(C75:K75)&gt;0)</f>
        <v>1</v>
      </c>
    </row>
    <row r="76" spans="2:12" ht="121.5" x14ac:dyDescent="0.2">
      <c r="B76" s="11" t="str">
        <v>MASTER-6435</v>
      </c>
      <c r="C76" s="12" t="str" cm="1">
        <f t="array" ref="C76">_xlfn.TEXTJOIN(CHAR(10),TRUE,_xlfn._xlws.SORT(IF((--($B76=Flowdown_Inspire[[URS]:[URS]]))*(--(C$14=Flowdown_Inspire[[Source.Name]:[Source.Name]])),Flowdown_Inspire[[SyRS]:[SyRS]],"")))</f>
        <v>MASTER-18463
MASTER-18464
MASTER-18471
MASTER-18473
MASTER-18474
MASTER-18476
MASTER-18478</v>
      </c>
      <c r="D76" s="12" t="str" cm="1">
        <f t="array" ref="D76">_xlfn.TEXTJOIN(CHAR(10),TRUE,_xlfn._xlws.SORT(IF((--($B76=Flowdown_Inspire[[URS]:[URS]]))*(--(D$14=Flowdown_Inspire[[Source.Name]:[Source.Name]])),Flowdown_Inspire[[SyRS]:[SyRS]],"")))</f>
        <v>MASTER-18463
MASTER-18464
MASTER-18471
MASTER-18473
MASTER-18474
MASTER-18476
MASTER-18478</v>
      </c>
      <c r="E76" s="12" t="str" cm="1">
        <f t="array" ref="E76">_xlfn.TEXTJOIN(CHAR(10),TRUE,_xlfn._xlws.SORT(IF((--($B76=Flowdown_Inspire[[URS]:[URS]]))*(--(E$14=Flowdown_Inspire[[Source.Name]:[Source.Name]])),Flowdown_Inspire[[SyRS]:[SyRS]],"")))</f>
        <v>MASTER-18463
MASTER-18464
MASTER-18471
MASTER-18473
MASTER-18474
MASTER-18476
MASTER-18478</v>
      </c>
      <c r="F76" s="12" t="str" cm="1">
        <f t="array" ref="F76">_xlfn.TEXTJOIN(CHAR(10),TRUE,_xlfn._xlws.SORT(IF((--($B76=Flowdown_Inspire[[URS]:[URS]]))*(--(F$14=Flowdown_Inspire[[Source.Name]:[Source.Name]])),Flowdown_Inspire[[SyRS]:[SyRS]],"")))</f>
        <v>MASTER-18463
MASTER-18464
MASTER-18471
MASTER-18473
MASTER-18474
MASTER-18476
MASTER-18478</v>
      </c>
      <c r="G76" s="12" t="str" cm="1">
        <f t="array" ref="G76">_xlfn.TEXTJOIN(CHAR(10),TRUE,_xlfn._xlws.SORT(IF((--($B76=Flowdown_Inspire[[URS]:[URS]]))*(--(G$14=Flowdown_Inspire[[Source.Name]:[Source.Name]])),Flowdown_Inspire[[SyRS]:[SyRS]],"")))</f>
        <v>MASTER-18463
MASTER-18464
MASTER-18471
MASTER-18473
MASTER-18474
MASTER-18476
MASTER-18478</v>
      </c>
      <c r="H76" s="12" t="str" cm="1">
        <f t="array" ref="H76">_xlfn.TEXTJOIN(CHAR(10),TRUE,_xlfn._xlws.SORT(IF((--($B76=Flowdown_Inspire[[URS]:[URS]]))*(--(H$14=Flowdown_Inspire[[Source.Name]:[Source.Name]])),Flowdown_Inspire[[SyRS]:[SyRS]],"")))</f>
        <v>MASTER-22008
MASTER-22009
MASTER-22010
MASTER-22011
MASTER-22012
MASTER-22013
MASTER-49934
MASTER-49935
MASTER-49937</v>
      </c>
      <c r="I76" s="12" t="str" cm="1">
        <f t="array" ref="I76">_xlfn.TEXTJOIN(CHAR(10),TRUE,_xlfn._xlws.SORT(IF((--($B76=Flowdown_Inspire[[URS]:[URS]]))*(--(I$14=Flowdown_Inspire[[Source.Name]:[Source.Name]])),Flowdown_Inspire[[SyRS]:[SyRS]],"")))</f>
        <v/>
      </c>
      <c r="J76" s="12" t="str" cm="1">
        <f t="array" ref="J76">_xlfn.TEXTJOIN(CHAR(10),TRUE,_xlfn._xlws.SORT(IF((--($B76=Flowdown_Inspire[[URS]:[URS]]))*(--(J$14=Flowdown_Inspire[[Source.Name]:[Source.Name]])),Flowdown_Inspire[[SyRS]:[SyRS]],"")))</f>
        <v/>
      </c>
      <c r="K76" s="12" t="str" cm="1">
        <f t="array" ref="K76">_xlfn.TEXTJOIN(CHAR(10),TRUE,_xlfn._xlws.SORT(IF((--($B76=Flowdown_Inspire[[URS]:[URS]]))*(--(K$14=Flowdown_Inspire[[Source.Name]:[Source.Name]])),Flowdown_Inspire[[SyRS]:[SyRS]],"")))</f>
        <v/>
      </c>
      <c r="L76" s="16" t="b" cm="1">
        <f t="array" ref="L76">OR(LEN(C76:K76)&gt;0)</f>
        <v>1</v>
      </c>
    </row>
    <row r="77" spans="2:12" ht="94.5" x14ac:dyDescent="0.2">
      <c r="B77" s="11" t="str">
        <v>MASTER-6436</v>
      </c>
      <c r="C77" s="12" t="str" cm="1">
        <f t="array" ref="C77">_xlfn.TEXTJOIN(CHAR(10),TRUE,_xlfn._xlws.SORT(IF((--($B77=Flowdown_Inspire[[URS]:[URS]]))*(--(C$14=Flowdown_Inspire[[Source.Name]:[Source.Name]])),Flowdown_Inspire[[SyRS]:[SyRS]],"")))</f>
        <v>MASTER-18472
MASTER-18483</v>
      </c>
      <c r="D77" s="12" t="str" cm="1">
        <f t="array" ref="D77">_xlfn.TEXTJOIN(CHAR(10),TRUE,_xlfn._xlws.SORT(IF((--($B77=Flowdown_Inspire[[URS]:[URS]]))*(--(D$14=Flowdown_Inspire[[Source.Name]:[Source.Name]])),Flowdown_Inspire[[SyRS]:[SyRS]],"")))</f>
        <v>MASTER-18472
MASTER-18483</v>
      </c>
      <c r="E77" s="12" t="str" cm="1">
        <f t="array" ref="E77">_xlfn.TEXTJOIN(CHAR(10),TRUE,_xlfn._xlws.SORT(IF((--($B77=Flowdown_Inspire[[URS]:[URS]]))*(--(E$14=Flowdown_Inspire[[Source.Name]:[Source.Name]])),Flowdown_Inspire[[SyRS]:[SyRS]],"")))</f>
        <v>MASTER-18472
MASTER-18483</v>
      </c>
      <c r="F77" s="12" t="str" cm="1">
        <f t="array" ref="F77">_xlfn.TEXTJOIN(CHAR(10),TRUE,_xlfn._xlws.SORT(IF((--($B77=Flowdown_Inspire[[URS]:[URS]]))*(--(F$14=Flowdown_Inspire[[Source.Name]:[Source.Name]])),Flowdown_Inspire[[SyRS]:[SyRS]],"")))</f>
        <v>MASTER-18472
MASTER-18483</v>
      </c>
      <c r="G77" s="12" t="str" cm="1">
        <f t="array" ref="G77">_xlfn.TEXTJOIN(CHAR(10),TRUE,_xlfn._xlws.SORT(IF((--($B77=Flowdown_Inspire[[URS]:[URS]]))*(--(G$14=Flowdown_Inspire[[Source.Name]:[Source.Name]])),Flowdown_Inspire[[SyRS]:[SyRS]],"")))</f>
        <v>MASTER-18472
MASTER-18483</v>
      </c>
      <c r="H77" s="12" t="str" cm="1">
        <f t="array" ref="H77">_xlfn.TEXTJOIN(CHAR(10),TRUE,_xlfn._xlws.SORT(IF((--($B77=Flowdown_Inspire[[URS]:[URS]]))*(--(H$14=Flowdown_Inspire[[Source.Name]:[Source.Name]])),Flowdown_Inspire[[SyRS]:[SyRS]],"")))</f>
        <v>MASTER-22008
MASTER-22009
MASTER-22012
MASTER-22013
MASTER-49934
MASTER-49935
MASTER-49937</v>
      </c>
      <c r="I77" s="12" t="str" cm="1">
        <f t="array" ref="I77">_xlfn.TEXTJOIN(CHAR(10),TRUE,_xlfn._xlws.SORT(IF((--($B77=Flowdown_Inspire[[URS]:[URS]]))*(--(I$14=Flowdown_Inspire[[Source.Name]:[Source.Name]])),Flowdown_Inspire[[SyRS]:[SyRS]],"")))</f>
        <v/>
      </c>
      <c r="J77" s="12" t="str" cm="1">
        <f t="array" ref="J77">_xlfn.TEXTJOIN(CHAR(10),TRUE,_xlfn._xlws.SORT(IF((--($B77=Flowdown_Inspire[[URS]:[URS]]))*(--(J$14=Flowdown_Inspire[[Source.Name]:[Source.Name]])),Flowdown_Inspire[[SyRS]:[SyRS]],"")))</f>
        <v/>
      </c>
      <c r="K77" s="12" t="str" cm="1">
        <f t="array" ref="K77">_xlfn.TEXTJOIN(CHAR(10),TRUE,_xlfn._xlws.SORT(IF((--($B77=Flowdown_Inspire[[URS]:[URS]]))*(--(K$14=Flowdown_Inspire[[Source.Name]:[Source.Name]])),Flowdown_Inspire[[SyRS]:[SyRS]],"")))</f>
        <v/>
      </c>
      <c r="L77" s="16" t="b" cm="1">
        <f t="array" ref="L77">OR(LEN(C77:K77)&gt;0)</f>
        <v>1</v>
      </c>
    </row>
    <row r="78" spans="2:12" ht="216" x14ac:dyDescent="0.2">
      <c r="B78" s="11" t="str">
        <v>MASTER-64367</v>
      </c>
      <c r="C78" s="12" t="str" cm="1">
        <f t="array" ref="C78">_xlfn.TEXTJOIN(CHAR(10),TRUE,_xlfn._xlws.SORT(IF((--($B78=Flowdown_Inspire[[URS]:[URS]]))*(--(C$14=Flowdown_Inspire[[Source.Name]:[Source.Name]])),Flowdown_Inspire[[SyRS]:[SyRS]],"")))</f>
        <v/>
      </c>
      <c r="D78" s="12" t="str" cm="1">
        <f t="array" ref="D78">_xlfn.TEXTJOIN(CHAR(10),TRUE,_xlfn._xlws.SORT(IF((--($B78=Flowdown_Inspire[[URS]:[URS]]))*(--(D$14=Flowdown_Inspire[[Source.Name]:[Source.Name]])),Flowdown_Inspire[[SyRS]:[SyRS]],"")))</f>
        <v/>
      </c>
      <c r="E78" s="12" t="str" cm="1">
        <f t="array" ref="E78">_xlfn.TEXTJOIN(CHAR(10),TRUE,_xlfn._xlws.SORT(IF((--($B78=Flowdown_Inspire[[URS]:[URS]]))*(--(E$14=Flowdown_Inspire[[Source.Name]:[Source.Name]])),Flowdown_Inspire[[SyRS]:[SyRS]],"")))</f>
        <v/>
      </c>
      <c r="F78" s="12" t="str" cm="1">
        <f t="array" ref="F78">_xlfn.TEXTJOIN(CHAR(10),TRUE,_xlfn._xlws.SORT(IF((--($B78=Flowdown_Inspire[[URS]:[URS]]))*(--(F$14=Flowdown_Inspire[[Source.Name]:[Source.Name]])),Flowdown_Inspire[[SyRS]:[SyRS]],"")))</f>
        <v/>
      </c>
      <c r="G78" s="12" t="str" cm="1">
        <f t="array" ref="G78">_xlfn.TEXTJOIN(CHAR(10),TRUE,_xlfn._xlws.SORT(IF((--($B78=Flowdown_Inspire[[URS]:[URS]]))*(--(G$14=Flowdown_Inspire[[Source.Name]:[Source.Name]])),Flowdown_Inspire[[SyRS]:[SyRS]],"")))</f>
        <v/>
      </c>
      <c r="H78" s="12" t="str" cm="1">
        <f t="array" ref="H78">_xlfn.TEXTJOIN(CHAR(10),TRUE,_xlfn._xlws.SORT(IF((--($B78=Flowdown_Inspire[[URS]:[URS]]))*(--(H$14=Flowdown_Inspire[[Source.Name]:[Source.Name]])),Flowdown_Inspire[[SyRS]:[SyRS]],"")))</f>
        <v/>
      </c>
      <c r="I78" s="12" t="str" cm="1">
        <f t="array" ref="I78">_xlfn.TEXTJOIN(CHAR(10),TRUE,_xlfn._xlws.SORT(IF((--($B78=Flowdown_Inspire[[URS]:[URS]]))*(--(I$14=Flowdown_Inspire[[Source.Name]:[Source.Name]])),Flowdown_Inspire[[SyRS]:[SyRS]],"")))</f>
        <v/>
      </c>
      <c r="J78" s="12" t="str" cm="1">
        <f t="array" ref="J78">_xlfn.TEXTJOIN(CHAR(10),TRUE,_xlfn._xlws.SORT(IF((--($B78=Flowdown_Inspire[[URS]:[URS]]))*(--(J$14=Flowdown_Inspire[[Source.Name]:[Source.Name]])),Flowdown_Inspire[[SyRS]:[SyRS]],"")))</f>
        <v/>
      </c>
      <c r="K78" s="12" t="str" cm="1">
        <f t="array" ref="K78">_xlfn.TEXTJOIN(CHAR(10),TRUE,_xlfn._xlws.SORT(IF((--($B78=Flowdown_Inspire[[URS]:[URS]]))*(--(K$14=Flowdown_Inspire[[Source.Name]:[Source.Name]])),Flowdown_Inspire[[SyRS]:[SyRS]],"")))</f>
        <v>MASTER-64573
MASTER-64576
MASTER-64577
MASTER-64578
MASTER-64579
MASTER-64580
MASTER-64581
MASTER-64582
MASTER-64584
MASTER-64585
MASTER-64586
MASTER-64587
MASTER-64588
MASTER-64591
MASTER-64592
MASTER-64594</v>
      </c>
      <c r="L78" s="16" t="b" cm="1">
        <f t="array" ref="L78">OR(LEN(C78:K78)&gt;0)</f>
        <v>1</v>
      </c>
    </row>
    <row r="79" spans="2:12" ht="54" x14ac:dyDescent="0.2">
      <c r="B79" s="11" t="str">
        <v>MASTER-64368</v>
      </c>
      <c r="C79" s="12" t="str" cm="1">
        <f t="array" ref="C79">_xlfn.TEXTJOIN(CHAR(10),TRUE,_xlfn._xlws.SORT(IF((--($B79=Flowdown_Inspire[[URS]:[URS]]))*(--(C$14=Flowdown_Inspire[[Source.Name]:[Source.Name]])),Flowdown_Inspire[[SyRS]:[SyRS]],"")))</f>
        <v/>
      </c>
      <c r="D79" s="12" t="str" cm="1">
        <f t="array" ref="D79">_xlfn.TEXTJOIN(CHAR(10),TRUE,_xlfn._xlws.SORT(IF((--($B79=Flowdown_Inspire[[URS]:[URS]]))*(--(D$14=Flowdown_Inspire[[Source.Name]:[Source.Name]])),Flowdown_Inspire[[SyRS]:[SyRS]],"")))</f>
        <v/>
      </c>
      <c r="E79" s="12" t="str" cm="1">
        <f t="array" ref="E79">_xlfn.TEXTJOIN(CHAR(10),TRUE,_xlfn._xlws.SORT(IF((--($B79=Flowdown_Inspire[[URS]:[URS]]))*(--(E$14=Flowdown_Inspire[[Source.Name]:[Source.Name]])),Flowdown_Inspire[[SyRS]:[SyRS]],"")))</f>
        <v/>
      </c>
      <c r="F79" s="12" t="str" cm="1">
        <f t="array" ref="F79">_xlfn.TEXTJOIN(CHAR(10),TRUE,_xlfn._xlws.SORT(IF((--($B79=Flowdown_Inspire[[URS]:[URS]]))*(--(F$14=Flowdown_Inspire[[Source.Name]:[Source.Name]])),Flowdown_Inspire[[SyRS]:[SyRS]],"")))</f>
        <v/>
      </c>
      <c r="G79" s="12" t="str" cm="1">
        <f t="array" ref="G79">_xlfn.TEXTJOIN(CHAR(10),TRUE,_xlfn._xlws.SORT(IF((--($B79=Flowdown_Inspire[[URS]:[URS]]))*(--(G$14=Flowdown_Inspire[[Source.Name]:[Source.Name]])),Flowdown_Inspire[[SyRS]:[SyRS]],"")))</f>
        <v/>
      </c>
      <c r="H79" s="12" t="str" cm="1">
        <f t="array" ref="H79">_xlfn.TEXTJOIN(CHAR(10),TRUE,_xlfn._xlws.SORT(IF((--($B79=Flowdown_Inspire[[URS]:[URS]]))*(--(H$14=Flowdown_Inspire[[Source.Name]:[Source.Name]])),Flowdown_Inspire[[SyRS]:[SyRS]],"")))</f>
        <v>MASTER-63153
MASTER-63155
MASTER-63164
MASTER-63165</v>
      </c>
      <c r="I79" s="12" t="str" cm="1">
        <f t="array" ref="I79">_xlfn.TEXTJOIN(CHAR(10),TRUE,_xlfn._xlws.SORT(IF((--($B79=Flowdown_Inspire[[URS]:[URS]]))*(--(I$14=Flowdown_Inspire[[Source.Name]:[Source.Name]])),Flowdown_Inspire[[SyRS]:[SyRS]],"")))</f>
        <v/>
      </c>
      <c r="J79" s="12" t="str" cm="1">
        <f t="array" ref="J79">_xlfn.TEXTJOIN(CHAR(10),TRUE,_xlfn._xlws.SORT(IF((--($B79=Flowdown_Inspire[[URS]:[URS]]))*(--(J$14=Flowdown_Inspire[[Source.Name]:[Source.Name]])),Flowdown_Inspire[[SyRS]:[SyRS]],"")))</f>
        <v/>
      </c>
      <c r="K79" s="12" t="str" cm="1">
        <f t="array" ref="K79">_xlfn.TEXTJOIN(CHAR(10),TRUE,_xlfn._xlws.SORT(IF((--($B79=Flowdown_Inspire[[URS]:[URS]]))*(--(K$14=Flowdown_Inspire[[Source.Name]:[Source.Name]])),Flowdown_Inspire[[SyRS]:[SyRS]],"")))</f>
        <v/>
      </c>
      <c r="L79" s="16" t="b" cm="1">
        <f t="array" ref="L79">OR(LEN(C79:K79)&gt;0)</f>
        <v>1</v>
      </c>
    </row>
    <row r="80" spans="2:12" ht="108" x14ac:dyDescent="0.2">
      <c r="B80" s="11" t="str">
        <v>MASTER-6437</v>
      </c>
      <c r="C80" s="12" t="str" cm="1">
        <f t="array" ref="C80">_xlfn.TEXTJOIN(CHAR(10),TRUE,_xlfn._xlws.SORT(IF((--($B80=Flowdown_Inspire[[URS]:[URS]]))*(--(C$14=Flowdown_Inspire[[Source.Name]:[Source.Name]])),Flowdown_Inspire[[SyRS]:[SyRS]],"")))</f>
        <v>MASTER-18467
MASTER-18562
MASTER-19249</v>
      </c>
      <c r="D80" s="12" t="str" cm="1">
        <f t="array" ref="D80">_xlfn.TEXTJOIN(CHAR(10),TRUE,_xlfn._xlws.SORT(IF((--($B80=Flowdown_Inspire[[URS]:[URS]]))*(--(D$14=Flowdown_Inspire[[Source.Name]:[Source.Name]])),Flowdown_Inspire[[SyRS]:[SyRS]],"")))</f>
        <v>MASTER-18467
MASTER-18562
MASTER-19249</v>
      </c>
      <c r="E80" s="12" t="str" cm="1">
        <f t="array" ref="E80">_xlfn.TEXTJOIN(CHAR(10),TRUE,_xlfn._xlws.SORT(IF((--($B80=Flowdown_Inspire[[URS]:[URS]]))*(--(E$14=Flowdown_Inspire[[Source.Name]:[Source.Name]])),Flowdown_Inspire[[SyRS]:[SyRS]],"")))</f>
        <v>MASTER-18467
MASTER-18562
MASTER-19249</v>
      </c>
      <c r="F80" s="12" t="str" cm="1">
        <f t="array" ref="F80">_xlfn.TEXTJOIN(CHAR(10),TRUE,_xlfn._xlws.SORT(IF((--($B80=Flowdown_Inspire[[URS]:[URS]]))*(--(F$14=Flowdown_Inspire[[Source.Name]:[Source.Name]])),Flowdown_Inspire[[SyRS]:[SyRS]],"")))</f>
        <v>MASTER-18467
MASTER-18562
MASTER-19249</v>
      </c>
      <c r="G80" s="12" t="str" cm="1">
        <f t="array" ref="G80">_xlfn.TEXTJOIN(CHAR(10),TRUE,_xlfn._xlws.SORT(IF((--($B80=Flowdown_Inspire[[URS]:[URS]]))*(--(G$14=Flowdown_Inspire[[Source.Name]:[Source.Name]])),Flowdown_Inspire[[SyRS]:[SyRS]],"")))</f>
        <v>MASTER-18467
MASTER-18562
MASTER-19249</v>
      </c>
      <c r="H80" s="12" t="str" cm="1">
        <f t="array" ref="H80">_xlfn.TEXTJOIN(CHAR(10),TRUE,_xlfn._xlws.SORT(IF((--($B80=Flowdown_Inspire[[URS]:[URS]]))*(--(H$14=Flowdown_Inspire[[Source.Name]:[Source.Name]])),Flowdown_Inspire[[SyRS]:[SyRS]],"")))</f>
        <v>MASTER-22008
MASTER-22009
MASTER-22010
MASTER-22015
MASTER-22017
MASTER-22018
MASTER-22023
MASTER-55416</v>
      </c>
      <c r="I80" s="12" t="str" cm="1">
        <f t="array" ref="I80">_xlfn.TEXTJOIN(CHAR(10),TRUE,_xlfn._xlws.SORT(IF((--($B80=Flowdown_Inspire[[URS]:[URS]]))*(--(I$14=Flowdown_Inspire[[Source.Name]:[Source.Name]])),Flowdown_Inspire[[SyRS]:[SyRS]],"")))</f>
        <v/>
      </c>
      <c r="J80" s="12" t="str" cm="1">
        <f t="array" ref="J80">_xlfn.TEXTJOIN(CHAR(10),TRUE,_xlfn._xlws.SORT(IF((--($B80=Flowdown_Inspire[[URS]:[URS]]))*(--(J$14=Flowdown_Inspire[[Source.Name]:[Source.Name]])),Flowdown_Inspire[[SyRS]:[SyRS]],"")))</f>
        <v/>
      </c>
      <c r="K80" s="12" t="str" cm="1">
        <f t="array" ref="K80">_xlfn.TEXTJOIN(CHAR(10),TRUE,_xlfn._xlws.SORT(IF((--($B80=Flowdown_Inspire[[URS]:[URS]]))*(--(K$14=Flowdown_Inspire[[Source.Name]:[Source.Name]])),Flowdown_Inspire[[SyRS]:[SyRS]],"")))</f>
        <v/>
      </c>
      <c r="L80" s="16" t="b" cm="1">
        <f t="array" ref="L80">OR(LEN(C80:K80)&gt;0)</f>
        <v>1</v>
      </c>
    </row>
    <row r="81" spans="2:12" ht="54" x14ac:dyDescent="0.2">
      <c r="B81" s="11" t="str">
        <v>MASTER-64370</v>
      </c>
      <c r="C81" s="12" t="str" cm="1">
        <f t="array" ref="C81">_xlfn.TEXTJOIN(CHAR(10),TRUE,_xlfn._xlws.SORT(IF((--($B81=Flowdown_Inspire[[URS]:[URS]]))*(--(C$14=Flowdown_Inspire[[Source.Name]:[Source.Name]])),Flowdown_Inspire[[SyRS]:[SyRS]],"")))</f>
        <v/>
      </c>
      <c r="D81" s="12" t="str" cm="1">
        <f t="array" ref="D81">_xlfn.TEXTJOIN(CHAR(10),TRUE,_xlfn._xlws.SORT(IF((--($B81=Flowdown_Inspire[[URS]:[URS]]))*(--(D$14=Flowdown_Inspire[[Source.Name]:[Source.Name]])),Flowdown_Inspire[[SyRS]:[SyRS]],"")))</f>
        <v/>
      </c>
      <c r="E81" s="12" t="str" cm="1">
        <f t="array" ref="E81">_xlfn.TEXTJOIN(CHAR(10),TRUE,_xlfn._xlws.SORT(IF((--($B81=Flowdown_Inspire[[URS]:[URS]]))*(--(E$14=Flowdown_Inspire[[Source.Name]:[Source.Name]])),Flowdown_Inspire[[SyRS]:[SyRS]],"")))</f>
        <v/>
      </c>
      <c r="F81" s="12" t="str" cm="1">
        <f t="array" ref="F81">_xlfn.TEXTJOIN(CHAR(10),TRUE,_xlfn._xlws.SORT(IF((--($B81=Flowdown_Inspire[[URS]:[URS]]))*(--(F$14=Flowdown_Inspire[[Source.Name]:[Source.Name]])),Flowdown_Inspire[[SyRS]:[SyRS]],"")))</f>
        <v/>
      </c>
      <c r="G81" s="12" t="str" cm="1">
        <f t="array" ref="G81">_xlfn.TEXTJOIN(CHAR(10),TRUE,_xlfn._xlws.SORT(IF((--($B81=Flowdown_Inspire[[URS]:[URS]]))*(--(G$14=Flowdown_Inspire[[Source.Name]:[Source.Name]])),Flowdown_Inspire[[SyRS]:[SyRS]],"")))</f>
        <v/>
      </c>
      <c r="H81" s="12" t="str" cm="1">
        <f t="array" ref="H81">_xlfn.TEXTJOIN(CHAR(10),TRUE,_xlfn._xlws.SORT(IF((--($B81=Flowdown_Inspire[[URS]:[URS]]))*(--(H$14=Flowdown_Inspire[[Source.Name]:[Source.Name]])),Flowdown_Inspire[[SyRS]:[SyRS]],"")))</f>
        <v>MASTER-64360
MASTER-64362
MASTER-64364
MASTER-64366</v>
      </c>
      <c r="I81" s="12" t="str" cm="1">
        <f t="array" ref="I81">_xlfn.TEXTJOIN(CHAR(10),TRUE,_xlfn._xlws.SORT(IF((--($B81=Flowdown_Inspire[[URS]:[URS]]))*(--(I$14=Flowdown_Inspire[[Source.Name]:[Source.Name]])),Flowdown_Inspire[[SyRS]:[SyRS]],"")))</f>
        <v/>
      </c>
      <c r="J81" s="12" t="str" cm="1">
        <f t="array" ref="J81">_xlfn.TEXTJOIN(CHAR(10),TRUE,_xlfn._xlws.SORT(IF((--($B81=Flowdown_Inspire[[URS]:[URS]]))*(--(J$14=Flowdown_Inspire[[Source.Name]:[Source.Name]])),Flowdown_Inspire[[SyRS]:[SyRS]],"")))</f>
        <v/>
      </c>
      <c r="K81" s="12" t="str" cm="1">
        <f t="array" ref="K81">_xlfn.TEXTJOIN(CHAR(10),TRUE,_xlfn._xlws.SORT(IF((--($B81=Flowdown_Inspire[[URS]:[URS]]))*(--(K$14=Flowdown_Inspire[[Source.Name]:[Source.Name]])),Flowdown_Inspire[[SyRS]:[SyRS]],"")))</f>
        <v/>
      </c>
      <c r="L81" s="16" t="b" cm="1">
        <f t="array" ref="L81">OR(LEN(C81:K81)&gt;0)</f>
        <v>1</v>
      </c>
    </row>
    <row r="82" spans="2:12" ht="13.5" x14ac:dyDescent="0.2">
      <c r="B82" s="11" t="str">
        <v>MASTER-6439</v>
      </c>
      <c r="C82" s="12" t="str" cm="1">
        <f t="array" ref="C82">_xlfn.TEXTJOIN(CHAR(10),TRUE,_xlfn._xlws.SORT(IF((--($B82=Flowdown_Inspire[[URS]:[URS]]))*(--(C$14=Flowdown_Inspire[[Source.Name]:[Source.Name]])),Flowdown_Inspire[[SyRS]:[SyRS]],"")))</f>
        <v>MASTER-18562</v>
      </c>
      <c r="D82" s="12" t="str" cm="1">
        <f t="array" ref="D82">_xlfn.TEXTJOIN(CHAR(10),TRUE,_xlfn._xlws.SORT(IF((--($B82=Flowdown_Inspire[[URS]:[URS]]))*(--(D$14=Flowdown_Inspire[[Source.Name]:[Source.Name]])),Flowdown_Inspire[[SyRS]:[SyRS]],"")))</f>
        <v>MASTER-18562</v>
      </c>
      <c r="E82" s="12" t="str" cm="1">
        <f t="array" ref="E82">_xlfn.TEXTJOIN(CHAR(10),TRUE,_xlfn._xlws.SORT(IF((--($B82=Flowdown_Inspire[[URS]:[URS]]))*(--(E$14=Flowdown_Inspire[[Source.Name]:[Source.Name]])),Flowdown_Inspire[[SyRS]:[SyRS]],"")))</f>
        <v>MASTER-18562</v>
      </c>
      <c r="F82" s="12" t="str" cm="1">
        <f t="array" ref="F82">_xlfn.TEXTJOIN(CHAR(10),TRUE,_xlfn._xlws.SORT(IF((--($B82=Flowdown_Inspire[[URS]:[URS]]))*(--(F$14=Flowdown_Inspire[[Source.Name]:[Source.Name]])),Flowdown_Inspire[[SyRS]:[SyRS]],"")))</f>
        <v>MASTER-18562</v>
      </c>
      <c r="G82" s="12" t="str" cm="1">
        <f t="array" ref="G82">_xlfn.TEXTJOIN(CHAR(10),TRUE,_xlfn._xlws.SORT(IF((--($B82=Flowdown_Inspire[[URS]:[URS]]))*(--(G$14=Flowdown_Inspire[[Source.Name]:[Source.Name]])),Flowdown_Inspire[[SyRS]:[SyRS]],"")))</f>
        <v>MASTER-18562</v>
      </c>
      <c r="H82" s="12" t="str" cm="1">
        <f t="array" ref="H82">_xlfn.TEXTJOIN(CHAR(10),TRUE,_xlfn._xlws.SORT(IF((--($B82=Flowdown_Inspire[[URS]:[URS]]))*(--(H$14=Flowdown_Inspire[[Source.Name]:[Source.Name]])),Flowdown_Inspire[[SyRS]:[SyRS]],"")))</f>
        <v/>
      </c>
      <c r="I82" s="12" t="str" cm="1">
        <f t="array" ref="I82">_xlfn.TEXTJOIN(CHAR(10),TRUE,_xlfn._xlws.SORT(IF((--($B82=Flowdown_Inspire[[URS]:[URS]]))*(--(I$14=Flowdown_Inspire[[Source.Name]:[Source.Name]])),Flowdown_Inspire[[SyRS]:[SyRS]],"")))</f>
        <v/>
      </c>
      <c r="J82" s="12" t="str" cm="1">
        <f t="array" ref="J82">_xlfn.TEXTJOIN(CHAR(10),TRUE,_xlfn._xlws.SORT(IF((--($B82=Flowdown_Inspire[[URS]:[URS]]))*(--(J$14=Flowdown_Inspire[[Source.Name]:[Source.Name]])),Flowdown_Inspire[[SyRS]:[SyRS]],"")))</f>
        <v/>
      </c>
      <c r="K82" s="12" t="str" cm="1">
        <f t="array" ref="K82">_xlfn.TEXTJOIN(CHAR(10),TRUE,_xlfn._xlws.SORT(IF((--($B82=Flowdown_Inspire[[URS]:[URS]]))*(--(K$14=Flowdown_Inspire[[Source.Name]:[Source.Name]])),Flowdown_Inspire[[SyRS]:[SyRS]],"")))</f>
        <v/>
      </c>
      <c r="L82" s="16" t="b" cm="1">
        <f t="array" ref="L82">OR(LEN(C82:K82)&gt;0)</f>
        <v>1</v>
      </c>
    </row>
    <row r="83" spans="2:12" ht="27" x14ac:dyDescent="0.2">
      <c r="B83" s="11" t="str">
        <v>MASTER-6448</v>
      </c>
      <c r="C83" s="12" t="str" cm="1">
        <f t="array" ref="C83">_xlfn.TEXTJOIN(CHAR(10),TRUE,_xlfn._xlws.SORT(IF((--($B83=Flowdown_Inspire[[URS]:[URS]]))*(--(C$14=Flowdown_Inspire[[Source.Name]:[Source.Name]])),Flowdown_Inspire[[SyRS]:[SyRS]],"")))</f>
        <v>MASTER-17679
MASTER-18634</v>
      </c>
      <c r="D83" s="12" t="str" cm="1">
        <f t="array" ref="D83">_xlfn.TEXTJOIN(CHAR(10),TRUE,_xlfn._xlws.SORT(IF((--($B83=Flowdown_Inspire[[URS]:[URS]]))*(--(D$14=Flowdown_Inspire[[Source.Name]:[Source.Name]])),Flowdown_Inspire[[SyRS]:[SyRS]],"")))</f>
        <v>MASTER-17679
MASTER-18634</v>
      </c>
      <c r="E83" s="12" t="str" cm="1">
        <f t="array" ref="E83">_xlfn.TEXTJOIN(CHAR(10),TRUE,_xlfn._xlws.SORT(IF((--($B83=Flowdown_Inspire[[URS]:[URS]]))*(--(E$14=Flowdown_Inspire[[Source.Name]:[Source.Name]])),Flowdown_Inspire[[SyRS]:[SyRS]],"")))</f>
        <v>MASTER-17679
MASTER-18634</v>
      </c>
      <c r="F83" s="12" t="str" cm="1">
        <f t="array" ref="F83">_xlfn.TEXTJOIN(CHAR(10),TRUE,_xlfn._xlws.SORT(IF((--($B83=Flowdown_Inspire[[URS]:[URS]]))*(--(F$14=Flowdown_Inspire[[Source.Name]:[Source.Name]])),Flowdown_Inspire[[SyRS]:[SyRS]],"")))</f>
        <v>MASTER-17679
MASTER-18634</v>
      </c>
      <c r="G83" s="12" t="str" cm="1">
        <f t="array" ref="G83">_xlfn.TEXTJOIN(CHAR(10),TRUE,_xlfn._xlws.SORT(IF((--($B83=Flowdown_Inspire[[URS]:[URS]]))*(--(G$14=Flowdown_Inspire[[Source.Name]:[Source.Name]])),Flowdown_Inspire[[SyRS]:[SyRS]],"")))</f>
        <v>MASTER-17679
MASTER-18634</v>
      </c>
      <c r="H83" s="12" t="str" cm="1">
        <f t="array" ref="H83">_xlfn.TEXTJOIN(CHAR(10),TRUE,_xlfn._xlws.SORT(IF((--($B83=Flowdown_Inspire[[URS]:[URS]]))*(--(H$14=Flowdown_Inspire[[Source.Name]:[Source.Name]])),Flowdown_Inspire[[SyRS]:[SyRS]],"")))</f>
        <v>MASTER-22547</v>
      </c>
      <c r="I83" s="12" t="str" cm="1">
        <f t="array" ref="I83">_xlfn.TEXTJOIN(CHAR(10),TRUE,_xlfn._xlws.SORT(IF((--($B83=Flowdown_Inspire[[URS]:[URS]]))*(--(I$14=Flowdown_Inspire[[Source.Name]:[Source.Name]])),Flowdown_Inspire[[SyRS]:[SyRS]],"")))</f>
        <v/>
      </c>
      <c r="J83" s="12" t="str" cm="1">
        <f t="array" ref="J83">_xlfn.TEXTJOIN(CHAR(10),TRUE,_xlfn._xlws.SORT(IF((--($B83=Flowdown_Inspire[[URS]:[URS]]))*(--(J$14=Flowdown_Inspire[[Source.Name]:[Source.Name]])),Flowdown_Inspire[[SyRS]:[SyRS]],"")))</f>
        <v>UTICA-2474</v>
      </c>
      <c r="K83" s="12" t="str" cm="1">
        <f t="array" ref="K83">_xlfn.TEXTJOIN(CHAR(10),TRUE,_xlfn._xlws.SORT(IF((--($B83=Flowdown_Inspire[[URS]:[URS]]))*(--(K$14=Flowdown_Inspire[[Source.Name]:[Source.Name]])),Flowdown_Inspire[[SyRS]:[SyRS]],"")))</f>
        <v/>
      </c>
      <c r="L83" s="16" t="b" cm="1">
        <f t="array" ref="L83">OR(LEN(C83:K83)&gt;0)</f>
        <v>1</v>
      </c>
    </row>
    <row r="84" spans="2:12" ht="27" x14ac:dyDescent="0.2">
      <c r="B84" s="11" t="str">
        <v>MASTER-6451</v>
      </c>
      <c r="C84" s="12" t="str" cm="1">
        <f t="array" ref="C84">_xlfn.TEXTJOIN(CHAR(10),TRUE,_xlfn._xlws.SORT(IF((--($B84=Flowdown_Inspire[[URS]:[URS]]))*(--(C$14=Flowdown_Inspire[[Source.Name]:[Source.Name]])),Flowdown_Inspire[[SyRS]:[SyRS]],"")))</f>
        <v>MASTER-18634
MASTER-18638</v>
      </c>
      <c r="D84" s="12" t="str" cm="1">
        <f t="array" ref="D84">_xlfn.TEXTJOIN(CHAR(10),TRUE,_xlfn._xlws.SORT(IF((--($B84=Flowdown_Inspire[[URS]:[URS]]))*(--(D$14=Flowdown_Inspire[[Source.Name]:[Source.Name]])),Flowdown_Inspire[[SyRS]:[SyRS]],"")))</f>
        <v>MASTER-18634
MASTER-18638</v>
      </c>
      <c r="E84" s="12" t="str" cm="1">
        <f t="array" ref="E84">_xlfn.TEXTJOIN(CHAR(10),TRUE,_xlfn._xlws.SORT(IF((--($B84=Flowdown_Inspire[[URS]:[URS]]))*(--(E$14=Flowdown_Inspire[[Source.Name]:[Source.Name]])),Flowdown_Inspire[[SyRS]:[SyRS]],"")))</f>
        <v>MASTER-18634
MASTER-18638</v>
      </c>
      <c r="F84" s="12" t="str" cm="1">
        <f t="array" ref="F84">_xlfn.TEXTJOIN(CHAR(10),TRUE,_xlfn._xlws.SORT(IF((--($B84=Flowdown_Inspire[[URS]:[URS]]))*(--(F$14=Flowdown_Inspire[[Source.Name]:[Source.Name]])),Flowdown_Inspire[[SyRS]:[SyRS]],"")))</f>
        <v>MASTER-18634
MASTER-18638</v>
      </c>
      <c r="G84" s="12" t="str" cm="1">
        <f t="array" ref="G84">_xlfn.TEXTJOIN(CHAR(10),TRUE,_xlfn._xlws.SORT(IF((--($B84=Flowdown_Inspire[[URS]:[URS]]))*(--(G$14=Flowdown_Inspire[[Source.Name]:[Source.Name]])),Flowdown_Inspire[[SyRS]:[SyRS]],"")))</f>
        <v>MASTER-18634
MASTER-18638</v>
      </c>
      <c r="H84" s="12" t="str" cm="1">
        <f t="array" ref="H84">_xlfn.TEXTJOIN(CHAR(10),TRUE,_xlfn._xlws.SORT(IF((--($B84=Flowdown_Inspire[[URS]:[URS]]))*(--(H$14=Flowdown_Inspire[[Source.Name]:[Source.Name]])),Flowdown_Inspire[[SyRS]:[SyRS]],"")))</f>
        <v/>
      </c>
      <c r="I84" s="12" t="str" cm="1">
        <f t="array" ref="I84">_xlfn.TEXTJOIN(CHAR(10),TRUE,_xlfn._xlws.SORT(IF((--($B84=Flowdown_Inspire[[URS]:[URS]]))*(--(I$14=Flowdown_Inspire[[Source.Name]:[Source.Name]])),Flowdown_Inspire[[SyRS]:[SyRS]],"")))</f>
        <v/>
      </c>
      <c r="J84" s="12" t="str" cm="1">
        <f t="array" ref="J84">_xlfn.TEXTJOIN(CHAR(10),TRUE,_xlfn._xlws.SORT(IF((--($B84=Flowdown_Inspire[[URS]:[URS]]))*(--(J$14=Flowdown_Inspire[[Source.Name]:[Source.Name]])),Flowdown_Inspire[[SyRS]:[SyRS]],"")))</f>
        <v/>
      </c>
      <c r="K84" s="12" t="str" cm="1">
        <f t="array" ref="K84">_xlfn.TEXTJOIN(CHAR(10),TRUE,_xlfn._xlws.SORT(IF((--($B84=Flowdown_Inspire[[URS]:[URS]]))*(--(K$14=Flowdown_Inspire[[Source.Name]:[Source.Name]])),Flowdown_Inspire[[SyRS]:[SyRS]],"")))</f>
        <v/>
      </c>
      <c r="L84" s="16" t="b" cm="1">
        <f t="array" ref="L84">OR(LEN(C84:K84)&gt;0)</f>
        <v>1</v>
      </c>
    </row>
    <row r="85" spans="2:12" ht="54" x14ac:dyDescent="0.2">
      <c r="B85" s="11" t="str">
        <v>MASTER-6454</v>
      </c>
      <c r="C85" s="12" t="str" cm="1">
        <f t="array" ref="C85">_xlfn.TEXTJOIN(CHAR(10),TRUE,_xlfn._xlws.SORT(IF((--($B85=Flowdown_Inspire[[URS]:[URS]]))*(--(C$14=Flowdown_Inspire[[Source.Name]:[Source.Name]])),Flowdown_Inspire[[SyRS]:[SyRS]],"")))</f>
        <v>MASTER-18634</v>
      </c>
      <c r="D85" s="12" t="str" cm="1">
        <f t="array" ref="D85">_xlfn.TEXTJOIN(CHAR(10),TRUE,_xlfn._xlws.SORT(IF((--($B85=Flowdown_Inspire[[URS]:[URS]]))*(--(D$14=Flowdown_Inspire[[Source.Name]:[Source.Name]])),Flowdown_Inspire[[SyRS]:[SyRS]],"")))</f>
        <v>MASTER-18634</v>
      </c>
      <c r="E85" s="12" t="str" cm="1">
        <f t="array" ref="E85">_xlfn.TEXTJOIN(CHAR(10),TRUE,_xlfn._xlws.SORT(IF((--($B85=Flowdown_Inspire[[URS]:[URS]]))*(--(E$14=Flowdown_Inspire[[Source.Name]:[Source.Name]])),Flowdown_Inspire[[SyRS]:[SyRS]],"")))</f>
        <v>MASTER-18634</v>
      </c>
      <c r="F85" s="12" t="str" cm="1">
        <f t="array" ref="F85">_xlfn.TEXTJOIN(CHAR(10),TRUE,_xlfn._xlws.SORT(IF((--($B85=Flowdown_Inspire[[URS]:[URS]]))*(--(F$14=Flowdown_Inspire[[Source.Name]:[Source.Name]])),Flowdown_Inspire[[SyRS]:[SyRS]],"")))</f>
        <v>MASTER-18634
MASTER-18646
MASTER-18647
MASTER-18648</v>
      </c>
      <c r="G85" s="12" t="str" cm="1">
        <f t="array" ref="G85">_xlfn.TEXTJOIN(CHAR(10),TRUE,_xlfn._xlws.SORT(IF((--($B85=Flowdown_Inspire[[URS]:[URS]]))*(--(G$14=Flowdown_Inspire[[Source.Name]:[Source.Name]])),Flowdown_Inspire[[SyRS]:[SyRS]],"")))</f>
        <v>MASTER-18634
MASTER-18646
MASTER-18647
MASTER-18648</v>
      </c>
      <c r="H85" s="12" t="str" cm="1">
        <f t="array" ref="H85">_xlfn.TEXTJOIN(CHAR(10),TRUE,_xlfn._xlws.SORT(IF((--($B85=Flowdown_Inspire[[URS]:[URS]]))*(--(H$14=Flowdown_Inspire[[Source.Name]:[Source.Name]])),Flowdown_Inspire[[SyRS]:[SyRS]],"")))</f>
        <v/>
      </c>
      <c r="I85" s="12" t="str" cm="1">
        <f t="array" ref="I85">_xlfn.TEXTJOIN(CHAR(10),TRUE,_xlfn._xlws.SORT(IF((--($B85=Flowdown_Inspire[[URS]:[URS]]))*(--(I$14=Flowdown_Inspire[[Source.Name]:[Source.Name]])),Flowdown_Inspire[[SyRS]:[SyRS]],"")))</f>
        <v/>
      </c>
      <c r="J85" s="12" t="str" cm="1">
        <f t="array" ref="J85">_xlfn.TEXTJOIN(CHAR(10),TRUE,_xlfn._xlws.SORT(IF((--($B85=Flowdown_Inspire[[URS]:[URS]]))*(--(J$14=Flowdown_Inspire[[Source.Name]:[Source.Name]])),Flowdown_Inspire[[SyRS]:[SyRS]],"")))</f>
        <v/>
      </c>
      <c r="K85" s="12" t="str" cm="1">
        <f t="array" ref="K85">_xlfn.TEXTJOIN(CHAR(10),TRUE,_xlfn._xlws.SORT(IF((--($B85=Flowdown_Inspire[[URS]:[URS]]))*(--(K$14=Flowdown_Inspire[[Source.Name]:[Source.Name]])),Flowdown_Inspire[[SyRS]:[SyRS]],"")))</f>
        <v/>
      </c>
      <c r="L85" s="16" t="b" cm="1">
        <f t="array" ref="L85">OR(LEN(C85:K85)&gt;0)</f>
        <v>1</v>
      </c>
    </row>
    <row r="86" spans="2:12" ht="94.5" x14ac:dyDescent="0.2">
      <c r="B86" s="11" t="str">
        <v>MASTER-6458</v>
      </c>
      <c r="C86" s="12" t="str" cm="1">
        <f t="array" ref="C86">_xlfn.TEXTJOIN(CHAR(10),TRUE,_xlfn._xlws.SORT(IF((--($B86=Flowdown_Inspire[[URS]:[URS]]))*(--(C$14=Flowdown_Inspire[[Source.Name]:[Source.Name]])),Flowdown_Inspire[[SyRS]:[SyRS]],"")))</f>
        <v>MASTER-53031
MASTER-53034
MASTER-53035
MASTER-53036
MASTER-53038
MASTER-53039
MASTER-53040</v>
      </c>
      <c r="D86" s="12" t="str" cm="1">
        <f t="array" ref="D86">_xlfn.TEXTJOIN(CHAR(10),TRUE,_xlfn._xlws.SORT(IF((--($B86=Flowdown_Inspire[[URS]:[URS]]))*(--(D$14=Flowdown_Inspire[[Source.Name]:[Source.Name]])),Flowdown_Inspire[[SyRS]:[SyRS]],"")))</f>
        <v>MASTER-53031
MASTER-53034
MASTER-53035
MASTER-53036
MASTER-53038
MASTER-53039
MASTER-53040</v>
      </c>
      <c r="E86" s="12" t="str" cm="1">
        <f t="array" ref="E86">_xlfn.TEXTJOIN(CHAR(10),TRUE,_xlfn._xlws.SORT(IF((--($B86=Flowdown_Inspire[[URS]:[URS]]))*(--(E$14=Flowdown_Inspire[[Source.Name]:[Source.Name]])),Flowdown_Inspire[[SyRS]:[SyRS]],"")))</f>
        <v>MASTER-53031
MASTER-53034
MASTER-53035
MASTER-53036
MASTER-53038
MASTER-53039
MASTER-53040</v>
      </c>
      <c r="F86" s="12" t="str" cm="1">
        <f t="array" ref="F86">_xlfn.TEXTJOIN(CHAR(10),TRUE,_xlfn._xlws.SORT(IF((--($B86=Flowdown_Inspire[[URS]:[URS]]))*(--(F$14=Flowdown_Inspire[[Source.Name]:[Source.Name]])),Flowdown_Inspire[[SyRS]:[SyRS]],"")))</f>
        <v>MASTER-53031
MASTER-53034
MASTER-53035
MASTER-53036
MASTER-53038
MASTER-53039
MASTER-53040</v>
      </c>
      <c r="G86" s="12" t="str" cm="1">
        <f t="array" ref="G86">_xlfn.TEXTJOIN(CHAR(10),TRUE,_xlfn._xlws.SORT(IF((--($B86=Flowdown_Inspire[[URS]:[URS]]))*(--(G$14=Flowdown_Inspire[[Source.Name]:[Source.Name]])),Flowdown_Inspire[[SyRS]:[SyRS]],"")))</f>
        <v>MASTER-53031
MASTER-53034
MASTER-53035
MASTER-53036
MASTER-53038
MASTER-53039
MASTER-53040</v>
      </c>
      <c r="H86" s="12" t="str" cm="1">
        <f t="array" ref="H86">_xlfn.TEXTJOIN(CHAR(10),TRUE,_xlfn._xlws.SORT(IF((--($B86=Flowdown_Inspire[[URS]:[URS]]))*(--(H$14=Flowdown_Inspire[[Source.Name]:[Source.Name]])),Flowdown_Inspire[[SyRS]:[SyRS]],"")))</f>
        <v>MASTER-22025
MASTER-53019
MASTER-53021
MASTER-53022
MASTER-53023
MASTER-53025</v>
      </c>
      <c r="I86" s="12" t="str" cm="1">
        <f t="array" ref="I86">_xlfn.TEXTJOIN(CHAR(10),TRUE,_xlfn._xlws.SORT(IF((--($B86=Flowdown_Inspire[[URS]:[URS]]))*(--(I$14=Flowdown_Inspire[[Source.Name]:[Source.Name]])),Flowdown_Inspire[[SyRS]:[SyRS]],"")))</f>
        <v/>
      </c>
      <c r="J86" s="12" t="str" cm="1">
        <f t="array" ref="J86">_xlfn.TEXTJOIN(CHAR(10),TRUE,_xlfn._xlws.SORT(IF((--($B86=Flowdown_Inspire[[URS]:[URS]]))*(--(J$14=Flowdown_Inspire[[Source.Name]:[Source.Name]])),Flowdown_Inspire[[SyRS]:[SyRS]],"")))</f>
        <v/>
      </c>
      <c r="K86" s="12" t="str" cm="1">
        <f t="array" ref="K86">_xlfn.TEXTJOIN(CHAR(10),TRUE,_xlfn._xlws.SORT(IF((--($B86=Flowdown_Inspire[[URS]:[URS]]))*(--(K$14=Flowdown_Inspire[[Source.Name]:[Source.Name]])),Flowdown_Inspire[[SyRS]:[SyRS]],"")))</f>
        <v/>
      </c>
      <c r="L86" s="16" t="b" cm="1">
        <f t="array" ref="L86">OR(LEN(C86:K86)&gt;0)</f>
        <v>1</v>
      </c>
    </row>
    <row r="87" spans="2:12" ht="135" x14ac:dyDescent="0.2">
      <c r="B87" s="11" t="str">
        <v>MASTER-6460</v>
      </c>
      <c r="C87" s="12" t="str" cm="1">
        <f t="array" ref="C87">_xlfn.TEXTJOIN(CHAR(10),TRUE,_xlfn._xlws.SORT(IF((--($B87=Flowdown_Inspire[[URS]:[URS]]))*(--(C$14=Flowdown_Inspire[[Source.Name]:[Source.Name]])),Flowdown_Inspire[[SyRS]:[SyRS]],"")))</f>
        <v/>
      </c>
      <c r="D87" s="12" t="str" cm="1">
        <f t="array" ref="D87">_xlfn.TEXTJOIN(CHAR(10),TRUE,_xlfn._xlws.SORT(IF((--($B87=Flowdown_Inspire[[URS]:[URS]]))*(--(D$14=Flowdown_Inspire[[Source.Name]:[Source.Name]])),Flowdown_Inspire[[SyRS]:[SyRS]],"")))</f>
        <v/>
      </c>
      <c r="E87" s="12" t="str" cm="1">
        <f t="array" ref="E87">_xlfn.TEXTJOIN(CHAR(10),TRUE,_xlfn._xlws.SORT(IF((--($B87=Flowdown_Inspire[[URS]:[URS]]))*(--(E$14=Flowdown_Inspire[[Source.Name]:[Source.Name]])),Flowdown_Inspire[[SyRS]:[SyRS]],"")))</f>
        <v/>
      </c>
      <c r="F87" s="12" t="str" cm="1">
        <f t="array" ref="F87">_xlfn.TEXTJOIN(CHAR(10),TRUE,_xlfn._xlws.SORT(IF((--($B87=Flowdown_Inspire[[URS]:[URS]]))*(--(F$14=Flowdown_Inspire[[Source.Name]:[Source.Name]])),Flowdown_Inspire[[SyRS]:[SyRS]],"")))</f>
        <v/>
      </c>
      <c r="G87" s="12" t="str" cm="1">
        <f t="array" ref="G87">_xlfn.TEXTJOIN(CHAR(10),TRUE,_xlfn._xlws.SORT(IF((--($B87=Flowdown_Inspire[[URS]:[URS]]))*(--(G$14=Flowdown_Inspire[[Source.Name]:[Source.Name]])),Flowdown_Inspire[[SyRS]:[SyRS]],"")))</f>
        <v/>
      </c>
      <c r="H87" s="12" t="str" cm="1">
        <f t="array" ref="H87">_xlfn.TEXTJOIN(CHAR(10),TRUE,_xlfn._xlws.SORT(IF((--($B87=Flowdown_Inspire[[URS]:[URS]]))*(--(H$14=Flowdown_Inspire[[Source.Name]:[Source.Name]])),Flowdown_Inspire[[SyRS]:[SyRS]],"")))</f>
        <v>MASTER-53015
MASTER-53019
MASTER-53020
MASTER-53021
MASTER-53022
MASTER-53023
MASTER-53024
MASTER-53025
MASTER-53027
MASTER-53029</v>
      </c>
      <c r="I87" s="12" t="str" cm="1">
        <f t="array" ref="I87">_xlfn.TEXTJOIN(CHAR(10),TRUE,_xlfn._xlws.SORT(IF((--($B87=Flowdown_Inspire[[URS]:[URS]]))*(--(I$14=Flowdown_Inspire[[Source.Name]:[Source.Name]])),Flowdown_Inspire[[SyRS]:[SyRS]],"")))</f>
        <v/>
      </c>
      <c r="J87" s="12" t="str" cm="1">
        <f t="array" ref="J87">_xlfn.TEXTJOIN(CHAR(10),TRUE,_xlfn._xlws.SORT(IF((--($B87=Flowdown_Inspire[[URS]:[URS]]))*(--(J$14=Flowdown_Inspire[[Source.Name]:[Source.Name]])),Flowdown_Inspire[[SyRS]:[SyRS]],"")))</f>
        <v/>
      </c>
      <c r="K87" s="12" t="str" cm="1">
        <f t="array" ref="K87">_xlfn.TEXTJOIN(CHAR(10),TRUE,_xlfn._xlws.SORT(IF((--($B87=Flowdown_Inspire[[URS]:[URS]]))*(--(K$14=Flowdown_Inspire[[Source.Name]:[Source.Name]])),Flowdown_Inspire[[SyRS]:[SyRS]],"")))</f>
        <v/>
      </c>
      <c r="L87" s="16" t="b" cm="1">
        <f t="array" ref="L87">OR(LEN(C87:K87)&gt;0)</f>
        <v>1</v>
      </c>
    </row>
    <row r="88" spans="2:12" ht="13.5" x14ac:dyDescent="0.2">
      <c r="B88" s="11" t="str">
        <v>MASTER-6461</v>
      </c>
      <c r="C88" s="12" t="str" cm="1">
        <f t="array" ref="C88">_xlfn.TEXTJOIN(CHAR(10),TRUE,_xlfn._xlws.SORT(IF((--($B88=Flowdown_Inspire[[URS]:[URS]]))*(--(C$14=Flowdown_Inspire[[Source.Name]:[Source.Name]])),Flowdown_Inspire[[SyRS]:[SyRS]],"")))</f>
        <v/>
      </c>
      <c r="D88" s="12" t="str" cm="1">
        <f t="array" ref="D88">_xlfn.TEXTJOIN(CHAR(10),TRUE,_xlfn._xlws.SORT(IF((--($B88=Flowdown_Inspire[[URS]:[URS]]))*(--(D$14=Flowdown_Inspire[[Source.Name]:[Source.Name]])),Flowdown_Inspire[[SyRS]:[SyRS]],"")))</f>
        <v/>
      </c>
      <c r="E88" s="12" t="str" cm="1">
        <f t="array" ref="E88">_xlfn.TEXTJOIN(CHAR(10),TRUE,_xlfn._xlws.SORT(IF((--($B88=Flowdown_Inspire[[URS]:[URS]]))*(--(E$14=Flowdown_Inspire[[Source.Name]:[Source.Name]])),Flowdown_Inspire[[SyRS]:[SyRS]],"")))</f>
        <v/>
      </c>
      <c r="F88" s="12" t="str" cm="1">
        <f t="array" ref="F88">_xlfn.TEXTJOIN(CHAR(10),TRUE,_xlfn._xlws.SORT(IF((--($B88=Flowdown_Inspire[[URS]:[URS]]))*(--(F$14=Flowdown_Inspire[[Source.Name]:[Source.Name]])),Flowdown_Inspire[[SyRS]:[SyRS]],"")))</f>
        <v/>
      </c>
      <c r="G88" s="12" t="str" cm="1">
        <f t="array" ref="G88">_xlfn.TEXTJOIN(CHAR(10),TRUE,_xlfn._xlws.SORT(IF((--($B88=Flowdown_Inspire[[URS]:[URS]]))*(--(G$14=Flowdown_Inspire[[Source.Name]:[Source.Name]])),Flowdown_Inspire[[SyRS]:[SyRS]],"")))</f>
        <v/>
      </c>
      <c r="H88" s="12" t="str" cm="1">
        <f t="array" ref="H88">_xlfn.TEXTJOIN(CHAR(10),TRUE,_xlfn._xlws.SORT(IF((--($B88=Flowdown_Inspire[[URS]:[URS]]))*(--(H$14=Flowdown_Inspire[[Source.Name]:[Source.Name]])),Flowdown_Inspire[[SyRS]:[SyRS]],"")))</f>
        <v>MASTER-53028</v>
      </c>
      <c r="I88" s="12" t="str" cm="1">
        <f t="array" ref="I88">_xlfn.TEXTJOIN(CHAR(10),TRUE,_xlfn._xlws.SORT(IF((--($B88=Flowdown_Inspire[[URS]:[URS]]))*(--(I$14=Flowdown_Inspire[[Source.Name]:[Source.Name]])),Flowdown_Inspire[[SyRS]:[SyRS]],"")))</f>
        <v/>
      </c>
      <c r="J88" s="12" t="str" cm="1">
        <f t="array" ref="J88">_xlfn.TEXTJOIN(CHAR(10),TRUE,_xlfn._xlws.SORT(IF((--($B88=Flowdown_Inspire[[URS]:[URS]]))*(--(J$14=Flowdown_Inspire[[Source.Name]:[Source.Name]])),Flowdown_Inspire[[SyRS]:[SyRS]],"")))</f>
        <v/>
      </c>
      <c r="K88" s="12" t="str" cm="1">
        <f t="array" ref="K88">_xlfn.TEXTJOIN(CHAR(10),TRUE,_xlfn._xlws.SORT(IF((--($B88=Flowdown_Inspire[[URS]:[URS]]))*(--(K$14=Flowdown_Inspire[[Source.Name]:[Source.Name]])),Flowdown_Inspire[[SyRS]:[SyRS]],"")))</f>
        <v/>
      </c>
      <c r="L88" s="16" t="b" cm="1">
        <f t="array" ref="L88">OR(LEN(C88:K88)&gt;0)</f>
        <v>1</v>
      </c>
    </row>
    <row r="89" spans="2:12" ht="67.5" x14ac:dyDescent="0.2">
      <c r="B89" s="11" t="str">
        <v>MASTER-6467</v>
      </c>
      <c r="C89" s="12" t="str" cm="1">
        <f t="array" ref="C89">_xlfn.TEXTJOIN(CHAR(10),TRUE,_xlfn._xlws.SORT(IF((--($B89=Flowdown_Inspire[[URS]:[URS]]))*(--(C$14=Flowdown_Inspire[[Source.Name]:[Source.Name]])),Flowdown_Inspire[[SyRS]:[SyRS]],"")))</f>
        <v>MASTER-18736
MASTER-18740
MASTER-18742
MASTER-24800</v>
      </c>
      <c r="D89" s="12" t="str" cm="1">
        <f t="array" ref="D89">_xlfn.TEXTJOIN(CHAR(10),TRUE,_xlfn._xlws.SORT(IF((--($B89=Flowdown_Inspire[[URS]:[URS]]))*(--(D$14=Flowdown_Inspire[[Source.Name]:[Source.Name]])),Flowdown_Inspire[[SyRS]:[SyRS]],"")))</f>
        <v>MASTER-18736
MASTER-18740
MASTER-18742
MASTER-24800</v>
      </c>
      <c r="E89" s="12" t="str" cm="1">
        <f t="array" ref="E89">_xlfn.TEXTJOIN(CHAR(10),TRUE,_xlfn._xlws.SORT(IF((--($B89=Flowdown_Inspire[[URS]:[URS]]))*(--(E$14=Flowdown_Inspire[[Source.Name]:[Source.Name]])),Flowdown_Inspire[[SyRS]:[SyRS]],"")))</f>
        <v>MASTER-18736
MASTER-18738
MASTER-18740
MASTER-18742
MASTER-24800</v>
      </c>
      <c r="F89" s="12" t="str" cm="1">
        <f t="array" ref="F89">_xlfn.TEXTJOIN(CHAR(10),TRUE,_xlfn._xlws.SORT(IF((--($B89=Flowdown_Inspire[[URS]:[URS]]))*(--(F$14=Flowdown_Inspire[[Source.Name]:[Source.Name]])),Flowdown_Inspire[[SyRS]:[SyRS]],"")))</f>
        <v>MASTER-18736
MASTER-18738
MASTER-18740
MASTER-18742
MASTER-24800</v>
      </c>
      <c r="G89" s="12" t="str" cm="1">
        <f t="array" ref="G89">_xlfn.TEXTJOIN(CHAR(10),TRUE,_xlfn._xlws.SORT(IF((--($B89=Flowdown_Inspire[[URS]:[URS]]))*(--(G$14=Flowdown_Inspire[[Source.Name]:[Source.Name]])),Flowdown_Inspire[[SyRS]:[SyRS]],"")))</f>
        <v>MASTER-18736
MASTER-18738
MASTER-18740
MASTER-18742
MASTER-24800</v>
      </c>
      <c r="H89" s="12" t="str" cm="1">
        <f t="array" ref="H89">_xlfn.TEXTJOIN(CHAR(10),TRUE,_xlfn._xlws.SORT(IF((--($B89=Flowdown_Inspire[[URS]:[URS]]))*(--(H$14=Flowdown_Inspire[[Source.Name]:[Source.Name]])),Flowdown_Inspire[[SyRS]:[SyRS]],"")))</f>
        <v>MASTER-22029
MASTER-22030
MASTER-22031</v>
      </c>
      <c r="I89" s="12" t="str" cm="1">
        <f t="array" ref="I89">_xlfn.TEXTJOIN(CHAR(10),TRUE,_xlfn._xlws.SORT(IF((--($B89=Flowdown_Inspire[[URS]:[URS]]))*(--(I$14=Flowdown_Inspire[[Source.Name]:[Source.Name]])),Flowdown_Inspire[[SyRS]:[SyRS]],"")))</f>
        <v/>
      </c>
      <c r="J89" s="12" t="str" cm="1">
        <f t="array" ref="J89">_xlfn.TEXTJOIN(CHAR(10),TRUE,_xlfn._xlws.SORT(IF((--($B89=Flowdown_Inspire[[URS]:[URS]]))*(--(J$14=Flowdown_Inspire[[Source.Name]:[Source.Name]])),Flowdown_Inspire[[SyRS]:[SyRS]],"")))</f>
        <v/>
      </c>
      <c r="K89" s="12" t="str" cm="1">
        <f t="array" ref="K89">_xlfn.TEXTJOIN(CHAR(10),TRUE,_xlfn._xlws.SORT(IF((--($B89=Flowdown_Inspire[[URS]:[URS]]))*(--(K$14=Flowdown_Inspire[[Source.Name]:[Source.Name]])),Flowdown_Inspire[[SyRS]:[SyRS]],"")))</f>
        <v/>
      </c>
      <c r="L89" s="16" t="b" cm="1">
        <f t="array" ref="L89">OR(LEN(C89:K89)&gt;0)</f>
        <v>1</v>
      </c>
    </row>
    <row r="90" spans="2:12" ht="121.5" x14ac:dyDescent="0.2">
      <c r="B90" s="11" t="str">
        <v>MASTER-6468</v>
      </c>
      <c r="C90" s="12" t="str" cm="1">
        <f t="array" ref="C90">_xlfn.TEXTJOIN(CHAR(10),TRUE,_xlfn._xlws.SORT(IF((--($B90=Flowdown_Inspire[[URS]:[URS]]))*(--(C$14=Flowdown_Inspire[[Source.Name]:[Source.Name]])),Flowdown_Inspire[[SyRS]:[SyRS]],"")))</f>
        <v>MASTER-18740
MASTER-18742</v>
      </c>
      <c r="D90" s="12" t="str" cm="1">
        <f t="array" ref="D90">_xlfn.TEXTJOIN(CHAR(10),TRUE,_xlfn._xlws.SORT(IF((--($B90=Flowdown_Inspire[[URS]:[URS]]))*(--(D$14=Flowdown_Inspire[[Source.Name]:[Source.Name]])),Flowdown_Inspire[[SyRS]:[SyRS]],"")))</f>
        <v>MASTER-18740
MASTER-18742</v>
      </c>
      <c r="E90" s="12" t="str" cm="1">
        <f t="array" ref="E90">_xlfn.TEXTJOIN(CHAR(10),TRUE,_xlfn._xlws.SORT(IF((--($B90=Flowdown_Inspire[[URS]:[URS]]))*(--(E$14=Flowdown_Inspire[[Source.Name]:[Source.Name]])),Flowdown_Inspire[[SyRS]:[SyRS]],"")))</f>
        <v>MASTER-18740
MASTER-18742</v>
      </c>
      <c r="F90" s="12" t="str" cm="1">
        <f t="array" ref="F90">_xlfn.TEXTJOIN(CHAR(10),TRUE,_xlfn._xlws.SORT(IF((--($B90=Flowdown_Inspire[[URS]:[URS]]))*(--(F$14=Flowdown_Inspire[[Source.Name]:[Source.Name]])),Flowdown_Inspire[[SyRS]:[SyRS]],"")))</f>
        <v>MASTER-18740
MASTER-18742</v>
      </c>
      <c r="G90" s="12" t="str" cm="1">
        <f t="array" ref="G90">_xlfn.TEXTJOIN(CHAR(10),TRUE,_xlfn._xlws.SORT(IF((--($B90=Flowdown_Inspire[[URS]:[URS]]))*(--(G$14=Flowdown_Inspire[[Source.Name]:[Source.Name]])),Flowdown_Inspire[[SyRS]:[SyRS]],"")))</f>
        <v>MASTER-18740
MASTER-18742</v>
      </c>
      <c r="H90" s="12" t="str" cm="1">
        <f t="array" ref="H90">_xlfn.TEXTJOIN(CHAR(10),TRUE,_xlfn._xlws.SORT(IF((--($B90=Flowdown_Inspire[[URS]:[URS]]))*(--(H$14=Flowdown_Inspire[[Source.Name]:[Source.Name]])),Flowdown_Inspire[[SyRS]:[SyRS]],"")))</f>
        <v>MASTER-21935
MASTER-21937
MASTER-21939
MASTER-21941
MASTER-21943
MASTER-21945
MASTER-21947
MASTER-22029
MASTER-22031</v>
      </c>
      <c r="I90" s="12" t="str" cm="1">
        <f t="array" ref="I90">_xlfn.TEXTJOIN(CHAR(10),TRUE,_xlfn._xlws.SORT(IF((--($B90=Flowdown_Inspire[[URS]:[URS]]))*(--(I$14=Flowdown_Inspire[[Source.Name]:[Source.Name]])),Flowdown_Inspire[[SyRS]:[SyRS]],"")))</f>
        <v/>
      </c>
      <c r="J90" s="12" t="str" cm="1">
        <f t="array" ref="J90">_xlfn.TEXTJOIN(CHAR(10),TRUE,_xlfn._xlws.SORT(IF((--($B90=Flowdown_Inspire[[URS]:[URS]]))*(--(J$14=Flowdown_Inspire[[Source.Name]:[Source.Name]])),Flowdown_Inspire[[SyRS]:[SyRS]],"")))</f>
        <v/>
      </c>
      <c r="K90" s="12" t="str" cm="1">
        <f t="array" ref="K90">_xlfn.TEXTJOIN(CHAR(10),TRUE,_xlfn._xlws.SORT(IF((--($B90=Flowdown_Inspire[[URS]:[URS]]))*(--(K$14=Flowdown_Inspire[[Source.Name]:[Source.Name]])),Flowdown_Inspire[[SyRS]:[SyRS]],"")))</f>
        <v/>
      </c>
      <c r="L90" s="16" t="b" cm="1">
        <f t="array" ref="L90">OR(LEN(C90:K90)&gt;0)</f>
        <v>1</v>
      </c>
    </row>
    <row r="91" spans="2:12" ht="135" x14ac:dyDescent="0.2">
      <c r="B91" s="11" t="str">
        <v>MASTER-6470</v>
      </c>
      <c r="C91" s="12" t="str" cm="1">
        <f t="array" ref="C91">_xlfn.TEXTJOIN(CHAR(10),TRUE,_xlfn._xlws.SORT(IF((--($B91=Flowdown_Inspire[[URS]:[URS]]))*(--(C$14=Flowdown_Inspire[[Source.Name]:[Source.Name]])),Flowdown_Inspire[[SyRS]:[SyRS]],"")))</f>
        <v>MASTER-19352</v>
      </c>
      <c r="D91" s="12" t="str" cm="1">
        <f t="array" ref="D91">_xlfn.TEXTJOIN(CHAR(10),TRUE,_xlfn._xlws.SORT(IF((--($B91=Flowdown_Inspire[[URS]:[URS]]))*(--(D$14=Flowdown_Inspire[[Source.Name]:[Source.Name]])),Flowdown_Inspire[[SyRS]:[SyRS]],"")))</f>
        <v>MASTER-19352</v>
      </c>
      <c r="E91" s="12" t="str" cm="1">
        <f t="array" ref="E91">_xlfn.TEXTJOIN(CHAR(10),TRUE,_xlfn._xlws.SORT(IF((--($B91=Flowdown_Inspire[[URS]:[URS]]))*(--(E$14=Flowdown_Inspire[[Source.Name]:[Source.Name]])),Flowdown_Inspire[[SyRS]:[SyRS]],"")))</f>
        <v/>
      </c>
      <c r="F91" s="12" t="str" cm="1">
        <f t="array" ref="F91">_xlfn.TEXTJOIN(CHAR(10),TRUE,_xlfn._xlws.SORT(IF((--($B91=Flowdown_Inspire[[URS]:[URS]]))*(--(F$14=Flowdown_Inspire[[Source.Name]:[Source.Name]])),Flowdown_Inspire[[SyRS]:[SyRS]],"")))</f>
        <v/>
      </c>
      <c r="G91" s="12" t="str" cm="1">
        <f t="array" ref="G91">_xlfn.TEXTJOIN(CHAR(10),TRUE,_xlfn._xlws.SORT(IF((--($B91=Flowdown_Inspire[[URS]:[URS]]))*(--(G$14=Flowdown_Inspire[[Source.Name]:[Source.Name]])),Flowdown_Inspire[[SyRS]:[SyRS]],"")))</f>
        <v/>
      </c>
      <c r="H91" s="12" t="str" cm="1">
        <f t="array" ref="H91">_xlfn.TEXTJOIN(CHAR(10),TRUE,_xlfn._xlws.SORT(IF((--($B91=Flowdown_Inspire[[URS]:[URS]]))*(--(H$14=Flowdown_Inspire[[Source.Name]:[Source.Name]])),Flowdown_Inspire[[SyRS]:[SyRS]],"")))</f>
        <v>MASTER-21949
MASTER-22196
MASTER-22197
MASTER-22198
MASTER-22200
MASTER-22201
MASTER-22202
MASTER-22204
MASTER-22205
MASTER-42077</v>
      </c>
      <c r="I91" s="12" t="str" cm="1">
        <f t="array" ref="I91">_xlfn.TEXTJOIN(CHAR(10),TRUE,_xlfn._xlws.SORT(IF((--($B91=Flowdown_Inspire[[URS]:[URS]]))*(--(I$14=Flowdown_Inspire[[Source.Name]:[Source.Name]])),Flowdown_Inspire[[SyRS]:[SyRS]],"")))</f>
        <v/>
      </c>
      <c r="J91" s="12" t="str" cm="1">
        <f t="array" ref="J91">_xlfn.TEXTJOIN(CHAR(10),TRUE,_xlfn._xlws.SORT(IF((--($B91=Flowdown_Inspire[[URS]:[URS]]))*(--(J$14=Flowdown_Inspire[[Source.Name]:[Source.Name]])),Flowdown_Inspire[[SyRS]:[SyRS]],"")))</f>
        <v/>
      </c>
      <c r="K91" s="12" t="str" cm="1">
        <f t="array" ref="K91">_xlfn.TEXTJOIN(CHAR(10),TRUE,_xlfn._xlws.SORT(IF((--($B91=Flowdown_Inspire[[URS]:[URS]]))*(--(K$14=Flowdown_Inspire[[Source.Name]:[Source.Name]])),Flowdown_Inspire[[SyRS]:[SyRS]],"")))</f>
        <v/>
      </c>
      <c r="L91" s="16" t="b" cm="1">
        <f t="array" ref="L91">OR(LEN(C91:K91)&gt;0)</f>
        <v>1</v>
      </c>
    </row>
    <row r="92" spans="2:12" ht="40.5" x14ac:dyDescent="0.2">
      <c r="B92" s="11" t="str">
        <v>MASTER-6476</v>
      </c>
      <c r="C92" s="12" t="str" cm="1">
        <f t="array" ref="C92">_xlfn.TEXTJOIN(CHAR(10),TRUE,_xlfn._xlws.SORT(IF((--($B92=Flowdown_Inspire[[URS]:[URS]]))*(--(C$14=Flowdown_Inspire[[Source.Name]:[Source.Name]])),Flowdown_Inspire[[SyRS]:[SyRS]],"")))</f>
        <v>MASTER-18749
MASTER-18758</v>
      </c>
      <c r="D92" s="12" t="str" cm="1">
        <f t="array" ref="D92">_xlfn.TEXTJOIN(CHAR(10),TRUE,_xlfn._xlws.SORT(IF((--($B92=Flowdown_Inspire[[URS]:[URS]]))*(--(D$14=Flowdown_Inspire[[Source.Name]:[Source.Name]])),Flowdown_Inspire[[SyRS]:[SyRS]],"")))</f>
        <v>MASTER-18749
MASTER-18758</v>
      </c>
      <c r="E92" s="12" t="str" cm="1">
        <f t="array" ref="E92">_xlfn.TEXTJOIN(CHAR(10),TRUE,_xlfn._xlws.SORT(IF((--($B92=Flowdown_Inspire[[URS]:[URS]]))*(--(E$14=Flowdown_Inspire[[Source.Name]:[Source.Name]])),Flowdown_Inspire[[SyRS]:[SyRS]],"")))</f>
        <v>MASTER-18749
MASTER-18758</v>
      </c>
      <c r="F92" s="12" t="str" cm="1">
        <f t="array" ref="F92">_xlfn.TEXTJOIN(CHAR(10),TRUE,_xlfn._xlws.SORT(IF((--($B92=Flowdown_Inspire[[URS]:[URS]]))*(--(F$14=Flowdown_Inspire[[Source.Name]:[Source.Name]])),Flowdown_Inspire[[SyRS]:[SyRS]],"")))</f>
        <v>MASTER-18749
MASTER-18758</v>
      </c>
      <c r="G92" s="12" t="str" cm="1">
        <f t="array" ref="G92">_xlfn.TEXTJOIN(CHAR(10),TRUE,_xlfn._xlws.SORT(IF((--($B92=Flowdown_Inspire[[URS]:[URS]]))*(--(G$14=Flowdown_Inspire[[Source.Name]:[Source.Name]])),Flowdown_Inspire[[SyRS]:[SyRS]],"")))</f>
        <v>MASTER-18749
MASTER-18758</v>
      </c>
      <c r="H92" s="12" t="str" cm="1">
        <f t="array" ref="H92">_xlfn.TEXTJOIN(CHAR(10),TRUE,_xlfn._xlws.SORT(IF((--($B92=Flowdown_Inspire[[URS]:[URS]]))*(--(H$14=Flowdown_Inspire[[Source.Name]:[Source.Name]])),Flowdown_Inspire[[SyRS]:[SyRS]],"")))</f>
        <v>MASTER-60896
MASTER-60897
MASTER-60900</v>
      </c>
      <c r="I92" s="12" t="str" cm="1">
        <f t="array" ref="I92">_xlfn.TEXTJOIN(CHAR(10),TRUE,_xlfn._xlws.SORT(IF((--($B92=Flowdown_Inspire[[URS]:[URS]]))*(--(I$14=Flowdown_Inspire[[Source.Name]:[Source.Name]])),Flowdown_Inspire[[SyRS]:[SyRS]],"")))</f>
        <v/>
      </c>
      <c r="J92" s="12" t="str" cm="1">
        <f t="array" ref="J92">_xlfn.TEXTJOIN(CHAR(10),TRUE,_xlfn._xlws.SORT(IF((--($B92=Flowdown_Inspire[[URS]:[URS]]))*(--(J$14=Flowdown_Inspire[[Source.Name]:[Source.Name]])),Flowdown_Inspire[[SyRS]:[SyRS]],"")))</f>
        <v/>
      </c>
      <c r="K92" s="12" t="str" cm="1">
        <f t="array" ref="K92">_xlfn.TEXTJOIN(CHAR(10),TRUE,_xlfn._xlws.SORT(IF((--($B92=Flowdown_Inspire[[URS]:[URS]]))*(--(K$14=Flowdown_Inspire[[Source.Name]:[Source.Name]])),Flowdown_Inspire[[SyRS]:[SyRS]],"")))</f>
        <v>MASTER-60920</v>
      </c>
      <c r="L92" s="16" t="b" cm="1">
        <f t="array" ref="L92">OR(LEN(C92:K92)&gt;0)</f>
        <v>1</v>
      </c>
    </row>
    <row r="93" spans="2:12" ht="40.5" x14ac:dyDescent="0.2">
      <c r="B93" s="11" t="str">
        <v>MASTER-6481</v>
      </c>
      <c r="C93" s="12" t="str" cm="1">
        <f t="array" ref="C93">_xlfn.TEXTJOIN(CHAR(10),TRUE,_xlfn._xlws.SORT(IF((--($B93=Flowdown_Inspire[[URS]:[URS]]))*(--(C$14=Flowdown_Inspire[[Source.Name]:[Source.Name]])),Flowdown_Inspire[[SyRS]:[SyRS]],"")))</f>
        <v>MASTER-60681</v>
      </c>
      <c r="D93" s="12" t="str" cm="1">
        <f t="array" ref="D93">_xlfn.TEXTJOIN(CHAR(10),TRUE,_xlfn._xlws.SORT(IF((--($B93=Flowdown_Inspire[[URS]:[URS]]))*(--(D$14=Flowdown_Inspire[[Source.Name]:[Source.Name]])),Flowdown_Inspire[[SyRS]:[SyRS]],"")))</f>
        <v>MASTER-60675
MASTER-60681</v>
      </c>
      <c r="E93" s="12" t="str" cm="1">
        <f t="array" ref="E93">_xlfn.TEXTJOIN(CHAR(10),TRUE,_xlfn._xlws.SORT(IF((--($B93=Flowdown_Inspire[[URS]:[URS]]))*(--(E$14=Flowdown_Inspire[[Source.Name]:[Source.Name]])),Flowdown_Inspire[[SyRS]:[SyRS]],"")))</f>
        <v>MASTER-60675</v>
      </c>
      <c r="F93" s="12" t="str" cm="1">
        <f t="array" ref="F93">_xlfn.TEXTJOIN(CHAR(10),TRUE,_xlfn._xlws.SORT(IF((--($B93=Flowdown_Inspire[[URS]:[URS]]))*(--(F$14=Flowdown_Inspire[[Source.Name]:[Source.Name]])),Flowdown_Inspire[[SyRS]:[SyRS]],"")))</f>
        <v>MASTER-60675
MASTER-60681</v>
      </c>
      <c r="G93" s="12" t="str" cm="1">
        <f t="array" ref="G93">_xlfn.TEXTJOIN(CHAR(10),TRUE,_xlfn._xlws.SORT(IF((--($B93=Flowdown_Inspire[[URS]:[URS]]))*(--(G$14=Flowdown_Inspire[[Source.Name]:[Source.Name]])),Flowdown_Inspire[[SyRS]:[SyRS]],"")))</f>
        <v>MASTER-60675
MASTER-60681</v>
      </c>
      <c r="H93" s="12" t="str" cm="1">
        <f t="array" ref="H93">_xlfn.TEXTJOIN(CHAR(10),TRUE,_xlfn._xlws.SORT(IF((--($B93=Flowdown_Inspire[[URS]:[URS]]))*(--(H$14=Flowdown_Inspire[[Source.Name]:[Source.Name]])),Flowdown_Inspire[[SyRS]:[SyRS]],"")))</f>
        <v>MASTER-21931</v>
      </c>
      <c r="I93" s="12" t="str" cm="1">
        <f t="array" ref="I93">_xlfn.TEXTJOIN(CHAR(10),TRUE,_xlfn._xlws.SORT(IF((--($B93=Flowdown_Inspire[[URS]:[URS]]))*(--(I$14=Flowdown_Inspire[[Source.Name]:[Source.Name]])),Flowdown_Inspire[[SyRS]:[SyRS]],"")))</f>
        <v/>
      </c>
      <c r="J93" s="12" t="str" cm="1">
        <f t="array" ref="J93">_xlfn.TEXTJOIN(CHAR(10),TRUE,_xlfn._xlws.SORT(IF((--($B93=Flowdown_Inspire[[URS]:[URS]]))*(--(J$14=Flowdown_Inspire[[Source.Name]:[Source.Name]])),Flowdown_Inspire[[SyRS]:[SyRS]],"")))</f>
        <v/>
      </c>
      <c r="K93" s="12" t="str" cm="1">
        <f t="array" ref="K93">_xlfn.TEXTJOIN(CHAR(10),TRUE,_xlfn._xlws.SORT(IF((--($B93=Flowdown_Inspire[[URS]:[URS]]))*(--(K$14=Flowdown_Inspire[[Source.Name]:[Source.Name]])),Flowdown_Inspire[[SyRS]:[SyRS]],"")))</f>
        <v>MASTER-16494
MASTER-16495
MASTER-51247</v>
      </c>
      <c r="L93" s="16" t="b" cm="1">
        <f t="array" ref="L93">OR(LEN(C93:K93)&gt;0)</f>
        <v>1</v>
      </c>
    </row>
    <row r="94" spans="2:12" ht="40.5" x14ac:dyDescent="0.2">
      <c r="B94" s="11" t="str">
        <v>MASTER-6482</v>
      </c>
      <c r="C94" s="12" t="str" cm="1">
        <f t="array" ref="C94">_xlfn.TEXTJOIN(CHAR(10),TRUE,_xlfn._xlws.SORT(IF((--($B94=Flowdown_Inspire[[URS]:[URS]]))*(--(C$14=Flowdown_Inspire[[Source.Name]:[Source.Name]])),Flowdown_Inspire[[SyRS]:[SyRS]],"")))</f>
        <v>MASTER-19249</v>
      </c>
      <c r="D94" s="12" t="str" cm="1">
        <f t="array" ref="D94">_xlfn.TEXTJOIN(CHAR(10),TRUE,_xlfn._xlws.SORT(IF((--($B94=Flowdown_Inspire[[URS]:[URS]]))*(--(D$14=Flowdown_Inspire[[Source.Name]:[Source.Name]])),Flowdown_Inspire[[SyRS]:[SyRS]],"")))</f>
        <v>MASTER-19249</v>
      </c>
      <c r="E94" s="12" t="str" cm="1">
        <f t="array" ref="E94">_xlfn.TEXTJOIN(CHAR(10),TRUE,_xlfn._xlws.SORT(IF((--($B94=Flowdown_Inspire[[URS]:[URS]]))*(--(E$14=Flowdown_Inspire[[Source.Name]:[Source.Name]])),Flowdown_Inspire[[SyRS]:[SyRS]],"")))</f>
        <v>MASTER-19249</v>
      </c>
      <c r="F94" s="12" t="str" cm="1">
        <f t="array" ref="F94">_xlfn.TEXTJOIN(CHAR(10),TRUE,_xlfn._xlws.SORT(IF((--($B94=Flowdown_Inspire[[URS]:[URS]]))*(--(F$14=Flowdown_Inspire[[Source.Name]:[Source.Name]])),Flowdown_Inspire[[SyRS]:[SyRS]],"")))</f>
        <v>MASTER-19249</v>
      </c>
      <c r="G94" s="12" t="str" cm="1">
        <f t="array" ref="G94">_xlfn.TEXTJOIN(CHAR(10),TRUE,_xlfn._xlws.SORT(IF((--($B94=Flowdown_Inspire[[URS]:[URS]]))*(--(G$14=Flowdown_Inspire[[Source.Name]:[Source.Name]])),Flowdown_Inspire[[SyRS]:[SyRS]],"")))</f>
        <v>MASTER-19249</v>
      </c>
      <c r="H94" s="12" t="str" cm="1">
        <f t="array" ref="H94">_xlfn.TEXTJOIN(CHAR(10),TRUE,_xlfn._xlws.SORT(IF((--($B94=Flowdown_Inspire[[URS]:[URS]]))*(--(H$14=Flowdown_Inspire[[Source.Name]:[Source.Name]])),Flowdown_Inspire[[SyRS]:[SyRS]],"")))</f>
        <v/>
      </c>
      <c r="I94" s="12" t="str" cm="1">
        <f t="array" ref="I94">_xlfn.TEXTJOIN(CHAR(10),TRUE,_xlfn._xlws.SORT(IF((--($B94=Flowdown_Inspire[[URS]:[URS]]))*(--(I$14=Flowdown_Inspire[[Source.Name]:[Source.Name]])),Flowdown_Inspire[[SyRS]:[SyRS]],"")))</f>
        <v>MASTER-20021
MASTER-64822
UTICA-209</v>
      </c>
      <c r="J94" s="12" t="str" cm="1">
        <f t="array" ref="J94">_xlfn.TEXTJOIN(CHAR(10),TRUE,_xlfn._xlws.SORT(IF((--($B94=Flowdown_Inspire[[URS]:[URS]]))*(--(J$14=Flowdown_Inspire[[Source.Name]:[Source.Name]])),Flowdown_Inspire[[SyRS]:[SyRS]],"")))</f>
        <v/>
      </c>
      <c r="K94" s="12" t="str" cm="1">
        <f t="array" ref="K94">_xlfn.TEXTJOIN(CHAR(10),TRUE,_xlfn._xlws.SORT(IF((--($B94=Flowdown_Inspire[[URS]:[URS]]))*(--(K$14=Flowdown_Inspire[[Source.Name]:[Source.Name]])),Flowdown_Inspire[[SyRS]:[SyRS]],"")))</f>
        <v/>
      </c>
      <c r="L94" s="16" t="b" cm="1">
        <f t="array" ref="L94">OR(LEN(C94:K94)&gt;0)</f>
        <v>1</v>
      </c>
    </row>
    <row r="95" spans="2:12" ht="256.5" x14ac:dyDescent="0.2">
      <c r="B95" s="11" t="str">
        <v>MASTER-6488</v>
      </c>
      <c r="C95" s="12" t="str" cm="1">
        <f t="array" ref="C95">_xlfn.TEXTJOIN(CHAR(10),TRUE,_xlfn._xlws.SORT(IF((--($B95=Flowdown_Inspire[[URS]:[URS]]))*(--(C$14=Flowdown_Inspire[[Source.Name]:[Source.Name]])),Flowdown_Inspire[[SyRS]:[SyRS]],"")))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95" s="12" t="str" cm="1">
        <f t="array" ref="D95">_xlfn.TEXTJOIN(CHAR(10),TRUE,_xlfn._xlws.SORT(IF((--($B95=Flowdown_Inspire[[URS]:[URS]]))*(--(D$14=Flowdown_Inspire[[Source.Name]:[Source.Name]])),Flowdown_Inspire[[SyRS]:[SyRS]],"")))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95" s="12" t="str" cm="1">
        <f t="array" ref="E95">_xlfn.TEXTJOIN(CHAR(10),TRUE,_xlfn._xlws.SORT(IF((--($B95=Flowdown_Inspire[[URS]:[URS]]))*(--(E$14=Flowdown_Inspire[[Source.Name]:[Source.Name]])),Flowdown_Inspire[[SyRS]:[SyRS]],"")))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95" s="12" t="str" cm="1">
        <f t="array" ref="F95">_xlfn.TEXTJOIN(CHAR(10),TRUE,_xlfn._xlws.SORT(IF((--($B95=Flowdown_Inspire[[URS]:[URS]]))*(--(F$14=Flowdown_Inspire[[Source.Name]:[Source.Name]])),Flowdown_Inspire[[SyRS]:[SyRS]],"")))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95" s="12" t="str" cm="1">
        <f t="array" ref="G95">_xlfn.TEXTJOIN(CHAR(10),TRUE,_xlfn._xlws.SORT(IF((--($B95=Flowdown_Inspire[[URS]:[URS]]))*(--(G$14=Flowdown_Inspire[[Source.Name]:[Source.Name]])),Flowdown_Inspire[[SyRS]:[SyRS]],"")))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95" s="12" t="str" cm="1">
        <f t="array" ref="H95">_xlfn.TEXTJOIN(CHAR(10),TRUE,_xlfn._xlws.SORT(IF((--($B95=Flowdown_Inspire[[URS]:[URS]]))*(--(H$14=Flowdown_Inspire[[Source.Name]:[Source.Name]])),Flowdown_Inspire[[SyRS]:[SyRS]],"")))</f>
        <v>MASTER-22138
MASTER-60812</v>
      </c>
      <c r="I95" s="12" t="str" cm="1">
        <f t="array" ref="I95">_xlfn.TEXTJOIN(CHAR(10),TRUE,_xlfn._xlws.SORT(IF((--($B95=Flowdown_Inspire[[URS]:[URS]]))*(--(I$14=Flowdown_Inspire[[Source.Name]:[Source.Name]])),Flowdown_Inspire[[SyRS]:[SyRS]],"")))</f>
        <v/>
      </c>
      <c r="J95" s="12" t="str" cm="1">
        <f t="array" ref="J95">_xlfn.TEXTJOIN(CHAR(10),TRUE,_xlfn._xlws.SORT(IF((--($B95=Flowdown_Inspire[[URS]:[URS]]))*(--(J$14=Flowdown_Inspire[[Source.Name]:[Source.Name]])),Flowdown_Inspire[[SyRS]:[SyRS]],"")))</f>
        <v/>
      </c>
      <c r="K95" s="12" t="str" cm="1">
        <f t="array" ref="K95">_xlfn.TEXTJOIN(CHAR(10),TRUE,_xlfn._xlws.SORT(IF((--($B95=Flowdown_Inspire[[URS]:[URS]]))*(--(K$14=Flowdown_Inspire[[Source.Name]:[Source.Name]])),Flowdown_Inspire[[SyRS]:[SyRS]],"")))</f>
        <v/>
      </c>
      <c r="L95" s="16" t="b" cm="1">
        <f t="array" ref="L95">OR(LEN(C95:K95)&gt;0)</f>
        <v>1</v>
      </c>
    </row>
    <row r="96" spans="2:12" ht="27" x14ac:dyDescent="0.2">
      <c r="B96" s="11" t="str">
        <v>MASTER-6489</v>
      </c>
      <c r="C96" s="12" t="str" cm="1">
        <f t="array" ref="C96">_xlfn.TEXTJOIN(CHAR(10),TRUE,_xlfn._xlws.SORT(IF((--($B96=Flowdown_Inspire[[URS]:[URS]]))*(--(C$14=Flowdown_Inspire[[Source.Name]:[Source.Name]])),Flowdown_Inspire[[SyRS]:[SyRS]],"")))</f>
        <v>MASTER-19493</v>
      </c>
      <c r="D96" s="12" t="str" cm="1">
        <f t="array" ref="D96">_xlfn.TEXTJOIN(CHAR(10),TRUE,_xlfn._xlws.SORT(IF((--($B96=Flowdown_Inspire[[URS]:[URS]]))*(--(D$14=Flowdown_Inspire[[Source.Name]:[Source.Name]])),Flowdown_Inspire[[SyRS]:[SyRS]],"")))</f>
        <v>MASTER-19493</v>
      </c>
      <c r="E96" s="12" t="str" cm="1">
        <f t="array" ref="E96">_xlfn.TEXTJOIN(CHAR(10),TRUE,_xlfn._xlws.SORT(IF((--($B96=Flowdown_Inspire[[URS]:[URS]]))*(--(E$14=Flowdown_Inspire[[Source.Name]:[Source.Name]])),Flowdown_Inspire[[SyRS]:[SyRS]],"")))</f>
        <v/>
      </c>
      <c r="F96" s="12" t="str" cm="1">
        <f t="array" ref="F96">_xlfn.TEXTJOIN(CHAR(10),TRUE,_xlfn._xlws.SORT(IF((--($B96=Flowdown_Inspire[[URS]:[URS]]))*(--(F$14=Flowdown_Inspire[[Source.Name]:[Source.Name]])),Flowdown_Inspire[[SyRS]:[SyRS]],"")))</f>
        <v/>
      </c>
      <c r="G96" s="12" t="str" cm="1">
        <f t="array" ref="G96">_xlfn.TEXTJOIN(CHAR(10),TRUE,_xlfn._xlws.SORT(IF((--($B96=Flowdown_Inspire[[URS]:[URS]]))*(--(G$14=Flowdown_Inspire[[Source.Name]:[Source.Name]])),Flowdown_Inspire[[SyRS]:[SyRS]],"")))</f>
        <v/>
      </c>
      <c r="H96" s="12" t="str" cm="1">
        <f t="array" ref="H96">_xlfn.TEXTJOIN(CHAR(10),TRUE,_xlfn._xlws.SORT(IF((--($B96=Flowdown_Inspire[[URS]:[URS]]))*(--(H$14=Flowdown_Inspire[[Source.Name]:[Source.Name]])),Flowdown_Inspire[[SyRS]:[SyRS]],"")))</f>
        <v>MASTER-22090
MASTER-22115</v>
      </c>
      <c r="I96" s="12" t="str" cm="1">
        <f t="array" ref="I96">_xlfn.TEXTJOIN(CHAR(10),TRUE,_xlfn._xlws.SORT(IF((--($B96=Flowdown_Inspire[[URS]:[URS]]))*(--(I$14=Flowdown_Inspire[[Source.Name]:[Source.Name]])),Flowdown_Inspire[[SyRS]:[SyRS]],"")))</f>
        <v/>
      </c>
      <c r="J96" s="12" t="str" cm="1">
        <f t="array" ref="J96">_xlfn.TEXTJOIN(CHAR(10),TRUE,_xlfn._xlws.SORT(IF((--($B96=Flowdown_Inspire[[URS]:[URS]]))*(--(J$14=Flowdown_Inspire[[Source.Name]:[Source.Name]])),Flowdown_Inspire[[SyRS]:[SyRS]],"")))</f>
        <v/>
      </c>
      <c r="K96" s="12" t="str" cm="1">
        <f t="array" ref="K96">_xlfn.TEXTJOIN(CHAR(10),TRUE,_xlfn._xlws.SORT(IF((--($B96=Flowdown_Inspire[[URS]:[URS]]))*(--(K$14=Flowdown_Inspire[[Source.Name]:[Source.Name]])),Flowdown_Inspire[[SyRS]:[SyRS]],"")))</f>
        <v/>
      </c>
      <c r="L96" s="16" t="b" cm="1">
        <f t="array" ref="L96">OR(LEN(C96:K96)&gt;0)</f>
        <v>1</v>
      </c>
    </row>
    <row r="97" spans="2:12" ht="162" x14ac:dyDescent="0.2">
      <c r="B97" s="11" t="str">
        <v>MASTER-6490</v>
      </c>
      <c r="C97" s="12" t="str" cm="1">
        <f t="array" ref="C97">_xlfn.TEXTJOIN(CHAR(10),TRUE,_xlfn._xlws.SORT(IF((--($B97=Flowdown_Inspire[[URS]:[URS]]))*(--(C$14=Flowdown_Inspire[[Source.Name]:[Source.Name]])),Flowdown_Inspire[[SyRS]:[SyRS]],"")))</f>
        <v>MASTER-60742
MASTER-60743
MASTER-60745
MASTER-60749</v>
      </c>
      <c r="D97" s="12" t="str" cm="1">
        <f t="array" ref="D97">_xlfn.TEXTJOIN(CHAR(10),TRUE,_xlfn._xlws.SORT(IF((--($B97=Flowdown_Inspire[[URS]:[URS]]))*(--(D$14=Flowdown_Inspire[[Source.Name]:[Source.Name]])),Flowdown_Inspire[[SyRS]:[SyRS]],"")))</f>
        <v>MASTER-60742
MASTER-60743
MASTER-60745
MASTER-60749</v>
      </c>
      <c r="E97" s="12" t="str" cm="1">
        <f t="array" ref="E97">_xlfn.TEXTJOIN(CHAR(10),TRUE,_xlfn._xlws.SORT(IF((--($B97=Flowdown_Inspire[[URS]:[URS]]))*(--(E$14=Flowdown_Inspire[[Source.Name]:[Source.Name]])),Flowdown_Inspire[[SyRS]:[SyRS]],"")))</f>
        <v>MASTER-60742
MASTER-60743
MASTER-60745
MASTER-60749</v>
      </c>
      <c r="F97" s="12" t="str" cm="1">
        <f t="array" ref="F97">_xlfn.TEXTJOIN(CHAR(10),TRUE,_xlfn._xlws.SORT(IF((--($B97=Flowdown_Inspire[[URS]:[URS]]))*(--(F$14=Flowdown_Inspire[[Source.Name]:[Source.Name]])),Flowdown_Inspire[[SyRS]:[SyRS]],"")))</f>
        <v>MASTER-60742
MASTER-60743
MASTER-60745
MASTER-60749</v>
      </c>
      <c r="G97" s="12" t="str" cm="1">
        <f t="array" ref="G97">_xlfn.TEXTJOIN(CHAR(10),TRUE,_xlfn._xlws.SORT(IF((--($B97=Flowdown_Inspire[[URS]:[URS]]))*(--(G$14=Flowdown_Inspire[[Source.Name]:[Source.Name]])),Flowdown_Inspire[[SyRS]:[SyRS]],"")))</f>
        <v>MASTER-60742
MASTER-60743
MASTER-60745
MASTER-60749</v>
      </c>
      <c r="H97" s="12" t="str" cm="1">
        <f t="array" ref="H97">_xlfn.TEXTJOIN(CHAR(10),TRUE,_xlfn._xlws.SORT(IF((--($B97=Flowdown_Inspire[[URS]:[URS]]))*(--(H$14=Flowdown_Inspire[[Source.Name]:[Source.Name]])),Flowdown_Inspire[[SyRS]:[SyRS]],"")))</f>
        <v>MASTER-22593
MASTER-22594
MASTER-22595
MASTER-22596
MASTER-22597
MASTER-22598
MASTER-22600
MASTER-22601
MASTER-60809
MASTER-60815
MASTER-60818
MASTER-60819</v>
      </c>
      <c r="I97" s="12" t="str" cm="1">
        <f t="array" ref="I97">_xlfn.TEXTJOIN(CHAR(10),TRUE,_xlfn._xlws.SORT(IF((--($B97=Flowdown_Inspire[[URS]:[URS]]))*(--(I$14=Flowdown_Inspire[[Source.Name]:[Source.Name]])),Flowdown_Inspire[[SyRS]:[SyRS]],"")))</f>
        <v/>
      </c>
      <c r="J97" s="12" t="str" cm="1">
        <f t="array" ref="J97">_xlfn.TEXTJOIN(CHAR(10),TRUE,_xlfn._xlws.SORT(IF((--($B97=Flowdown_Inspire[[URS]:[URS]]))*(--(J$14=Flowdown_Inspire[[Source.Name]:[Source.Name]])),Flowdown_Inspire[[SyRS]:[SyRS]],"")))</f>
        <v/>
      </c>
      <c r="K97" s="12" t="str" cm="1">
        <f t="array" ref="K97">_xlfn.TEXTJOIN(CHAR(10),TRUE,_xlfn._xlws.SORT(IF((--($B97=Flowdown_Inspire[[URS]:[URS]]))*(--(K$14=Flowdown_Inspire[[Source.Name]:[Source.Name]])),Flowdown_Inspire[[SyRS]:[SyRS]],"")))</f>
        <v/>
      </c>
      <c r="L97" s="16" t="b" cm="1">
        <f t="array" ref="L97">OR(LEN(C97:K97)&gt;0)</f>
        <v>1</v>
      </c>
    </row>
    <row r="98" spans="2:12" ht="13.5" x14ac:dyDescent="0.2">
      <c r="B98" s="11" t="str">
        <v>MASTER-6491</v>
      </c>
      <c r="C98" s="12" t="str" cm="1">
        <f t="array" ref="C98">_xlfn.TEXTJOIN(CHAR(10),TRUE,_xlfn._xlws.SORT(IF((--($B98=Flowdown_Inspire[[URS]:[URS]]))*(--(C$14=Flowdown_Inspire[[Source.Name]:[Source.Name]])),Flowdown_Inspire[[SyRS]:[SyRS]],"")))</f>
        <v>MASTER-60745</v>
      </c>
      <c r="D98" s="12" t="str" cm="1">
        <f t="array" ref="D98">_xlfn.TEXTJOIN(CHAR(10),TRUE,_xlfn._xlws.SORT(IF((--($B98=Flowdown_Inspire[[URS]:[URS]]))*(--(D$14=Flowdown_Inspire[[Source.Name]:[Source.Name]])),Flowdown_Inspire[[SyRS]:[SyRS]],"")))</f>
        <v>MASTER-60745</v>
      </c>
      <c r="E98" s="12" t="str" cm="1">
        <f t="array" ref="E98">_xlfn.TEXTJOIN(CHAR(10),TRUE,_xlfn._xlws.SORT(IF((--($B98=Flowdown_Inspire[[URS]:[URS]]))*(--(E$14=Flowdown_Inspire[[Source.Name]:[Source.Name]])),Flowdown_Inspire[[SyRS]:[SyRS]],"")))</f>
        <v>MASTER-60745</v>
      </c>
      <c r="F98" s="12" t="str" cm="1">
        <f t="array" ref="F98">_xlfn.TEXTJOIN(CHAR(10),TRUE,_xlfn._xlws.SORT(IF((--($B98=Flowdown_Inspire[[URS]:[URS]]))*(--(F$14=Flowdown_Inspire[[Source.Name]:[Source.Name]])),Flowdown_Inspire[[SyRS]:[SyRS]],"")))</f>
        <v>MASTER-60745</v>
      </c>
      <c r="G98" s="12" t="str" cm="1">
        <f t="array" ref="G98">_xlfn.TEXTJOIN(CHAR(10),TRUE,_xlfn._xlws.SORT(IF((--($B98=Flowdown_Inspire[[URS]:[URS]]))*(--(G$14=Flowdown_Inspire[[Source.Name]:[Source.Name]])),Flowdown_Inspire[[SyRS]:[SyRS]],"")))</f>
        <v>MASTER-60745</v>
      </c>
      <c r="H98" s="12" t="str" cm="1">
        <f t="array" ref="H98">_xlfn.TEXTJOIN(CHAR(10),TRUE,_xlfn._xlws.SORT(IF((--($B98=Flowdown_Inspire[[URS]:[URS]]))*(--(H$14=Flowdown_Inspire[[Source.Name]:[Source.Name]])),Flowdown_Inspire[[SyRS]:[SyRS]],"")))</f>
        <v/>
      </c>
      <c r="I98" s="12" t="str" cm="1">
        <f t="array" ref="I98">_xlfn.TEXTJOIN(CHAR(10),TRUE,_xlfn._xlws.SORT(IF((--($B98=Flowdown_Inspire[[URS]:[URS]]))*(--(I$14=Flowdown_Inspire[[Source.Name]:[Source.Name]])),Flowdown_Inspire[[SyRS]:[SyRS]],"")))</f>
        <v/>
      </c>
      <c r="J98" s="12" t="str" cm="1">
        <f t="array" ref="J98">_xlfn.TEXTJOIN(CHAR(10),TRUE,_xlfn._xlws.SORT(IF((--($B98=Flowdown_Inspire[[URS]:[URS]]))*(--(J$14=Flowdown_Inspire[[Source.Name]:[Source.Name]])),Flowdown_Inspire[[SyRS]:[SyRS]],"")))</f>
        <v/>
      </c>
      <c r="K98" s="12" t="str" cm="1">
        <f t="array" ref="K98">_xlfn.TEXTJOIN(CHAR(10),TRUE,_xlfn._xlws.SORT(IF((--($B98=Flowdown_Inspire[[URS]:[URS]]))*(--(K$14=Flowdown_Inspire[[Source.Name]:[Source.Name]])),Flowdown_Inspire[[SyRS]:[SyRS]],"")))</f>
        <v/>
      </c>
      <c r="L98" s="16" t="b" cm="1">
        <f t="array" ref="L98">OR(LEN(C98:K98)&gt;0)</f>
        <v>1</v>
      </c>
    </row>
    <row r="99" spans="2:12" ht="13.5" x14ac:dyDescent="0.2">
      <c r="B99" s="11" t="str">
        <v>MASTER-6492</v>
      </c>
      <c r="C99" s="12" t="str" cm="1">
        <f t="array" ref="C99">_xlfn.TEXTJOIN(CHAR(10),TRUE,_xlfn._xlws.SORT(IF((--($B99=Flowdown_Inspire[[URS]:[URS]]))*(--(C$14=Flowdown_Inspire[[Source.Name]:[Source.Name]])),Flowdown_Inspire[[SyRS]:[SyRS]],"")))</f>
        <v/>
      </c>
      <c r="D99" s="12" t="str" cm="1">
        <f t="array" ref="D99">_xlfn.TEXTJOIN(CHAR(10),TRUE,_xlfn._xlws.SORT(IF((--($B99=Flowdown_Inspire[[URS]:[URS]]))*(--(D$14=Flowdown_Inspire[[Source.Name]:[Source.Name]])),Flowdown_Inspire[[SyRS]:[SyRS]],"")))</f>
        <v/>
      </c>
      <c r="E99" s="12" t="str" cm="1">
        <f t="array" ref="E99">_xlfn.TEXTJOIN(CHAR(10),TRUE,_xlfn._xlws.SORT(IF((--($B99=Flowdown_Inspire[[URS]:[URS]]))*(--(E$14=Flowdown_Inspire[[Source.Name]:[Source.Name]])),Flowdown_Inspire[[SyRS]:[SyRS]],"")))</f>
        <v/>
      </c>
      <c r="F99" s="12" t="str" cm="1">
        <f t="array" ref="F99">_xlfn.TEXTJOIN(CHAR(10),TRUE,_xlfn._xlws.SORT(IF((--($B99=Flowdown_Inspire[[URS]:[URS]]))*(--(F$14=Flowdown_Inspire[[Source.Name]:[Source.Name]])),Flowdown_Inspire[[SyRS]:[SyRS]],"")))</f>
        <v/>
      </c>
      <c r="G99" s="12" t="str" cm="1">
        <f t="array" ref="G99">_xlfn.TEXTJOIN(CHAR(10),TRUE,_xlfn._xlws.SORT(IF((--($B99=Flowdown_Inspire[[URS]:[URS]]))*(--(G$14=Flowdown_Inspire[[Source.Name]:[Source.Name]])),Flowdown_Inspire[[SyRS]:[SyRS]],"")))</f>
        <v>UTICA-19406</v>
      </c>
      <c r="H99" s="12" t="str" cm="1">
        <f t="array" ref="H99">_xlfn.TEXTJOIN(CHAR(10),TRUE,_xlfn._xlws.SORT(IF((--($B99=Flowdown_Inspire[[URS]:[URS]]))*(--(H$14=Flowdown_Inspire[[Source.Name]:[Source.Name]])),Flowdown_Inspire[[SyRS]:[SyRS]],"")))</f>
        <v/>
      </c>
      <c r="I99" s="12" t="str" cm="1">
        <f t="array" ref="I99">_xlfn.TEXTJOIN(CHAR(10),TRUE,_xlfn._xlws.SORT(IF((--($B99=Flowdown_Inspire[[URS]:[URS]]))*(--(I$14=Flowdown_Inspire[[Source.Name]:[Source.Name]])),Flowdown_Inspire[[SyRS]:[SyRS]],"")))</f>
        <v/>
      </c>
      <c r="J99" s="12" t="str" cm="1">
        <f t="array" ref="J99">_xlfn.TEXTJOIN(CHAR(10),TRUE,_xlfn._xlws.SORT(IF((--($B99=Flowdown_Inspire[[URS]:[URS]]))*(--(J$14=Flowdown_Inspire[[Source.Name]:[Source.Name]])),Flowdown_Inspire[[SyRS]:[SyRS]],"")))</f>
        <v/>
      </c>
      <c r="K99" s="12" t="str" cm="1">
        <f t="array" ref="K99">_xlfn.TEXTJOIN(CHAR(10),TRUE,_xlfn._xlws.SORT(IF((--($B99=Flowdown_Inspire[[URS]:[URS]]))*(--(K$14=Flowdown_Inspire[[Source.Name]:[Source.Name]])),Flowdown_Inspire[[SyRS]:[SyRS]],"")))</f>
        <v/>
      </c>
      <c r="L99" s="16" t="b" cm="1">
        <f t="array" ref="L99">OR(LEN(C99:K99)&gt;0)</f>
        <v>1</v>
      </c>
    </row>
    <row r="100" spans="2:12" ht="13.5" x14ac:dyDescent="0.2">
      <c r="B100" s="11" t="str">
        <v>MASTER-6493</v>
      </c>
      <c r="C100" s="12" t="str" cm="1">
        <f t="array" ref="C100">_xlfn.TEXTJOIN(CHAR(10),TRUE,_xlfn._xlws.SORT(IF((--($B100=Flowdown_Inspire[[URS]:[URS]]))*(--(C$14=Flowdown_Inspire[[Source.Name]:[Source.Name]])),Flowdown_Inspire[[SyRS]:[SyRS]],"")))</f>
        <v/>
      </c>
      <c r="D100" s="12" t="str" cm="1">
        <f t="array" ref="D100">_xlfn.TEXTJOIN(CHAR(10),TRUE,_xlfn._xlws.SORT(IF((--($B100=Flowdown_Inspire[[URS]:[URS]]))*(--(D$14=Flowdown_Inspire[[Source.Name]:[Source.Name]])),Flowdown_Inspire[[SyRS]:[SyRS]],"")))</f>
        <v/>
      </c>
      <c r="E100" s="12" t="str" cm="1">
        <f t="array" ref="E100">_xlfn.TEXTJOIN(CHAR(10),TRUE,_xlfn._xlws.SORT(IF((--($B100=Flowdown_Inspire[[URS]:[URS]]))*(--(E$14=Flowdown_Inspire[[Source.Name]:[Source.Name]])),Flowdown_Inspire[[SyRS]:[SyRS]],"")))</f>
        <v/>
      </c>
      <c r="F100" s="12" t="str" cm="1">
        <f t="array" ref="F100">_xlfn.TEXTJOIN(CHAR(10),TRUE,_xlfn._xlws.SORT(IF((--($B100=Flowdown_Inspire[[URS]:[URS]]))*(--(F$14=Flowdown_Inspire[[Source.Name]:[Source.Name]])),Flowdown_Inspire[[SyRS]:[SyRS]],"")))</f>
        <v/>
      </c>
      <c r="G100" s="12" t="str" cm="1">
        <f t="array" ref="G100">_xlfn.TEXTJOIN(CHAR(10),TRUE,_xlfn._xlws.SORT(IF((--($B100=Flowdown_Inspire[[URS]:[URS]]))*(--(G$14=Flowdown_Inspire[[Source.Name]:[Source.Name]])),Flowdown_Inspire[[SyRS]:[SyRS]],"")))</f>
        <v/>
      </c>
      <c r="H100" s="12" t="str" cm="1">
        <f t="array" ref="H100">_xlfn.TEXTJOIN(CHAR(10),TRUE,_xlfn._xlws.SORT(IF((--($B100=Flowdown_Inspire[[URS]:[URS]]))*(--(H$14=Flowdown_Inspire[[Source.Name]:[Source.Name]])),Flowdown_Inspire[[SyRS]:[SyRS]],"")))</f>
        <v>MASTER-22145</v>
      </c>
      <c r="I100" s="12" t="str" cm="1">
        <f t="array" ref="I100">_xlfn.TEXTJOIN(CHAR(10),TRUE,_xlfn._xlws.SORT(IF((--($B100=Flowdown_Inspire[[URS]:[URS]]))*(--(I$14=Flowdown_Inspire[[Source.Name]:[Source.Name]])),Flowdown_Inspire[[SyRS]:[SyRS]],"")))</f>
        <v/>
      </c>
      <c r="J100" s="12" t="str" cm="1">
        <f t="array" ref="J100">_xlfn.TEXTJOIN(CHAR(10),TRUE,_xlfn._xlws.SORT(IF((--($B100=Flowdown_Inspire[[URS]:[URS]]))*(--(J$14=Flowdown_Inspire[[Source.Name]:[Source.Name]])),Flowdown_Inspire[[SyRS]:[SyRS]],"")))</f>
        <v/>
      </c>
      <c r="K100" s="12" t="str" cm="1">
        <f t="array" ref="K100">_xlfn.TEXTJOIN(CHAR(10),TRUE,_xlfn._xlws.SORT(IF((--($B100=Flowdown_Inspire[[URS]:[URS]]))*(--(K$14=Flowdown_Inspire[[Source.Name]:[Source.Name]])),Flowdown_Inspire[[SyRS]:[SyRS]],"")))</f>
        <v/>
      </c>
      <c r="L100" s="16" t="b" cm="1">
        <f t="array" ref="L100">OR(LEN(C100:K100)&gt;0)</f>
        <v>1</v>
      </c>
    </row>
    <row r="101" spans="2:12" ht="94.5" x14ac:dyDescent="0.2">
      <c r="B101" s="11" t="str">
        <v>MASTER-6494</v>
      </c>
      <c r="C101" s="12" t="str" cm="1">
        <f t="array" ref="C101">_xlfn.TEXTJOIN(CHAR(10),TRUE,_xlfn._xlws.SORT(IF((--($B101=Flowdown_Inspire[[URS]:[URS]]))*(--(C$14=Flowdown_Inspire[[Source.Name]:[Source.Name]])),Flowdown_Inspire[[SyRS]:[SyRS]],"")))</f>
        <v>MASTER-60751
MASTER-60752
MASTER-60756</v>
      </c>
      <c r="D101" s="12" t="str" cm="1">
        <f t="array" ref="D101">_xlfn.TEXTJOIN(CHAR(10),TRUE,_xlfn._xlws.SORT(IF((--($B101=Flowdown_Inspire[[URS]:[URS]]))*(--(D$14=Flowdown_Inspire[[Source.Name]:[Source.Name]])),Flowdown_Inspire[[SyRS]:[SyRS]],"")))</f>
        <v>MASTER-60751
MASTER-60752
MASTER-60756</v>
      </c>
      <c r="E101" s="12" t="str" cm="1">
        <f t="array" ref="E101">_xlfn.TEXTJOIN(CHAR(10),TRUE,_xlfn._xlws.SORT(IF((--($B101=Flowdown_Inspire[[URS]:[URS]]))*(--(E$14=Flowdown_Inspire[[Source.Name]:[Source.Name]])),Flowdown_Inspire[[SyRS]:[SyRS]],"")))</f>
        <v>MASTER-60751
MASTER-60752
MASTER-60756</v>
      </c>
      <c r="F101" s="12" t="str" cm="1">
        <f t="array" ref="F101">_xlfn.TEXTJOIN(CHAR(10),TRUE,_xlfn._xlws.SORT(IF((--($B101=Flowdown_Inspire[[URS]:[URS]]))*(--(F$14=Flowdown_Inspire[[Source.Name]:[Source.Name]])),Flowdown_Inspire[[SyRS]:[SyRS]],"")))</f>
        <v>MASTER-60751
MASTER-60752
MASTER-60756</v>
      </c>
      <c r="G101" s="12" t="str" cm="1">
        <f t="array" ref="G101">_xlfn.TEXTJOIN(CHAR(10),TRUE,_xlfn._xlws.SORT(IF((--($B101=Flowdown_Inspire[[URS]:[URS]]))*(--(G$14=Flowdown_Inspire[[Source.Name]:[Source.Name]])),Flowdown_Inspire[[SyRS]:[SyRS]],"")))</f>
        <v>MASTER-60751
MASTER-60752
MASTER-60756</v>
      </c>
      <c r="H101" s="12" t="str" cm="1">
        <f t="array" ref="H101">_xlfn.TEXTJOIN(CHAR(10),TRUE,_xlfn._xlws.SORT(IF((--($B101=Flowdown_Inspire[[URS]:[URS]]))*(--(H$14=Flowdown_Inspire[[Source.Name]:[Source.Name]])),Flowdown_Inspire[[SyRS]:[SyRS]],"")))</f>
        <v>MASTER-22138
MASTER-60826
MASTER-60829
MASTER-60830
MASTER-60831
MASTER-61647
MASTER-61648</v>
      </c>
      <c r="I101" s="12" t="str" cm="1">
        <f t="array" ref="I101">_xlfn.TEXTJOIN(CHAR(10),TRUE,_xlfn._xlws.SORT(IF((--($B101=Flowdown_Inspire[[URS]:[URS]]))*(--(I$14=Flowdown_Inspire[[Source.Name]:[Source.Name]])),Flowdown_Inspire[[SyRS]:[SyRS]],"")))</f>
        <v/>
      </c>
      <c r="J101" s="12" t="str" cm="1">
        <f t="array" ref="J101">_xlfn.TEXTJOIN(CHAR(10),TRUE,_xlfn._xlws.SORT(IF((--($B101=Flowdown_Inspire[[URS]:[URS]]))*(--(J$14=Flowdown_Inspire[[Source.Name]:[Source.Name]])),Flowdown_Inspire[[SyRS]:[SyRS]],"")))</f>
        <v/>
      </c>
      <c r="K101" s="12" t="str" cm="1">
        <f t="array" ref="K101">_xlfn.TEXTJOIN(CHAR(10),TRUE,_xlfn._xlws.SORT(IF((--($B101=Flowdown_Inspire[[URS]:[URS]]))*(--(K$14=Flowdown_Inspire[[Source.Name]:[Source.Name]])),Flowdown_Inspire[[SyRS]:[SyRS]],"")))</f>
        <v/>
      </c>
      <c r="L101" s="16" t="b" cm="1">
        <f t="array" ref="L101">OR(LEN(C101:K101)&gt;0)</f>
        <v>1</v>
      </c>
    </row>
    <row r="102" spans="2:12" ht="13.5" x14ac:dyDescent="0.2">
      <c r="B102" s="11" t="str">
        <v>MASTER-6528</v>
      </c>
      <c r="C102" s="12" t="str" cm="1">
        <f t="array" ref="C102">_xlfn.TEXTJOIN(CHAR(10),TRUE,_xlfn._xlws.SORT(IF((--($B102=Flowdown_Inspire[[URS]:[URS]]))*(--(C$14=Flowdown_Inspire[[Source.Name]:[Source.Name]])),Flowdown_Inspire[[SyRS]:[SyRS]],"")))</f>
        <v>MASTER-60745</v>
      </c>
      <c r="D102" s="12" t="str" cm="1">
        <f t="array" ref="D102">_xlfn.TEXTJOIN(CHAR(10),TRUE,_xlfn._xlws.SORT(IF((--($B102=Flowdown_Inspire[[URS]:[URS]]))*(--(D$14=Flowdown_Inspire[[Source.Name]:[Source.Name]])),Flowdown_Inspire[[SyRS]:[SyRS]],"")))</f>
        <v>MASTER-60745</v>
      </c>
      <c r="E102" s="12" t="str" cm="1">
        <f t="array" ref="E102">_xlfn.TEXTJOIN(CHAR(10),TRUE,_xlfn._xlws.SORT(IF((--($B102=Flowdown_Inspire[[URS]:[URS]]))*(--(E$14=Flowdown_Inspire[[Source.Name]:[Source.Name]])),Flowdown_Inspire[[SyRS]:[SyRS]],"")))</f>
        <v>MASTER-60745</v>
      </c>
      <c r="F102" s="12" t="str" cm="1">
        <f t="array" ref="F102">_xlfn.TEXTJOIN(CHAR(10),TRUE,_xlfn._xlws.SORT(IF((--($B102=Flowdown_Inspire[[URS]:[URS]]))*(--(F$14=Flowdown_Inspire[[Source.Name]:[Source.Name]])),Flowdown_Inspire[[SyRS]:[SyRS]],"")))</f>
        <v>MASTER-60745</v>
      </c>
      <c r="G102" s="12" t="str" cm="1">
        <f t="array" ref="G102">_xlfn.TEXTJOIN(CHAR(10),TRUE,_xlfn._xlws.SORT(IF((--($B102=Flowdown_Inspire[[URS]:[URS]]))*(--(G$14=Flowdown_Inspire[[Source.Name]:[Source.Name]])),Flowdown_Inspire[[SyRS]:[SyRS]],"")))</f>
        <v>MASTER-60745</v>
      </c>
      <c r="H102" s="12" t="str" cm="1">
        <f t="array" ref="H102">_xlfn.TEXTJOIN(CHAR(10),TRUE,_xlfn._xlws.SORT(IF((--($B102=Flowdown_Inspire[[URS]:[URS]]))*(--(H$14=Flowdown_Inspire[[Source.Name]:[Source.Name]])),Flowdown_Inspire[[SyRS]:[SyRS]],"")))</f>
        <v/>
      </c>
      <c r="I102" s="12" t="str" cm="1">
        <f t="array" ref="I102">_xlfn.TEXTJOIN(CHAR(10),TRUE,_xlfn._xlws.SORT(IF((--($B102=Flowdown_Inspire[[URS]:[URS]]))*(--(I$14=Flowdown_Inspire[[Source.Name]:[Source.Name]])),Flowdown_Inspire[[SyRS]:[SyRS]],"")))</f>
        <v/>
      </c>
      <c r="J102" s="12" t="str" cm="1">
        <f t="array" ref="J102">_xlfn.TEXTJOIN(CHAR(10),TRUE,_xlfn._xlws.SORT(IF((--($B102=Flowdown_Inspire[[URS]:[URS]]))*(--(J$14=Flowdown_Inspire[[Source.Name]:[Source.Name]])),Flowdown_Inspire[[SyRS]:[SyRS]],"")))</f>
        <v/>
      </c>
      <c r="K102" s="12" t="str" cm="1">
        <f t="array" ref="K102">_xlfn.TEXTJOIN(CHAR(10),TRUE,_xlfn._xlws.SORT(IF((--($B102=Flowdown_Inspire[[URS]:[URS]]))*(--(K$14=Flowdown_Inspire[[Source.Name]:[Source.Name]])),Flowdown_Inspire[[SyRS]:[SyRS]],"")))</f>
        <v/>
      </c>
      <c r="L102" s="16" t="b" cm="1">
        <f t="array" ref="L102">OR(LEN(C102:K102)&gt;0)</f>
        <v>1</v>
      </c>
    </row>
    <row r="103" spans="2:12" ht="67.5" x14ac:dyDescent="0.2">
      <c r="B103" s="11" t="str">
        <v>MASTER-6530</v>
      </c>
      <c r="C103" s="12" t="str" cm="1">
        <f t="array" ref="C103">_xlfn.TEXTJOIN(CHAR(10),TRUE,_xlfn._xlws.SORT(IF((--($B103=Flowdown_Inspire[[URS]:[URS]]))*(--(C$14=Flowdown_Inspire[[Source.Name]:[Source.Name]])),Flowdown_Inspire[[SyRS]:[SyRS]],"")))</f>
        <v>MASTER-60749</v>
      </c>
      <c r="D103" s="12" t="str" cm="1">
        <f t="array" ref="D103">_xlfn.TEXTJOIN(CHAR(10),TRUE,_xlfn._xlws.SORT(IF((--($B103=Flowdown_Inspire[[URS]:[URS]]))*(--(D$14=Flowdown_Inspire[[Source.Name]:[Source.Name]])),Flowdown_Inspire[[SyRS]:[SyRS]],"")))</f>
        <v>MASTER-60749</v>
      </c>
      <c r="E103" s="12" t="str" cm="1">
        <f t="array" ref="E103">_xlfn.TEXTJOIN(CHAR(10),TRUE,_xlfn._xlws.SORT(IF((--($B103=Flowdown_Inspire[[URS]:[URS]]))*(--(E$14=Flowdown_Inspire[[Source.Name]:[Source.Name]])),Flowdown_Inspire[[SyRS]:[SyRS]],"")))</f>
        <v>MASTER-60749</v>
      </c>
      <c r="F103" s="12" t="str" cm="1">
        <f t="array" ref="F103">_xlfn.TEXTJOIN(CHAR(10),TRUE,_xlfn._xlws.SORT(IF((--($B103=Flowdown_Inspire[[URS]:[URS]]))*(--(F$14=Flowdown_Inspire[[Source.Name]:[Source.Name]])),Flowdown_Inspire[[SyRS]:[SyRS]],"")))</f>
        <v>MASTER-60749</v>
      </c>
      <c r="G103" s="12" t="str" cm="1">
        <f t="array" ref="G103">_xlfn.TEXTJOIN(CHAR(10),TRUE,_xlfn._xlws.SORT(IF((--($B103=Flowdown_Inspire[[URS]:[URS]]))*(--(G$14=Flowdown_Inspire[[Source.Name]:[Source.Name]])),Flowdown_Inspire[[SyRS]:[SyRS]],"")))</f>
        <v>MASTER-60749</v>
      </c>
      <c r="H103" s="12" t="str" cm="1">
        <f t="array" ref="H103">_xlfn.TEXTJOIN(CHAR(10),TRUE,_xlfn._xlws.SORT(IF((--($B103=Flowdown_Inspire[[URS]:[URS]]))*(--(H$14=Flowdown_Inspire[[Source.Name]:[Source.Name]])),Flowdown_Inspire[[SyRS]:[SyRS]],"")))</f>
        <v>MASTER-22115
MASTER-60800
MASTER-60810
MASTER-60835
UTICA-24565</v>
      </c>
      <c r="I103" s="12" t="str" cm="1">
        <f t="array" ref="I103">_xlfn.TEXTJOIN(CHAR(10),TRUE,_xlfn._xlws.SORT(IF((--($B103=Flowdown_Inspire[[URS]:[URS]]))*(--(I$14=Flowdown_Inspire[[Source.Name]:[Source.Name]])),Flowdown_Inspire[[SyRS]:[SyRS]],"")))</f>
        <v/>
      </c>
      <c r="J103" s="12" t="str" cm="1">
        <f t="array" ref="J103">_xlfn.TEXTJOIN(CHAR(10),TRUE,_xlfn._xlws.SORT(IF((--($B103=Flowdown_Inspire[[URS]:[URS]]))*(--(J$14=Flowdown_Inspire[[Source.Name]:[Source.Name]])),Flowdown_Inspire[[SyRS]:[SyRS]],"")))</f>
        <v/>
      </c>
      <c r="K103" s="12" t="str" cm="1">
        <f t="array" ref="K103">_xlfn.TEXTJOIN(CHAR(10),TRUE,_xlfn._xlws.SORT(IF((--($B103=Flowdown_Inspire[[URS]:[URS]]))*(--(K$14=Flowdown_Inspire[[Source.Name]:[Source.Name]])),Flowdown_Inspire[[SyRS]:[SyRS]],"")))</f>
        <v/>
      </c>
      <c r="L103" s="16" t="b" cm="1">
        <f t="array" ref="L103">OR(LEN(C103:K103)&gt;0)</f>
        <v>1</v>
      </c>
    </row>
    <row r="104" spans="2:12" ht="40.5" x14ac:dyDescent="0.2">
      <c r="B104" s="11" t="str">
        <v>MASTER-6531</v>
      </c>
      <c r="C104" s="12" t="str" cm="1">
        <f t="array" ref="C104">_xlfn.TEXTJOIN(CHAR(10),TRUE,_xlfn._xlws.SORT(IF((--($B104=Flowdown_Inspire[[URS]:[URS]]))*(--(C$14=Flowdown_Inspire[[Source.Name]:[Source.Name]])),Flowdown_Inspire[[SyRS]:[SyRS]],"")))</f>
        <v/>
      </c>
      <c r="D104" s="12" t="str" cm="1">
        <f t="array" ref="D104">_xlfn.TEXTJOIN(CHAR(10),TRUE,_xlfn._xlws.SORT(IF((--($B104=Flowdown_Inspire[[URS]:[URS]]))*(--(D$14=Flowdown_Inspire[[Source.Name]:[Source.Name]])),Flowdown_Inspire[[SyRS]:[SyRS]],"")))</f>
        <v/>
      </c>
      <c r="E104" s="12" t="str" cm="1">
        <f t="array" ref="E104">_xlfn.TEXTJOIN(CHAR(10),TRUE,_xlfn._xlws.SORT(IF((--($B104=Flowdown_Inspire[[URS]:[URS]]))*(--(E$14=Flowdown_Inspire[[Source.Name]:[Source.Name]])),Flowdown_Inspire[[SyRS]:[SyRS]],"")))</f>
        <v/>
      </c>
      <c r="F104" s="12" t="str" cm="1">
        <f t="array" ref="F104">_xlfn.TEXTJOIN(CHAR(10),TRUE,_xlfn._xlws.SORT(IF((--($B104=Flowdown_Inspire[[URS]:[URS]]))*(--(F$14=Flowdown_Inspire[[Source.Name]:[Source.Name]])),Flowdown_Inspire[[SyRS]:[SyRS]],"")))</f>
        <v/>
      </c>
      <c r="G104" s="12" t="str" cm="1">
        <f t="array" ref="G104">_xlfn.TEXTJOIN(CHAR(10),TRUE,_xlfn._xlws.SORT(IF((--($B104=Flowdown_Inspire[[URS]:[URS]]))*(--(G$14=Flowdown_Inspire[[Source.Name]:[Source.Name]])),Flowdown_Inspire[[SyRS]:[SyRS]],"")))</f>
        <v/>
      </c>
      <c r="H104" s="12" t="str" cm="1">
        <f t="array" ref="H104">_xlfn.TEXTJOIN(CHAR(10),TRUE,_xlfn._xlws.SORT(IF((--($B104=Flowdown_Inspire[[URS]:[URS]]))*(--(H$14=Flowdown_Inspire[[Source.Name]:[Source.Name]])),Flowdown_Inspire[[SyRS]:[SyRS]],"")))</f>
        <v>MASTER-60833
MASTER-60835
UTICA-24845</v>
      </c>
      <c r="I104" s="12" t="str" cm="1">
        <f t="array" ref="I104">_xlfn.TEXTJOIN(CHAR(10),TRUE,_xlfn._xlws.SORT(IF((--($B104=Flowdown_Inspire[[URS]:[URS]]))*(--(I$14=Flowdown_Inspire[[Source.Name]:[Source.Name]])),Flowdown_Inspire[[SyRS]:[SyRS]],"")))</f>
        <v/>
      </c>
      <c r="J104" s="12" t="str" cm="1">
        <f t="array" ref="J104">_xlfn.TEXTJOIN(CHAR(10),TRUE,_xlfn._xlws.SORT(IF((--($B104=Flowdown_Inspire[[URS]:[URS]]))*(--(J$14=Flowdown_Inspire[[Source.Name]:[Source.Name]])),Flowdown_Inspire[[SyRS]:[SyRS]],"")))</f>
        <v/>
      </c>
      <c r="K104" s="12" t="str" cm="1">
        <f t="array" ref="K104">_xlfn.TEXTJOIN(CHAR(10),TRUE,_xlfn._xlws.SORT(IF((--($B104=Flowdown_Inspire[[URS]:[URS]]))*(--(K$14=Flowdown_Inspire[[Source.Name]:[Source.Name]])),Flowdown_Inspire[[SyRS]:[SyRS]],"")))</f>
        <v/>
      </c>
      <c r="L104" s="16" t="b" cm="1">
        <f t="array" ref="L104">OR(LEN(C104:K104)&gt;0)</f>
        <v>1</v>
      </c>
    </row>
    <row r="105" spans="2:12" ht="67.5" x14ac:dyDescent="0.2">
      <c r="B105" s="11" t="str">
        <v>MASTER-6532</v>
      </c>
      <c r="C105" s="12" t="str" cm="1">
        <f t="array" ref="C105">_xlfn.TEXTJOIN(CHAR(10),TRUE,_xlfn._xlws.SORT(IF((--($B105=Flowdown_Inspire[[URS]:[URS]]))*(--(C$14=Flowdown_Inspire[[Source.Name]:[Source.Name]])),Flowdown_Inspire[[SyRS]:[SyRS]],"")))</f>
        <v>MASTER-60749</v>
      </c>
      <c r="D105" s="12" t="str" cm="1">
        <f t="array" ref="D105">_xlfn.TEXTJOIN(CHAR(10),TRUE,_xlfn._xlws.SORT(IF((--($B105=Flowdown_Inspire[[URS]:[URS]]))*(--(D$14=Flowdown_Inspire[[Source.Name]:[Source.Name]])),Flowdown_Inspire[[SyRS]:[SyRS]],"")))</f>
        <v>MASTER-60749</v>
      </c>
      <c r="E105" s="12" t="str" cm="1">
        <f t="array" ref="E105">_xlfn.TEXTJOIN(CHAR(10),TRUE,_xlfn._xlws.SORT(IF((--($B105=Flowdown_Inspire[[URS]:[URS]]))*(--(E$14=Flowdown_Inspire[[Source.Name]:[Source.Name]])),Flowdown_Inspire[[SyRS]:[SyRS]],"")))</f>
        <v>MASTER-60749</v>
      </c>
      <c r="F105" s="12" t="str" cm="1">
        <f t="array" ref="F105">_xlfn.TEXTJOIN(CHAR(10),TRUE,_xlfn._xlws.SORT(IF((--($B105=Flowdown_Inspire[[URS]:[URS]]))*(--(F$14=Flowdown_Inspire[[Source.Name]:[Source.Name]])),Flowdown_Inspire[[SyRS]:[SyRS]],"")))</f>
        <v>MASTER-60749</v>
      </c>
      <c r="G105" s="12" t="str" cm="1">
        <f t="array" ref="G105">_xlfn.TEXTJOIN(CHAR(10),TRUE,_xlfn._xlws.SORT(IF((--($B105=Flowdown_Inspire[[URS]:[URS]]))*(--(G$14=Flowdown_Inspire[[Source.Name]:[Source.Name]])),Flowdown_Inspire[[SyRS]:[SyRS]],"")))</f>
        <v>MASTER-60749</v>
      </c>
      <c r="H105" s="12" t="str" cm="1">
        <f t="array" ref="H105">_xlfn.TEXTJOIN(CHAR(10),TRUE,_xlfn._xlws.SORT(IF((--($B105=Flowdown_Inspire[[URS]:[URS]]))*(--(H$14=Flowdown_Inspire[[Source.Name]:[Source.Name]])),Flowdown_Inspire[[SyRS]:[SyRS]],"")))</f>
        <v>MASTER-60822
MASTER-60825
MASTER-60827
MASTER-60828
MASTER-60830</v>
      </c>
      <c r="I105" s="12" t="str" cm="1">
        <f t="array" ref="I105">_xlfn.TEXTJOIN(CHAR(10),TRUE,_xlfn._xlws.SORT(IF((--($B105=Flowdown_Inspire[[URS]:[URS]]))*(--(I$14=Flowdown_Inspire[[Source.Name]:[Source.Name]])),Flowdown_Inspire[[SyRS]:[SyRS]],"")))</f>
        <v/>
      </c>
      <c r="J105" s="12" t="str" cm="1">
        <f t="array" ref="J105">_xlfn.TEXTJOIN(CHAR(10),TRUE,_xlfn._xlws.SORT(IF((--($B105=Flowdown_Inspire[[URS]:[URS]]))*(--(J$14=Flowdown_Inspire[[Source.Name]:[Source.Name]])),Flowdown_Inspire[[SyRS]:[SyRS]],"")))</f>
        <v/>
      </c>
      <c r="K105" s="12" t="str" cm="1">
        <f t="array" ref="K105">_xlfn.TEXTJOIN(CHAR(10),TRUE,_xlfn._xlws.SORT(IF((--($B105=Flowdown_Inspire[[URS]:[URS]]))*(--(K$14=Flowdown_Inspire[[Source.Name]:[Source.Name]])),Flowdown_Inspire[[SyRS]:[SyRS]],"")))</f>
        <v/>
      </c>
      <c r="L105" s="16" t="b" cm="1">
        <f t="array" ref="L105">OR(LEN(C105:K105)&gt;0)</f>
        <v>1</v>
      </c>
    </row>
    <row r="106" spans="2:12" ht="13.5" x14ac:dyDescent="0.2">
      <c r="B106" s="11" t="str">
        <v>MASTER-6542</v>
      </c>
      <c r="C106" s="12" t="str" cm="1">
        <f t="array" ref="C106">_xlfn.TEXTJOIN(CHAR(10),TRUE,_xlfn._xlws.SORT(IF((--($B106=Flowdown_Inspire[[URS]:[URS]]))*(--(C$14=Flowdown_Inspire[[Source.Name]:[Source.Name]])),Flowdown_Inspire[[SyRS]:[SyRS]],"")))</f>
        <v/>
      </c>
      <c r="D106" s="12" t="str" cm="1">
        <f t="array" ref="D106">_xlfn.TEXTJOIN(CHAR(10),TRUE,_xlfn._xlws.SORT(IF((--($B106=Flowdown_Inspire[[URS]:[URS]]))*(--(D$14=Flowdown_Inspire[[Source.Name]:[Source.Name]])),Flowdown_Inspire[[SyRS]:[SyRS]],"")))</f>
        <v/>
      </c>
      <c r="E106" s="12" t="str" cm="1">
        <f t="array" ref="E106">_xlfn.TEXTJOIN(CHAR(10),TRUE,_xlfn._xlws.SORT(IF((--($B106=Flowdown_Inspire[[URS]:[URS]]))*(--(E$14=Flowdown_Inspire[[Source.Name]:[Source.Name]])),Flowdown_Inspire[[SyRS]:[SyRS]],"")))</f>
        <v/>
      </c>
      <c r="F106" s="12" t="str" cm="1">
        <f t="array" ref="F106">_xlfn.TEXTJOIN(CHAR(10),TRUE,_xlfn._xlws.SORT(IF((--($B106=Flowdown_Inspire[[URS]:[URS]]))*(--(F$14=Flowdown_Inspire[[Source.Name]:[Source.Name]])),Flowdown_Inspire[[SyRS]:[SyRS]],"")))</f>
        <v/>
      </c>
      <c r="G106" s="12" t="str" cm="1">
        <f t="array" ref="G106">_xlfn.TEXTJOIN(CHAR(10),TRUE,_xlfn._xlws.SORT(IF((--($B106=Flowdown_Inspire[[URS]:[URS]]))*(--(G$14=Flowdown_Inspire[[Source.Name]:[Source.Name]])),Flowdown_Inspire[[SyRS]:[SyRS]],"")))</f>
        <v/>
      </c>
      <c r="H106" s="12" t="str" cm="1">
        <f t="array" ref="H106">_xlfn.TEXTJOIN(CHAR(10),TRUE,_xlfn._xlws.SORT(IF((--($B106=Flowdown_Inspire[[URS]:[URS]]))*(--(H$14=Flowdown_Inspire[[Source.Name]:[Source.Name]])),Flowdown_Inspire[[SyRS]:[SyRS]],"")))</f>
        <v>MASTER-22152</v>
      </c>
      <c r="I106" s="12" t="str" cm="1">
        <f t="array" ref="I106">_xlfn.TEXTJOIN(CHAR(10),TRUE,_xlfn._xlws.SORT(IF((--($B106=Flowdown_Inspire[[URS]:[URS]]))*(--(I$14=Flowdown_Inspire[[Source.Name]:[Source.Name]])),Flowdown_Inspire[[SyRS]:[SyRS]],"")))</f>
        <v/>
      </c>
      <c r="J106" s="12" t="str" cm="1">
        <f t="array" ref="J106">_xlfn.TEXTJOIN(CHAR(10),TRUE,_xlfn._xlws.SORT(IF((--($B106=Flowdown_Inspire[[URS]:[URS]]))*(--(J$14=Flowdown_Inspire[[Source.Name]:[Source.Name]])),Flowdown_Inspire[[SyRS]:[SyRS]],"")))</f>
        <v/>
      </c>
      <c r="K106" s="12" t="str" cm="1">
        <f t="array" ref="K106">_xlfn.TEXTJOIN(CHAR(10),TRUE,_xlfn._xlws.SORT(IF((--($B106=Flowdown_Inspire[[URS]:[URS]]))*(--(K$14=Flowdown_Inspire[[Source.Name]:[Source.Name]])),Flowdown_Inspire[[SyRS]:[SyRS]],"")))</f>
        <v/>
      </c>
      <c r="L106" s="16" t="b" cm="1">
        <f t="array" ref="L106">OR(LEN(C106:K106)&gt;0)</f>
        <v>1</v>
      </c>
    </row>
    <row r="107" spans="2:12" ht="40.5" x14ac:dyDescent="0.2">
      <c r="B107" s="11" t="str">
        <v>MASTER-6547</v>
      </c>
      <c r="C107" s="12" t="str" cm="1">
        <f t="array" ref="C107">_xlfn.TEXTJOIN(CHAR(10),TRUE,_xlfn._xlws.SORT(IF((--($B107=Flowdown_Inspire[[URS]:[URS]]))*(--(C$14=Flowdown_Inspire[[Source.Name]:[Source.Name]])),Flowdown_Inspire[[SyRS]:[SyRS]],"")))</f>
        <v>MASTER-19153
MASTER-19155
MASTER-19158</v>
      </c>
      <c r="D107" s="12" t="str" cm="1">
        <f t="array" ref="D107">_xlfn.TEXTJOIN(CHAR(10),TRUE,_xlfn._xlws.SORT(IF((--($B107=Flowdown_Inspire[[URS]:[URS]]))*(--(D$14=Flowdown_Inspire[[Source.Name]:[Source.Name]])),Flowdown_Inspire[[SyRS]:[SyRS]],"")))</f>
        <v>MASTER-19153
MASTER-19155
MASTER-19158</v>
      </c>
      <c r="E107" s="12" t="str" cm="1">
        <f t="array" ref="E107">_xlfn.TEXTJOIN(CHAR(10),TRUE,_xlfn._xlws.SORT(IF((--($B107=Flowdown_Inspire[[URS]:[URS]]))*(--(E$14=Flowdown_Inspire[[Source.Name]:[Source.Name]])),Flowdown_Inspire[[SyRS]:[SyRS]],"")))</f>
        <v>MASTER-19153
MASTER-19155
MASTER-19158</v>
      </c>
      <c r="F107" s="12" t="str" cm="1">
        <f t="array" ref="F107">_xlfn.TEXTJOIN(CHAR(10),TRUE,_xlfn._xlws.SORT(IF((--($B107=Flowdown_Inspire[[URS]:[URS]]))*(--(F$14=Flowdown_Inspire[[Source.Name]:[Source.Name]])),Flowdown_Inspire[[SyRS]:[SyRS]],"")))</f>
        <v>MASTER-19153
MASTER-19155
MASTER-19158</v>
      </c>
      <c r="G107" s="12" t="str" cm="1">
        <f t="array" ref="G107">_xlfn.TEXTJOIN(CHAR(10),TRUE,_xlfn._xlws.SORT(IF((--($B107=Flowdown_Inspire[[URS]:[URS]]))*(--(G$14=Flowdown_Inspire[[Source.Name]:[Source.Name]])),Flowdown_Inspire[[SyRS]:[SyRS]],"")))</f>
        <v>MASTER-19153
MASTER-19155
MASTER-19158</v>
      </c>
      <c r="H107" s="12" t="str" cm="1">
        <f t="array" ref="H107">_xlfn.TEXTJOIN(CHAR(10),TRUE,_xlfn._xlws.SORT(IF((--($B107=Flowdown_Inspire[[URS]:[URS]]))*(--(H$14=Flowdown_Inspire[[Source.Name]:[Source.Name]])),Flowdown_Inspire[[SyRS]:[SyRS]],"")))</f>
        <v>MASTER-22154
MASTER-22155</v>
      </c>
      <c r="I107" s="12" t="str" cm="1">
        <f t="array" ref="I107">_xlfn.TEXTJOIN(CHAR(10),TRUE,_xlfn._xlws.SORT(IF((--($B107=Flowdown_Inspire[[URS]:[URS]]))*(--(I$14=Flowdown_Inspire[[Source.Name]:[Source.Name]])),Flowdown_Inspire[[SyRS]:[SyRS]],"")))</f>
        <v/>
      </c>
      <c r="J107" s="12" t="str" cm="1">
        <f t="array" ref="J107">_xlfn.TEXTJOIN(CHAR(10),TRUE,_xlfn._xlws.SORT(IF((--($B107=Flowdown_Inspire[[URS]:[URS]]))*(--(J$14=Flowdown_Inspire[[Source.Name]:[Source.Name]])),Flowdown_Inspire[[SyRS]:[SyRS]],"")))</f>
        <v/>
      </c>
      <c r="K107" s="12" t="str" cm="1">
        <f t="array" ref="K107">_xlfn.TEXTJOIN(CHAR(10),TRUE,_xlfn._xlws.SORT(IF((--($B107=Flowdown_Inspire[[URS]:[URS]]))*(--(K$14=Flowdown_Inspire[[Source.Name]:[Source.Name]])),Flowdown_Inspire[[SyRS]:[SyRS]],"")))</f>
        <v/>
      </c>
      <c r="L107" s="16" t="b" cm="1">
        <f t="array" ref="L107">OR(LEN(C107:K107)&gt;0)</f>
        <v>1</v>
      </c>
    </row>
    <row r="108" spans="2:12" ht="81" x14ac:dyDescent="0.2">
      <c r="B108" s="11" t="str">
        <v>MASTER-6551</v>
      </c>
      <c r="C108" s="12" t="str" cm="1">
        <f t="array" ref="C108">_xlfn.TEXTJOIN(CHAR(10),TRUE,_xlfn._xlws.SORT(IF((--($B108=Flowdown_Inspire[[URS]:[URS]]))*(--(C$14=Flowdown_Inspire[[Source.Name]:[Source.Name]])),Flowdown_Inspire[[SyRS]:[SyRS]],"")))</f>
        <v>MASTER-19278
MASTER-50036
MASTER-50080
MASTER-58670
MASTER-63411
MASTER-63412</v>
      </c>
      <c r="D108" s="12" t="str" cm="1">
        <f t="array" ref="D108">_xlfn.TEXTJOIN(CHAR(10),TRUE,_xlfn._xlws.SORT(IF((--($B108=Flowdown_Inspire[[URS]:[URS]]))*(--(D$14=Flowdown_Inspire[[Source.Name]:[Source.Name]])),Flowdown_Inspire[[SyRS]:[SyRS]],"")))</f>
        <v>MASTER-19278
MASTER-50036
MASTER-50080
MASTER-58670
MASTER-63411
MASTER-63412</v>
      </c>
      <c r="E108" s="12" t="str" cm="1">
        <f t="array" ref="E108">_xlfn.TEXTJOIN(CHAR(10),TRUE,_xlfn._xlws.SORT(IF((--($B108=Flowdown_Inspire[[URS]:[URS]]))*(--(E$14=Flowdown_Inspire[[Source.Name]:[Source.Name]])),Flowdown_Inspire[[SyRS]:[SyRS]],"")))</f>
        <v>MASTER-19278
MASTER-50036
MASTER-50080
MASTER-58670
MASTER-63411
MASTER-63412</v>
      </c>
      <c r="F108" s="12" t="str" cm="1">
        <f t="array" ref="F108">_xlfn.TEXTJOIN(CHAR(10),TRUE,_xlfn._xlws.SORT(IF((--($B108=Flowdown_Inspire[[URS]:[URS]]))*(--(F$14=Flowdown_Inspire[[Source.Name]:[Source.Name]])),Flowdown_Inspire[[SyRS]:[SyRS]],"")))</f>
        <v>MASTER-19278
MASTER-50036
MASTER-50080
MASTER-58670
MASTER-63411
MASTER-63412</v>
      </c>
      <c r="G108" s="12" t="str" cm="1">
        <f t="array" ref="G108">_xlfn.TEXTJOIN(CHAR(10),TRUE,_xlfn._xlws.SORT(IF((--($B108=Flowdown_Inspire[[URS]:[URS]]))*(--(G$14=Flowdown_Inspire[[Source.Name]:[Source.Name]])),Flowdown_Inspire[[SyRS]:[SyRS]],"")))</f>
        <v>MASTER-19278
MASTER-50036
MASTER-50080
MASTER-58670
MASTER-63411
MASTER-63412</v>
      </c>
      <c r="H108" s="12" t="str" cm="1">
        <f t="array" ref="H108">_xlfn.TEXTJOIN(CHAR(10),TRUE,_xlfn._xlws.SORT(IF((--($B108=Flowdown_Inspire[[URS]:[URS]]))*(--(H$14=Flowdown_Inspire[[Source.Name]:[Source.Name]])),Flowdown_Inspire[[SyRS]:[SyRS]],"")))</f>
        <v>UTICA-24846</v>
      </c>
      <c r="I108" s="12" t="str" cm="1">
        <f t="array" ref="I108">_xlfn.TEXTJOIN(CHAR(10),TRUE,_xlfn._xlws.SORT(IF((--($B108=Flowdown_Inspire[[URS]:[URS]]))*(--(I$14=Flowdown_Inspire[[Source.Name]:[Source.Name]])),Flowdown_Inspire[[SyRS]:[SyRS]],"")))</f>
        <v/>
      </c>
      <c r="J108" s="12" t="str" cm="1">
        <f t="array" ref="J108">_xlfn.TEXTJOIN(CHAR(10),TRUE,_xlfn._xlws.SORT(IF((--($B108=Flowdown_Inspire[[URS]:[URS]]))*(--(J$14=Flowdown_Inspire[[Source.Name]:[Source.Name]])),Flowdown_Inspire[[SyRS]:[SyRS]],"")))</f>
        <v/>
      </c>
      <c r="K108" s="12" t="str" cm="1">
        <f t="array" ref="K108">_xlfn.TEXTJOIN(CHAR(10),TRUE,_xlfn._xlws.SORT(IF((--($B108=Flowdown_Inspire[[URS]:[URS]]))*(--(K$14=Flowdown_Inspire[[Source.Name]:[Source.Name]])),Flowdown_Inspire[[SyRS]:[SyRS]],"")))</f>
        <v/>
      </c>
      <c r="L108" s="16" t="b" cm="1">
        <f t="array" ref="L108">OR(LEN(C108:K108)&gt;0)</f>
        <v>1</v>
      </c>
    </row>
    <row r="109" spans="2:12" ht="175.5" x14ac:dyDescent="0.2">
      <c r="B109" s="11" t="str">
        <v>MASTER-6570</v>
      </c>
      <c r="C109" s="12" t="str" cm="1">
        <f t="array" ref="C109">_xlfn.TEXTJOIN(CHAR(10),TRUE,_xlfn._xlws.SORT(IF((--($B109=Flowdown_Inspire[[URS]:[URS]]))*(--(C$14=Flowdown_Inspire[[Source.Name]:[Source.Name]])),Flowdown_Inspire[[SyRS]:[SyRS]],"")))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D109" s="12" t="str" cm="1">
        <f t="array" ref="D109">_xlfn.TEXTJOIN(CHAR(10),TRUE,_xlfn._xlws.SORT(IF((--($B109=Flowdown_Inspire[[URS]:[URS]]))*(--(D$14=Flowdown_Inspire[[Source.Name]:[Source.Name]])),Flowdown_Inspire[[SyRS]:[SyRS]],"")))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E109" s="12" t="str" cm="1">
        <f t="array" ref="E109">_xlfn.TEXTJOIN(CHAR(10),TRUE,_xlfn._xlws.SORT(IF((--($B109=Flowdown_Inspire[[URS]:[URS]]))*(--(E$14=Flowdown_Inspire[[Source.Name]:[Source.Name]])),Flowdown_Inspire[[SyRS]:[SyRS]],"")))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F109" s="12" t="str" cm="1">
        <f t="array" ref="F109">_xlfn.TEXTJOIN(CHAR(10),TRUE,_xlfn._xlws.SORT(IF((--($B109=Flowdown_Inspire[[URS]:[URS]]))*(--(F$14=Flowdown_Inspire[[Source.Name]:[Source.Name]])),Flowdown_Inspire[[SyRS]:[SyRS]],"")))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G109" s="12" t="str" cm="1">
        <f t="array" ref="G109">_xlfn.TEXTJOIN(CHAR(10),TRUE,_xlfn._xlws.SORT(IF((--($B109=Flowdown_Inspire[[URS]:[URS]]))*(--(G$14=Flowdown_Inspire[[Source.Name]:[Source.Name]])),Flowdown_Inspire[[SyRS]:[SyRS]],"")))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H109" s="12" t="str" cm="1">
        <f t="array" ref="H109">_xlfn.TEXTJOIN(CHAR(10),TRUE,_xlfn._xlws.SORT(IF((--($B109=Flowdown_Inspire[[URS]:[URS]]))*(--(H$14=Flowdown_Inspire[[Source.Name]:[Source.Name]])),Flowdown_Inspire[[SyRS]:[SyRS]],"")))</f>
        <v>MASTER-21159
MASTER-22174
MASTER-50674
MASTER-50675
MASTER-50677
MASTER-50678
MASTER-50679
MASTER-50680
MASTER-50681
MASTER-50682
UTICA-8591
UTICA-8592</v>
      </c>
      <c r="I109" s="12" t="str" cm="1">
        <f t="array" ref="I109">_xlfn.TEXTJOIN(CHAR(10),TRUE,_xlfn._xlws.SORT(IF((--($B109=Flowdown_Inspire[[URS]:[URS]]))*(--(I$14=Flowdown_Inspire[[Source.Name]:[Source.Name]])),Flowdown_Inspire[[SyRS]:[SyRS]],"")))</f>
        <v/>
      </c>
      <c r="J109" s="12" t="str" cm="1">
        <f t="array" ref="J109">_xlfn.TEXTJOIN(CHAR(10),TRUE,_xlfn._xlws.SORT(IF((--($B109=Flowdown_Inspire[[URS]:[URS]]))*(--(J$14=Flowdown_Inspire[[Source.Name]:[Source.Name]])),Flowdown_Inspire[[SyRS]:[SyRS]],"")))</f>
        <v/>
      </c>
      <c r="K109" s="12" t="str" cm="1">
        <f t="array" ref="K109">_xlfn.TEXTJOIN(CHAR(10),TRUE,_xlfn._xlws.SORT(IF((--($B109=Flowdown_Inspire[[URS]:[URS]]))*(--(K$14=Flowdown_Inspire[[Source.Name]:[Source.Name]])),Flowdown_Inspire[[SyRS]:[SyRS]],"")))</f>
        <v/>
      </c>
      <c r="L109" s="16" t="b" cm="1">
        <f t="array" ref="L109">OR(LEN(C109:K109)&gt;0)</f>
        <v>1</v>
      </c>
    </row>
    <row r="110" spans="2:12" ht="13.5" x14ac:dyDescent="0.2">
      <c r="B110" s="11" t="str">
        <v>MASTER-6593</v>
      </c>
      <c r="C110" s="12" t="str" cm="1">
        <f t="array" ref="C110">_xlfn.TEXTJOIN(CHAR(10),TRUE,_xlfn._xlws.SORT(IF((--($B110=Flowdown_Inspire[[URS]:[URS]]))*(--(C$14=Flowdown_Inspire[[Source.Name]:[Source.Name]])),Flowdown_Inspire[[SyRS]:[SyRS]],"")))</f>
        <v>MASTER-18622</v>
      </c>
      <c r="D110" s="12" t="str" cm="1">
        <f t="array" ref="D110">_xlfn.TEXTJOIN(CHAR(10),TRUE,_xlfn._xlws.SORT(IF((--($B110=Flowdown_Inspire[[URS]:[URS]]))*(--(D$14=Flowdown_Inspire[[Source.Name]:[Source.Name]])),Flowdown_Inspire[[SyRS]:[SyRS]],"")))</f>
        <v>MASTER-18622</v>
      </c>
      <c r="E110" s="12" t="str" cm="1">
        <f t="array" ref="E110">_xlfn.TEXTJOIN(CHAR(10),TRUE,_xlfn._xlws.SORT(IF((--($B110=Flowdown_Inspire[[URS]:[URS]]))*(--(E$14=Flowdown_Inspire[[Source.Name]:[Source.Name]])),Flowdown_Inspire[[SyRS]:[SyRS]],"")))</f>
        <v>MASTER-18622</v>
      </c>
      <c r="F110" s="12" t="str" cm="1">
        <f t="array" ref="F110">_xlfn.TEXTJOIN(CHAR(10),TRUE,_xlfn._xlws.SORT(IF((--($B110=Flowdown_Inspire[[URS]:[URS]]))*(--(F$14=Flowdown_Inspire[[Source.Name]:[Source.Name]])),Flowdown_Inspire[[SyRS]:[SyRS]],"")))</f>
        <v>MASTER-18622</v>
      </c>
      <c r="G110" s="12" t="str" cm="1">
        <f t="array" ref="G110">_xlfn.TEXTJOIN(CHAR(10),TRUE,_xlfn._xlws.SORT(IF((--($B110=Flowdown_Inspire[[URS]:[URS]]))*(--(G$14=Flowdown_Inspire[[Source.Name]:[Source.Name]])),Flowdown_Inspire[[SyRS]:[SyRS]],"")))</f>
        <v>MASTER-18622</v>
      </c>
      <c r="H110" s="12" t="str" cm="1">
        <f t="array" ref="H110">_xlfn.TEXTJOIN(CHAR(10),TRUE,_xlfn._xlws.SORT(IF((--($B110=Flowdown_Inspire[[URS]:[URS]]))*(--(H$14=Flowdown_Inspire[[Source.Name]:[Source.Name]])),Flowdown_Inspire[[SyRS]:[SyRS]],"")))</f>
        <v/>
      </c>
      <c r="I110" s="12" t="str" cm="1">
        <f t="array" ref="I110">_xlfn.TEXTJOIN(CHAR(10),TRUE,_xlfn._xlws.SORT(IF((--($B110=Flowdown_Inspire[[URS]:[URS]]))*(--(I$14=Flowdown_Inspire[[Source.Name]:[Source.Name]])),Flowdown_Inspire[[SyRS]:[SyRS]],"")))</f>
        <v/>
      </c>
      <c r="J110" s="12" t="str" cm="1">
        <f t="array" ref="J110">_xlfn.TEXTJOIN(CHAR(10),TRUE,_xlfn._xlws.SORT(IF((--($B110=Flowdown_Inspire[[URS]:[URS]]))*(--(J$14=Flowdown_Inspire[[Source.Name]:[Source.Name]])),Flowdown_Inspire[[SyRS]:[SyRS]],"")))</f>
        <v/>
      </c>
      <c r="K110" s="12" t="str" cm="1">
        <f t="array" ref="K110">_xlfn.TEXTJOIN(CHAR(10),TRUE,_xlfn._xlws.SORT(IF((--($B110=Flowdown_Inspire[[URS]:[URS]]))*(--(K$14=Flowdown_Inspire[[Source.Name]:[Source.Name]])),Flowdown_Inspire[[SyRS]:[SyRS]],"")))</f>
        <v/>
      </c>
      <c r="L110" s="16" t="b" cm="1">
        <f t="array" ref="L110">OR(LEN(C110:K110)&gt;0)</f>
        <v>1</v>
      </c>
    </row>
    <row r="111" spans="2:12" ht="81" x14ac:dyDescent="0.2">
      <c r="B111" s="11" t="str">
        <v>MASTER-6595</v>
      </c>
      <c r="C111" s="12" t="str" cm="1">
        <f t="array" ref="C111">_xlfn.TEXTJOIN(CHAR(10),TRUE,_xlfn._xlws.SORT(IF((--($B111=Flowdown_Inspire[[URS]:[URS]]))*(--(C$14=Flowdown_Inspire[[Source.Name]:[Source.Name]])),Flowdown_Inspire[[SyRS]:[SyRS]],"")))</f>
        <v>MASTER-19615
MASTER-19617
MASTER-19618
MASTER-19619
MASTER-19620
MASTER-19621</v>
      </c>
      <c r="D111" s="12" t="str" cm="1">
        <f t="array" ref="D111">_xlfn.TEXTJOIN(CHAR(10),TRUE,_xlfn._xlws.SORT(IF((--($B111=Flowdown_Inspire[[URS]:[URS]]))*(--(D$14=Flowdown_Inspire[[Source.Name]:[Source.Name]])),Flowdown_Inspire[[SyRS]:[SyRS]],"")))</f>
        <v>MASTER-19615
MASTER-19617
MASTER-19618
MASTER-19619
MASTER-19620
MASTER-19621</v>
      </c>
      <c r="E111" s="12" t="str" cm="1">
        <f t="array" ref="E111">_xlfn.TEXTJOIN(CHAR(10),TRUE,_xlfn._xlws.SORT(IF((--($B111=Flowdown_Inspire[[URS]:[URS]]))*(--(E$14=Flowdown_Inspire[[Source.Name]:[Source.Name]])),Flowdown_Inspire[[SyRS]:[SyRS]],"")))</f>
        <v>MASTER-19615
MASTER-19617
MASTER-19618
MASTER-19619
MASTER-19620
MASTER-19621</v>
      </c>
      <c r="F111" s="12" t="str" cm="1">
        <f t="array" ref="F111">_xlfn.TEXTJOIN(CHAR(10),TRUE,_xlfn._xlws.SORT(IF((--($B111=Flowdown_Inspire[[URS]:[URS]]))*(--(F$14=Flowdown_Inspire[[Source.Name]:[Source.Name]])),Flowdown_Inspire[[SyRS]:[SyRS]],"")))</f>
        <v>MASTER-19615
MASTER-19617
MASTER-19618
MASTER-19619
MASTER-19620
MASTER-19621</v>
      </c>
      <c r="G111" s="12" t="str" cm="1">
        <f t="array" ref="G111">_xlfn.TEXTJOIN(CHAR(10),TRUE,_xlfn._xlws.SORT(IF((--($B111=Flowdown_Inspire[[URS]:[URS]]))*(--(G$14=Flowdown_Inspire[[Source.Name]:[Source.Name]])),Flowdown_Inspire[[SyRS]:[SyRS]],"")))</f>
        <v>MASTER-19615
MASTER-19617
MASTER-19618
MASTER-19619
MASTER-19620
MASTER-19621</v>
      </c>
      <c r="H111" s="12" t="str" cm="1">
        <f t="array" ref="H111">_xlfn.TEXTJOIN(CHAR(10),TRUE,_xlfn._xlws.SORT(IF((--($B111=Flowdown_Inspire[[URS]:[URS]]))*(--(H$14=Flowdown_Inspire[[Source.Name]:[Source.Name]])),Flowdown_Inspire[[SyRS]:[SyRS]],"")))</f>
        <v/>
      </c>
      <c r="I111" s="12" t="str" cm="1">
        <f t="array" ref="I111">_xlfn.TEXTJOIN(CHAR(10),TRUE,_xlfn._xlws.SORT(IF((--($B111=Flowdown_Inspire[[URS]:[URS]]))*(--(I$14=Flowdown_Inspire[[Source.Name]:[Source.Name]])),Flowdown_Inspire[[SyRS]:[SyRS]],"")))</f>
        <v/>
      </c>
      <c r="J111" s="12" t="str" cm="1">
        <f t="array" ref="J111">_xlfn.TEXTJOIN(CHAR(10),TRUE,_xlfn._xlws.SORT(IF((--($B111=Flowdown_Inspire[[URS]:[URS]]))*(--(J$14=Flowdown_Inspire[[Source.Name]:[Source.Name]])),Flowdown_Inspire[[SyRS]:[SyRS]],"")))</f>
        <v/>
      </c>
      <c r="K111" s="12" t="str" cm="1">
        <f t="array" ref="K111">_xlfn.TEXTJOIN(CHAR(10),TRUE,_xlfn._xlws.SORT(IF((--($B111=Flowdown_Inspire[[URS]:[URS]]))*(--(K$14=Flowdown_Inspire[[Source.Name]:[Source.Name]])),Flowdown_Inspire[[SyRS]:[SyRS]],"")))</f>
        <v/>
      </c>
      <c r="L111" s="16" t="b" cm="1">
        <f t="array" ref="L111">OR(LEN(C111:K111)&gt;0)</f>
        <v>1</v>
      </c>
    </row>
    <row r="112" spans="2:12" ht="54" x14ac:dyDescent="0.2">
      <c r="B112" s="11" t="str">
        <v>MASTER-6596</v>
      </c>
      <c r="C112" s="12" t="str" cm="1">
        <f t="array" ref="C112">_xlfn.TEXTJOIN(CHAR(10),TRUE,_xlfn._xlws.SORT(IF((--($B112=Flowdown_Inspire[[URS]:[URS]]))*(--(C$14=Flowdown_Inspire[[Source.Name]:[Source.Name]])),Flowdown_Inspire[[SyRS]:[SyRS]],"")))</f>
        <v/>
      </c>
      <c r="D112" s="12" t="str" cm="1">
        <f t="array" ref="D112">_xlfn.TEXTJOIN(CHAR(10),TRUE,_xlfn._xlws.SORT(IF((--($B112=Flowdown_Inspire[[URS]:[URS]]))*(--(D$14=Flowdown_Inspire[[Source.Name]:[Source.Name]])),Flowdown_Inspire[[SyRS]:[SyRS]],"")))</f>
        <v/>
      </c>
      <c r="E112" s="12" t="str" cm="1">
        <f t="array" ref="E112">_xlfn.TEXTJOIN(CHAR(10),TRUE,_xlfn._xlws.SORT(IF((--($B112=Flowdown_Inspire[[URS]:[URS]]))*(--(E$14=Flowdown_Inspire[[Source.Name]:[Source.Name]])),Flowdown_Inspire[[SyRS]:[SyRS]],"")))</f>
        <v/>
      </c>
      <c r="F112" s="12" t="str" cm="1">
        <f t="array" ref="F112">_xlfn.TEXTJOIN(CHAR(10),TRUE,_xlfn._xlws.SORT(IF((--($B112=Flowdown_Inspire[[URS]:[URS]]))*(--(F$14=Flowdown_Inspire[[Source.Name]:[Source.Name]])),Flowdown_Inspire[[SyRS]:[SyRS]],"")))</f>
        <v/>
      </c>
      <c r="G112" s="12" t="str" cm="1">
        <f t="array" ref="G112">_xlfn.TEXTJOIN(CHAR(10),TRUE,_xlfn._xlws.SORT(IF((--($B112=Flowdown_Inspire[[URS]:[URS]]))*(--(G$14=Flowdown_Inspire[[Source.Name]:[Source.Name]])),Flowdown_Inspire[[SyRS]:[SyRS]],"")))</f>
        <v/>
      </c>
      <c r="H112" s="12" t="str" cm="1">
        <f t="array" ref="H112">_xlfn.TEXTJOIN(CHAR(10),TRUE,_xlfn._xlws.SORT(IF((--($B112=Flowdown_Inspire[[URS]:[URS]]))*(--(H$14=Flowdown_Inspire[[Source.Name]:[Source.Name]])),Flowdown_Inspire[[SyRS]:[SyRS]],"")))</f>
        <v>MASTER-22278
MASTER-22293
MASTER-22294
MASTER-41122</v>
      </c>
      <c r="I112" s="12" t="str" cm="1">
        <f t="array" ref="I112">_xlfn.TEXTJOIN(CHAR(10),TRUE,_xlfn._xlws.SORT(IF((--($B112=Flowdown_Inspire[[URS]:[URS]]))*(--(I$14=Flowdown_Inspire[[Source.Name]:[Source.Name]])),Flowdown_Inspire[[SyRS]:[SyRS]],"")))</f>
        <v/>
      </c>
      <c r="J112" s="12" t="str" cm="1">
        <f t="array" ref="J112">_xlfn.TEXTJOIN(CHAR(10),TRUE,_xlfn._xlws.SORT(IF((--($B112=Flowdown_Inspire[[URS]:[URS]]))*(--(J$14=Flowdown_Inspire[[Source.Name]:[Source.Name]])),Flowdown_Inspire[[SyRS]:[SyRS]],"")))</f>
        <v/>
      </c>
      <c r="K112" s="12" t="str" cm="1">
        <f t="array" ref="K112">_xlfn.TEXTJOIN(CHAR(10),TRUE,_xlfn._xlws.SORT(IF((--($B112=Flowdown_Inspire[[URS]:[URS]]))*(--(K$14=Flowdown_Inspire[[Source.Name]:[Source.Name]])),Flowdown_Inspire[[SyRS]:[SyRS]],"")))</f>
        <v/>
      </c>
      <c r="L112" s="16" t="b" cm="1">
        <f t="array" ref="L112">OR(LEN(C112:K112)&gt;0)</f>
        <v>1</v>
      </c>
    </row>
    <row r="113" spans="2:12" ht="27" x14ac:dyDescent="0.2">
      <c r="B113" s="11" t="str">
        <v>MASTER-6597</v>
      </c>
      <c r="C113" s="12" t="str" cm="1">
        <f t="array" ref="C113">_xlfn.TEXTJOIN(CHAR(10),TRUE,_xlfn._xlws.SORT(IF((--($B113=Flowdown_Inspire[[URS]:[URS]]))*(--(C$14=Flowdown_Inspire[[Source.Name]:[Source.Name]])),Flowdown_Inspire[[SyRS]:[SyRS]],"")))</f>
        <v/>
      </c>
      <c r="D113" s="12" t="str" cm="1">
        <f t="array" ref="D113">_xlfn.TEXTJOIN(CHAR(10),TRUE,_xlfn._xlws.SORT(IF((--($B113=Flowdown_Inspire[[URS]:[URS]]))*(--(D$14=Flowdown_Inspire[[Source.Name]:[Source.Name]])),Flowdown_Inspire[[SyRS]:[SyRS]],"")))</f>
        <v/>
      </c>
      <c r="E113" s="12" t="str" cm="1">
        <f t="array" ref="E113">_xlfn.TEXTJOIN(CHAR(10),TRUE,_xlfn._xlws.SORT(IF((--($B113=Flowdown_Inspire[[URS]:[URS]]))*(--(E$14=Flowdown_Inspire[[Source.Name]:[Source.Name]])),Flowdown_Inspire[[SyRS]:[SyRS]],"")))</f>
        <v/>
      </c>
      <c r="F113" s="12" t="str" cm="1">
        <f t="array" ref="F113">_xlfn.TEXTJOIN(CHAR(10),TRUE,_xlfn._xlws.SORT(IF((--($B113=Flowdown_Inspire[[URS]:[URS]]))*(--(F$14=Flowdown_Inspire[[Source.Name]:[Source.Name]])),Flowdown_Inspire[[SyRS]:[SyRS]],"")))</f>
        <v/>
      </c>
      <c r="G113" s="12" t="str" cm="1">
        <f t="array" ref="G113">_xlfn.TEXTJOIN(CHAR(10),TRUE,_xlfn._xlws.SORT(IF((--($B113=Flowdown_Inspire[[URS]:[URS]]))*(--(G$14=Flowdown_Inspire[[Source.Name]:[Source.Name]])),Flowdown_Inspire[[SyRS]:[SyRS]],"")))</f>
        <v/>
      </c>
      <c r="H113" s="12" t="str" cm="1">
        <f t="array" ref="H113">_xlfn.TEXTJOIN(CHAR(10),TRUE,_xlfn._xlws.SORT(IF((--($B113=Flowdown_Inspire[[URS]:[URS]]))*(--(H$14=Flowdown_Inspire[[Source.Name]:[Source.Name]])),Flowdown_Inspire[[SyRS]:[SyRS]],"")))</f>
        <v>MASTER-22280
MASTER-22292</v>
      </c>
      <c r="I113" s="12" t="str" cm="1">
        <f t="array" ref="I113">_xlfn.TEXTJOIN(CHAR(10),TRUE,_xlfn._xlws.SORT(IF((--($B113=Flowdown_Inspire[[URS]:[URS]]))*(--(I$14=Flowdown_Inspire[[Source.Name]:[Source.Name]])),Flowdown_Inspire[[SyRS]:[SyRS]],"")))</f>
        <v/>
      </c>
      <c r="J113" s="12" t="str" cm="1">
        <f t="array" ref="J113">_xlfn.TEXTJOIN(CHAR(10),TRUE,_xlfn._xlws.SORT(IF((--($B113=Flowdown_Inspire[[URS]:[URS]]))*(--(J$14=Flowdown_Inspire[[Source.Name]:[Source.Name]])),Flowdown_Inspire[[SyRS]:[SyRS]],"")))</f>
        <v/>
      </c>
      <c r="K113" s="12" t="str" cm="1">
        <f t="array" ref="K113">_xlfn.TEXTJOIN(CHAR(10),TRUE,_xlfn._xlws.SORT(IF((--($B113=Flowdown_Inspire[[URS]:[URS]]))*(--(K$14=Flowdown_Inspire[[Source.Name]:[Source.Name]])),Flowdown_Inspire[[SyRS]:[SyRS]],"")))</f>
        <v/>
      </c>
      <c r="L113" s="16" t="b" cm="1">
        <f t="array" ref="L113">OR(LEN(C113:K113)&gt;0)</f>
        <v>1</v>
      </c>
    </row>
    <row r="114" spans="2:12" ht="81" x14ac:dyDescent="0.2">
      <c r="B114" s="11" t="str">
        <v>MASTER-6598</v>
      </c>
      <c r="C114" s="12" t="str" cm="1">
        <f t="array" ref="C114">_xlfn.TEXTJOIN(CHAR(10),TRUE,_xlfn._xlws.SORT(IF((--($B114=Flowdown_Inspire[[URS]:[URS]]))*(--(C$14=Flowdown_Inspire[[Source.Name]:[Source.Name]])),Flowdown_Inspire[[SyRS]:[SyRS]],"")))</f>
        <v/>
      </c>
      <c r="D114" s="12" t="str" cm="1">
        <f t="array" ref="D114">_xlfn.TEXTJOIN(CHAR(10),TRUE,_xlfn._xlws.SORT(IF((--($B114=Flowdown_Inspire[[URS]:[URS]]))*(--(D$14=Flowdown_Inspire[[Source.Name]:[Source.Name]])),Flowdown_Inspire[[SyRS]:[SyRS]],"")))</f>
        <v/>
      </c>
      <c r="E114" s="12" t="str" cm="1">
        <f t="array" ref="E114">_xlfn.TEXTJOIN(CHAR(10),TRUE,_xlfn._xlws.SORT(IF((--($B114=Flowdown_Inspire[[URS]:[URS]]))*(--(E$14=Flowdown_Inspire[[Source.Name]:[Source.Name]])),Flowdown_Inspire[[SyRS]:[SyRS]],"")))</f>
        <v/>
      </c>
      <c r="F114" s="12" t="str" cm="1">
        <f t="array" ref="F114">_xlfn.TEXTJOIN(CHAR(10),TRUE,_xlfn._xlws.SORT(IF((--($B114=Flowdown_Inspire[[URS]:[URS]]))*(--(F$14=Flowdown_Inspire[[Source.Name]:[Source.Name]])),Flowdown_Inspire[[SyRS]:[SyRS]],"")))</f>
        <v/>
      </c>
      <c r="G114" s="12" t="str" cm="1">
        <f t="array" ref="G114">_xlfn.TEXTJOIN(CHAR(10),TRUE,_xlfn._xlws.SORT(IF((--($B114=Flowdown_Inspire[[URS]:[URS]]))*(--(G$14=Flowdown_Inspire[[Source.Name]:[Source.Name]])),Flowdown_Inspire[[SyRS]:[SyRS]],"")))</f>
        <v/>
      </c>
      <c r="H114" s="12" t="str" cm="1">
        <f t="array" ref="H114">_xlfn.TEXTJOIN(CHAR(10),TRUE,_xlfn._xlws.SORT(IF((--($B114=Flowdown_Inspire[[URS]:[URS]]))*(--(H$14=Flowdown_Inspire[[Source.Name]:[Source.Name]])),Flowdown_Inspire[[SyRS]:[SyRS]],"")))</f>
        <v>MASTER-22280
MASTER-22281
MASTER-22282
MASTER-22283
MASTER-22284
MASTER-22285</v>
      </c>
      <c r="I114" s="12" t="str" cm="1">
        <f t="array" ref="I114">_xlfn.TEXTJOIN(CHAR(10),TRUE,_xlfn._xlws.SORT(IF((--($B114=Flowdown_Inspire[[URS]:[URS]]))*(--(I$14=Flowdown_Inspire[[Source.Name]:[Source.Name]])),Flowdown_Inspire[[SyRS]:[SyRS]],"")))</f>
        <v/>
      </c>
      <c r="J114" s="12" t="str" cm="1">
        <f t="array" ref="J114">_xlfn.TEXTJOIN(CHAR(10),TRUE,_xlfn._xlws.SORT(IF((--($B114=Flowdown_Inspire[[URS]:[URS]]))*(--(J$14=Flowdown_Inspire[[Source.Name]:[Source.Name]])),Flowdown_Inspire[[SyRS]:[SyRS]],"")))</f>
        <v/>
      </c>
      <c r="K114" s="12" t="str" cm="1">
        <f t="array" ref="K114">_xlfn.TEXTJOIN(CHAR(10),TRUE,_xlfn._xlws.SORT(IF((--($B114=Flowdown_Inspire[[URS]:[URS]]))*(--(K$14=Flowdown_Inspire[[Source.Name]:[Source.Name]])),Flowdown_Inspire[[SyRS]:[SyRS]],"")))</f>
        <v/>
      </c>
      <c r="L114" s="16" t="b" cm="1">
        <f t="array" ref="L114">OR(LEN(C114:K114)&gt;0)</f>
        <v>1</v>
      </c>
    </row>
    <row r="115" spans="2:12" ht="13.5" x14ac:dyDescent="0.2">
      <c r="B115" s="11" t="str">
        <v>MASTER-6599</v>
      </c>
      <c r="C115" s="12" t="str" cm="1">
        <f t="array" ref="C115">_xlfn.TEXTJOIN(CHAR(10),TRUE,_xlfn._xlws.SORT(IF((--($B115=Flowdown_Inspire[[URS]:[URS]]))*(--(C$14=Flowdown_Inspire[[Source.Name]:[Source.Name]])),Flowdown_Inspire[[SyRS]:[SyRS]],"")))</f>
        <v>MASTER-19609</v>
      </c>
      <c r="D115" s="12" t="str" cm="1">
        <f t="array" ref="D115">_xlfn.TEXTJOIN(CHAR(10),TRUE,_xlfn._xlws.SORT(IF((--($B115=Flowdown_Inspire[[URS]:[URS]]))*(--(D$14=Flowdown_Inspire[[Source.Name]:[Source.Name]])),Flowdown_Inspire[[SyRS]:[SyRS]],"")))</f>
        <v>MASTER-19609</v>
      </c>
      <c r="E115" s="12" t="str" cm="1">
        <f t="array" ref="E115">_xlfn.TEXTJOIN(CHAR(10),TRUE,_xlfn._xlws.SORT(IF((--($B115=Flowdown_Inspire[[URS]:[URS]]))*(--(E$14=Flowdown_Inspire[[Source.Name]:[Source.Name]])),Flowdown_Inspire[[SyRS]:[SyRS]],"")))</f>
        <v>MASTER-19609</v>
      </c>
      <c r="F115" s="12" t="str" cm="1">
        <f t="array" ref="F115">_xlfn.TEXTJOIN(CHAR(10),TRUE,_xlfn._xlws.SORT(IF((--($B115=Flowdown_Inspire[[URS]:[URS]]))*(--(F$14=Flowdown_Inspire[[Source.Name]:[Source.Name]])),Flowdown_Inspire[[SyRS]:[SyRS]],"")))</f>
        <v>MASTER-19609</v>
      </c>
      <c r="G115" s="12" t="str" cm="1">
        <f t="array" ref="G115">_xlfn.TEXTJOIN(CHAR(10),TRUE,_xlfn._xlws.SORT(IF((--($B115=Flowdown_Inspire[[URS]:[URS]]))*(--(G$14=Flowdown_Inspire[[Source.Name]:[Source.Name]])),Flowdown_Inspire[[SyRS]:[SyRS]],"")))</f>
        <v>MASTER-19609</v>
      </c>
      <c r="H115" s="12" t="str" cm="1">
        <f t="array" ref="H115">_xlfn.TEXTJOIN(CHAR(10),TRUE,_xlfn._xlws.SORT(IF((--($B115=Flowdown_Inspire[[URS]:[URS]]))*(--(H$14=Flowdown_Inspire[[Source.Name]:[Source.Name]])),Flowdown_Inspire[[SyRS]:[SyRS]],"")))</f>
        <v>MASTER-22279</v>
      </c>
      <c r="I115" s="12" t="str" cm="1">
        <f t="array" ref="I115">_xlfn.TEXTJOIN(CHAR(10),TRUE,_xlfn._xlws.SORT(IF((--($B115=Flowdown_Inspire[[URS]:[URS]]))*(--(I$14=Flowdown_Inspire[[Source.Name]:[Source.Name]])),Flowdown_Inspire[[SyRS]:[SyRS]],"")))</f>
        <v/>
      </c>
      <c r="J115" s="12" t="str" cm="1">
        <f t="array" ref="J115">_xlfn.TEXTJOIN(CHAR(10),TRUE,_xlfn._xlws.SORT(IF((--($B115=Flowdown_Inspire[[URS]:[URS]]))*(--(J$14=Flowdown_Inspire[[Source.Name]:[Source.Name]])),Flowdown_Inspire[[SyRS]:[SyRS]],"")))</f>
        <v/>
      </c>
      <c r="K115" s="12" t="str" cm="1">
        <f t="array" ref="K115">_xlfn.TEXTJOIN(CHAR(10),TRUE,_xlfn._xlws.SORT(IF((--($B115=Flowdown_Inspire[[URS]:[URS]]))*(--(K$14=Flowdown_Inspire[[Source.Name]:[Source.Name]])),Flowdown_Inspire[[SyRS]:[SyRS]],"")))</f>
        <v/>
      </c>
      <c r="L115" s="16" t="b" cm="1">
        <f t="array" ref="L115">OR(LEN(C115:K115)&gt;0)</f>
        <v>1</v>
      </c>
    </row>
    <row r="116" spans="2:12" ht="27" x14ac:dyDescent="0.2">
      <c r="B116" s="11" t="str">
        <v>MASTER-6600</v>
      </c>
      <c r="C116" s="12" t="str" cm="1">
        <f t="array" ref="C116">_xlfn.TEXTJOIN(CHAR(10),TRUE,_xlfn._xlws.SORT(IF((--($B116=Flowdown_Inspire[[URS]:[URS]]))*(--(C$14=Flowdown_Inspire[[Source.Name]:[Source.Name]])),Flowdown_Inspire[[SyRS]:[SyRS]],"")))</f>
        <v/>
      </c>
      <c r="D116" s="12" t="str" cm="1">
        <f t="array" ref="D116">_xlfn.TEXTJOIN(CHAR(10),TRUE,_xlfn._xlws.SORT(IF((--($B116=Flowdown_Inspire[[URS]:[URS]]))*(--(D$14=Flowdown_Inspire[[Source.Name]:[Source.Name]])),Flowdown_Inspire[[SyRS]:[SyRS]],"")))</f>
        <v/>
      </c>
      <c r="E116" s="12" t="str" cm="1">
        <f t="array" ref="E116">_xlfn.TEXTJOIN(CHAR(10),TRUE,_xlfn._xlws.SORT(IF((--($B116=Flowdown_Inspire[[URS]:[URS]]))*(--(E$14=Flowdown_Inspire[[Source.Name]:[Source.Name]])),Flowdown_Inspire[[SyRS]:[SyRS]],"")))</f>
        <v/>
      </c>
      <c r="F116" s="12" t="str" cm="1">
        <f t="array" ref="F116">_xlfn.TEXTJOIN(CHAR(10),TRUE,_xlfn._xlws.SORT(IF((--($B116=Flowdown_Inspire[[URS]:[URS]]))*(--(F$14=Flowdown_Inspire[[Source.Name]:[Source.Name]])),Flowdown_Inspire[[SyRS]:[SyRS]],"")))</f>
        <v/>
      </c>
      <c r="G116" s="12" t="str" cm="1">
        <f t="array" ref="G116">_xlfn.TEXTJOIN(CHAR(10),TRUE,_xlfn._xlws.SORT(IF((--($B116=Flowdown_Inspire[[URS]:[URS]]))*(--(G$14=Flowdown_Inspire[[Source.Name]:[Source.Name]])),Flowdown_Inspire[[SyRS]:[SyRS]],"")))</f>
        <v/>
      </c>
      <c r="H116" s="12" t="str" cm="1">
        <f t="array" ref="H116">_xlfn.TEXTJOIN(CHAR(10),TRUE,_xlfn._xlws.SORT(IF((--($B116=Flowdown_Inspire[[URS]:[URS]]))*(--(H$14=Flowdown_Inspire[[Source.Name]:[Source.Name]])),Flowdown_Inspire[[SyRS]:[SyRS]],"")))</f>
        <v>MASTER-22290
MASTER-22291</v>
      </c>
      <c r="I116" s="12" t="str" cm="1">
        <f t="array" ref="I116">_xlfn.TEXTJOIN(CHAR(10),TRUE,_xlfn._xlws.SORT(IF((--($B116=Flowdown_Inspire[[URS]:[URS]]))*(--(I$14=Flowdown_Inspire[[Source.Name]:[Source.Name]])),Flowdown_Inspire[[SyRS]:[SyRS]],"")))</f>
        <v/>
      </c>
      <c r="J116" s="12" t="str" cm="1">
        <f t="array" ref="J116">_xlfn.TEXTJOIN(CHAR(10),TRUE,_xlfn._xlws.SORT(IF((--($B116=Flowdown_Inspire[[URS]:[URS]]))*(--(J$14=Flowdown_Inspire[[Source.Name]:[Source.Name]])),Flowdown_Inspire[[SyRS]:[SyRS]],"")))</f>
        <v/>
      </c>
      <c r="K116" s="12" t="str" cm="1">
        <f t="array" ref="K116">_xlfn.TEXTJOIN(CHAR(10),TRUE,_xlfn._xlws.SORT(IF((--($B116=Flowdown_Inspire[[URS]:[URS]]))*(--(K$14=Flowdown_Inspire[[Source.Name]:[Source.Name]])),Flowdown_Inspire[[SyRS]:[SyRS]],"")))</f>
        <v/>
      </c>
      <c r="L116" s="16" t="b" cm="1">
        <f t="array" ref="L116">OR(LEN(C116:K116)&gt;0)</f>
        <v>1</v>
      </c>
    </row>
    <row r="117" spans="2:12" ht="121.5" x14ac:dyDescent="0.2">
      <c r="B117" s="11" t="str">
        <v>MASTER-6601</v>
      </c>
      <c r="C117" s="12" t="str" cm="1">
        <f t="array" ref="C117">_xlfn.TEXTJOIN(CHAR(10),TRUE,_xlfn._xlws.SORT(IF((--($B117=Flowdown_Inspire[[URS]:[URS]]))*(--(C$14=Flowdown_Inspire[[Source.Name]:[Source.Name]])),Flowdown_Inspire[[SyRS]:[SyRS]],"")))</f>
        <v>MASTER-19610
MASTER-19611
MASTER-19612
MASTER-19613
MASTER-19614</v>
      </c>
      <c r="D117" s="12" t="str" cm="1">
        <f t="array" ref="D117">_xlfn.TEXTJOIN(CHAR(10),TRUE,_xlfn._xlws.SORT(IF((--($B117=Flowdown_Inspire[[URS]:[URS]]))*(--(D$14=Flowdown_Inspire[[Source.Name]:[Source.Name]])),Flowdown_Inspire[[SyRS]:[SyRS]],"")))</f>
        <v>MASTER-19610
MASTER-19611
MASTER-19612
MASTER-19613
MASTER-19614</v>
      </c>
      <c r="E117" s="12" t="str" cm="1">
        <f t="array" ref="E117">_xlfn.TEXTJOIN(CHAR(10),TRUE,_xlfn._xlws.SORT(IF((--($B117=Flowdown_Inspire[[URS]:[URS]]))*(--(E$14=Flowdown_Inspire[[Source.Name]:[Source.Name]])),Flowdown_Inspire[[SyRS]:[SyRS]],"")))</f>
        <v>MASTER-19610
MASTER-19611
MASTER-19612
MASTER-19613
MASTER-19614</v>
      </c>
      <c r="F117" s="12" t="str" cm="1">
        <f t="array" ref="F117">_xlfn.TEXTJOIN(CHAR(10),TRUE,_xlfn._xlws.SORT(IF((--($B117=Flowdown_Inspire[[URS]:[URS]]))*(--(F$14=Flowdown_Inspire[[Source.Name]:[Source.Name]])),Flowdown_Inspire[[SyRS]:[SyRS]],"")))</f>
        <v>MASTER-19610
MASTER-19611
MASTER-19612
MASTER-19613
MASTER-19614</v>
      </c>
      <c r="G117" s="12" t="str" cm="1">
        <f t="array" ref="G117">_xlfn.TEXTJOIN(CHAR(10),TRUE,_xlfn._xlws.SORT(IF((--($B117=Flowdown_Inspire[[URS]:[URS]]))*(--(G$14=Flowdown_Inspire[[Source.Name]:[Source.Name]])),Flowdown_Inspire[[SyRS]:[SyRS]],"")))</f>
        <v>MASTER-19610
MASTER-19611
MASTER-19612
MASTER-19613
MASTER-19614</v>
      </c>
      <c r="H117" s="12" t="str" cm="1">
        <f t="array" ref="H117">_xlfn.TEXTJOIN(CHAR(10),TRUE,_xlfn._xlws.SORT(IF((--($B117=Flowdown_Inspire[[URS]:[URS]]))*(--(H$14=Flowdown_Inspire[[Source.Name]:[Source.Name]])),Flowdown_Inspire[[SyRS]:[SyRS]],"")))</f>
        <v>MASTER-22281
MASTER-22282
MASTER-22283
MASTER-22284
MASTER-22285
MASTER-22286
MASTER-22287
MASTER-22288
MASTER-22289</v>
      </c>
      <c r="I117" s="12" t="str" cm="1">
        <f t="array" ref="I117">_xlfn.TEXTJOIN(CHAR(10),TRUE,_xlfn._xlws.SORT(IF((--($B117=Flowdown_Inspire[[URS]:[URS]]))*(--(I$14=Flowdown_Inspire[[Source.Name]:[Source.Name]])),Flowdown_Inspire[[SyRS]:[SyRS]],"")))</f>
        <v/>
      </c>
      <c r="J117" s="12" t="str" cm="1">
        <f t="array" ref="J117">_xlfn.TEXTJOIN(CHAR(10),TRUE,_xlfn._xlws.SORT(IF((--($B117=Flowdown_Inspire[[URS]:[URS]]))*(--(J$14=Flowdown_Inspire[[Source.Name]:[Source.Name]])),Flowdown_Inspire[[SyRS]:[SyRS]],"")))</f>
        <v/>
      </c>
      <c r="K117" s="12" t="str" cm="1">
        <f t="array" ref="K117">_xlfn.TEXTJOIN(CHAR(10),TRUE,_xlfn._xlws.SORT(IF((--($B117=Flowdown_Inspire[[URS]:[URS]]))*(--(K$14=Flowdown_Inspire[[Source.Name]:[Source.Name]])),Flowdown_Inspire[[SyRS]:[SyRS]],"")))</f>
        <v/>
      </c>
      <c r="L117" s="16" t="b" cm="1">
        <f t="array" ref="L117">OR(LEN(C117:K117)&gt;0)</f>
        <v>1</v>
      </c>
    </row>
    <row r="118" spans="2:12" ht="13.5" x14ac:dyDescent="0.2">
      <c r="B118" s="11" t="str">
        <v>MASTER-6603</v>
      </c>
      <c r="C118" s="12" t="str" cm="1">
        <f t="array" ref="C118">_xlfn.TEXTJOIN(CHAR(10),TRUE,_xlfn._xlws.SORT(IF((--($B118=Flowdown_Inspire[[URS]:[URS]]))*(--(C$14=Flowdown_Inspire[[Source.Name]:[Source.Name]])),Flowdown_Inspire[[SyRS]:[SyRS]],"")))</f>
        <v>MASTER-60721</v>
      </c>
      <c r="D118" s="12" t="str" cm="1">
        <f t="array" ref="D118">_xlfn.TEXTJOIN(CHAR(10),TRUE,_xlfn._xlws.SORT(IF((--($B118=Flowdown_Inspire[[URS]:[URS]]))*(--(D$14=Flowdown_Inspire[[Source.Name]:[Source.Name]])),Flowdown_Inspire[[SyRS]:[SyRS]],"")))</f>
        <v>MASTER-60721</v>
      </c>
      <c r="E118" s="12" t="str" cm="1">
        <f t="array" ref="E118">_xlfn.TEXTJOIN(CHAR(10),TRUE,_xlfn._xlws.SORT(IF((--($B118=Flowdown_Inspire[[URS]:[URS]]))*(--(E$14=Flowdown_Inspire[[Source.Name]:[Source.Name]])),Flowdown_Inspire[[SyRS]:[SyRS]],"")))</f>
        <v>MASTER-60721</v>
      </c>
      <c r="F118" s="12" t="str" cm="1">
        <f t="array" ref="F118">_xlfn.TEXTJOIN(CHAR(10),TRUE,_xlfn._xlws.SORT(IF((--($B118=Flowdown_Inspire[[URS]:[URS]]))*(--(F$14=Flowdown_Inspire[[Source.Name]:[Source.Name]])),Flowdown_Inspire[[SyRS]:[SyRS]],"")))</f>
        <v>MASTER-60721</v>
      </c>
      <c r="G118" s="12" t="str" cm="1">
        <f t="array" ref="G118">_xlfn.TEXTJOIN(CHAR(10),TRUE,_xlfn._xlws.SORT(IF((--($B118=Flowdown_Inspire[[URS]:[URS]]))*(--(G$14=Flowdown_Inspire[[Source.Name]:[Source.Name]])),Flowdown_Inspire[[SyRS]:[SyRS]],"")))</f>
        <v>MASTER-60721</v>
      </c>
      <c r="H118" s="12" t="str" cm="1">
        <f t="array" ref="H118">_xlfn.TEXTJOIN(CHAR(10),TRUE,_xlfn._xlws.SORT(IF((--($B118=Flowdown_Inspire[[URS]:[URS]]))*(--(H$14=Flowdown_Inspire[[Source.Name]:[Source.Name]])),Flowdown_Inspire[[SyRS]:[SyRS]],"")))</f>
        <v/>
      </c>
      <c r="I118" s="12" t="str" cm="1">
        <f t="array" ref="I118">_xlfn.TEXTJOIN(CHAR(10),TRUE,_xlfn._xlws.SORT(IF((--($B118=Flowdown_Inspire[[URS]:[URS]]))*(--(I$14=Flowdown_Inspire[[Source.Name]:[Source.Name]])),Flowdown_Inspire[[SyRS]:[SyRS]],"")))</f>
        <v/>
      </c>
      <c r="J118" s="12" t="str" cm="1">
        <f t="array" ref="J118">_xlfn.TEXTJOIN(CHAR(10),TRUE,_xlfn._xlws.SORT(IF((--($B118=Flowdown_Inspire[[URS]:[URS]]))*(--(J$14=Flowdown_Inspire[[Source.Name]:[Source.Name]])),Flowdown_Inspire[[SyRS]:[SyRS]],"")))</f>
        <v/>
      </c>
      <c r="K118" s="12" t="str" cm="1">
        <f t="array" ref="K118">_xlfn.TEXTJOIN(CHAR(10),TRUE,_xlfn._xlws.SORT(IF((--($B118=Flowdown_Inspire[[URS]:[URS]]))*(--(K$14=Flowdown_Inspire[[Source.Name]:[Source.Name]])),Flowdown_Inspire[[SyRS]:[SyRS]],"")))</f>
        <v/>
      </c>
      <c r="L118" s="16" t="b" cm="1">
        <f t="array" ref="L118">OR(LEN(C118:K118)&gt;0)</f>
        <v>1</v>
      </c>
    </row>
    <row r="119" spans="2:12" ht="13.5" x14ac:dyDescent="0.2">
      <c r="B119" s="11" t="str">
        <v>MASTER-6604</v>
      </c>
      <c r="C119" s="12" t="str" cm="1">
        <f t="array" ref="C119">_xlfn.TEXTJOIN(CHAR(10),TRUE,_xlfn._xlws.SORT(IF((--($B119=Flowdown_Inspire[[URS]:[URS]]))*(--(C$14=Flowdown_Inspire[[Source.Name]:[Source.Name]])),Flowdown_Inspire[[SyRS]:[SyRS]],"")))</f>
        <v>MASTER-60721</v>
      </c>
      <c r="D119" s="12" t="str" cm="1">
        <f t="array" ref="D119">_xlfn.TEXTJOIN(CHAR(10),TRUE,_xlfn._xlws.SORT(IF((--($B119=Flowdown_Inspire[[URS]:[URS]]))*(--(D$14=Flowdown_Inspire[[Source.Name]:[Source.Name]])),Flowdown_Inspire[[SyRS]:[SyRS]],"")))</f>
        <v>MASTER-60721</v>
      </c>
      <c r="E119" s="12" t="str" cm="1">
        <f t="array" ref="E119">_xlfn.TEXTJOIN(CHAR(10),TRUE,_xlfn._xlws.SORT(IF((--($B119=Flowdown_Inspire[[URS]:[URS]]))*(--(E$14=Flowdown_Inspire[[Source.Name]:[Source.Name]])),Flowdown_Inspire[[SyRS]:[SyRS]],"")))</f>
        <v>MASTER-60721</v>
      </c>
      <c r="F119" s="12" t="str" cm="1">
        <f t="array" ref="F119">_xlfn.TEXTJOIN(CHAR(10),TRUE,_xlfn._xlws.SORT(IF((--($B119=Flowdown_Inspire[[URS]:[URS]]))*(--(F$14=Flowdown_Inspire[[Source.Name]:[Source.Name]])),Flowdown_Inspire[[SyRS]:[SyRS]],"")))</f>
        <v>MASTER-60721</v>
      </c>
      <c r="G119" s="12" t="str" cm="1">
        <f t="array" ref="G119">_xlfn.TEXTJOIN(CHAR(10),TRUE,_xlfn._xlws.SORT(IF((--($B119=Flowdown_Inspire[[URS]:[URS]]))*(--(G$14=Flowdown_Inspire[[Source.Name]:[Source.Name]])),Flowdown_Inspire[[SyRS]:[SyRS]],"")))</f>
        <v>MASTER-60721</v>
      </c>
      <c r="H119" s="12" t="str" cm="1">
        <f t="array" ref="H119">_xlfn.TEXTJOIN(CHAR(10),TRUE,_xlfn._xlws.SORT(IF((--($B119=Flowdown_Inspire[[URS]:[URS]]))*(--(H$14=Flowdown_Inspire[[Source.Name]:[Source.Name]])),Flowdown_Inspire[[SyRS]:[SyRS]],"")))</f>
        <v/>
      </c>
      <c r="I119" s="12" t="str" cm="1">
        <f t="array" ref="I119">_xlfn.TEXTJOIN(CHAR(10),TRUE,_xlfn._xlws.SORT(IF((--($B119=Flowdown_Inspire[[URS]:[URS]]))*(--(I$14=Flowdown_Inspire[[Source.Name]:[Source.Name]])),Flowdown_Inspire[[SyRS]:[SyRS]],"")))</f>
        <v/>
      </c>
      <c r="J119" s="12" t="str" cm="1">
        <f t="array" ref="J119">_xlfn.TEXTJOIN(CHAR(10),TRUE,_xlfn._xlws.SORT(IF((--($B119=Flowdown_Inspire[[URS]:[URS]]))*(--(J$14=Flowdown_Inspire[[Source.Name]:[Source.Name]])),Flowdown_Inspire[[SyRS]:[SyRS]],"")))</f>
        <v/>
      </c>
      <c r="K119" s="12" t="str" cm="1">
        <f t="array" ref="K119">_xlfn.TEXTJOIN(CHAR(10),TRUE,_xlfn._xlws.SORT(IF((--($B119=Flowdown_Inspire[[URS]:[URS]]))*(--(K$14=Flowdown_Inspire[[Source.Name]:[Source.Name]])),Flowdown_Inspire[[SyRS]:[SyRS]],"")))</f>
        <v/>
      </c>
      <c r="L119" s="16" t="b" cm="1">
        <f t="array" ref="L119">OR(LEN(C119:K119)&gt;0)</f>
        <v>1</v>
      </c>
    </row>
    <row r="120" spans="2:12" ht="13.5" x14ac:dyDescent="0.2">
      <c r="B120" s="11" t="str">
        <v>MASTER-6605</v>
      </c>
      <c r="C120" s="12" t="str" cm="1">
        <f t="array" ref="C120">_xlfn.TEXTJOIN(CHAR(10),TRUE,_xlfn._xlws.SORT(IF((--($B120=Flowdown_Inspire[[URS]:[URS]]))*(--(C$14=Flowdown_Inspire[[Source.Name]:[Source.Name]])),Flowdown_Inspire[[SyRS]:[SyRS]],"")))</f>
        <v>MASTER-60721</v>
      </c>
      <c r="D120" s="12" t="str" cm="1">
        <f t="array" ref="D120">_xlfn.TEXTJOIN(CHAR(10),TRUE,_xlfn._xlws.SORT(IF((--($B120=Flowdown_Inspire[[URS]:[URS]]))*(--(D$14=Flowdown_Inspire[[Source.Name]:[Source.Name]])),Flowdown_Inspire[[SyRS]:[SyRS]],"")))</f>
        <v>MASTER-60721</v>
      </c>
      <c r="E120" s="12" t="str" cm="1">
        <f t="array" ref="E120">_xlfn.TEXTJOIN(CHAR(10),TRUE,_xlfn._xlws.SORT(IF((--($B120=Flowdown_Inspire[[URS]:[URS]]))*(--(E$14=Flowdown_Inspire[[Source.Name]:[Source.Name]])),Flowdown_Inspire[[SyRS]:[SyRS]],"")))</f>
        <v>MASTER-60721</v>
      </c>
      <c r="F120" s="12" t="str" cm="1">
        <f t="array" ref="F120">_xlfn.TEXTJOIN(CHAR(10),TRUE,_xlfn._xlws.SORT(IF((--($B120=Flowdown_Inspire[[URS]:[URS]]))*(--(F$14=Flowdown_Inspire[[Source.Name]:[Source.Name]])),Flowdown_Inspire[[SyRS]:[SyRS]],"")))</f>
        <v>MASTER-60721</v>
      </c>
      <c r="G120" s="12" t="str" cm="1">
        <f t="array" ref="G120">_xlfn.TEXTJOIN(CHAR(10),TRUE,_xlfn._xlws.SORT(IF((--($B120=Flowdown_Inspire[[URS]:[URS]]))*(--(G$14=Flowdown_Inspire[[Source.Name]:[Source.Name]])),Flowdown_Inspire[[SyRS]:[SyRS]],"")))</f>
        <v>MASTER-60721</v>
      </c>
      <c r="H120" s="12" t="str" cm="1">
        <f t="array" ref="H120">_xlfn.TEXTJOIN(CHAR(10),TRUE,_xlfn._xlws.SORT(IF((--($B120=Flowdown_Inspire[[URS]:[URS]]))*(--(H$14=Flowdown_Inspire[[Source.Name]:[Source.Name]])),Flowdown_Inspire[[SyRS]:[SyRS]],"")))</f>
        <v/>
      </c>
      <c r="I120" s="12" t="str" cm="1">
        <f t="array" ref="I120">_xlfn.TEXTJOIN(CHAR(10),TRUE,_xlfn._xlws.SORT(IF((--($B120=Flowdown_Inspire[[URS]:[URS]]))*(--(I$14=Flowdown_Inspire[[Source.Name]:[Source.Name]])),Flowdown_Inspire[[SyRS]:[SyRS]],"")))</f>
        <v/>
      </c>
      <c r="J120" s="12" t="str" cm="1">
        <f t="array" ref="J120">_xlfn.TEXTJOIN(CHAR(10),TRUE,_xlfn._xlws.SORT(IF((--($B120=Flowdown_Inspire[[URS]:[URS]]))*(--(J$14=Flowdown_Inspire[[Source.Name]:[Source.Name]])),Flowdown_Inspire[[SyRS]:[SyRS]],"")))</f>
        <v/>
      </c>
      <c r="K120" s="12" t="str" cm="1">
        <f t="array" ref="K120">_xlfn.TEXTJOIN(CHAR(10),TRUE,_xlfn._xlws.SORT(IF((--($B120=Flowdown_Inspire[[URS]:[URS]]))*(--(K$14=Flowdown_Inspire[[Source.Name]:[Source.Name]])),Flowdown_Inspire[[SyRS]:[SyRS]],"")))</f>
        <v/>
      </c>
      <c r="L120" s="16" t="b" cm="1">
        <f t="array" ref="L120">OR(LEN(C120:K120)&gt;0)</f>
        <v>1</v>
      </c>
    </row>
    <row r="121" spans="2:12" ht="13.5" x14ac:dyDescent="0.2">
      <c r="B121" s="11" t="str">
        <v>MASTER-6606</v>
      </c>
      <c r="C121" s="12" t="str" cm="1">
        <f t="array" ref="C121">_xlfn.TEXTJOIN(CHAR(10),TRUE,_xlfn._xlws.SORT(IF((--($B121=Flowdown_Inspire[[URS]:[URS]]))*(--(C$14=Flowdown_Inspire[[Source.Name]:[Source.Name]])),Flowdown_Inspire[[SyRS]:[SyRS]],"")))</f>
        <v>MASTER-60721</v>
      </c>
      <c r="D121" s="12" t="str" cm="1">
        <f t="array" ref="D121">_xlfn.TEXTJOIN(CHAR(10),TRUE,_xlfn._xlws.SORT(IF((--($B121=Flowdown_Inspire[[URS]:[URS]]))*(--(D$14=Flowdown_Inspire[[Source.Name]:[Source.Name]])),Flowdown_Inspire[[SyRS]:[SyRS]],"")))</f>
        <v>MASTER-60721</v>
      </c>
      <c r="E121" s="12" t="str" cm="1">
        <f t="array" ref="E121">_xlfn.TEXTJOIN(CHAR(10),TRUE,_xlfn._xlws.SORT(IF((--($B121=Flowdown_Inspire[[URS]:[URS]]))*(--(E$14=Flowdown_Inspire[[Source.Name]:[Source.Name]])),Flowdown_Inspire[[SyRS]:[SyRS]],"")))</f>
        <v>MASTER-60721</v>
      </c>
      <c r="F121" s="12" t="str" cm="1">
        <f t="array" ref="F121">_xlfn.TEXTJOIN(CHAR(10),TRUE,_xlfn._xlws.SORT(IF((--($B121=Flowdown_Inspire[[URS]:[URS]]))*(--(F$14=Flowdown_Inspire[[Source.Name]:[Source.Name]])),Flowdown_Inspire[[SyRS]:[SyRS]],"")))</f>
        <v>MASTER-60721</v>
      </c>
      <c r="G121" s="12" t="str" cm="1">
        <f t="array" ref="G121">_xlfn.TEXTJOIN(CHAR(10),TRUE,_xlfn._xlws.SORT(IF((--($B121=Flowdown_Inspire[[URS]:[URS]]))*(--(G$14=Flowdown_Inspire[[Source.Name]:[Source.Name]])),Flowdown_Inspire[[SyRS]:[SyRS]],"")))</f>
        <v>MASTER-60721</v>
      </c>
      <c r="H121" s="12" t="str" cm="1">
        <f t="array" ref="H121">_xlfn.TEXTJOIN(CHAR(10),TRUE,_xlfn._xlws.SORT(IF((--($B121=Flowdown_Inspire[[URS]:[URS]]))*(--(H$14=Flowdown_Inspire[[Source.Name]:[Source.Name]])),Flowdown_Inspire[[SyRS]:[SyRS]],"")))</f>
        <v/>
      </c>
      <c r="I121" s="12" t="str" cm="1">
        <f t="array" ref="I121">_xlfn.TEXTJOIN(CHAR(10),TRUE,_xlfn._xlws.SORT(IF((--($B121=Flowdown_Inspire[[URS]:[URS]]))*(--(I$14=Flowdown_Inspire[[Source.Name]:[Source.Name]])),Flowdown_Inspire[[SyRS]:[SyRS]],"")))</f>
        <v/>
      </c>
      <c r="J121" s="12" t="str" cm="1">
        <f t="array" ref="J121">_xlfn.TEXTJOIN(CHAR(10),TRUE,_xlfn._xlws.SORT(IF((--($B121=Flowdown_Inspire[[URS]:[URS]]))*(--(J$14=Flowdown_Inspire[[Source.Name]:[Source.Name]])),Flowdown_Inspire[[SyRS]:[SyRS]],"")))</f>
        <v/>
      </c>
      <c r="K121" s="12" t="str" cm="1">
        <f t="array" ref="K121">_xlfn.TEXTJOIN(CHAR(10),TRUE,_xlfn._xlws.SORT(IF((--($B121=Flowdown_Inspire[[URS]:[URS]]))*(--(K$14=Flowdown_Inspire[[Source.Name]:[Source.Name]])),Flowdown_Inspire[[SyRS]:[SyRS]],"")))</f>
        <v/>
      </c>
      <c r="L121" s="16" t="b" cm="1">
        <f t="array" ref="L121">OR(LEN(C121:K121)&gt;0)</f>
        <v>1</v>
      </c>
    </row>
    <row r="122" spans="2:12" ht="13.5" x14ac:dyDescent="0.2">
      <c r="B122" s="11" t="str">
        <v>MASTER-6607</v>
      </c>
      <c r="C122" s="12" t="str" cm="1">
        <f t="array" ref="C122">_xlfn.TEXTJOIN(CHAR(10),TRUE,_xlfn._xlws.SORT(IF((--($B122=Flowdown_Inspire[[URS]:[URS]]))*(--(C$14=Flowdown_Inspire[[Source.Name]:[Source.Name]])),Flowdown_Inspire[[SyRS]:[SyRS]],"")))</f>
        <v>MASTER-60721</v>
      </c>
      <c r="D122" s="12" t="str" cm="1">
        <f t="array" ref="D122">_xlfn.TEXTJOIN(CHAR(10),TRUE,_xlfn._xlws.SORT(IF((--($B122=Flowdown_Inspire[[URS]:[URS]]))*(--(D$14=Flowdown_Inspire[[Source.Name]:[Source.Name]])),Flowdown_Inspire[[SyRS]:[SyRS]],"")))</f>
        <v>MASTER-60721</v>
      </c>
      <c r="E122" s="12" t="str" cm="1">
        <f t="array" ref="E122">_xlfn.TEXTJOIN(CHAR(10),TRUE,_xlfn._xlws.SORT(IF((--($B122=Flowdown_Inspire[[URS]:[URS]]))*(--(E$14=Flowdown_Inspire[[Source.Name]:[Source.Name]])),Flowdown_Inspire[[SyRS]:[SyRS]],"")))</f>
        <v>MASTER-60721</v>
      </c>
      <c r="F122" s="12" t="str" cm="1">
        <f t="array" ref="F122">_xlfn.TEXTJOIN(CHAR(10),TRUE,_xlfn._xlws.SORT(IF((--($B122=Flowdown_Inspire[[URS]:[URS]]))*(--(F$14=Flowdown_Inspire[[Source.Name]:[Source.Name]])),Flowdown_Inspire[[SyRS]:[SyRS]],"")))</f>
        <v>MASTER-60721</v>
      </c>
      <c r="G122" s="12" t="str" cm="1">
        <f t="array" ref="G122">_xlfn.TEXTJOIN(CHAR(10),TRUE,_xlfn._xlws.SORT(IF((--($B122=Flowdown_Inspire[[URS]:[URS]]))*(--(G$14=Flowdown_Inspire[[Source.Name]:[Source.Name]])),Flowdown_Inspire[[SyRS]:[SyRS]],"")))</f>
        <v>MASTER-60721</v>
      </c>
      <c r="H122" s="12" t="str" cm="1">
        <f t="array" ref="H122">_xlfn.TEXTJOIN(CHAR(10),TRUE,_xlfn._xlws.SORT(IF((--($B122=Flowdown_Inspire[[URS]:[URS]]))*(--(H$14=Flowdown_Inspire[[Source.Name]:[Source.Name]])),Flowdown_Inspire[[SyRS]:[SyRS]],"")))</f>
        <v/>
      </c>
      <c r="I122" s="12" t="str" cm="1">
        <f t="array" ref="I122">_xlfn.TEXTJOIN(CHAR(10),TRUE,_xlfn._xlws.SORT(IF((--($B122=Flowdown_Inspire[[URS]:[URS]]))*(--(I$14=Flowdown_Inspire[[Source.Name]:[Source.Name]])),Flowdown_Inspire[[SyRS]:[SyRS]],"")))</f>
        <v/>
      </c>
      <c r="J122" s="12" t="str" cm="1">
        <f t="array" ref="J122">_xlfn.TEXTJOIN(CHAR(10),TRUE,_xlfn._xlws.SORT(IF((--($B122=Flowdown_Inspire[[URS]:[URS]]))*(--(J$14=Flowdown_Inspire[[Source.Name]:[Source.Name]])),Flowdown_Inspire[[SyRS]:[SyRS]],"")))</f>
        <v/>
      </c>
      <c r="K122" s="12" t="str" cm="1">
        <f t="array" ref="K122">_xlfn.TEXTJOIN(CHAR(10),TRUE,_xlfn._xlws.SORT(IF((--($B122=Flowdown_Inspire[[URS]:[URS]]))*(--(K$14=Flowdown_Inspire[[Source.Name]:[Source.Name]])),Flowdown_Inspire[[SyRS]:[SyRS]],"")))</f>
        <v/>
      </c>
      <c r="L122" s="16" t="b" cm="1">
        <f t="array" ref="L122">OR(LEN(C122:K122)&gt;0)</f>
        <v>1</v>
      </c>
    </row>
    <row r="123" spans="2:12" ht="378" x14ac:dyDescent="0.2">
      <c r="B123" s="11" t="str">
        <v>MASTER-6609</v>
      </c>
      <c r="C123" s="12" t="str" cm="1">
        <f t="array" ref="C123">_xlfn.TEXTJOIN(CHAR(10),TRUE,_xlfn._xlws.SORT(IF((--($B123=Flowdown_Inspire[[URS]:[URS]]))*(--(C$14=Flowdown_Inspire[[Source.Name]:[Source.Name]])),Flowdown_Inspire[[SyRS]:[SyRS]],"")))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123" s="12" t="str" cm="1">
        <f t="array" ref="D123">_xlfn.TEXTJOIN(CHAR(10),TRUE,_xlfn._xlws.SORT(IF((--($B123=Flowdown_Inspire[[URS]:[URS]]))*(--(D$14=Flowdown_Inspire[[Source.Name]:[Source.Name]])),Flowdown_Inspire[[SyRS]:[SyRS]],"")))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123" s="12" t="str" cm="1">
        <f t="array" ref="E123">_xlfn.TEXTJOIN(CHAR(10),TRUE,_xlfn._xlws.SORT(IF((--($B123=Flowdown_Inspire[[URS]:[URS]]))*(--(E$14=Flowdown_Inspire[[Source.Name]:[Source.Name]])),Flowdown_Inspire[[SyRS]:[SyRS]],"")))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123" s="12" t="str" cm="1">
        <f t="array" ref="F123">_xlfn.TEXTJOIN(CHAR(10),TRUE,_xlfn._xlws.SORT(IF((--($B123=Flowdown_Inspire[[URS]:[URS]]))*(--(F$14=Flowdown_Inspire[[Source.Name]:[Source.Name]])),Flowdown_Inspire[[SyRS]:[SyRS]],"")))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123" s="12" t="str" cm="1">
        <f t="array" ref="G123">_xlfn.TEXTJOIN(CHAR(10),TRUE,_xlfn._xlws.SORT(IF((--($B123=Flowdown_Inspire[[URS]:[URS]]))*(--(G$14=Flowdown_Inspire[[Source.Name]:[Source.Name]])),Flowdown_Inspire[[SyRS]:[SyRS]],"")))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123" s="12" t="str" cm="1">
        <f t="array" ref="H123">_xlfn.TEXTJOIN(CHAR(10),TRUE,_xlfn._xlws.SORT(IF((--($B123=Flowdown_Inspire[[URS]:[URS]]))*(--(H$14=Flowdown_Inspire[[Source.Name]:[Source.Name]])),Flowdown_Inspire[[SyRS]:[SyRS]],"")))</f>
        <v>MASTER-64686
MASTER-64687
MASTER-64688
MASTER-64689
MASTER-64690
MASTER-64693
MASTER-64694
MASTER-64696
MASTER-64697</v>
      </c>
      <c r="I123" s="12" t="str" cm="1">
        <f t="array" ref="I123">_xlfn.TEXTJOIN(CHAR(10),TRUE,_xlfn._xlws.SORT(IF((--($B123=Flowdown_Inspire[[URS]:[URS]]))*(--(I$14=Flowdown_Inspire[[Source.Name]:[Source.Name]])),Flowdown_Inspire[[SyRS]:[SyRS]],"")))</f>
        <v/>
      </c>
      <c r="J123" s="12" t="str" cm="1">
        <f t="array" ref="J123">_xlfn.TEXTJOIN(CHAR(10),TRUE,_xlfn._xlws.SORT(IF((--($B123=Flowdown_Inspire[[URS]:[URS]]))*(--(J$14=Flowdown_Inspire[[Source.Name]:[Source.Name]])),Flowdown_Inspire[[SyRS]:[SyRS]],"")))</f>
        <v/>
      </c>
      <c r="K123" s="12" t="str" cm="1">
        <f t="array" ref="K123">_xlfn.TEXTJOIN(CHAR(10),TRUE,_xlfn._xlws.SORT(IF((--($B123=Flowdown_Inspire[[URS]:[URS]]))*(--(K$14=Flowdown_Inspire[[Source.Name]:[Source.Name]])),Flowdown_Inspire[[SyRS]:[SyRS]],"")))</f>
        <v>MASTER-16540
MASTER-16557
MASTER-16567
MASTER-16570</v>
      </c>
      <c r="L123" s="16" t="b" cm="1">
        <f t="array" ref="L123">OR(LEN(C123:K123)&gt;0)</f>
        <v>1</v>
      </c>
    </row>
    <row r="124" spans="2:12" ht="94.5" x14ac:dyDescent="0.2">
      <c r="B124" s="11" t="str">
        <v>MASTER-6610</v>
      </c>
      <c r="C124" s="12" t="str" cm="1">
        <f t="array" ref="C124">_xlfn.TEXTJOIN(CHAR(10),TRUE,_xlfn._xlws.SORT(IF((--($B124=Flowdown_Inspire[[URS]:[URS]]))*(--(C$14=Flowdown_Inspire[[Source.Name]:[Source.Name]])),Flowdown_Inspire[[SyRS]:[SyRS]],"")))</f>
        <v>MASTER-18114
MASTER-18242
MASTER-18244
MASTER-18293
MASTER-18294
MASTER-18295
MASTER-18296</v>
      </c>
      <c r="D124" s="12" t="str" cm="1">
        <f t="array" ref="D124">_xlfn.TEXTJOIN(CHAR(10),TRUE,_xlfn._xlws.SORT(IF((--($B124=Flowdown_Inspire[[URS]:[URS]]))*(--(D$14=Flowdown_Inspire[[Source.Name]:[Source.Name]])),Flowdown_Inspire[[SyRS]:[SyRS]],"")))</f>
        <v>MASTER-18114
MASTER-18242
MASTER-18244
MASTER-18293
MASTER-18294
MASTER-18295
MASTER-18296</v>
      </c>
      <c r="E124" s="12" t="str" cm="1">
        <f t="array" ref="E124">_xlfn.TEXTJOIN(CHAR(10),TRUE,_xlfn._xlws.SORT(IF((--($B124=Flowdown_Inspire[[URS]:[URS]]))*(--(E$14=Flowdown_Inspire[[Source.Name]:[Source.Name]])),Flowdown_Inspire[[SyRS]:[SyRS]],"")))</f>
        <v>MASTER-18114
MASTER-18242
MASTER-18244
MASTER-18293
MASTER-18294
MASTER-18295
MASTER-18296</v>
      </c>
      <c r="F124" s="12" t="str" cm="1">
        <f t="array" ref="F124">_xlfn.TEXTJOIN(CHAR(10),TRUE,_xlfn._xlws.SORT(IF((--($B124=Flowdown_Inspire[[URS]:[URS]]))*(--(F$14=Flowdown_Inspire[[Source.Name]:[Source.Name]])),Flowdown_Inspire[[SyRS]:[SyRS]],"")))</f>
        <v>MASTER-18114
MASTER-18242
MASTER-18244
MASTER-18293
MASTER-18294
MASTER-18295
MASTER-18296</v>
      </c>
      <c r="G124" s="12" t="str" cm="1">
        <f t="array" ref="G124">_xlfn.TEXTJOIN(CHAR(10),TRUE,_xlfn._xlws.SORT(IF((--($B124=Flowdown_Inspire[[URS]:[URS]]))*(--(G$14=Flowdown_Inspire[[Source.Name]:[Source.Name]])),Flowdown_Inspire[[SyRS]:[SyRS]],"")))</f>
        <v>MASTER-18114
MASTER-18242
MASTER-18244
MASTER-18293
MASTER-18294
MASTER-18295
MASTER-18296</v>
      </c>
      <c r="H124" s="12" t="str" cm="1">
        <f t="array" ref="H124">_xlfn.TEXTJOIN(CHAR(10),TRUE,_xlfn._xlws.SORT(IF((--($B124=Flowdown_Inspire[[URS]:[URS]]))*(--(H$14=Flowdown_Inspire[[Source.Name]:[Source.Name]])),Flowdown_Inspire[[SyRS]:[SyRS]],"")))</f>
        <v>MASTER-21398
MASTER-22332</v>
      </c>
      <c r="I124" s="12" t="str" cm="1">
        <f t="array" ref="I124">_xlfn.TEXTJOIN(CHAR(10),TRUE,_xlfn._xlws.SORT(IF((--($B124=Flowdown_Inspire[[URS]:[URS]]))*(--(I$14=Flowdown_Inspire[[Source.Name]:[Source.Name]])),Flowdown_Inspire[[SyRS]:[SyRS]],"")))</f>
        <v/>
      </c>
      <c r="J124" s="12" t="str" cm="1">
        <f t="array" ref="J124">_xlfn.TEXTJOIN(CHAR(10),TRUE,_xlfn._xlws.SORT(IF((--($B124=Flowdown_Inspire[[URS]:[URS]]))*(--(J$14=Flowdown_Inspire[[Source.Name]:[Source.Name]])),Flowdown_Inspire[[SyRS]:[SyRS]],"")))</f>
        <v/>
      </c>
      <c r="K124" s="12" t="str" cm="1">
        <f t="array" ref="K124">_xlfn.TEXTJOIN(CHAR(10),TRUE,_xlfn._xlws.SORT(IF((--($B124=Flowdown_Inspire[[URS]:[URS]]))*(--(K$14=Flowdown_Inspire[[Source.Name]:[Source.Name]])),Flowdown_Inspire[[SyRS]:[SyRS]],"")))</f>
        <v/>
      </c>
      <c r="L124" s="16" t="b" cm="1">
        <f t="array" ref="L124">OR(LEN(C124:K124)&gt;0)</f>
        <v>1</v>
      </c>
    </row>
    <row r="125" spans="2:12" ht="148.5" x14ac:dyDescent="0.2">
      <c r="B125" s="11" t="str">
        <v>MASTER-6611</v>
      </c>
      <c r="C125" s="12" t="str" cm="1">
        <f t="array" ref="C125">_xlfn.TEXTJOIN(CHAR(10),TRUE,_xlfn._xlws.SORT(IF((--($B125=Flowdown_Inspire[[URS]:[URS]]))*(--(C$14=Flowdown_Inspire[[Source.Name]:[Source.Name]])),Flowdown_Inspire[[SyRS]:[SyRS]],"")))</f>
        <v>MASTER-18114
MASTER-18229
MASTER-18235
MASTER-18293
MASTER-18294</v>
      </c>
      <c r="D125" s="12" t="str" cm="1">
        <f t="array" ref="D125">_xlfn.TEXTJOIN(CHAR(10),TRUE,_xlfn._xlws.SORT(IF((--($B125=Flowdown_Inspire[[URS]:[URS]]))*(--(D$14=Flowdown_Inspire[[Source.Name]:[Source.Name]])),Flowdown_Inspire[[SyRS]:[SyRS]],"")))</f>
        <v>MASTER-18114
MASTER-18229
MASTER-18235
MASTER-18293
MASTER-18294</v>
      </c>
      <c r="E125" s="12" t="str" cm="1">
        <f t="array" ref="E125">_xlfn.TEXTJOIN(CHAR(10),TRUE,_xlfn._xlws.SORT(IF((--($B125=Flowdown_Inspire[[URS]:[URS]]))*(--(E$14=Flowdown_Inspire[[Source.Name]:[Source.Name]])),Flowdown_Inspire[[SyRS]:[SyRS]],"")))</f>
        <v>MASTER-18114
MASTER-18229
MASTER-18235
MASTER-18293
MASTER-18294</v>
      </c>
      <c r="F125" s="12" t="str" cm="1">
        <f t="array" ref="F125">_xlfn.TEXTJOIN(CHAR(10),TRUE,_xlfn._xlws.SORT(IF((--($B125=Flowdown_Inspire[[URS]:[URS]]))*(--(F$14=Flowdown_Inspire[[Source.Name]:[Source.Name]])),Flowdown_Inspire[[SyRS]:[SyRS]],"")))</f>
        <v>MASTER-18114
MASTER-18229
MASTER-18235
MASTER-18293
MASTER-18294</v>
      </c>
      <c r="G125" s="12" t="str" cm="1">
        <f t="array" ref="G125">_xlfn.TEXTJOIN(CHAR(10),TRUE,_xlfn._xlws.SORT(IF((--($B125=Flowdown_Inspire[[URS]:[URS]]))*(--(G$14=Flowdown_Inspire[[Source.Name]:[Source.Name]])),Flowdown_Inspire[[SyRS]:[SyRS]],"")))</f>
        <v>MASTER-18114
MASTER-18229
MASTER-18235
MASTER-18293
MASTER-18294</v>
      </c>
      <c r="H125" s="12" t="str" cm="1">
        <f t="array" ref="H125">_xlfn.TEXTJOIN(CHAR(10),TRUE,_xlfn._xlws.SORT(IF((--($B125=Flowdown_Inspire[[URS]:[URS]]))*(--(H$14=Flowdown_Inspire[[Source.Name]:[Source.Name]])),Flowdown_Inspire[[SyRS]:[SyRS]],"")))</f>
        <v>MASTER-21367
MASTER-22333
MASTER-22335
MASTER-22336
MASTER-22338
MASTER-22339
MASTER-22340
MASTER-22362
MASTER-22363
MASTER-22364
MASTER-22365</v>
      </c>
      <c r="I125" s="12" t="str" cm="1">
        <f t="array" ref="I125">_xlfn.TEXTJOIN(CHAR(10),TRUE,_xlfn._xlws.SORT(IF((--($B125=Flowdown_Inspire[[URS]:[URS]]))*(--(I$14=Flowdown_Inspire[[Source.Name]:[Source.Name]])),Flowdown_Inspire[[SyRS]:[SyRS]],"")))</f>
        <v/>
      </c>
      <c r="J125" s="12" t="str" cm="1">
        <f t="array" ref="J125">_xlfn.TEXTJOIN(CHAR(10),TRUE,_xlfn._xlws.SORT(IF((--($B125=Flowdown_Inspire[[URS]:[URS]]))*(--(J$14=Flowdown_Inspire[[Source.Name]:[Source.Name]])),Flowdown_Inspire[[SyRS]:[SyRS]],"")))</f>
        <v/>
      </c>
      <c r="K125" s="12" t="str" cm="1">
        <f t="array" ref="K125">_xlfn.TEXTJOIN(CHAR(10),TRUE,_xlfn._xlws.SORT(IF((--($B125=Flowdown_Inspire[[URS]:[URS]]))*(--(K$14=Flowdown_Inspire[[Source.Name]:[Source.Name]])),Flowdown_Inspire[[SyRS]:[SyRS]],"")))</f>
        <v/>
      </c>
      <c r="L125" s="16" t="b" cm="1">
        <f t="array" ref="L125">OR(LEN(C125:K125)&gt;0)</f>
        <v>1</v>
      </c>
    </row>
    <row r="126" spans="2:12" ht="94.5" x14ac:dyDescent="0.2">
      <c r="B126" s="11" t="str">
        <v>MASTER-6615</v>
      </c>
      <c r="C126" s="12" t="str" cm="1">
        <f t="array" ref="C126">_xlfn.TEXTJOIN(CHAR(10),TRUE,_xlfn._xlws.SORT(IF((--($B126=Flowdown_Inspire[[URS]:[URS]]))*(--(C$14=Flowdown_Inspire[[Source.Name]:[Source.Name]])),Flowdown_Inspire[[SyRS]:[SyRS]],"")))</f>
        <v>MASTER-19636
MASTER-19638
MASTER-19641
MASTER-19642
MASTER-19643
MASTER-19644
MASTER-19648</v>
      </c>
      <c r="D126" s="12" t="str" cm="1">
        <f t="array" ref="D126">_xlfn.TEXTJOIN(CHAR(10),TRUE,_xlfn._xlws.SORT(IF((--($B126=Flowdown_Inspire[[URS]:[URS]]))*(--(D$14=Flowdown_Inspire[[Source.Name]:[Source.Name]])),Flowdown_Inspire[[SyRS]:[SyRS]],"")))</f>
        <v>MASTER-19636
MASTER-19638
MASTER-19642
MASTER-19643
MASTER-19644
MASTER-19648</v>
      </c>
      <c r="E126" s="12" t="str" cm="1">
        <f t="array" ref="E126">_xlfn.TEXTJOIN(CHAR(10),TRUE,_xlfn._xlws.SORT(IF((--($B126=Flowdown_Inspire[[URS]:[URS]]))*(--(E$14=Flowdown_Inspire[[Source.Name]:[Source.Name]])),Flowdown_Inspire[[SyRS]:[SyRS]],"")))</f>
        <v>MASTER-19636
MASTER-19638
MASTER-19642
MASTER-19643
MASTER-19644
MASTER-19648</v>
      </c>
      <c r="F126" s="12" t="str" cm="1">
        <f t="array" ref="F126">_xlfn.TEXTJOIN(CHAR(10),TRUE,_xlfn._xlws.SORT(IF((--($B126=Flowdown_Inspire[[URS]:[URS]]))*(--(F$14=Flowdown_Inspire[[Source.Name]:[Source.Name]])),Flowdown_Inspire[[SyRS]:[SyRS]],"")))</f>
        <v>MASTER-19636
MASTER-19638
MASTER-19642
MASTER-19643
MASTER-19644
MASTER-19648</v>
      </c>
      <c r="G126" s="12" t="str" cm="1">
        <f t="array" ref="G126">_xlfn.TEXTJOIN(CHAR(10),TRUE,_xlfn._xlws.SORT(IF((--($B126=Flowdown_Inspire[[URS]:[URS]]))*(--(G$14=Flowdown_Inspire[[Source.Name]:[Source.Name]])),Flowdown_Inspire[[SyRS]:[SyRS]],"")))</f>
        <v>MASTER-19636
MASTER-19638
MASTER-19642
MASTER-19643
MASTER-19644
MASTER-19648</v>
      </c>
      <c r="H126" s="12" t="str" cm="1">
        <f t="array" ref="H126">_xlfn.TEXTJOIN(CHAR(10),TRUE,_xlfn._xlws.SORT(IF((--($B126=Flowdown_Inspire[[URS]:[URS]]))*(--(H$14=Flowdown_Inspire[[Source.Name]:[Source.Name]])),Flowdown_Inspire[[SyRS]:[SyRS]],"")))</f>
        <v>MASTER-21909
MASTER-22368
MASTER-22402
MASTER-22411
MASTER-22584
MASTER-22585
MASTER-22586</v>
      </c>
      <c r="I126" s="12" t="str" cm="1">
        <f t="array" ref="I126">_xlfn.TEXTJOIN(CHAR(10),TRUE,_xlfn._xlws.SORT(IF((--($B126=Flowdown_Inspire[[URS]:[URS]]))*(--(I$14=Flowdown_Inspire[[Source.Name]:[Source.Name]])),Flowdown_Inspire[[SyRS]:[SyRS]],"")))</f>
        <v/>
      </c>
      <c r="J126" s="12" t="str" cm="1">
        <f t="array" ref="J126">_xlfn.TEXTJOIN(CHAR(10),TRUE,_xlfn._xlws.SORT(IF((--($B126=Flowdown_Inspire[[URS]:[URS]]))*(--(J$14=Flowdown_Inspire[[Source.Name]:[Source.Name]])),Flowdown_Inspire[[SyRS]:[SyRS]],"")))</f>
        <v/>
      </c>
      <c r="K126" s="12" t="str" cm="1">
        <f t="array" ref="K126">_xlfn.TEXTJOIN(CHAR(10),TRUE,_xlfn._xlws.SORT(IF((--($B126=Flowdown_Inspire[[URS]:[URS]]))*(--(K$14=Flowdown_Inspire[[Source.Name]:[Source.Name]])),Flowdown_Inspire[[SyRS]:[SyRS]],"")))</f>
        <v/>
      </c>
      <c r="L126" s="16" t="b" cm="1">
        <f t="array" ref="L126">OR(LEN(C126:K126)&gt;0)</f>
        <v>1</v>
      </c>
    </row>
    <row r="127" spans="2:12" ht="40.5" x14ac:dyDescent="0.2">
      <c r="B127" s="11" t="str">
        <v>MASTER-6616</v>
      </c>
      <c r="C127" s="12" t="str" cm="1">
        <f t="array" ref="C127">_xlfn.TEXTJOIN(CHAR(10),TRUE,_xlfn._xlws.SORT(IF((--($B127=Flowdown_Inspire[[URS]:[URS]]))*(--(C$14=Flowdown_Inspire[[Source.Name]:[Source.Name]])),Flowdown_Inspire[[SyRS]:[SyRS]],"")))</f>
        <v>MASTER-19638</v>
      </c>
      <c r="D127" s="12" t="str" cm="1">
        <f t="array" ref="D127">_xlfn.TEXTJOIN(CHAR(10),TRUE,_xlfn._xlws.SORT(IF((--($B127=Flowdown_Inspire[[URS]:[URS]]))*(--(D$14=Flowdown_Inspire[[Source.Name]:[Source.Name]])),Flowdown_Inspire[[SyRS]:[SyRS]],"")))</f>
        <v>MASTER-19638</v>
      </c>
      <c r="E127" s="12" t="str" cm="1">
        <f t="array" ref="E127">_xlfn.TEXTJOIN(CHAR(10),TRUE,_xlfn._xlws.SORT(IF((--($B127=Flowdown_Inspire[[URS]:[URS]]))*(--(E$14=Flowdown_Inspire[[Source.Name]:[Source.Name]])),Flowdown_Inspire[[SyRS]:[SyRS]],"")))</f>
        <v>MASTER-19638</v>
      </c>
      <c r="F127" s="12" t="str" cm="1">
        <f t="array" ref="F127">_xlfn.TEXTJOIN(CHAR(10),TRUE,_xlfn._xlws.SORT(IF((--($B127=Flowdown_Inspire[[URS]:[URS]]))*(--(F$14=Flowdown_Inspire[[Source.Name]:[Source.Name]])),Flowdown_Inspire[[SyRS]:[SyRS]],"")))</f>
        <v>MASTER-19638</v>
      </c>
      <c r="G127" s="12" t="str" cm="1">
        <f t="array" ref="G127">_xlfn.TEXTJOIN(CHAR(10),TRUE,_xlfn._xlws.SORT(IF((--($B127=Flowdown_Inspire[[URS]:[URS]]))*(--(G$14=Flowdown_Inspire[[Source.Name]:[Source.Name]])),Flowdown_Inspire[[SyRS]:[SyRS]],"")))</f>
        <v>MASTER-19638</v>
      </c>
      <c r="H127" s="12" t="str" cm="1">
        <f t="array" ref="H127">_xlfn.TEXTJOIN(CHAR(10),TRUE,_xlfn._xlws.SORT(IF((--($B127=Flowdown_Inspire[[URS]:[URS]]))*(--(H$14=Flowdown_Inspire[[Source.Name]:[Source.Name]])),Flowdown_Inspire[[SyRS]:[SyRS]],"")))</f>
        <v>MASTER-22369
MASTER-22370
MASTER-22371</v>
      </c>
      <c r="I127" s="12" t="str" cm="1">
        <f t="array" ref="I127">_xlfn.TEXTJOIN(CHAR(10),TRUE,_xlfn._xlws.SORT(IF((--($B127=Flowdown_Inspire[[URS]:[URS]]))*(--(I$14=Flowdown_Inspire[[Source.Name]:[Source.Name]])),Flowdown_Inspire[[SyRS]:[SyRS]],"")))</f>
        <v/>
      </c>
      <c r="J127" s="12" t="str" cm="1">
        <f t="array" ref="J127">_xlfn.TEXTJOIN(CHAR(10),TRUE,_xlfn._xlws.SORT(IF((--($B127=Flowdown_Inspire[[URS]:[URS]]))*(--(J$14=Flowdown_Inspire[[Source.Name]:[Source.Name]])),Flowdown_Inspire[[SyRS]:[SyRS]],"")))</f>
        <v/>
      </c>
      <c r="K127" s="12" t="str" cm="1">
        <f t="array" ref="K127">_xlfn.TEXTJOIN(CHAR(10),TRUE,_xlfn._xlws.SORT(IF((--($B127=Flowdown_Inspire[[URS]:[URS]]))*(--(K$14=Flowdown_Inspire[[Source.Name]:[Source.Name]])),Flowdown_Inspire[[SyRS]:[SyRS]],"")))</f>
        <v/>
      </c>
      <c r="L127" s="16" t="b" cm="1">
        <f t="array" ref="L127">OR(LEN(C127:K127)&gt;0)</f>
        <v>1</v>
      </c>
    </row>
    <row r="128" spans="2:12" ht="40.5" x14ac:dyDescent="0.2">
      <c r="B128" s="11" t="str">
        <v>MASTER-6617</v>
      </c>
      <c r="C128" s="12" t="str" cm="1">
        <f t="array" ref="C128">_xlfn.TEXTJOIN(CHAR(10),TRUE,_xlfn._xlws.SORT(IF((--($B128=Flowdown_Inspire[[URS]:[URS]]))*(--(C$14=Flowdown_Inspire[[Source.Name]:[Source.Name]])),Flowdown_Inspire[[SyRS]:[SyRS]],"")))</f>
        <v>MASTER-19638
MASTER-19639</v>
      </c>
      <c r="D128" s="12" t="str" cm="1">
        <f t="array" ref="D128">_xlfn.TEXTJOIN(CHAR(10),TRUE,_xlfn._xlws.SORT(IF((--($B128=Flowdown_Inspire[[URS]:[URS]]))*(--(D$14=Flowdown_Inspire[[Source.Name]:[Source.Name]])),Flowdown_Inspire[[SyRS]:[SyRS]],"")))</f>
        <v>MASTER-19638
MASTER-19639</v>
      </c>
      <c r="E128" s="12" t="str" cm="1">
        <f t="array" ref="E128">_xlfn.TEXTJOIN(CHAR(10),TRUE,_xlfn._xlws.SORT(IF((--($B128=Flowdown_Inspire[[URS]:[URS]]))*(--(E$14=Flowdown_Inspire[[Source.Name]:[Source.Name]])),Flowdown_Inspire[[SyRS]:[SyRS]],"")))</f>
        <v>MASTER-19638
MASTER-19639</v>
      </c>
      <c r="F128" s="12" t="str" cm="1">
        <f t="array" ref="F128">_xlfn.TEXTJOIN(CHAR(10),TRUE,_xlfn._xlws.SORT(IF((--($B128=Flowdown_Inspire[[URS]:[URS]]))*(--(F$14=Flowdown_Inspire[[Source.Name]:[Source.Name]])),Flowdown_Inspire[[SyRS]:[SyRS]],"")))</f>
        <v>MASTER-19638
MASTER-19639</v>
      </c>
      <c r="G128" s="12" t="str" cm="1">
        <f t="array" ref="G128">_xlfn.TEXTJOIN(CHAR(10),TRUE,_xlfn._xlws.SORT(IF((--($B128=Flowdown_Inspire[[URS]:[URS]]))*(--(G$14=Flowdown_Inspire[[Source.Name]:[Source.Name]])),Flowdown_Inspire[[SyRS]:[SyRS]],"")))</f>
        <v>MASTER-19638
MASTER-19639</v>
      </c>
      <c r="H128" s="12" t="str" cm="1">
        <f t="array" ref="H128">_xlfn.TEXTJOIN(CHAR(10),TRUE,_xlfn._xlws.SORT(IF((--($B128=Flowdown_Inspire[[URS]:[URS]]))*(--(H$14=Flowdown_Inspire[[Source.Name]:[Source.Name]])),Flowdown_Inspire[[SyRS]:[SyRS]],"")))</f>
        <v>MASTER-22372
MASTER-22381
MASTER-22382</v>
      </c>
      <c r="I128" s="12" t="str" cm="1">
        <f t="array" ref="I128">_xlfn.TEXTJOIN(CHAR(10),TRUE,_xlfn._xlws.SORT(IF((--($B128=Flowdown_Inspire[[URS]:[URS]]))*(--(I$14=Flowdown_Inspire[[Source.Name]:[Source.Name]])),Flowdown_Inspire[[SyRS]:[SyRS]],"")))</f>
        <v/>
      </c>
      <c r="J128" s="12" t="str" cm="1">
        <f t="array" ref="J128">_xlfn.TEXTJOIN(CHAR(10),TRUE,_xlfn._xlws.SORT(IF((--($B128=Flowdown_Inspire[[URS]:[URS]]))*(--(J$14=Flowdown_Inspire[[Source.Name]:[Source.Name]])),Flowdown_Inspire[[SyRS]:[SyRS]],"")))</f>
        <v/>
      </c>
      <c r="K128" s="12" t="str" cm="1">
        <f t="array" ref="K128">_xlfn.TEXTJOIN(CHAR(10),TRUE,_xlfn._xlws.SORT(IF((--($B128=Flowdown_Inspire[[URS]:[URS]]))*(--(K$14=Flowdown_Inspire[[Source.Name]:[Source.Name]])),Flowdown_Inspire[[SyRS]:[SyRS]],"")))</f>
        <v/>
      </c>
      <c r="L128" s="16" t="b" cm="1">
        <f t="array" ref="L128">OR(LEN(C128:K128)&gt;0)</f>
        <v>1</v>
      </c>
    </row>
    <row r="129" spans="2:12" ht="81" x14ac:dyDescent="0.2">
      <c r="B129" s="11" t="str">
        <v>MASTER-6618</v>
      </c>
      <c r="C129" s="12" t="str" cm="1">
        <f t="array" ref="C129">_xlfn.TEXTJOIN(CHAR(10),TRUE,_xlfn._xlws.SORT(IF((--($B129=Flowdown_Inspire[[URS]:[URS]]))*(--(C$14=Flowdown_Inspire[[Source.Name]:[Source.Name]])),Flowdown_Inspire[[SyRS]:[SyRS]],"")))</f>
        <v>MASTER-19649</v>
      </c>
      <c r="D129" s="12" t="str" cm="1">
        <f t="array" ref="D129">_xlfn.TEXTJOIN(CHAR(10),TRUE,_xlfn._xlws.SORT(IF((--($B129=Flowdown_Inspire[[URS]:[URS]]))*(--(D$14=Flowdown_Inspire[[Source.Name]:[Source.Name]])),Flowdown_Inspire[[SyRS]:[SyRS]],"")))</f>
        <v>MASTER-19649</v>
      </c>
      <c r="E129" s="12" t="str" cm="1">
        <f t="array" ref="E129">_xlfn.TEXTJOIN(CHAR(10),TRUE,_xlfn._xlws.SORT(IF((--($B129=Flowdown_Inspire[[URS]:[URS]]))*(--(E$14=Flowdown_Inspire[[Source.Name]:[Source.Name]])),Flowdown_Inspire[[SyRS]:[SyRS]],"")))</f>
        <v>MASTER-19649</v>
      </c>
      <c r="F129" s="12" t="str" cm="1">
        <f t="array" ref="F129">_xlfn.TEXTJOIN(CHAR(10),TRUE,_xlfn._xlws.SORT(IF((--($B129=Flowdown_Inspire[[URS]:[URS]]))*(--(F$14=Flowdown_Inspire[[Source.Name]:[Source.Name]])),Flowdown_Inspire[[SyRS]:[SyRS]],"")))</f>
        <v>MASTER-19649</v>
      </c>
      <c r="G129" s="12" t="str" cm="1">
        <f t="array" ref="G129">_xlfn.TEXTJOIN(CHAR(10),TRUE,_xlfn._xlws.SORT(IF((--($B129=Flowdown_Inspire[[URS]:[URS]]))*(--(G$14=Flowdown_Inspire[[Source.Name]:[Source.Name]])),Flowdown_Inspire[[SyRS]:[SyRS]],"")))</f>
        <v>MASTER-19649</v>
      </c>
      <c r="H129" s="12" t="str" cm="1">
        <f t="array" ref="H129">_xlfn.TEXTJOIN(CHAR(10),TRUE,_xlfn._xlws.SORT(IF((--($B129=Flowdown_Inspire[[URS]:[URS]]))*(--(H$14=Flowdown_Inspire[[Source.Name]:[Source.Name]])),Flowdown_Inspire[[SyRS]:[SyRS]],"")))</f>
        <v>MASTER-22373
MASTER-22374
MASTER-22375
MASTER-22384
MASTER-22385
MASTER-22386</v>
      </c>
      <c r="I129" s="12" t="str" cm="1">
        <f t="array" ref="I129">_xlfn.TEXTJOIN(CHAR(10),TRUE,_xlfn._xlws.SORT(IF((--($B129=Flowdown_Inspire[[URS]:[URS]]))*(--(I$14=Flowdown_Inspire[[Source.Name]:[Source.Name]])),Flowdown_Inspire[[SyRS]:[SyRS]],"")))</f>
        <v/>
      </c>
      <c r="J129" s="12" t="str" cm="1">
        <f t="array" ref="J129">_xlfn.TEXTJOIN(CHAR(10),TRUE,_xlfn._xlws.SORT(IF((--($B129=Flowdown_Inspire[[URS]:[URS]]))*(--(J$14=Flowdown_Inspire[[Source.Name]:[Source.Name]])),Flowdown_Inspire[[SyRS]:[SyRS]],"")))</f>
        <v/>
      </c>
      <c r="K129" s="12" t="str" cm="1">
        <f t="array" ref="K129">_xlfn.TEXTJOIN(CHAR(10),TRUE,_xlfn._xlws.SORT(IF((--($B129=Flowdown_Inspire[[URS]:[URS]]))*(--(K$14=Flowdown_Inspire[[Source.Name]:[Source.Name]])),Flowdown_Inspire[[SyRS]:[SyRS]],"")))</f>
        <v/>
      </c>
      <c r="L129" s="16" t="b" cm="1">
        <f t="array" ref="L129">OR(LEN(C129:K129)&gt;0)</f>
        <v>1</v>
      </c>
    </row>
    <row r="130" spans="2:12" ht="108" x14ac:dyDescent="0.2">
      <c r="B130" s="11" t="str">
        <v>MASTER-6619</v>
      </c>
      <c r="C130" s="12" t="str" cm="1">
        <f t="array" ref="C130">_xlfn.TEXTJOIN(CHAR(10),TRUE,_xlfn._xlws.SORT(IF((--($B130=Flowdown_Inspire[[URS]:[URS]]))*(--(C$14=Flowdown_Inspire[[Source.Name]:[Source.Name]])),Flowdown_Inspire[[SyRS]:[SyRS]],"")))</f>
        <v/>
      </c>
      <c r="D130" s="12" t="str" cm="1">
        <f t="array" ref="D130">_xlfn.TEXTJOIN(CHAR(10),TRUE,_xlfn._xlws.SORT(IF((--($B130=Flowdown_Inspire[[URS]:[URS]]))*(--(D$14=Flowdown_Inspire[[Source.Name]:[Source.Name]])),Flowdown_Inspire[[SyRS]:[SyRS]],"")))</f>
        <v/>
      </c>
      <c r="E130" s="12" t="str" cm="1">
        <f t="array" ref="E130">_xlfn.TEXTJOIN(CHAR(10),TRUE,_xlfn._xlws.SORT(IF((--($B130=Flowdown_Inspire[[URS]:[URS]]))*(--(E$14=Flowdown_Inspire[[Source.Name]:[Source.Name]])),Flowdown_Inspire[[SyRS]:[SyRS]],"")))</f>
        <v/>
      </c>
      <c r="F130" s="12" t="str" cm="1">
        <f t="array" ref="F130">_xlfn.TEXTJOIN(CHAR(10),TRUE,_xlfn._xlws.SORT(IF((--($B130=Flowdown_Inspire[[URS]:[URS]]))*(--(F$14=Flowdown_Inspire[[Source.Name]:[Source.Name]])),Flowdown_Inspire[[SyRS]:[SyRS]],"")))</f>
        <v/>
      </c>
      <c r="G130" s="12" t="str" cm="1">
        <f t="array" ref="G130">_xlfn.TEXTJOIN(CHAR(10),TRUE,_xlfn._xlws.SORT(IF((--($B130=Flowdown_Inspire[[URS]:[URS]]))*(--(G$14=Flowdown_Inspire[[Source.Name]:[Source.Name]])),Flowdown_Inspire[[SyRS]:[SyRS]],"")))</f>
        <v/>
      </c>
      <c r="H130" s="12" t="str" cm="1">
        <f t="array" ref="H130">_xlfn.TEXTJOIN(CHAR(10),TRUE,_xlfn._xlws.SORT(IF((--($B130=Flowdown_Inspire[[URS]:[URS]]))*(--(H$14=Flowdown_Inspire[[Source.Name]:[Source.Name]])),Flowdown_Inspire[[SyRS]:[SyRS]],"")))</f>
        <v>MASTER-22387
MASTER-22389
MASTER-22390
MASTER-22391
MASTER-22392
MASTER-22403
MASTER-22404
MASTER-22405</v>
      </c>
      <c r="I130" s="12" t="str" cm="1">
        <f t="array" ref="I130">_xlfn.TEXTJOIN(CHAR(10),TRUE,_xlfn._xlws.SORT(IF((--($B130=Flowdown_Inspire[[URS]:[URS]]))*(--(I$14=Flowdown_Inspire[[Source.Name]:[Source.Name]])),Flowdown_Inspire[[SyRS]:[SyRS]],"")))</f>
        <v/>
      </c>
      <c r="J130" s="12" t="str" cm="1">
        <f t="array" ref="J130">_xlfn.TEXTJOIN(CHAR(10),TRUE,_xlfn._xlws.SORT(IF((--($B130=Flowdown_Inspire[[URS]:[URS]]))*(--(J$14=Flowdown_Inspire[[Source.Name]:[Source.Name]])),Flowdown_Inspire[[SyRS]:[SyRS]],"")))</f>
        <v/>
      </c>
      <c r="K130" s="12" t="str" cm="1">
        <f t="array" ref="K130">_xlfn.TEXTJOIN(CHAR(10),TRUE,_xlfn._xlws.SORT(IF((--($B130=Flowdown_Inspire[[URS]:[URS]]))*(--(K$14=Flowdown_Inspire[[Source.Name]:[Source.Name]])),Flowdown_Inspire[[SyRS]:[SyRS]],"")))</f>
        <v/>
      </c>
      <c r="L130" s="16" t="b" cm="1">
        <f t="array" ref="L130">OR(LEN(C130:K130)&gt;0)</f>
        <v>1</v>
      </c>
    </row>
    <row r="131" spans="2:12" ht="81" x14ac:dyDescent="0.2">
      <c r="B131" s="11" t="str">
        <v>MASTER-6620</v>
      </c>
      <c r="C131" s="12" t="str" cm="1">
        <f t="array" ref="C131">_xlfn.TEXTJOIN(CHAR(10),TRUE,_xlfn._xlws.SORT(IF((--($B131=Flowdown_Inspire[[URS]:[URS]]))*(--(C$14=Flowdown_Inspire[[Source.Name]:[Source.Name]])),Flowdown_Inspire[[SyRS]:[SyRS]],"")))</f>
        <v/>
      </c>
      <c r="D131" s="12" t="str" cm="1">
        <f t="array" ref="D131">_xlfn.TEXTJOIN(CHAR(10),TRUE,_xlfn._xlws.SORT(IF((--($B131=Flowdown_Inspire[[URS]:[URS]]))*(--(D$14=Flowdown_Inspire[[Source.Name]:[Source.Name]])),Flowdown_Inspire[[SyRS]:[SyRS]],"")))</f>
        <v/>
      </c>
      <c r="E131" s="12" t="str" cm="1">
        <f t="array" ref="E131">_xlfn.TEXTJOIN(CHAR(10),TRUE,_xlfn._xlws.SORT(IF((--($B131=Flowdown_Inspire[[URS]:[URS]]))*(--(E$14=Flowdown_Inspire[[Source.Name]:[Source.Name]])),Flowdown_Inspire[[SyRS]:[SyRS]],"")))</f>
        <v/>
      </c>
      <c r="F131" s="12" t="str" cm="1">
        <f t="array" ref="F131">_xlfn.TEXTJOIN(CHAR(10),TRUE,_xlfn._xlws.SORT(IF((--($B131=Flowdown_Inspire[[URS]:[URS]]))*(--(F$14=Flowdown_Inspire[[Source.Name]:[Source.Name]])),Flowdown_Inspire[[SyRS]:[SyRS]],"")))</f>
        <v/>
      </c>
      <c r="G131" s="12" t="str" cm="1">
        <f t="array" ref="G131">_xlfn.TEXTJOIN(CHAR(10),TRUE,_xlfn._xlws.SORT(IF((--($B131=Flowdown_Inspire[[URS]:[URS]]))*(--(G$14=Flowdown_Inspire[[Source.Name]:[Source.Name]])),Flowdown_Inspire[[SyRS]:[SyRS]],"")))</f>
        <v/>
      </c>
      <c r="H131" s="12" t="str" cm="1">
        <f t="array" ref="H131">_xlfn.TEXTJOIN(CHAR(10),TRUE,_xlfn._xlws.SORT(IF((--($B131=Flowdown_Inspire[[URS]:[URS]]))*(--(H$14=Flowdown_Inspire[[Source.Name]:[Source.Name]])),Flowdown_Inspire[[SyRS]:[SyRS]],"")))</f>
        <v>MASTER-22377
MASTER-22378
MASTER-22387
MASTER-22388
MASTER-22408
MASTER-64400</v>
      </c>
      <c r="I131" s="12" t="str" cm="1">
        <f t="array" ref="I131">_xlfn.TEXTJOIN(CHAR(10),TRUE,_xlfn._xlws.SORT(IF((--($B131=Flowdown_Inspire[[URS]:[URS]]))*(--(I$14=Flowdown_Inspire[[Source.Name]:[Source.Name]])),Flowdown_Inspire[[SyRS]:[SyRS]],"")))</f>
        <v/>
      </c>
      <c r="J131" s="12" t="str" cm="1">
        <f t="array" ref="J131">_xlfn.TEXTJOIN(CHAR(10),TRUE,_xlfn._xlws.SORT(IF((--($B131=Flowdown_Inspire[[URS]:[URS]]))*(--(J$14=Flowdown_Inspire[[Source.Name]:[Source.Name]])),Flowdown_Inspire[[SyRS]:[SyRS]],"")))</f>
        <v/>
      </c>
      <c r="K131" s="12" t="str" cm="1">
        <f t="array" ref="K131">_xlfn.TEXTJOIN(CHAR(10),TRUE,_xlfn._xlws.SORT(IF((--($B131=Flowdown_Inspire[[URS]:[URS]]))*(--(K$14=Flowdown_Inspire[[Source.Name]:[Source.Name]])),Flowdown_Inspire[[SyRS]:[SyRS]],"")))</f>
        <v/>
      </c>
      <c r="L131" s="16" t="b" cm="1">
        <f t="array" ref="L131">OR(LEN(C131:K131)&gt;0)</f>
        <v>1</v>
      </c>
    </row>
    <row r="132" spans="2:12" ht="67.5" x14ac:dyDescent="0.2">
      <c r="B132" s="11" t="str">
        <v>MASTER-6621</v>
      </c>
      <c r="C132" s="12" t="str" cm="1">
        <f t="array" ref="C132">_xlfn.TEXTJOIN(CHAR(10),TRUE,_xlfn._xlws.SORT(IF((--($B132=Flowdown_Inspire[[URS]:[URS]]))*(--(C$14=Flowdown_Inspire[[Source.Name]:[Source.Name]])),Flowdown_Inspire[[SyRS]:[SyRS]],"")))</f>
        <v>MASTER-19645
MASTER-19646
MASTER-19647</v>
      </c>
      <c r="D132" s="12" t="str" cm="1">
        <f t="array" ref="D132">_xlfn.TEXTJOIN(CHAR(10),TRUE,_xlfn._xlws.SORT(IF((--($B132=Flowdown_Inspire[[URS]:[URS]]))*(--(D$14=Flowdown_Inspire[[Source.Name]:[Source.Name]])),Flowdown_Inspire[[SyRS]:[SyRS]],"")))</f>
        <v>MASTER-19645
MASTER-19646
MASTER-19647</v>
      </c>
      <c r="E132" s="12" t="str" cm="1">
        <f t="array" ref="E132">_xlfn.TEXTJOIN(CHAR(10),TRUE,_xlfn._xlws.SORT(IF((--($B132=Flowdown_Inspire[[URS]:[URS]]))*(--(E$14=Flowdown_Inspire[[Source.Name]:[Source.Name]])),Flowdown_Inspire[[SyRS]:[SyRS]],"")))</f>
        <v>MASTER-19645
MASTER-19646
MASTER-19647</v>
      </c>
      <c r="F132" s="12" t="str" cm="1">
        <f t="array" ref="F132">_xlfn.TEXTJOIN(CHAR(10),TRUE,_xlfn._xlws.SORT(IF((--($B132=Flowdown_Inspire[[URS]:[URS]]))*(--(F$14=Flowdown_Inspire[[Source.Name]:[Source.Name]])),Flowdown_Inspire[[SyRS]:[SyRS]],"")))</f>
        <v>MASTER-19645
MASTER-19646
MASTER-19647</v>
      </c>
      <c r="G132" s="12" t="str" cm="1">
        <f t="array" ref="G132">_xlfn.TEXTJOIN(CHAR(10),TRUE,_xlfn._xlws.SORT(IF((--($B132=Flowdown_Inspire[[URS]:[URS]]))*(--(G$14=Flowdown_Inspire[[Source.Name]:[Source.Name]])),Flowdown_Inspire[[SyRS]:[SyRS]],"")))</f>
        <v>MASTER-19645
MASTER-19646
MASTER-19647</v>
      </c>
      <c r="H132" s="12" t="str" cm="1">
        <f t="array" ref="H132">_xlfn.TEXTJOIN(CHAR(10),TRUE,_xlfn._xlws.SORT(IF((--($B132=Flowdown_Inspire[[URS]:[URS]]))*(--(H$14=Flowdown_Inspire[[Source.Name]:[Source.Name]])),Flowdown_Inspire[[SyRS]:[SyRS]],"")))</f>
        <v>MASTER-22393
MASTER-22394
MASTER-22395
MASTER-22396
MASTER-22397</v>
      </c>
      <c r="I132" s="12" t="str" cm="1">
        <f t="array" ref="I132">_xlfn.TEXTJOIN(CHAR(10),TRUE,_xlfn._xlws.SORT(IF((--($B132=Flowdown_Inspire[[URS]:[URS]]))*(--(I$14=Flowdown_Inspire[[Source.Name]:[Source.Name]])),Flowdown_Inspire[[SyRS]:[SyRS]],"")))</f>
        <v/>
      </c>
      <c r="J132" s="12" t="str" cm="1">
        <f t="array" ref="J132">_xlfn.TEXTJOIN(CHAR(10),TRUE,_xlfn._xlws.SORT(IF((--($B132=Flowdown_Inspire[[URS]:[URS]]))*(--(J$14=Flowdown_Inspire[[Source.Name]:[Source.Name]])),Flowdown_Inspire[[SyRS]:[SyRS]],"")))</f>
        <v/>
      </c>
      <c r="K132" s="12" t="str" cm="1">
        <f t="array" ref="K132">_xlfn.TEXTJOIN(CHAR(10),TRUE,_xlfn._xlws.SORT(IF((--($B132=Flowdown_Inspire[[URS]:[URS]]))*(--(K$14=Flowdown_Inspire[[Source.Name]:[Source.Name]])),Flowdown_Inspire[[SyRS]:[SyRS]],"")))</f>
        <v/>
      </c>
      <c r="L132" s="16" t="b" cm="1">
        <f t="array" ref="L132">OR(LEN(C132:K132)&gt;0)</f>
        <v>1</v>
      </c>
    </row>
    <row r="133" spans="2:12" ht="40.5" x14ac:dyDescent="0.2">
      <c r="B133" s="11" t="str">
        <v>MASTER-6622</v>
      </c>
      <c r="C133" s="12" t="str" cm="1">
        <f t="array" ref="C133">_xlfn.TEXTJOIN(CHAR(10),TRUE,_xlfn._xlws.SORT(IF((--($B133=Flowdown_Inspire[[URS]:[URS]]))*(--(C$14=Flowdown_Inspire[[Source.Name]:[Source.Name]])),Flowdown_Inspire[[SyRS]:[SyRS]],"")))</f>
        <v/>
      </c>
      <c r="D133" s="12" t="str" cm="1">
        <f t="array" ref="D133">_xlfn.TEXTJOIN(CHAR(10),TRUE,_xlfn._xlws.SORT(IF((--($B133=Flowdown_Inspire[[URS]:[URS]]))*(--(D$14=Flowdown_Inspire[[Source.Name]:[Source.Name]])),Flowdown_Inspire[[SyRS]:[SyRS]],"")))</f>
        <v/>
      </c>
      <c r="E133" s="12" t="str" cm="1">
        <f t="array" ref="E133">_xlfn.TEXTJOIN(CHAR(10),TRUE,_xlfn._xlws.SORT(IF((--($B133=Flowdown_Inspire[[URS]:[URS]]))*(--(E$14=Flowdown_Inspire[[Source.Name]:[Source.Name]])),Flowdown_Inspire[[SyRS]:[SyRS]],"")))</f>
        <v/>
      </c>
      <c r="F133" s="12" t="str" cm="1">
        <f t="array" ref="F133">_xlfn.TEXTJOIN(CHAR(10),TRUE,_xlfn._xlws.SORT(IF((--($B133=Flowdown_Inspire[[URS]:[URS]]))*(--(F$14=Flowdown_Inspire[[Source.Name]:[Source.Name]])),Flowdown_Inspire[[SyRS]:[SyRS]],"")))</f>
        <v/>
      </c>
      <c r="G133" s="12" t="str" cm="1">
        <f t="array" ref="G133">_xlfn.TEXTJOIN(CHAR(10),TRUE,_xlfn._xlws.SORT(IF((--($B133=Flowdown_Inspire[[URS]:[URS]]))*(--(G$14=Flowdown_Inspire[[Source.Name]:[Source.Name]])),Flowdown_Inspire[[SyRS]:[SyRS]],"")))</f>
        <v/>
      </c>
      <c r="H133" s="12" t="str" cm="1">
        <f t="array" ref="H133">_xlfn.TEXTJOIN(CHAR(10),TRUE,_xlfn._xlws.SORT(IF((--($B133=Flowdown_Inspire[[URS]:[URS]]))*(--(H$14=Flowdown_Inspire[[Source.Name]:[Source.Name]])),Flowdown_Inspire[[SyRS]:[SyRS]],"")))</f>
        <v>MASTER-22398
MASTER-22399
MASTER-22400</v>
      </c>
      <c r="I133" s="12" t="str" cm="1">
        <f t="array" ref="I133">_xlfn.TEXTJOIN(CHAR(10),TRUE,_xlfn._xlws.SORT(IF((--($B133=Flowdown_Inspire[[URS]:[URS]]))*(--(I$14=Flowdown_Inspire[[Source.Name]:[Source.Name]])),Flowdown_Inspire[[SyRS]:[SyRS]],"")))</f>
        <v/>
      </c>
      <c r="J133" s="12" t="str" cm="1">
        <f t="array" ref="J133">_xlfn.TEXTJOIN(CHAR(10),TRUE,_xlfn._xlws.SORT(IF((--($B133=Flowdown_Inspire[[URS]:[URS]]))*(--(J$14=Flowdown_Inspire[[Source.Name]:[Source.Name]])),Flowdown_Inspire[[SyRS]:[SyRS]],"")))</f>
        <v/>
      </c>
      <c r="K133" s="12" t="str" cm="1">
        <f t="array" ref="K133">_xlfn.TEXTJOIN(CHAR(10),TRUE,_xlfn._xlws.SORT(IF((--($B133=Flowdown_Inspire[[URS]:[URS]]))*(--(K$14=Flowdown_Inspire[[Source.Name]:[Source.Name]])),Flowdown_Inspire[[SyRS]:[SyRS]],"")))</f>
        <v/>
      </c>
      <c r="L133" s="16" t="b" cm="1">
        <f t="array" ref="L133">OR(LEN(C133:K133)&gt;0)</f>
        <v>1</v>
      </c>
    </row>
    <row r="134" spans="2:12" ht="13.5" x14ac:dyDescent="0.2">
      <c r="B134" s="11" t="str">
        <v>MASTER-6626</v>
      </c>
      <c r="C134" s="12" t="str" cm="1">
        <f t="array" ref="C134">_xlfn.TEXTJOIN(CHAR(10),TRUE,_xlfn._xlws.SORT(IF((--($B134=Flowdown_Inspire[[URS]:[URS]]))*(--(C$14=Flowdown_Inspire[[Source.Name]:[Source.Name]])),Flowdown_Inspire[[SyRS]:[SyRS]],"")))</f>
        <v>MASTER-60723</v>
      </c>
      <c r="D134" s="12" t="str" cm="1">
        <f t="array" ref="D134">_xlfn.TEXTJOIN(CHAR(10),TRUE,_xlfn._xlws.SORT(IF((--($B134=Flowdown_Inspire[[URS]:[URS]]))*(--(D$14=Flowdown_Inspire[[Source.Name]:[Source.Name]])),Flowdown_Inspire[[SyRS]:[SyRS]],"")))</f>
        <v>MASTER-60723</v>
      </c>
      <c r="E134" s="12" t="str" cm="1">
        <f t="array" ref="E134">_xlfn.TEXTJOIN(CHAR(10),TRUE,_xlfn._xlws.SORT(IF((--($B134=Flowdown_Inspire[[URS]:[URS]]))*(--(E$14=Flowdown_Inspire[[Source.Name]:[Source.Name]])),Flowdown_Inspire[[SyRS]:[SyRS]],"")))</f>
        <v/>
      </c>
      <c r="F134" s="12" t="str" cm="1">
        <f t="array" ref="F134">_xlfn.TEXTJOIN(CHAR(10),TRUE,_xlfn._xlws.SORT(IF((--($B134=Flowdown_Inspire[[URS]:[URS]]))*(--(F$14=Flowdown_Inspire[[Source.Name]:[Source.Name]])),Flowdown_Inspire[[SyRS]:[SyRS]],"")))</f>
        <v/>
      </c>
      <c r="G134" s="12" t="str" cm="1">
        <f t="array" ref="G134">_xlfn.TEXTJOIN(CHAR(10),TRUE,_xlfn._xlws.SORT(IF((--($B134=Flowdown_Inspire[[URS]:[URS]]))*(--(G$14=Flowdown_Inspire[[Source.Name]:[Source.Name]])),Flowdown_Inspire[[SyRS]:[SyRS]],"")))</f>
        <v/>
      </c>
      <c r="H134" s="12" t="str" cm="1">
        <f t="array" ref="H134">_xlfn.TEXTJOIN(CHAR(10),TRUE,_xlfn._xlws.SORT(IF((--($B134=Flowdown_Inspire[[URS]:[URS]]))*(--(H$14=Flowdown_Inspire[[Source.Name]:[Source.Name]])),Flowdown_Inspire[[SyRS]:[SyRS]],"")))</f>
        <v/>
      </c>
      <c r="I134" s="12" t="str" cm="1">
        <f t="array" ref="I134">_xlfn.TEXTJOIN(CHAR(10),TRUE,_xlfn._xlws.SORT(IF((--($B134=Flowdown_Inspire[[URS]:[URS]]))*(--(I$14=Flowdown_Inspire[[Source.Name]:[Source.Name]])),Flowdown_Inspire[[SyRS]:[SyRS]],"")))</f>
        <v/>
      </c>
      <c r="J134" s="12" t="str" cm="1">
        <f t="array" ref="J134">_xlfn.TEXTJOIN(CHAR(10),TRUE,_xlfn._xlws.SORT(IF((--($B134=Flowdown_Inspire[[URS]:[URS]]))*(--(J$14=Flowdown_Inspire[[Source.Name]:[Source.Name]])),Flowdown_Inspire[[SyRS]:[SyRS]],"")))</f>
        <v/>
      </c>
      <c r="K134" s="12" t="str" cm="1">
        <f t="array" ref="K134">_xlfn.TEXTJOIN(CHAR(10),TRUE,_xlfn._xlws.SORT(IF((--($B134=Flowdown_Inspire[[URS]:[URS]]))*(--(K$14=Flowdown_Inspire[[Source.Name]:[Source.Name]])),Flowdown_Inspire[[SyRS]:[SyRS]],"")))</f>
        <v/>
      </c>
      <c r="L134" s="16" t="b" cm="1">
        <f t="array" ref="L134">OR(LEN(C134:K134)&gt;0)</f>
        <v>1</v>
      </c>
    </row>
    <row r="135" spans="2:12" ht="81" x14ac:dyDescent="0.2">
      <c r="B135" s="11" t="str">
        <v>MASTER-6627</v>
      </c>
      <c r="C135" s="12" t="str" cm="1">
        <f t="array" ref="C135">_xlfn.TEXTJOIN(CHAR(10),TRUE,_xlfn._xlws.SORT(IF((--($B135=Flowdown_Inspire[[URS]:[URS]]))*(--(C$14=Flowdown_Inspire[[Source.Name]:[Source.Name]])),Flowdown_Inspire[[SyRS]:[SyRS]],"")))</f>
        <v>MASTER-19383
MASTER-19395
MASTER-19405
MASTER-19406
MASTER-19463
MASTER-51115</v>
      </c>
      <c r="D135" s="12" t="str" cm="1">
        <f t="array" ref="D135">_xlfn.TEXTJOIN(CHAR(10),TRUE,_xlfn._xlws.SORT(IF((--($B135=Flowdown_Inspire[[URS]:[URS]]))*(--(D$14=Flowdown_Inspire[[Source.Name]:[Source.Name]])),Flowdown_Inspire[[SyRS]:[SyRS]],"")))</f>
        <v>MASTER-19383
MASTER-19395
MASTER-19405
MASTER-19406
MASTER-19463
MASTER-51115</v>
      </c>
      <c r="E135" s="12" t="str" cm="1">
        <f t="array" ref="E135">_xlfn.TEXTJOIN(CHAR(10),TRUE,_xlfn._xlws.SORT(IF((--($B135=Flowdown_Inspire[[URS]:[URS]]))*(--(E$14=Flowdown_Inspire[[Source.Name]:[Source.Name]])),Flowdown_Inspire[[SyRS]:[SyRS]],"")))</f>
        <v/>
      </c>
      <c r="F135" s="12" t="str" cm="1">
        <f t="array" ref="F135">_xlfn.TEXTJOIN(CHAR(10),TRUE,_xlfn._xlws.SORT(IF((--($B135=Flowdown_Inspire[[URS]:[URS]]))*(--(F$14=Flowdown_Inspire[[Source.Name]:[Source.Name]])),Flowdown_Inspire[[SyRS]:[SyRS]],"")))</f>
        <v/>
      </c>
      <c r="G135" s="12" t="str" cm="1">
        <f t="array" ref="G135">_xlfn.TEXTJOIN(CHAR(10),TRUE,_xlfn._xlws.SORT(IF((--($B135=Flowdown_Inspire[[URS]:[URS]]))*(--(G$14=Flowdown_Inspire[[Source.Name]:[Source.Name]])),Flowdown_Inspire[[SyRS]:[SyRS]],"")))</f>
        <v/>
      </c>
      <c r="H135" s="12" t="str" cm="1">
        <f t="array" ref="H135">_xlfn.TEXTJOIN(CHAR(10),TRUE,_xlfn._xlws.SORT(IF((--($B135=Flowdown_Inspire[[URS]:[URS]]))*(--(H$14=Flowdown_Inspire[[Source.Name]:[Source.Name]])),Flowdown_Inspire[[SyRS]:[SyRS]],"")))</f>
        <v>MASTER-22219
MASTER-22220</v>
      </c>
      <c r="I135" s="12" t="str" cm="1">
        <f t="array" ref="I135">_xlfn.TEXTJOIN(CHAR(10),TRUE,_xlfn._xlws.SORT(IF((--($B135=Flowdown_Inspire[[URS]:[URS]]))*(--(I$14=Flowdown_Inspire[[Source.Name]:[Source.Name]])),Flowdown_Inspire[[SyRS]:[SyRS]],"")))</f>
        <v/>
      </c>
      <c r="J135" s="12" t="str" cm="1">
        <f t="array" ref="J135">_xlfn.TEXTJOIN(CHAR(10),TRUE,_xlfn._xlws.SORT(IF((--($B135=Flowdown_Inspire[[URS]:[URS]]))*(--(J$14=Flowdown_Inspire[[Source.Name]:[Source.Name]])),Flowdown_Inspire[[SyRS]:[SyRS]],"")))</f>
        <v/>
      </c>
      <c r="K135" s="12" t="str" cm="1">
        <f t="array" ref="K135">_xlfn.TEXTJOIN(CHAR(10),TRUE,_xlfn._xlws.SORT(IF((--($B135=Flowdown_Inspire[[URS]:[URS]]))*(--(K$14=Flowdown_Inspire[[Source.Name]:[Source.Name]])),Flowdown_Inspire[[SyRS]:[SyRS]],"")))</f>
        <v/>
      </c>
      <c r="L135" s="16" t="b" cm="1">
        <f t="array" ref="L135">OR(LEN(C135:K135)&gt;0)</f>
        <v>1</v>
      </c>
    </row>
    <row r="136" spans="2:12" ht="67.5" x14ac:dyDescent="0.2">
      <c r="B136" s="11" t="str">
        <v>MASTER-6629</v>
      </c>
      <c r="C136" s="12" t="str" cm="1">
        <f t="array" ref="C136">_xlfn.TEXTJOIN(CHAR(10),TRUE,_xlfn._xlws.SORT(IF((--($B136=Flowdown_Inspire[[URS]:[URS]]))*(--(C$14=Flowdown_Inspire[[Source.Name]:[Source.Name]])),Flowdown_Inspire[[SyRS]:[SyRS]],"")))</f>
        <v>MASTER-19388
MASTER-19394
MASTER-19395
MASTER-19399
MASTER-19424</v>
      </c>
      <c r="D136" s="12" t="str" cm="1">
        <f t="array" ref="D136">_xlfn.TEXTJOIN(CHAR(10),TRUE,_xlfn._xlws.SORT(IF((--($B136=Flowdown_Inspire[[URS]:[URS]]))*(--(D$14=Flowdown_Inspire[[Source.Name]:[Source.Name]])),Flowdown_Inspire[[SyRS]:[SyRS]],"")))</f>
        <v>MASTER-19388
MASTER-19394
MASTER-19395
MASTER-19399
MASTER-19424</v>
      </c>
      <c r="E136" s="12" t="str" cm="1">
        <f t="array" ref="E136">_xlfn.TEXTJOIN(CHAR(10),TRUE,_xlfn._xlws.SORT(IF((--($B136=Flowdown_Inspire[[URS]:[URS]]))*(--(E$14=Flowdown_Inspire[[Source.Name]:[Source.Name]])),Flowdown_Inspire[[SyRS]:[SyRS]],"")))</f>
        <v/>
      </c>
      <c r="F136" s="12" t="str" cm="1">
        <f t="array" ref="F136">_xlfn.TEXTJOIN(CHAR(10),TRUE,_xlfn._xlws.SORT(IF((--($B136=Flowdown_Inspire[[URS]:[URS]]))*(--(F$14=Flowdown_Inspire[[Source.Name]:[Source.Name]])),Flowdown_Inspire[[SyRS]:[SyRS]],"")))</f>
        <v/>
      </c>
      <c r="G136" s="12" t="str" cm="1">
        <f t="array" ref="G136">_xlfn.TEXTJOIN(CHAR(10),TRUE,_xlfn._xlws.SORT(IF((--($B136=Flowdown_Inspire[[URS]:[URS]]))*(--(G$14=Flowdown_Inspire[[Source.Name]:[Source.Name]])),Flowdown_Inspire[[SyRS]:[SyRS]],"")))</f>
        <v/>
      </c>
      <c r="H136" s="12" t="str" cm="1">
        <f t="array" ref="H136">_xlfn.TEXTJOIN(CHAR(10),TRUE,_xlfn._xlws.SORT(IF((--($B136=Flowdown_Inspire[[URS]:[URS]]))*(--(H$14=Flowdown_Inspire[[Source.Name]:[Source.Name]])),Flowdown_Inspire[[SyRS]:[SyRS]],"")))</f>
        <v>MASTER-22227
MASTER-22228
MASTER-22251
MASTER-22253</v>
      </c>
      <c r="I136" s="12" t="str" cm="1">
        <f t="array" ref="I136">_xlfn.TEXTJOIN(CHAR(10),TRUE,_xlfn._xlws.SORT(IF((--($B136=Flowdown_Inspire[[URS]:[URS]]))*(--(I$14=Flowdown_Inspire[[Source.Name]:[Source.Name]])),Flowdown_Inspire[[SyRS]:[SyRS]],"")))</f>
        <v/>
      </c>
      <c r="J136" s="12" t="str" cm="1">
        <f t="array" ref="J136">_xlfn.TEXTJOIN(CHAR(10),TRUE,_xlfn._xlws.SORT(IF((--($B136=Flowdown_Inspire[[URS]:[URS]]))*(--(J$14=Flowdown_Inspire[[Source.Name]:[Source.Name]])),Flowdown_Inspire[[SyRS]:[SyRS]],"")))</f>
        <v/>
      </c>
      <c r="K136" s="12" t="str" cm="1">
        <f t="array" ref="K136">_xlfn.TEXTJOIN(CHAR(10),TRUE,_xlfn._xlws.SORT(IF((--($B136=Flowdown_Inspire[[URS]:[URS]]))*(--(K$14=Flowdown_Inspire[[Source.Name]:[Source.Name]])),Flowdown_Inspire[[SyRS]:[SyRS]],"")))</f>
        <v/>
      </c>
      <c r="L136" s="16" t="b" cm="1">
        <f t="array" ref="L136">OR(LEN(C136:K136)&gt;0)</f>
        <v>1</v>
      </c>
    </row>
    <row r="137" spans="2:12" ht="13.5" x14ac:dyDescent="0.2">
      <c r="B137" s="11" t="str">
        <v>MASTER-6630</v>
      </c>
      <c r="C137" s="12" t="str" cm="1">
        <f t="array" ref="C137">_xlfn.TEXTJOIN(CHAR(10),TRUE,_xlfn._xlws.SORT(IF((--($B137=Flowdown_Inspire[[URS]:[URS]]))*(--(C$14=Flowdown_Inspire[[Source.Name]:[Source.Name]])),Flowdown_Inspire[[SyRS]:[SyRS]],"")))</f>
        <v/>
      </c>
      <c r="D137" s="12" t="str" cm="1">
        <f t="array" ref="D137">_xlfn.TEXTJOIN(CHAR(10),TRUE,_xlfn._xlws.SORT(IF((--($B137=Flowdown_Inspire[[URS]:[URS]]))*(--(D$14=Flowdown_Inspire[[Source.Name]:[Source.Name]])),Flowdown_Inspire[[SyRS]:[SyRS]],"")))</f>
        <v/>
      </c>
      <c r="E137" s="12" t="str" cm="1">
        <f t="array" ref="E137">_xlfn.TEXTJOIN(CHAR(10),TRUE,_xlfn._xlws.SORT(IF((--($B137=Flowdown_Inspire[[URS]:[URS]]))*(--(E$14=Flowdown_Inspire[[Source.Name]:[Source.Name]])),Flowdown_Inspire[[SyRS]:[SyRS]],"")))</f>
        <v/>
      </c>
      <c r="F137" s="12" t="str" cm="1">
        <f t="array" ref="F137">_xlfn.TEXTJOIN(CHAR(10),TRUE,_xlfn._xlws.SORT(IF((--($B137=Flowdown_Inspire[[URS]:[URS]]))*(--(F$14=Flowdown_Inspire[[Source.Name]:[Source.Name]])),Flowdown_Inspire[[SyRS]:[SyRS]],"")))</f>
        <v/>
      </c>
      <c r="G137" s="12" t="str" cm="1">
        <f t="array" ref="G137">_xlfn.TEXTJOIN(CHAR(10),TRUE,_xlfn._xlws.SORT(IF((--($B137=Flowdown_Inspire[[URS]:[URS]]))*(--(G$14=Flowdown_Inspire[[Source.Name]:[Source.Name]])),Flowdown_Inspire[[SyRS]:[SyRS]],"")))</f>
        <v/>
      </c>
      <c r="H137" s="12" t="str" cm="1">
        <f t="array" ref="H137">_xlfn.TEXTJOIN(CHAR(10),TRUE,_xlfn._xlws.SORT(IF((--($B137=Flowdown_Inspire[[URS]:[URS]]))*(--(H$14=Flowdown_Inspire[[Source.Name]:[Source.Name]])),Flowdown_Inspire[[SyRS]:[SyRS]],"")))</f>
        <v>MASTER-22209</v>
      </c>
      <c r="I137" s="12" t="str" cm="1">
        <f t="array" ref="I137">_xlfn.TEXTJOIN(CHAR(10),TRUE,_xlfn._xlws.SORT(IF((--($B137=Flowdown_Inspire[[URS]:[URS]]))*(--(I$14=Flowdown_Inspire[[Source.Name]:[Source.Name]])),Flowdown_Inspire[[SyRS]:[SyRS]],"")))</f>
        <v/>
      </c>
      <c r="J137" s="12" t="str" cm="1">
        <f t="array" ref="J137">_xlfn.TEXTJOIN(CHAR(10),TRUE,_xlfn._xlws.SORT(IF((--($B137=Flowdown_Inspire[[URS]:[URS]]))*(--(J$14=Flowdown_Inspire[[Source.Name]:[Source.Name]])),Flowdown_Inspire[[SyRS]:[SyRS]],"")))</f>
        <v/>
      </c>
      <c r="K137" s="12" t="str" cm="1">
        <f t="array" ref="K137">_xlfn.TEXTJOIN(CHAR(10),TRUE,_xlfn._xlws.SORT(IF((--($B137=Flowdown_Inspire[[URS]:[URS]]))*(--(K$14=Flowdown_Inspire[[Source.Name]:[Source.Name]])),Flowdown_Inspire[[SyRS]:[SyRS]],"")))</f>
        <v/>
      </c>
      <c r="L137" s="16" t="b" cm="1">
        <f t="array" ref="L137">OR(LEN(C137:K137)&gt;0)</f>
        <v>1</v>
      </c>
    </row>
    <row r="138" spans="2:12" ht="27" x14ac:dyDescent="0.2">
      <c r="B138" s="11" t="str">
        <v>MASTER-6642</v>
      </c>
      <c r="C138" s="12" t="str" cm="1">
        <f t="array" ref="C138">_xlfn.TEXTJOIN(CHAR(10),TRUE,_xlfn._xlws.SORT(IF((--($B138=Flowdown_Inspire[[URS]:[URS]]))*(--(C$14=Flowdown_Inspire[[Source.Name]:[Source.Name]])),Flowdown_Inspire[[SyRS]:[SyRS]],"")))</f>
        <v>MASTER-19411
MASTER-19413</v>
      </c>
      <c r="D138" s="12" t="str" cm="1">
        <f t="array" ref="D138">_xlfn.TEXTJOIN(CHAR(10),TRUE,_xlfn._xlws.SORT(IF((--($B138=Flowdown_Inspire[[URS]:[URS]]))*(--(D$14=Flowdown_Inspire[[Source.Name]:[Source.Name]])),Flowdown_Inspire[[SyRS]:[SyRS]],"")))</f>
        <v>MASTER-19411
MASTER-19413</v>
      </c>
      <c r="E138" s="12" t="str" cm="1">
        <f t="array" ref="E138">_xlfn.TEXTJOIN(CHAR(10),TRUE,_xlfn._xlws.SORT(IF((--($B138=Flowdown_Inspire[[URS]:[URS]]))*(--(E$14=Flowdown_Inspire[[Source.Name]:[Source.Name]])),Flowdown_Inspire[[SyRS]:[SyRS]],"")))</f>
        <v/>
      </c>
      <c r="F138" s="12" t="str" cm="1">
        <f t="array" ref="F138">_xlfn.TEXTJOIN(CHAR(10),TRUE,_xlfn._xlws.SORT(IF((--($B138=Flowdown_Inspire[[URS]:[URS]]))*(--(F$14=Flowdown_Inspire[[Source.Name]:[Source.Name]])),Flowdown_Inspire[[SyRS]:[SyRS]],"")))</f>
        <v/>
      </c>
      <c r="G138" s="12" t="str" cm="1">
        <f t="array" ref="G138">_xlfn.TEXTJOIN(CHAR(10),TRUE,_xlfn._xlws.SORT(IF((--($B138=Flowdown_Inspire[[URS]:[URS]]))*(--(G$14=Flowdown_Inspire[[Source.Name]:[Source.Name]])),Flowdown_Inspire[[SyRS]:[SyRS]],"")))</f>
        <v/>
      </c>
      <c r="H138" s="12" t="str" cm="1">
        <f t="array" ref="H138">_xlfn.TEXTJOIN(CHAR(10),TRUE,_xlfn._xlws.SORT(IF((--($B138=Flowdown_Inspire[[URS]:[URS]]))*(--(H$14=Flowdown_Inspire[[Source.Name]:[Source.Name]])),Flowdown_Inspire[[SyRS]:[SyRS]],"")))</f>
        <v>MASTER-22223</v>
      </c>
      <c r="I138" s="12" t="str" cm="1">
        <f t="array" ref="I138">_xlfn.TEXTJOIN(CHAR(10),TRUE,_xlfn._xlws.SORT(IF((--($B138=Flowdown_Inspire[[URS]:[URS]]))*(--(I$14=Flowdown_Inspire[[Source.Name]:[Source.Name]])),Flowdown_Inspire[[SyRS]:[SyRS]],"")))</f>
        <v/>
      </c>
      <c r="J138" s="12" t="str" cm="1">
        <f t="array" ref="J138">_xlfn.TEXTJOIN(CHAR(10),TRUE,_xlfn._xlws.SORT(IF((--($B138=Flowdown_Inspire[[URS]:[URS]]))*(--(J$14=Flowdown_Inspire[[Source.Name]:[Source.Name]])),Flowdown_Inspire[[SyRS]:[SyRS]],"")))</f>
        <v/>
      </c>
      <c r="K138" s="12" t="str" cm="1">
        <f t="array" ref="K138">_xlfn.TEXTJOIN(CHAR(10),TRUE,_xlfn._xlws.SORT(IF((--($B138=Flowdown_Inspire[[URS]:[URS]]))*(--(K$14=Flowdown_Inspire[[Source.Name]:[Source.Name]])),Flowdown_Inspire[[SyRS]:[SyRS]],"")))</f>
        <v/>
      </c>
      <c r="L138" s="16" t="b" cm="1">
        <f t="array" ref="L138">OR(LEN(C138:K138)&gt;0)</f>
        <v>1</v>
      </c>
    </row>
    <row r="139" spans="2:12" ht="54" x14ac:dyDescent="0.2">
      <c r="B139" s="11" t="str">
        <v>MASTER-6644</v>
      </c>
      <c r="C139" s="12" t="str" cm="1">
        <f t="array" ref="C139">_xlfn.TEXTJOIN(CHAR(10),TRUE,_xlfn._xlws.SORT(IF((--($B139=Flowdown_Inspire[[URS]:[URS]]))*(--(C$14=Flowdown_Inspire[[Source.Name]:[Source.Name]])),Flowdown_Inspire[[SyRS]:[SyRS]],"")))</f>
        <v>MASTER-19408
MASTER-19409
MASTER-19417
MASTER-19422</v>
      </c>
      <c r="D139" s="12" t="str" cm="1">
        <f t="array" ref="D139">_xlfn.TEXTJOIN(CHAR(10),TRUE,_xlfn._xlws.SORT(IF((--($B139=Flowdown_Inspire[[URS]:[URS]]))*(--(D$14=Flowdown_Inspire[[Source.Name]:[Source.Name]])),Flowdown_Inspire[[SyRS]:[SyRS]],"")))</f>
        <v>MASTER-19408
MASTER-19409
MASTER-19417
MASTER-19422</v>
      </c>
      <c r="E139" s="12" t="str" cm="1">
        <f t="array" ref="E139">_xlfn.TEXTJOIN(CHAR(10),TRUE,_xlfn._xlws.SORT(IF((--($B139=Flowdown_Inspire[[URS]:[URS]]))*(--(E$14=Flowdown_Inspire[[Source.Name]:[Source.Name]])),Flowdown_Inspire[[SyRS]:[SyRS]],"")))</f>
        <v/>
      </c>
      <c r="F139" s="12" t="str" cm="1">
        <f t="array" ref="F139">_xlfn.TEXTJOIN(CHAR(10),TRUE,_xlfn._xlws.SORT(IF((--($B139=Flowdown_Inspire[[URS]:[URS]]))*(--(F$14=Flowdown_Inspire[[Source.Name]:[Source.Name]])),Flowdown_Inspire[[SyRS]:[SyRS]],"")))</f>
        <v/>
      </c>
      <c r="G139" s="12" t="str" cm="1">
        <f t="array" ref="G139">_xlfn.TEXTJOIN(CHAR(10),TRUE,_xlfn._xlws.SORT(IF((--($B139=Flowdown_Inspire[[URS]:[URS]]))*(--(G$14=Flowdown_Inspire[[Source.Name]:[Source.Name]])),Flowdown_Inspire[[SyRS]:[SyRS]],"")))</f>
        <v/>
      </c>
      <c r="H139" s="12" t="str" cm="1">
        <f t="array" ref="H139">_xlfn.TEXTJOIN(CHAR(10),TRUE,_xlfn._xlws.SORT(IF((--($B139=Flowdown_Inspire[[URS]:[URS]]))*(--(H$14=Flowdown_Inspire[[Source.Name]:[Source.Name]])),Flowdown_Inspire[[SyRS]:[SyRS]],"")))</f>
        <v>MASTER-22224
MASTER-22225</v>
      </c>
      <c r="I139" s="12" t="str" cm="1">
        <f t="array" ref="I139">_xlfn.TEXTJOIN(CHAR(10),TRUE,_xlfn._xlws.SORT(IF((--($B139=Flowdown_Inspire[[URS]:[URS]]))*(--(I$14=Flowdown_Inspire[[Source.Name]:[Source.Name]])),Flowdown_Inspire[[SyRS]:[SyRS]],"")))</f>
        <v/>
      </c>
      <c r="J139" s="12" t="str" cm="1">
        <f t="array" ref="J139">_xlfn.TEXTJOIN(CHAR(10),TRUE,_xlfn._xlws.SORT(IF((--($B139=Flowdown_Inspire[[URS]:[URS]]))*(--(J$14=Flowdown_Inspire[[Source.Name]:[Source.Name]])),Flowdown_Inspire[[SyRS]:[SyRS]],"")))</f>
        <v/>
      </c>
      <c r="K139" s="12" t="str" cm="1">
        <f t="array" ref="K139">_xlfn.TEXTJOIN(CHAR(10),TRUE,_xlfn._xlws.SORT(IF((--($B139=Flowdown_Inspire[[URS]:[URS]]))*(--(K$14=Flowdown_Inspire[[Source.Name]:[Source.Name]])),Flowdown_Inspire[[SyRS]:[SyRS]],"")))</f>
        <v>MASTER-51247</v>
      </c>
      <c r="L139" s="16" t="b" cm="1">
        <f t="array" ref="L139">OR(LEN(C139:K139)&gt;0)</f>
        <v>1</v>
      </c>
    </row>
    <row r="140" spans="2:12" ht="337.5" x14ac:dyDescent="0.2">
      <c r="B140" s="11" t="str">
        <v>MASTER-73071</v>
      </c>
      <c r="C140" s="12" t="str" cm="1">
        <f t="array" ref="C140">_xlfn.TEXTJOIN(CHAR(10),TRUE,_xlfn._xlws.SORT(IF((--($B140=Flowdown_Inspire[[URS]:[URS]]))*(--(C$14=Flowdown_Inspire[[Source.Name]:[Source.Name]])),Flowdown_Inspire[[SyRS]:[SyRS]],"")))</f>
        <v/>
      </c>
      <c r="D140" s="12" t="str" cm="1">
        <f t="array" ref="D140">_xlfn.TEXTJOIN(CHAR(10),TRUE,_xlfn._xlws.SORT(IF((--($B140=Flowdown_Inspire[[URS]:[URS]]))*(--(D$14=Flowdown_Inspire[[Source.Name]:[Source.Name]])),Flowdown_Inspire[[SyRS]:[SyRS]],"")))</f>
        <v/>
      </c>
      <c r="E140" s="12" t="str" cm="1">
        <f t="array" ref="E140">_xlfn.TEXTJOIN(CHAR(10),TRUE,_xlfn._xlws.SORT(IF((--($B140=Flowdown_Inspire[[URS]:[URS]]))*(--(E$14=Flowdown_Inspire[[Source.Name]:[Source.Name]])),Flowdown_Inspire[[SyRS]:[SyRS]],"")))</f>
        <v/>
      </c>
      <c r="F140" s="12" t="str" cm="1">
        <f t="array" ref="F140">_xlfn.TEXTJOIN(CHAR(10),TRUE,_xlfn._xlws.SORT(IF((--($B140=Flowdown_Inspire[[URS]:[URS]]))*(--(F$14=Flowdown_Inspire[[Source.Name]:[Source.Name]])),Flowdown_Inspire[[SyRS]:[SyRS]],"")))</f>
        <v/>
      </c>
      <c r="G140" s="12" t="str" cm="1">
        <f t="array" ref="G140">_xlfn.TEXTJOIN(CHAR(10),TRUE,_xlfn._xlws.SORT(IF((--($B140=Flowdown_Inspire[[URS]:[URS]]))*(--(G$14=Flowdown_Inspire[[Source.Name]:[Source.Name]])),Flowdown_Inspire[[SyRS]:[SyRS]],"")))</f>
        <v/>
      </c>
      <c r="H140" s="12" t="str" cm="1">
        <f t="array" ref="H140">_xlfn.TEXTJOIN(CHAR(10),TRUE,_xlfn._xlws.SORT(IF((--($B140=Flowdown_Inspire[[URS]:[URS]]))*(--(H$14=Flowdown_Inspire[[Source.Name]:[Source.Name]])),Flowdown_Inspire[[SyRS]:[SyRS]],"")))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140" s="12" t="str" cm="1">
        <f t="array" ref="I140">_xlfn.TEXTJOIN(CHAR(10),TRUE,_xlfn._xlws.SORT(IF((--($B140=Flowdown_Inspire[[URS]:[URS]]))*(--(I$14=Flowdown_Inspire[[Source.Name]:[Source.Name]])),Flowdown_Inspire[[SyRS]:[SyRS]],"")))</f>
        <v/>
      </c>
      <c r="J140" s="12" t="str" cm="1">
        <f t="array" ref="J140">_xlfn.TEXTJOIN(CHAR(10),TRUE,_xlfn._xlws.SORT(IF((--($B140=Flowdown_Inspire[[URS]:[URS]]))*(--(J$14=Flowdown_Inspire[[Source.Name]:[Source.Name]])),Flowdown_Inspire[[SyRS]:[SyRS]],"")))</f>
        <v/>
      </c>
      <c r="K140" s="12" t="str" cm="1">
        <f t="array" ref="K140">_xlfn.TEXTJOIN(CHAR(10),TRUE,_xlfn._xlws.SORT(IF((--($B140=Flowdown_Inspire[[URS]:[URS]]))*(--(K$14=Flowdown_Inspire[[Source.Name]:[Source.Name]])),Flowdown_Inspire[[SyRS]:[SyRS]],"")))</f>
        <v/>
      </c>
      <c r="L140" s="16" t="b" cm="1">
        <f t="array" ref="L140">OR(LEN(C140:K140)&gt;0)</f>
        <v>1</v>
      </c>
    </row>
    <row r="141" spans="2:12" ht="40.5" x14ac:dyDescent="0.2">
      <c r="B141" s="11" t="str">
        <v>MASTER-73073</v>
      </c>
      <c r="C141" s="12" t="str" cm="1">
        <f t="array" ref="C141">_xlfn.TEXTJOIN(CHAR(10),TRUE,_xlfn._xlws.SORT(IF((--($B141=Flowdown_Inspire[[URS]:[URS]]))*(--(C$14=Flowdown_Inspire[[Source.Name]:[Source.Name]])),Flowdown_Inspire[[SyRS]:[SyRS]],"")))</f>
        <v/>
      </c>
      <c r="D141" s="12" t="str" cm="1">
        <f t="array" ref="D141">_xlfn.TEXTJOIN(CHAR(10),TRUE,_xlfn._xlws.SORT(IF((--($B141=Flowdown_Inspire[[URS]:[URS]]))*(--(D$14=Flowdown_Inspire[[Source.Name]:[Source.Name]])),Flowdown_Inspire[[SyRS]:[SyRS]],"")))</f>
        <v/>
      </c>
      <c r="E141" s="12" t="str" cm="1">
        <f t="array" ref="E141">_xlfn.TEXTJOIN(CHAR(10),TRUE,_xlfn._xlws.SORT(IF((--($B141=Flowdown_Inspire[[URS]:[URS]]))*(--(E$14=Flowdown_Inspire[[Source.Name]:[Source.Name]])),Flowdown_Inspire[[SyRS]:[SyRS]],"")))</f>
        <v/>
      </c>
      <c r="F141" s="12" t="str" cm="1">
        <f t="array" ref="F141">_xlfn.TEXTJOIN(CHAR(10),TRUE,_xlfn._xlws.SORT(IF((--($B141=Flowdown_Inspire[[URS]:[URS]]))*(--(F$14=Flowdown_Inspire[[Source.Name]:[Source.Name]])),Flowdown_Inspire[[SyRS]:[SyRS]],"")))</f>
        <v/>
      </c>
      <c r="G141" s="12" t="str" cm="1">
        <f t="array" ref="G141">_xlfn.TEXTJOIN(CHAR(10),TRUE,_xlfn._xlws.SORT(IF((--($B141=Flowdown_Inspire[[URS]:[URS]]))*(--(G$14=Flowdown_Inspire[[Source.Name]:[Source.Name]])),Flowdown_Inspire[[SyRS]:[SyRS]],"")))</f>
        <v/>
      </c>
      <c r="H141" s="12" t="str" cm="1">
        <f t="array" ref="H141">_xlfn.TEXTJOIN(CHAR(10),TRUE,_xlfn._xlws.SORT(IF((--($B141=Flowdown_Inspire[[URS]:[URS]]))*(--(H$14=Flowdown_Inspire[[Source.Name]:[Source.Name]])),Flowdown_Inspire[[SyRS]:[SyRS]],"")))</f>
        <v>MASTER-75377
MASTER-75378
UTICA-24666</v>
      </c>
      <c r="I141" s="12" t="str" cm="1">
        <f t="array" ref="I141">_xlfn.TEXTJOIN(CHAR(10),TRUE,_xlfn._xlws.SORT(IF((--($B141=Flowdown_Inspire[[URS]:[URS]]))*(--(I$14=Flowdown_Inspire[[Source.Name]:[Source.Name]])),Flowdown_Inspire[[SyRS]:[SyRS]],"")))</f>
        <v/>
      </c>
      <c r="J141" s="12" t="str" cm="1">
        <f t="array" ref="J141">_xlfn.TEXTJOIN(CHAR(10),TRUE,_xlfn._xlws.SORT(IF((--($B141=Flowdown_Inspire[[URS]:[URS]]))*(--(J$14=Flowdown_Inspire[[Source.Name]:[Source.Name]])),Flowdown_Inspire[[SyRS]:[SyRS]],"")))</f>
        <v/>
      </c>
      <c r="K141" s="12" t="str" cm="1">
        <f t="array" ref="K141">_xlfn.TEXTJOIN(CHAR(10),TRUE,_xlfn._xlws.SORT(IF((--($B141=Flowdown_Inspire[[URS]:[URS]]))*(--(K$14=Flowdown_Inspire[[Source.Name]:[Source.Name]])),Flowdown_Inspire[[SyRS]:[SyRS]],"")))</f>
        <v/>
      </c>
      <c r="L141" s="16" t="b" cm="1">
        <f t="array" ref="L141">OR(LEN(C141:K141)&gt;0)</f>
        <v>1</v>
      </c>
    </row>
    <row r="142" spans="2:12" ht="13.5" x14ac:dyDescent="0.2">
      <c r="B142" s="11" t="str">
        <v>UTICA-26148</v>
      </c>
      <c r="C142" s="12" t="str" cm="1">
        <f t="array" ref="C142">_xlfn.TEXTJOIN(CHAR(10),TRUE,_xlfn._xlws.SORT(IF((--($B142=Flowdown_Inspire[[URS]:[URS]]))*(--(C$14=Flowdown_Inspire[[Source.Name]:[Source.Name]])),Flowdown_Inspire[[SyRS]:[SyRS]],"")))</f>
        <v/>
      </c>
      <c r="D142" s="12" t="str" cm="1">
        <f t="array" ref="D142">_xlfn.TEXTJOIN(CHAR(10),TRUE,_xlfn._xlws.SORT(IF((--($B142=Flowdown_Inspire[[URS]:[URS]]))*(--(D$14=Flowdown_Inspire[[Source.Name]:[Source.Name]])),Flowdown_Inspire[[SyRS]:[SyRS]],"")))</f>
        <v/>
      </c>
      <c r="E142" s="12" t="str" cm="1">
        <f t="array" ref="E142">_xlfn.TEXTJOIN(CHAR(10),TRUE,_xlfn._xlws.SORT(IF((--($B142=Flowdown_Inspire[[URS]:[URS]]))*(--(E$14=Flowdown_Inspire[[Source.Name]:[Source.Name]])),Flowdown_Inspire[[SyRS]:[SyRS]],"")))</f>
        <v/>
      </c>
      <c r="F142" s="12" t="str" cm="1">
        <f t="array" ref="F142">_xlfn.TEXTJOIN(CHAR(10),TRUE,_xlfn._xlws.SORT(IF((--($B142=Flowdown_Inspire[[URS]:[URS]]))*(--(F$14=Flowdown_Inspire[[Source.Name]:[Source.Name]])),Flowdown_Inspire[[SyRS]:[SyRS]],"")))</f>
        <v/>
      </c>
      <c r="G142" s="12" t="str" cm="1">
        <f t="array" ref="G142">_xlfn.TEXTJOIN(CHAR(10),TRUE,_xlfn._xlws.SORT(IF((--($B142=Flowdown_Inspire[[URS]:[URS]]))*(--(G$14=Flowdown_Inspire[[Source.Name]:[Source.Name]])),Flowdown_Inspire[[SyRS]:[SyRS]],"")))</f>
        <v/>
      </c>
      <c r="H142" s="12" t="str" cm="1">
        <f t="array" ref="H142">_xlfn.TEXTJOIN(CHAR(10),TRUE,_xlfn._xlws.SORT(IF((--($B142=Flowdown_Inspire[[URS]:[URS]]))*(--(H$14=Flowdown_Inspire[[Source.Name]:[Source.Name]])),Flowdown_Inspire[[SyRS]:[SyRS]],"")))</f>
        <v>MASTER-60779</v>
      </c>
      <c r="I142" s="12" t="str" cm="1">
        <f t="array" ref="I142">_xlfn.TEXTJOIN(CHAR(10),TRUE,_xlfn._xlws.SORT(IF((--($B142=Flowdown_Inspire[[URS]:[URS]]))*(--(I$14=Flowdown_Inspire[[Source.Name]:[Source.Name]])),Flowdown_Inspire[[SyRS]:[SyRS]],"")))</f>
        <v/>
      </c>
      <c r="J142" s="12" t="str" cm="1">
        <f t="array" ref="J142">_xlfn.TEXTJOIN(CHAR(10),TRUE,_xlfn._xlws.SORT(IF((--($B142=Flowdown_Inspire[[URS]:[URS]]))*(--(J$14=Flowdown_Inspire[[Source.Name]:[Source.Name]])),Flowdown_Inspire[[SyRS]:[SyRS]],"")))</f>
        <v/>
      </c>
      <c r="K142" s="12" t="str" cm="1">
        <f t="array" ref="K142">_xlfn.TEXTJOIN(CHAR(10),TRUE,_xlfn._xlws.SORT(IF((--($B142=Flowdown_Inspire[[URS]:[URS]]))*(--(K$14=Flowdown_Inspire[[Source.Name]:[Source.Name]])),Flowdown_Inspire[[SyRS]:[SyRS]],"")))</f>
        <v/>
      </c>
      <c r="L142" s="16" t="b" cm="1">
        <f t="array" ref="L142">OR(LEN(C142:K142)&gt;0)</f>
        <v>1</v>
      </c>
    </row>
    <row r="143" spans="2:12" ht="13.5" x14ac:dyDescent="0.2">
      <c r="B143" s="11" t="str">
        <v>UTICA-26149</v>
      </c>
      <c r="C143" s="12" t="str" cm="1">
        <f t="array" ref="C143">_xlfn.TEXTJOIN(CHAR(10),TRUE,_xlfn._xlws.SORT(IF((--($B143=Flowdown_Inspire[[URS]:[URS]]))*(--(C$14=Flowdown_Inspire[[Source.Name]:[Source.Name]])),Flowdown_Inspire[[SyRS]:[SyRS]],"")))</f>
        <v/>
      </c>
      <c r="D143" s="12" t="str" cm="1">
        <f t="array" ref="D143">_xlfn.TEXTJOIN(CHAR(10),TRUE,_xlfn._xlws.SORT(IF((--($B143=Flowdown_Inspire[[URS]:[URS]]))*(--(D$14=Flowdown_Inspire[[Source.Name]:[Source.Name]])),Flowdown_Inspire[[SyRS]:[SyRS]],"")))</f>
        <v/>
      </c>
      <c r="E143" s="12" t="str" cm="1">
        <f t="array" ref="E143">_xlfn.TEXTJOIN(CHAR(10),TRUE,_xlfn._xlws.SORT(IF((--($B143=Flowdown_Inspire[[URS]:[URS]]))*(--(E$14=Flowdown_Inspire[[Source.Name]:[Source.Name]])),Flowdown_Inspire[[SyRS]:[SyRS]],"")))</f>
        <v/>
      </c>
      <c r="F143" s="12" t="str" cm="1">
        <f t="array" ref="F143">_xlfn.TEXTJOIN(CHAR(10),TRUE,_xlfn._xlws.SORT(IF((--($B143=Flowdown_Inspire[[URS]:[URS]]))*(--(F$14=Flowdown_Inspire[[Source.Name]:[Source.Name]])),Flowdown_Inspire[[SyRS]:[SyRS]],"")))</f>
        <v/>
      </c>
      <c r="G143" s="12" t="str" cm="1">
        <f t="array" ref="G143">_xlfn.TEXTJOIN(CHAR(10),TRUE,_xlfn._xlws.SORT(IF((--($B143=Flowdown_Inspire[[URS]:[URS]]))*(--(G$14=Flowdown_Inspire[[Source.Name]:[Source.Name]])),Flowdown_Inspire[[SyRS]:[SyRS]],"")))</f>
        <v/>
      </c>
      <c r="H143" s="12" t="str" cm="1">
        <f t="array" ref="H143">_xlfn.TEXTJOIN(CHAR(10),TRUE,_xlfn._xlws.SORT(IF((--($B143=Flowdown_Inspire[[URS]:[URS]]))*(--(H$14=Flowdown_Inspire[[Source.Name]:[Source.Name]])),Flowdown_Inspire[[SyRS]:[SyRS]],"")))</f>
        <v>MASTER-22008</v>
      </c>
      <c r="I143" s="12" t="str" cm="1">
        <f t="array" ref="I143">_xlfn.TEXTJOIN(CHAR(10),TRUE,_xlfn._xlws.SORT(IF((--($B143=Flowdown_Inspire[[URS]:[URS]]))*(--(I$14=Flowdown_Inspire[[Source.Name]:[Source.Name]])),Flowdown_Inspire[[SyRS]:[SyRS]],"")))</f>
        <v/>
      </c>
      <c r="J143" s="12" t="str" cm="1">
        <f t="array" ref="J143">_xlfn.TEXTJOIN(CHAR(10),TRUE,_xlfn._xlws.SORT(IF((--($B143=Flowdown_Inspire[[URS]:[URS]]))*(--(J$14=Flowdown_Inspire[[Source.Name]:[Source.Name]])),Flowdown_Inspire[[SyRS]:[SyRS]],"")))</f>
        <v/>
      </c>
      <c r="K143" s="12" t="str" cm="1">
        <f t="array" ref="K143">_xlfn.TEXTJOIN(CHAR(10),TRUE,_xlfn._xlws.SORT(IF((--($B143=Flowdown_Inspire[[URS]:[URS]]))*(--(K$14=Flowdown_Inspire[[Source.Name]:[Source.Name]])),Flowdown_Inspire[[SyRS]:[SyRS]],"")))</f>
        <v/>
      </c>
      <c r="L143" s="16" t="b" cm="1">
        <f t="array" ref="L143">OR(LEN(C143:K143)&gt;0)</f>
        <v>1</v>
      </c>
    </row>
    <row r="144" spans="2:12" ht="13.5" x14ac:dyDescent="0.2">
      <c r="B144" s="11" t="str">
        <v>UTICA-26150</v>
      </c>
      <c r="C144" s="12" t="str" cm="1">
        <f t="array" ref="C144">_xlfn.TEXTJOIN(CHAR(10),TRUE,_xlfn._xlws.SORT(IF((--($B144=Flowdown_Inspire[[URS]:[URS]]))*(--(C$14=Flowdown_Inspire[[Source.Name]:[Source.Name]])),Flowdown_Inspire[[SyRS]:[SyRS]],"")))</f>
        <v/>
      </c>
      <c r="D144" s="12" t="str" cm="1">
        <f t="array" ref="D144">_xlfn.TEXTJOIN(CHAR(10),TRUE,_xlfn._xlws.SORT(IF((--($B144=Flowdown_Inspire[[URS]:[URS]]))*(--(D$14=Flowdown_Inspire[[Source.Name]:[Source.Name]])),Flowdown_Inspire[[SyRS]:[SyRS]],"")))</f>
        <v/>
      </c>
      <c r="E144" s="12" t="str" cm="1">
        <f t="array" ref="E144">_xlfn.TEXTJOIN(CHAR(10),TRUE,_xlfn._xlws.SORT(IF((--($B144=Flowdown_Inspire[[URS]:[URS]]))*(--(E$14=Flowdown_Inspire[[Source.Name]:[Source.Name]])),Flowdown_Inspire[[SyRS]:[SyRS]],"")))</f>
        <v/>
      </c>
      <c r="F144" s="12" t="str" cm="1">
        <f t="array" ref="F144">_xlfn.TEXTJOIN(CHAR(10),TRUE,_xlfn._xlws.SORT(IF((--($B144=Flowdown_Inspire[[URS]:[URS]]))*(--(F$14=Flowdown_Inspire[[Source.Name]:[Source.Name]])),Flowdown_Inspire[[SyRS]:[SyRS]],"")))</f>
        <v/>
      </c>
      <c r="G144" s="12" t="str" cm="1">
        <f t="array" ref="G144">_xlfn.TEXTJOIN(CHAR(10),TRUE,_xlfn._xlws.SORT(IF((--($B144=Flowdown_Inspire[[URS]:[URS]]))*(--(G$14=Flowdown_Inspire[[Source.Name]:[Source.Name]])),Flowdown_Inspire[[SyRS]:[SyRS]],"")))</f>
        <v/>
      </c>
      <c r="H144" s="12" t="str" cm="1">
        <f t="array" ref="H144">_xlfn.TEXTJOIN(CHAR(10),TRUE,_xlfn._xlws.SORT(IF((--($B144=Flowdown_Inspire[[URS]:[URS]]))*(--(H$14=Flowdown_Inspire[[Source.Name]:[Source.Name]])),Flowdown_Inspire[[SyRS]:[SyRS]],"")))</f>
        <v>MASTER-22147</v>
      </c>
      <c r="I144" s="12" t="str" cm="1">
        <f t="array" ref="I144">_xlfn.TEXTJOIN(CHAR(10),TRUE,_xlfn._xlws.SORT(IF((--($B144=Flowdown_Inspire[[URS]:[URS]]))*(--(I$14=Flowdown_Inspire[[Source.Name]:[Source.Name]])),Flowdown_Inspire[[SyRS]:[SyRS]],"")))</f>
        <v/>
      </c>
      <c r="J144" s="12" t="str" cm="1">
        <f t="array" ref="J144">_xlfn.TEXTJOIN(CHAR(10),TRUE,_xlfn._xlws.SORT(IF((--($B144=Flowdown_Inspire[[URS]:[URS]]))*(--(J$14=Flowdown_Inspire[[Source.Name]:[Source.Name]])),Flowdown_Inspire[[SyRS]:[SyRS]],"")))</f>
        <v/>
      </c>
      <c r="K144" s="12" t="str" cm="1">
        <f t="array" ref="K144">_xlfn.TEXTJOIN(CHAR(10),TRUE,_xlfn._xlws.SORT(IF((--($B144=Flowdown_Inspire[[URS]:[URS]]))*(--(K$14=Flowdown_Inspire[[Source.Name]:[Source.Name]])),Flowdown_Inspire[[SyRS]:[SyRS]],"")))</f>
        <v/>
      </c>
      <c r="L144" s="16" t="b" cm="1">
        <f t="array" ref="L144">OR(LEN(C144:K144)&gt;0)</f>
        <v>1</v>
      </c>
    </row>
    <row r="145" spans="2:12" ht="13.5" x14ac:dyDescent="0.2">
      <c r="B145" s="11" t="str">
        <v>UTICA-26151</v>
      </c>
      <c r="C145" s="12" t="str" cm="1">
        <f t="array" ref="C145">_xlfn.TEXTJOIN(CHAR(10),TRUE,_xlfn._xlws.SORT(IF((--($B145=Flowdown_Inspire[[URS]:[URS]]))*(--(C$14=Flowdown_Inspire[[Source.Name]:[Source.Name]])),Flowdown_Inspire[[SyRS]:[SyRS]],"")))</f>
        <v/>
      </c>
      <c r="D145" s="12" t="str" cm="1">
        <f t="array" ref="D145">_xlfn.TEXTJOIN(CHAR(10),TRUE,_xlfn._xlws.SORT(IF((--($B145=Flowdown_Inspire[[URS]:[URS]]))*(--(D$14=Flowdown_Inspire[[Source.Name]:[Source.Name]])),Flowdown_Inspire[[SyRS]:[SyRS]],"")))</f>
        <v/>
      </c>
      <c r="E145" s="12" t="str" cm="1">
        <f t="array" ref="E145">_xlfn.TEXTJOIN(CHAR(10),TRUE,_xlfn._xlws.SORT(IF((--($B145=Flowdown_Inspire[[URS]:[URS]]))*(--(E$14=Flowdown_Inspire[[Source.Name]:[Source.Name]])),Flowdown_Inspire[[SyRS]:[SyRS]],"")))</f>
        <v/>
      </c>
      <c r="F145" s="12" t="str" cm="1">
        <f t="array" ref="F145">_xlfn.TEXTJOIN(CHAR(10),TRUE,_xlfn._xlws.SORT(IF((--($B145=Flowdown_Inspire[[URS]:[URS]]))*(--(F$14=Flowdown_Inspire[[Source.Name]:[Source.Name]])),Flowdown_Inspire[[SyRS]:[SyRS]],"")))</f>
        <v/>
      </c>
      <c r="G145" s="12" t="str" cm="1">
        <f t="array" ref="G145">_xlfn.TEXTJOIN(CHAR(10),TRUE,_xlfn._xlws.SORT(IF((--($B145=Flowdown_Inspire[[URS]:[URS]]))*(--(G$14=Flowdown_Inspire[[Source.Name]:[Source.Name]])),Flowdown_Inspire[[SyRS]:[SyRS]],"")))</f>
        <v/>
      </c>
      <c r="H145" s="12" t="str" cm="1">
        <f t="array" ref="H145">_xlfn.TEXTJOIN(CHAR(10),TRUE,_xlfn._xlws.SORT(IF((--($B145=Flowdown_Inspire[[URS]:[URS]]))*(--(H$14=Flowdown_Inspire[[Source.Name]:[Source.Name]])),Flowdown_Inspire[[SyRS]:[SyRS]],"")))</f>
        <v>MASTER-22191</v>
      </c>
      <c r="I145" s="12" t="str" cm="1">
        <f t="array" ref="I145">_xlfn.TEXTJOIN(CHAR(10),TRUE,_xlfn._xlws.SORT(IF((--($B145=Flowdown_Inspire[[URS]:[URS]]))*(--(I$14=Flowdown_Inspire[[Source.Name]:[Source.Name]])),Flowdown_Inspire[[SyRS]:[SyRS]],"")))</f>
        <v/>
      </c>
      <c r="J145" s="12" t="str" cm="1">
        <f t="array" ref="J145">_xlfn.TEXTJOIN(CHAR(10),TRUE,_xlfn._xlws.SORT(IF((--($B145=Flowdown_Inspire[[URS]:[URS]]))*(--(J$14=Flowdown_Inspire[[Source.Name]:[Source.Name]])),Flowdown_Inspire[[SyRS]:[SyRS]],"")))</f>
        <v/>
      </c>
      <c r="K145" s="12" t="str" cm="1">
        <f t="array" ref="K145">_xlfn.TEXTJOIN(CHAR(10),TRUE,_xlfn._xlws.SORT(IF((--($B145=Flowdown_Inspire[[URS]:[URS]]))*(--(K$14=Flowdown_Inspire[[Source.Name]:[Source.Name]])),Flowdown_Inspire[[SyRS]:[SyRS]],"")))</f>
        <v/>
      </c>
      <c r="L145" s="16" t="b" cm="1">
        <f t="array" ref="L145">OR(LEN(C145:K145)&gt;0)</f>
        <v>1</v>
      </c>
    </row>
    <row r="146" spans="2:12" ht="13.5" x14ac:dyDescent="0.2">
      <c r="B146" s="11" t="str">
        <v>UTICA-26152</v>
      </c>
      <c r="C146" s="12" t="str" cm="1">
        <f t="array" ref="C146">_xlfn.TEXTJOIN(CHAR(10),TRUE,_xlfn._xlws.SORT(IF((--($B146=Flowdown_Inspire[[URS]:[URS]]))*(--(C$14=Flowdown_Inspire[[Source.Name]:[Source.Name]])),Flowdown_Inspire[[SyRS]:[SyRS]],"")))</f>
        <v/>
      </c>
      <c r="D146" s="12" t="str" cm="1">
        <f t="array" ref="D146">_xlfn.TEXTJOIN(CHAR(10),TRUE,_xlfn._xlws.SORT(IF((--($B146=Flowdown_Inspire[[URS]:[URS]]))*(--(D$14=Flowdown_Inspire[[Source.Name]:[Source.Name]])),Flowdown_Inspire[[SyRS]:[SyRS]],"")))</f>
        <v/>
      </c>
      <c r="E146" s="12" t="str" cm="1">
        <f t="array" ref="E146">_xlfn.TEXTJOIN(CHAR(10),TRUE,_xlfn._xlws.SORT(IF((--($B146=Flowdown_Inspire[[URS]:[URS]]))*(--(E$14=Flowdown_Inspire[[Source.Name]:[Source.Name]])),Flowdown_Inspire[[SyRS]:[SyRS]],"")))</f>
        <v/>
      </c>
      <c r="F146" s="12" t="str" cm="1">
        <f t="array" ref="F146">_xlfn.TEXTJOIN(CHAR(10),TRUE,_xlfn._xlws.SORT(IF((--($B146=Flowdown_Inspire[[URS]:[URS]]))*(--(F$14=Flowdown_Inspire[[Source.Name]:[Source.Name]])),Flowdown_Inspire[[SyRS]:[SyRS]],"")))</f>
        <v/>
      </c>
      <c r="G146" s="12" t="str" cm="1">
        <f t="array" ref="G146">_xlfn.TEXTJOIN(CHAR(10),TRUE,_xlfn._xlws.SORT(IF((--($B146=Flowdown_Inspire[[URS]:[URS]]))*(--(G$14=Flowdown_Inspire[[Source.Name]:[Source.Name]])),Flowdown_Inspire[[SyRS]:[SyRS]],"")))</f>
        <v/>
      </c>
      <c r="H146" s="12" t="str" cm="1">
        <f t="array" ref="H146">_xlfn.TEXTJOIN(CHAR(10),TRUE,_xlfn._xlws.SORT(IF((--($B146=Flowdown_Inspire[[URS]:[URS]]))*(--(H$14=Flowdown_Inspire[[Source.Name]:[Source.Name]])),Flowdown_Inspire[[SyRS]:[SyRS]],"")))</f>
        <v>MASTER-60810</v>
      </c>
      <c r="I146" s="12" t="str" cm="1">
        <f t="array" ref="I146">_xlfn.TEXTJOIN(CHAR(10),TRUE,_xlfn._xlws.SORT(IF((--($B146=Flowdown_Inspire[[URS]:[URS]]))*(--(I$14=Flowdown_Inspire[[Source.Name]:[Source.Name]])),Flowdown_Inspire[[SyRS]:[SyRS]],"")))</f>
        <v/>
      </c>
      <c r="J146" s="12" t="str" cm="1">
        <f t="array" ref="J146">_xlfn.TEXTJOIN(CHAR(10),TRUE,_xlfn._xlws.SORT(IF((--($B146=Flowdown_Inspire[[URS]:[URS]]))*(--(J$14=Flowdown_Inspire[[Source.Name]:[Source.Name]])),Flowdown_Inspire[[SyRS]:[SyRS]],"")))</f>
        <v/>
      </c>
      <c r="K146" s="12" t="str" cm="1">
        <f t="array" ref="K146">_xlfn.TEXTJOIN(CHAR(10),TRUE,_xlfn._xlws.SORT(IF((--($B146=Flowdown_Inspire[[URS]:[URS]]))*(--(K$14=Flowdown_Inspire[[Source.Name]:[Source.Name]])),Flowdown_Inspire[[SyRS]:[SyRS]],"")))</f>
        <v/>
      </c>
      <c r="L146" s="16" t="b" cm="1">
        <f t="array" ref="L146">OR(LEN(C146:K146)&gt;0)</f>
        <v>1</v>
      </c>
    </row>
    <row r="147" spans="2:12" ht="13.5" x14ac:dyDescent="0.2">
      <c r="B147" s="11" t="str">
        <v>UTICA-26154</v>
      </c>
      <c r="C147" s="12" t="str" cm="1">
        <f t="array" ref="C147">_xlfn.TEXTJOIN(CHAR(10),TRUE,_xlfn._xlws.SORT(IF((--($B147=Flowdown_Inspire[[URS]:[URS]]))*(--(C$14=Flowdown_Inspire[[Source.Name]:[Source.Name]])),Flowdown_Inspire[[SyRS]:[SyRS]],"")))</f>
        <v/>
      </c>
      <c r="D147" s="12" t="str" cm="1">
        <f t="array" ref="D147">_xlfn.TEXTJOIN(CHAR(10),TRUE,_xlfn._xlws.SORT(IF((--($B147=Flowdown_Inspire[[URS]:[URS]]))*(--(D$14=Flowdown_Inspire[[Source.Name]:[Source.Name]])),Flowdown_Inspire[[SyRS]:[SyRS]],"")))</f>
        <v/>
      </c>
      <c r="E147" s="12" t="str" cm="1">
        <f t="array" ref="E147">_xlfn.TEXTJOIN(CHAR(10),TRUE,_xlfn._xlws.SORT(IF((--($B147=Flowdown_Inspire[[URS]:[URS]]))*(--(E$14=Flowdown_Inspire[[Source.Name]:[Source.Name]])),Flowdown_Inspire[[SyRS]:[SyRS]],"")))</f>
        <v/>
      </c>
      <c r="F147" s="12" t="str" cm="1">
        <f t="array" ref="F147">_xlfn.TEXTJOIN(CHAR(10),TRUE,_xlfn._xlws.SORT(IF((--($B147=Flowdown_Inspire[[URS]:[URS]]))*(--(F$14=Flowdown_Inspire[[Source.Name]:[Source.Name]])),Flowdown_Inspire[[SyRS]:[SyRS]],"")))</f>
        <v/>
      </c>
      <c r="G147" s="12" t="str" cm="1">
        <f t="array" ref="G147">_xlfn.TEXTJOIN(CHAR(10),TRUE,_xlfn._xlws.SORT(IF((--($B147=Flowdown_Inspire[[URS]:[URS]]))*(--(G$14=Flowdown_Inspire[[Source.Name]:[Source.Name]])),Flowdown_Inspire[[SyRS]:[SyRS]],"")))</f>
        <v/>
      </c>
      <c r="H147" s="12" t="str" cm="1">
        <f t="array" ref="H147">_xlfn.TEXTJOIN(CHAR(10),TRUE,_xlfn._xlws.SORT(IF((--($B147=Flowdown_Inspire[[URS]:[URS]]))*(--(H$14=Flowdown_Inspire[[Source.Name]:[Source.Name]])),Flowdown_Inspire[[SyRS]:[SyRS]],"")))</f>
        <v>MASTER-57690</v>
      </c>
      <c r="I147" s="12" t="str" cm="1">
        <f t="array" ref="I147">_xlfn.TEXTJOIN(CHAR(10),TRUE,_xlfn._xlws.SORT(IF((--($B147=Flowdown_Inspire[[URS]:[URS]]))*(--(I$14=Flowdown_Inspire[[Source.Name]:[Source.Name]])),Flowdown_Inspire[[SyRS]:[SyRS]],"")))</f>
        <v/>
      </c>
      <c r="J147" s="12" t="str" cm="1">
        <f t="array" ref="J147">_xlfn.TEXTJOIN(CHAR(10),TRUE,_xlfn._xlws.SORT(IF((--($B147=Flowdown_Inspire[[URS]:[URS]]))*(--(J$14=Flowdown_Inspire[[Source.Name]:[Source.Name]])),Flowdown_Inspire[[SyRS]:[SyRS]],"")))</f>
        <v/>
      </c>
      <c r="K147" s="12" t="str" cm="1">
        <f t="array" ref="K147">_xlfn.TEXTJOIN(CHAR(10),TRUE,_xlfn._xlws.SORT(IF((--($B147=Flowdown_Inspire[[URS]:[URS]]))*(--(K$14=Flowdown_Inspire[[Source.Name]:[Source.Name]])),Flowdown_Inspire[[SyRS]:[SyRS]],"")))</f>
        <v/>
      </c>
      <c r="L147" s="16" t="b" cm="1">
        <f t="array" ref="L147">OR(LEN(C147:K147)&gt;0)</f>
        <v>1</v>
      </c>
    </row>
    <row r="148" spans="2:12" ht="13.5" x14ac:dyDescent="0.2">
      <c r="B148" s="13" t="str">
        <v>UTICA-26155</v>
      </c>
      <c r="C148" s="14" t="str" cm="1">
        <f t="array" ref="C148">_xlfn.TEXTJOIN(CHAR(10),TRUE,_xlfn._xlws.SORT(IF((--($B148=Flowdown_Inspire[[URS]:[URS]]))*(--(C$14=Flowdown_Inspire[[Source.Name]:[Source.Name]])),Flowdown_Inspire[[SyRS]:[SyRS]],"")))</f>
        <v/>
      </c>
      <c r="D148" s="14" t="str" cm="1">
        <f t="array" ref="D148">_xlfn.TEXTJOIN(CHAR(10),TRUE,_xlfn._xlws.SORT(IF((--($B148=Flowdown_Inspire[[URS]:[URS]]))*(--(D$14=Flowdown_Inspire[[Source.Name]:[Source.Name]])),Flowdown_Inspire[[SyRS]:[SyRS]],"")))</f>
        <v/>
      </c>
      <c r="E148" s="14" t="str" cm="1">
        <f t="array" ref="E148">_xlfn.TEXTJOIN(CHAR(10),TRUE,_xlfn._xlws.SORT(IF((--($B148=Flowdown_Inspire[[URS]:[URS]]))*(--(E$14=Flowdown_Inspire[[Source.Name]:[Source.Name]])),Flowdown_Inspire[[SyRS]:[SyRS]],"")))</f>
        <v/>
      </c>
      <c r="F148" s="14" t="str" cm="1">
        <f t="array" ref="F148">_xlfn.TEXTJOIN(CHAR(10),TRUE,_xlfn._xlws.SORT(IF((--($B148=Flowdown_Inspire[[URS]:[URS]]))*(--(F$14=Flowdown_Inspire[[Source.Name]:[Source.Name]])),Flowdown_Inspire[[SyRS]:[SyRS]],"")))</f>
        <v/>
      </c>
      <c r="G148" s="14" t="str" cm="1">
        <f t="array" ref="G148">_xlfn.TEXTJOIN(CHAR(10),TRUE,_xlfn._xlws.SORT(IF((--($B148=Flowdown_Inspire[[URS]:[URS]]))*(--(G$14=Flowdown_Inspire[[Source.Name]:[Source.Name]])),Flowdown_Inspire[[SyRS]:[SyRS]],"")))</f>
        <v/>
      </c>
      <c r="H148" s="14" t="str" cm="1">
        <f t="array" ref="H148">_xlfn.TEXTJOIN(CHAR(10),TRUE,_xlfn._xlws.SORT(IF((--($B148=Flowdown_Inspire[[URS]:[URS]]))*(--(H$14=Flowdown_Inspire[[Source.Name]:[Source.Name]])),Flowdown_Inspire[[SyRS]:[SyRS]],"")))</f>
        <v>MASTER-50305</v>
      </c>
      <c r="I148" s="14" t="str" cm="1">
        <f t="array" ref="I148">_xlfn.TEXTJOIN(CHAR(10),TRUE,_xlfn._xlws.SORT(IF((--($B148=Flowdown_Inspire[[URS]:[URS]]))*(--(I$14=Flowdown_Inspire[[Source.Name]:[Source.Name]])),Flowdown_Inspire[[SyRS]:[SyRS]],"")))</f>
        <v/>
      </c>
      <c r="J148" s="14" t="str" cm="1">
        <f t="array" ref="J148">_xlfn.TEXTJOIN(CHAR(10),TRUE,_xlfn._xlws.SORT(IF((--($B148=Flowdown_Inspire[[URS]:[URS]]))*(--(J$14=Flowdown_Inspire[[Source.Name]:[Source.Name]])),Flowdown_Inspire[[SyRS]:[SyRS]],"")))</f>
        <v/>
      </c>
      <c r="K148" s="14" t="str" cm="1">
        <f t="array" ref="K148">_xlfn.TEXTJOIN(CHAR(10),TRUE,_xlfn._xlws.SORT(IF((--($B148=Flowdown_Inspire[[URS]:[URS]]))*(--(K$14=Flowdown_Inspire[[Source.Name]:[Source.Name]])),Flowdown_Inspire[[SyRS]:[SyRS]],"")))</f>
        <v/>
      </c>
      <c r="L148" s="18" t="b" cm="1">
        <f t="array" ref="L148">OR(LEN(C148:K148)&gt;0)</f>
        <v>1</v>
      </c>
    </row>
  </sheetData>
  <conditionalFormatting sqref="B15:L148">
    <cfRule type="expression" dxfId="15" priority="1">
      <formula>MOD(ROW(B15)-ROW($B$15),2)</formula>
    </cfRule>
  </conditionalFormatting>
  <pageMargins left="0.7" right="0.7" top="0.75" bottom="0.75" header="0.3" footer="0.3"/>
  <pageSetup scale="74" fitToHeight="0" orientation="landscape" r:id="rId1"/>
  <headerFooter>
    <oddHeader>&amp;RGQ-RPT-01787
Rev 2.0&amp;LTrace Matrices for Utica Continuation Release 2.0</oddHeader>
    <oddFooter>&amp;LInspire Trace Matrix&amp;R&amp;P of &amp;N&amp;CStarkey-Confidential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D9BC2-C34B-4B2E-B7E7-FF9907F5E5B1}">
  <sheetPr codeName="Sheet6">
    <tabColor rgb="FFFFC000"/>
  </sheetPr>
  <dimension ref="A1:C551"/>
  <sheetViews>
    <sheetView topLeftCell="A459" workbookViewId="0">
      <selection activeCell="B499" sqref="B499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s="3" t="s">
        <v>2409</v>
      </c>
      <c r="B2" s="3" t="s">
        <v>1845</v>
      </c>
      <c r="C2" s="3" t="s">
        <v>22</v>
      </c>
    </row>
    <row r="3" spans="1:3" x14ac:dyDescent="0.2">
      <c r="A3" s="3" t="s">
        <v>2409</v>
      </c>
      <c r="B3" s="3" t="s">
        <v>1846</v>
      </c>
      <c r="C3" s="3" t="s">
        <v>22</v>
      </c>
    </row>
    <row r="4" spans="1:3" x14ac:dyDescent="0.2">
      <c r="A4" s="3" t="s">
        <v>2409</v>
      </c>
      <c r="B4" s="3" t="s">
        <v>1847</v>
      </c>
      <c r="C4" s="3" t="s">
        <v>22</v>
      </c>
    </row>
    <row r="5" spans="1:3" x14ac:dyDescent="0.2">
      <c r="A5" s="3" t="s">
        <v>2409</v>
      </c>
      <c r="B5" s="3" t="s">
        <v>1848</v>
      </c>
      <c r="C5" s="3" t="s">
        <v>22</v>
      </c>
    </row>
    <row r="6" spans="1:3" x14ac:dyDescent="0.2">
      <c r="A6" s="3" t="s">
        <v>2409</v>
      </c>
      <c r="B6" s="3" t="s">
        <v>1849</v>
      </c>
      <c r="C6" s="3" t="s">
        <v>22</v>
      </c>
    </row>
    <row r="7" spans="1:3" x14ac:dyDescent="0.2">
      <c r="A7" s="3" t="s">
        <v>2409</v>
      </c>
      <c r="B7" s="3" t="s">
        <v>1850</v>
      </c>
      <c r="C7" s="3" t="s">
        <v>22</v>
      </c>
    </row>
    <row r="8" spans="1:3" x14ac:dyDescent="0.2">
      <c r="A8" s="3" t="s">
        <v>2409</v>
      </c>
      <c r="B8" s="3" t="s">
        <v>1859</v>
      </c>
      <c r="C8" s="3" t="s">
        <v>22</v>
      </c>
    </row>
    <row r="9" spans="1:3" x14ac:dyDescent="0.2">
      <c r="A9" s="3" t="s">
        <v>2409</v>
      </c>
      <c r="B9" s="3" t="s">
        <v>1860</v>
      </c>
      <c r="C9" s="3" t="s">
        <v>22</v>
      </c>
    </row>
    <row r="10" spans="1:3" x14ac:dyDescent="0.2">
      <c r="A10" s="3" t="s">
        <v>2409</v>
      </c>
      <c r="B10" s="3" t="s">
        <v>1861</v>
      </c>
      <c r="C10" s="3" t="s">
        <v>22</v>
      </c>
    </row>
    <row r="11" spans="1:3" x14ac:dyDescent="0.2">
      <c r="A11" s="3" t="s">
        <v>2409</v>
      </c>
      <c r="B11" s="3" t="s">
        <v>1862</v>
      </c>
      <c r="C11" s="3" t="s">
        <v>22</v>
      </c>
    </row>
    <row r="12" spans="1:3" x14ac:dyDescent="0.2">
      <c r="A12" s="3" t="s">
        <v>2409</v>
      </c>
      <c r="B12" s="3" t="s">
        <v>1863</v>
      </c>
      <c r="C12" s="3" t="s">
        <v>22</v>
      </c>
    </row>
    <row r="13" spans="1:3" x14ac:dyDescent="0.2">
      <c r="A13" s="3" t="s">
        <v>2409</v>
      </c>
      <c r="B13" s="3" t="s">
        <v>1864</v>
      </c>
      <c r="C13" s="3" t="s">
        <v>22</v>
      </c>
    </row>
    <row r="14" spans="1:3" x14ac:dyDescent="0.2">
      <c r="A14" s="3" t="s">
        <v>2409</v>
      </c>
      <c r="B14" s="3" t="s">
        <v>1865</v>
      </c>
      <c r="C14" s="3" t="s">
        <v>22</v>
      </c>
    </row>
    <row r="15" spans="1:3" x14ac:dyDescent="0.2">
      <c r="A15" s="3" t="s">
        <v>2409</v>
      </c>
      <c r="B15" s="3" t="s">
        <v>1866</v>
      </c>
      <c r="C15" s="3" t="s">
        <v>22</v>
      </c>
    </row>
    <row r="16" spans="1:3" x14ac:dyDescent="0.2">
      <c r="A16" s="3" t="s">
        <v>2409</v>
      </c>
      <c r="B16" s="3" t="s">
        <v>1867</v>
      </c>
      <c r="C16" s="3" t="s">
        <v>22</v>
      </c>
    </row>
    <row r="17" spans="1:3" x14ac:dyDescent="0.2">
      <c r="A17" s="3" t="s">
        <v>2409</v>
      </c>
      <c r="B17" s="3" t="s">
        <v>1868</v>
      </c>
      <c r="C17" s="3" t="s">
        <v>22</v>
      </c>
    </row>
    <row r="18" spans="1:3" x14ac:dyDescent="0.2">
      <c r="A18" s="3" t="s">
        <v>2409</v>
      </c>
      <c r="B18" s="3" t="s">
        <v>1869</v>
      </c>
      <c r="C18" s="3" t="s">
        <v>22</v>
      </c>
    </row>
    <row r="19" spans="1:3" x14ac:dyDescent="0.2">
      <c r="A19" s="3" t="s">
        <v>2409</v>
      </c>
      <c r="B19" s="3" t="s">
        <v>1870</v>
      </c>
      <c r="C19" s="3" t="s">
        <v>22</v>
      </c>
    </row>
    <row r="20" spans="1:3" x14ac:dyDescent="0.2">
      <c r="A20" s="3" t="s">
        <v>2409</v>
      </c>
      <c r="B20" s="3" t="s">
        <v>1871</v>
      </c>
      <c r="C20" s="3" t="s">
        <v>22</v>
      </c>
    </row>
    <row r="21" spans="1:3" x14ac:dyDescent="0.2">
      <c r="A21" s="3" t="s">
        <v>2409</v>
      </c>
      <c r="B21" s="3" t="s">
        <v>1872</v>
      </c>
      <c r="C21" s="3" t="s">
        <v>22</v>
      </c>
    </row>
    <row r="22" spans="1:3" x14ac:dyDescent="0.2">
      <c r="A22" s="3" t="s">
        <v>2409</v>
      </c>
      <c r="B22" s="3" t="s">
        <v>1873</v>
      </c>
      <c r="C22" s="3" t="s">
        <v>22</v>
      </c>
    </row>
    <row r="23" spans="1:3" x14ac:dyDescent="0.2">
      <c r="A23" s="3" t="s">
        <v>2409</v>
      </c>
      <c r="B23" s="3" t="s">
        <v>1874</v>
      </c>
      <c r="C23" s="3" t="s">
        <v>22</v>
      </c>
    </row>
    <row r="24" spans="1:3" x14ac:dyDescent="0.2">
      <c r="A24" s="3" t="s">
        <v>2409</v>
      </c>
      <c r="B24" s="3" t="s">
        <v>1875</v>
      </c>
      <c r="C24" s="3" t="s">
        <v>22</v>
      </c>
    </row>
    <row r="25" spans="1:3" x14ac:dyDescent="0.2">
      <c r="A25" s="3" t="s">
        <v>2409</v>
      </c>
      <c r="B25" s="3" t="s">
        <v>1876</v>
      </c>
      <c r="C25" s="3" t="s">
        <v>22</v>
      </c>
    </row>
    <row r="26" spans="1:3" x14ac:dyDescent="0.2">
      <c r="A26" s="3" t="s">
        <v>2411</v>
      </c>
      <c r="B26" s="3" t="s">
        <v>466</v>
      </c>
      <c r="C26" s="3" t="s">
        <v>22</v>
      </c>
    </row>
    <row r="27" spans="1:3" x14ac:dyDescent="0.2">
      <c r="A27" s="3" t="s">
        <v>2411</v>
      </c>
      <c r="B27" s="3" t="s">
        <v>467</v>
      </c>
      <c r="C27" s="3" t="s">
        <v>22</v>
      </c>
    </row>
    <row r="28" spans="1:3" x14ac:dyDescent="0.2">
      <c r="A28" s="3" t="s">
        <v>2411</v>
      </c>
      <c r="B28" s="3" t="s">
        <v>469</v>
      </c>
      <c r="C28" s="3" t="s">
        <v>22</v>
      </c>
    </row>
    <row r="29" spans="1:3" x14ac:dyDescent="0.2">
      <c r="A29" s="3" t="s">
        <v>2411</v>
      </c>
      <c r="B29" s="3" t="s">
        <v>471</v>
      </c>
      <c r="C29" s="3" t="s">
        <v>22</v>
      </c>
    </row>
    <row r="30" spans="1:3" x14ac:dyDescent="0.2">
      <c r="A30" s="3" t="s">
        <v>2411</v>
      </c>
      <c r="B30" s="3" t="s">
        <v>472</v>
      </c>
      <c r="C30" s="3" t="s">
        <v>22</v>
      </c>
    </row>
    <row r="31" spans="1:3" x14ac:dyDescent="0.2">
      <c r="A31" s="3" t="s">
        <v>2411</v>
      </c>
      <c r="B31" s="3" t="s">
        <v>473</v>
      </c>
      <c r="C31" s="3" t="s">
        <v>22</v>
      </c>
    </row>
    <row r="32" spans="1:3" x14ac:dyDescent="0.2">
      <c r="A32" s="3" t="s">
        <v>2411</v>
      </c>
      <c r="B32" s="3" t="s">
        <v>476</v>
      </c>
      <c r="C32" s="3" t="s">
        <v>22</v>
      </c>
    </row>
    <row r="33" spans="1:3" x14ac:dyDescent="0.2">
      <c r="A33" s="3" t="s">
        <v>2411</v>
      </c>
      <c r="B33" s="3" t="s">
        <v>478</v>
      </c>
      <c r="C33" s="3" t="s">
        <v>22</v>
      </c>
    </row>
    <row r="34" spans="1:3" x14ac:dyDescent="0.2">
      <c r="A34" s="3" t="s">
        <v>2411</v>
      </c>
      <c r="B34" s="3" t="s">
        <v>480</v>
      </c>
      <c r="C34" s="3" t="s">
        <v>22</v>
      </c>
    </row>
    <row r="35" spans="1:3" x14ac:dyDescent="0.2">
      <c r="A35" s="3" t="s">
        <v>2411</v>
      </c>
      <c r="B35" s="3" t="s">
        <v>481</v>
      </c>
      <c r="C35" s="3" t="s">
        <v>22</v>
      </c>
    </row>
    <row r="36" spans="1:3" x14ac:dyDescent="0.2">
      <c r="A36" s="3" t="s">
        <v>2412</v>
      </c>
      <c r="B36" s="3" t="s">
        <v>465</v>
      </c>
      <c r="C36" s="3" t="s">
        <v>22</v>
      </c>
    </row>
    <row r="37" spans="1:3" x14ac:dyDescent="0.2">
      <c r="A37" s="3" t="s">
        <v>2412</v>
      </c>
      <c r="B37" s="3" t="s">
        <v>469</v>
      </c>
      <c r="C37" s="3" t="s">
        <v>22</v>
      </c>
    </row>
    <row r="38" spans="1:3" x14ac:dyDescent="0.2">
      <c r="A38" s="3" t="s">
        <v>2412</v>
      </c>
      <c r="B38" s="3" t="s">
        <v>471</v>
      </c>
      <c r="C38" s="3" t="s">
        <v>22</v>
      </c>
    </row>
    <row r="39" spans="1:3" x14ac:dyDescent="0.2">
      <c r="A39" s="3" t="s">
        <v>2412</v>
      </c>
      <c r="B39" s="3" t="s">
        <v>472</v>
      </c>
      <c r="C39" s="3" t="s">
        <v>22</v>
      </c>
    </row>
    <row r="40" spans="1:3" x14ac:dyDescent="0.2">
      <c r="A40" s="3" t="s">
        <v>2412</v>
      </c>
      <c r="B40" s="3" t="s">
        <v>473</v>
      </c>
      <c r="C40" s="3" t="s">
        <v>22</v>
      </c>
    </row>
    <row r="41" spans="1:3" x14ac:dyDescent="0.2">
      <c r="A41" s="3" t="s">
        <v>2412</v>
      </c>
      <c r="B41" s="3" t="s">
        <v>476</v>
      </c>
      <c r="C41" s="3" t="s">
        <v>22</v>
      </c>
    </row>
    <row r="42" spans="1:3" x14ac:dyDescent="0.2">
      <c r="A42" s="3" t="s">
        <v>2412</v>
      </c>
      <c r="B42" s="3" t="s">
        <v>478</v>
      </c>
      <c r="C42" s="3" t="s">
        <v>22</v>
      </c>
    </row>
    <row r="43" spans="1:3" x14ac:dyDescent="0.2">
      <c r="A43" s="3" t="s">
        <v>2412</v>
      </c>
      <c r="B43" s="3" t="s">
        <v>480</v>
      </c>
      <c r="C43" s="3" t="s">
        <v>22</v>
      </c>
    </row>
    <row r="44" spans="1:3" x14ac:dyDescent="0.2">
      <c r="A44" s="3" t="s">
        <v>2412</v>
      </c>
      <c r="B44" s="3" t="s">
        <v>481</v>
      </c>
      <c r="C44" s="3" t="s">
        <v>22</v>
      </c>
    </row>
    <row r="45" spans="1:3" x14ac:dyDescent="0.2">
      <c r="A45" s="3" t="s">
        <v>2413</v>
      </c>
      <c r="B45" s="3" t="s">
        <v>733</v>
      </c>
      <c r="C45" s="3" t="s">
        <v>22</v>
      </c>
    </row>
    <row r="46" spans="1:3" x14ac:dyDescent="0.2">
      <c r="A46" s="3" t="s">
        <v>2413</v>
      </c>
      <c r="B46" s="3" t="s">
        <v>734</v>
      </c>
      <c r="C46" s="3" t="s">
        <v>22</v>
      </c>
    </row>
    <row r="47" spans="1:3" x14ac:dyDescent="0.2">
      <c r="A47" s="3" t="s">
        <v>2413</v>
      </c>
      <c r="B47" s="3" t="s">
        <v>470</v>
      </c>
      <c r="C47" s="3" t="s">
        <v>22</v>
      </c>
    </row>
    <row r="48" spans="1:3" x14ac:dyDescent="0.2">
      <c r="A48" s="3" t="s">
        <v>2413</v>
      </c>
      <c r="B48" s="3" t="s">
        <v>735</v>
      </c>
      <c r="C48" s="3" t="s">
        <v>22</v>
      </c>
    </row>
    <row r="49" spans="1:3" x14ac:dyDescent="0.2">
      <c r="A49" s="3" t="s">
        <v>2413</v>
      </c>
      <c r="B49" s="3" t="s">
        <v>476</v>
      </c>
      <c r="C49" s="3" t="s">
        <v>22</v>
      </c>
    </row>
    <row r="50" spans="1:3" x14ac:dyDescent="0.2">
      <c r="A50" s="3" t="s">
        <v>2413</v>
      </c>
      <c r="B50" s="3" t="s">
        <v>736</v>
      </c>
      <c r="C50" s="3" t="s">
        <v>22</v>
      </c>
    </row>
    <row r="51" spans="1:3" x14ac:dyDescent="0.2">
      <c r="A51" s="3" t="s">
        <v>2413</v>
      </c>
      <c r="B51" s="3" t="s">
        <v>737</v>
      </c>
      <c r="C51" s="3" t="s">
        <v>22</v>
      </c>
    </row>
    <row r="52" spans="1:3" x14ac:dyDescent="0.2">
      <c r="A52" s="3" t="s">
        <v>2413</v>
      </c>
      <c r="B52" s="3" t="s">
        <v>479</v>
      </c>
      <c r="C52" s="3" t="s">
        <v>22</v>
      </c>
    </row>
    <row r="53" spans="1:3" x14ac:dyDescent="0.2">
      <c r="A53" s="3" t="s">
        <v>2413</v>
      </c>
      <c r="B53" s="3" t="s">
        <v>738</v>
      </c>
      <c r="C53" s="3" t="s">
        <v>22</v>
      </c>
    </row>
    <row r="54" spans="1:3" x14ac:dyDescent="0.2">
      <c r="A54" s="3" t="s">
        <v>2413</v>
      </c>
      <c r="B54" s="3" t="s">
        <v>739</v>
      </c>
      <c r="C54" s="3" t="s">
        <v>22</v>
      </c>
    </row>
    <row r="55" spans="1:3" x14ac:dyDescent="0.2">
      <c r="A55" s="3" t="s">
        <v>2413</v>
      </c>
      <c r="B55" s="3" t="s">
        <v>480</v>
      </c>
      <c r="C55" s="3" t="s">
        <v>22</v>
      </c>
    </row>
    <row r="56" spans="1:3" x14ac:dyDescent="0.2">
      <c r="A56" s="3" t="s">
        <v>2413</v>
      </c>
      <c r="B56" s="3" t="s">
        <v>481</v>
      </c>
      <c r="C56" s="3" t="s">
        <v>22</v>
      </c>
    </row>
    <row r="57" spans="1:3" x14ac:dyDescent="0.2">
      <c r="A57" s="3" t="s">
        <v>2413</v>
      </c>
      <c r="B57" s="3" t="s">
        <v>741</v>
      </c>
      <c r="C57" s="3" t="s">
        <v>22</v>
      </c>
    </row>
    <row r="58" spans="1:3" x14ac:dyDescent="0.2">
      <c r="A58" s="3" t="s">
        <v>2413</v>
      </c>
      <c r="B58" s="3" t="s">
        <v>742</v>
      </c>
      <c r="C58" s="3" t="s">
        <v>22</v>
      </c>
    </row>
    <row r="59" spans="1:3" x14ac:dyDescent="0.2">
      <c r="A59" s="3" t="s">
        <v>2413</v>
      </c>
      <c r="B59" s="3" t="s">
        <v>743</v>
      </c>
      <c r="C59" s="3" t="s">
        <v>22</v>
      </c>
    </row>
    <row r="60" spans="1:3" x14ac:dyDescent="0.2">
      <c r="A60" s="3" t="s">
        <v>2414</v>
      </c>
      <c r="B60" s="3" t="s">
        <v>468</v>
      </c>
      <c r="C60" s="3" t="s">
        <v>22</v>
      </c>
    </row>
    <row r="61" spans="1:3" x14ac:dyDescent="0.2">
      <c r="A61" s="3" t="s">
        <v>2414</v>
      </c>
      <c r="B61" s="3" t="s">
        <v>474</v>
      </c>
      <c r="C61" s="3" t="s">
        <v>22</v>
      </c>
    </row>
    <row r="62" spans="1:3" x14ac:dyDescent="0.2">
      <c r="A62" s="3" t="s">
        <v>2414</v>
      </c>
      <c r="B62" s="3" t="s">
        <v>475</v>
      </c>
      <c r="C62" s="3" t="s">
        <v>22</v>
      </c>
    </row>
    <row r="63" spans="1:3" x14ac:dyDescent="0.2">
      <c r="A63" s="3" t="s">
        <v>2414</v>
      </c>
      <c r="B63" s="3" t="s">
        <v>477</v>
      </c>
      <c r="C63" s="3" t="s">
        <v>22</v>
      </c>
    </row>
    <row r="64" spans="1:3" x14ac:dyDescent="0.2">
      <c r="A64" s="3" t="s">
        <v>2415</v>
      </c>
      <c r="B64" s="3" t="s">
        <v>363</v>
      </c>
      <c r="C64" s="3" t="s">
        <v>22</v>
      </c>
    </row>
    <row r="65" spans="1:3" x14ac:dyDescent="0.2">
      <c r="A65" s="3" t="s">
        <v>2415</v>
      </c>
      <c r="B65" s="3" t="s">
        <v>366</v>
      </c>
      <c r="C65" s="3" t="s">
        <v>22</v>
      </c>
    </row>
    <row r="66" spans="1:3" x14ac:dyDescent="0.2">
      <c r="A66" s="3" t="s">
        <v>2415</v>
      </c>
      <c r="B66" s="3" t="s">
        <v>367</v>
      </c>
      <c r="C66" s="3" t="s">
        <v>22</v>
      </c>
    </row>
    <row r="67" spans="1:3" x14ac:dyDescent="0.2">
      <c r="A67" s="3" t="s">
        <v>2415</v>
      </c>
      <c r="B67" s="3" t="s">
        <v>369</v>
      </c>
      <c r="C67" s="3" t="s">
        <v>22</v>
      </c>
    </row>
    <row r="68" spans="1:3" x14ac:dyDescent="0.2">
      <c r="A68" s="3" t="s">
        <v>2415</v>
      </c>
      <c r="B68" s="3" t="s">
        <v>370</v>
      </c>
      <c r="C68" s="3" t="s">
        <v>22</v>
      </c>
    </row>
    <row r="69" spans="1:3" x14ac:dyDescent="0.2">
      <c r="A69" s="3" t="s">
        <v>2415</v>
      </c>
      <c r="B69" s="3" t="s">
        <v>378</v>
      </c>
      <c r="C69" s="3" t="s">
        <v>22</v>
      </c>
    </row>
    <row r="70" spans="1:3" x14ac:dyDescent="0.2">
      <c r="A70" s="3" t="s">
        <v>2416</v>
      </c>
      <c r="B70" s="3" t="s">
        <v>364</v>
      </c>
      <c r="C70" s="3" t="s">
        <v>22</v>
      </c>
    </row>
    <row r="71" spans="1:3" x14ac:dyDescent="0.2">
      <c r="A71" s="3" t="s">
        <v>2416</v>
      </c>
      <c r="B71" s="3" t="s">
        <v>365</v>
      </c>
      <c r="C71" s="3" t="s">
        <v>22</v>
      </c>
    </row>
    <row r="72" spans="1:3" x14ac:dyDescent="0.2">
      <c r="A72" s="3" t="s">
        <v>2416</v>
      </c>
      <c r="B72" s="3" t="s">
        <v>366</v>
      </c>
      <c r="C72" s="3" t="s">
        <v>22</v>
      </c>
    </row>
    <row r="73" spans="1:3" x14ac:dyDescent="0.2">
      <c r="A73" s="3" t="s">
        <v>2416</v>
      </c>
      <c r="B73" s="3" t="s">
        <v>367</v>
      </c>
      <c r="C73" s="3" t="s">
        <v>22</v>
      </c>
    </row>
    <row r="74" spans="1:3" x14ac:dyDescent="0.2">
      <c r="A74" s="3" t="s">
        <v>2416</v>
      </c>
      <c r="B74" s="3" t="s">
        <v>368</v>
      </c>
      <c r="C74" s="3" t="s">
        <v>22</v>
      </c>
    </row>
    <row r="75" spans="1:3" x14ac:dyDescent="0.2">
      <c r="A75" s="3" t="s">
        <v>2416</v>
      </c>
      <c r="B75" s="3" t="s">
        <v>371</v>
      </c>
      <c r="C75" s="3" t="s">
        <v>22</v>
      </c>
    </row>
    <row r="76" spans="1:3" x14ac:dyDescent="0.2">
      <c r="A76" s="3" t="s">
        <v>2416</v>
      </c>
      <c r="B76" s="3" t="s">
        <v>372</v>
      </c>
      <c r="C76" s="3" t="s">
        <v>22</v>
      </c>
    </row>
    <row r="77" spans="1:3" x14ac:dyDescent="0.2">
      <c r="A77" s="3" t="s">
        <v>2417</v>
      </c>
      <c r="B77" s="3" t="s">
        <v>265</v>
      </c>
      <c r="C77" s="3" t="s">
        <v>22</v>
      </c>
    </row>
    <row r="78" spans="1:3" x14ac:dyDescent="0.2">
      <c r="A78" s="3" t="s">
        <v>2417</v>
      </c>
      <c r="B78" s="3" t="s">
        <v>266</v>
      </c>
      <c r="C78" s="3" t="s">
        <v>22</v>
      </c>
    </row>
    <row r="79" spans="1:3" x14ac:dyDescent="0.2">
      <c r="A79" s="3" t="s">
        <v>2417</v>
      </c>
      <c r="B79" s="3" t="s">
        <v>268</v>
      </c>
      <c r="C79" s="3" t="s">
        <v>22</v>
      </c>
    </row>
    <row r="80" spans="1:3" x14ac:dyDescent="0.2">
      <c r="A80" s="3" t="s">
        <v>2417</v>
      </c>
      <c r="B80" s="3" t="s">
        <v>269</v>
      </c>
      <c r="C80" s="3" t="s">
        <v>22</v>
      </c>
    </row>
    <row r="81" spans="1:3" x14ac:dyDescent="0.2">
      <c r="A81" s="3" t="s">
        <v>2417</v>
      </c>
      <c r="B81" s="3" t="s">
        <v>270</v>
      </c>
      <c r="C81" s="3" t="s">
        <v>22</v>
      </c>
    </row>
    <row r="82" spans="1:3" x14ac:dyDescent="0.2">
      <c r="A82" s="3" t="s">
        <v>2417</v>
      </c>
      <c r="B82" s="3" t="s">
        <v>1140</v>
      </c>
      <c r="C82" s="3" t="s">
        <v>22</v>
      </c>
    </row>
    <row r="83" spans="1:3" x14ac:dyDescent="0.2">
      <c r="A83" s="3" t="s">
        <v>2417</v>
      </c>
      <c r="B83" s="3" t="s">
        <v>271</v>
      </c>
      <c r="C83" s="3" t="s">
        <v>22</v>
      </c>
    </row>
    <row r="84" spans="1:3" x14ac:dyDescent="0.2">
      <c r="A84" s="3" t="s">
        <v>2417</v>
      </c>
      <c r="B84" s="3" t="s">
        <v>272</v>
      </c>
      <c r="C84" s="3" t="s">
        <v>22</v>
      </c>
    </row>
    <row r="85" spans="1:3" x14ac:dyDescent="0.2">
      <c r="A85" s="3" t="s">
        <v>2417</v>
      </c>
      <c r="B85" s="3" t="s">
        <v>273</v>
      </c>
      <c r="C85" s="3" t="s">
        <v>22</v>
      </c>
    </row>
    <row r="86" spans="1:3" x14ac:dyDescent="0.2">
      <c r="A86" s="3" t="s">
        <v>2417</v>
      </c>
      <c r="B86" s="3" t="s">
        <v>274</v>
      </c>
      <c r="C86" s="3" t="s">
        <v>22</v>
      </c>
    </row>
    <row r="87" spans="1:3" x14ac:dyDescent="0.2">
      <c r="A87" s="3" t="s">
        <v>2417</v>
      </c>
      <c r="B87" s="3" t="s">
        <v>275</v>
      </c>
      <c r="C87" s="3" t="s">
        <v>22</v>
      </c>
    </row>
    <row r="88" spans="1:3" x14ac:dyDescent="0.2">
      <c r="A88" s="3" t="s">
        <v>2417</v>
      </c>
      <c r="B88" s="3" t="s">
        <v>276</v>
      </c>
      <c r="C88" s="3" t="s">
        <v>22</v>
      </c>
    </row>
    <row r="89" spans="1:3" x14ac:dyDescent="0.2">
      <c r="A89" s="3" t="s">
        <v>2417</v>
      </c>
      <c r="B89" s="3" t="s">
        <v>277</v>
      </c>
      <c r="C89" s="3" t="s">
        <v>22</v>
      </c>
    </row>
    <row r="90" spans="1:3" x14ac:dyDescent="0.2">
      <c r="A90" s="3" t="s">
        <v>2417</v>
      </c>
      <c r="B90" s="3" t="s">
        <v>1141</v>
      </c>
      <c r="C90" s="3" t="s">
        <v>22</v>
      </c>
    </row>
    <row r="91" spans="1:3" x14ac:dyDescent="0.2">
      <c r="A91" s="3" t="s">
        <v>2417</v>
      </c>
      <c r="B91" s="3" t="s">
        <v>278</v>
      </c>
      <c r="C91" s="3" t="s">
        <v>22</v>
      </c>
    </row>
    <row r="92" spans="1:3" x14ac:dyDescent="0.2">
      <c r="A92" s="3" t="s">
        <v>2417</v>
      </c>
      <c r="B92" s="3" t="s">
        <v>279</v>
      </c>
      <c r="C92" s="3" t="s">
        <v>22</v>
      </c>
    </row>
    <row r="93" spans="1:3" x14ac:dyDescent="0.2">
      <c r="A93" s="3" t="s">
        <v>2417</v>
      </c>
      <c r="B93" s="3" t="s">
        <v>1142</v>
      </c>
      <c r="C93" s="3" t="s">
        <v>22</v>
      </c>
    </row>
    <row r="94" spans="1:3" x14ac:dyDescent="0.2">
      <c r="A94" s="3" t="s">
        <v>2417</v>
      </c>
      <c r="B94" s="3" t="s">
        <v>282</v>
      </c>
      <c r="C94" s="3" t="s">
        <v>22</v>
      </c>
    </row>
    <row r="95" spans="1:3" x14ac:dyDescent="0.2">
      <c r="A95" s="3" t="s">
        <v>2417</v>
      </c>
      <c r="B95" s="3" t="s">
        <v>283</v>
      </c>
      <c r="C95" s="3" t="s">
        <v>22</v>
      </c>
    </row>
    <row r="96" spans="1:3" x14ac:dyDescent="0.2">
      <c r="A96" s="3" t="s">
        <v>2418</v>
      </c>
      <c r="B96" s="3" t="s">
        <v>265</v>
      </c>
      <c r="C96" s="3" t="s">
        <v>22</v>
      </c>
    </row>
    <row r="97" spans="1:3" x14ac:dyDescent="0.2">
      <c r="A97" s="3" t="s">
        <v>2418</v>
      </c>
      <c r="B97" s="3" t="s">
        <v>266</v>
      </c>
      <c r="C97" s="3" t="s">
        <v>22</v>
      </c>
    </row>
    <row r="98" spans="1:3" x14ac:dyDescent="0.2">
      <c r="A98" s="3" t="s">
        <v>2418</v>
      </c>
      <c r="B98" s="3" t="s">
        <v>267</v>
      </c>
      <c r="C98" s="3" t="s">
        <v>22</v>
      </c>
    </row>
    <row r="99" spans="1:3" x14ac:dyDescent="0.2">
      <c r="A99" s="3" t="s">
        <v>2418</v>
      </c>
      <c r="B99" s="3" t="s">
        <v>270</v>
      </c>
      <c r="C99" s="3" t="s">
        <v>22</v>
      </c>
    </row>
    <row r="100" spans="1:3" x14ac:dyDescent="0.2">
      <c r="A100" s="3" t="s">
        <v>2418</v>
      </c>
      <c r="B100" s="3" t="s">
        <v>1140</v>
      </c>
      <c r="C100" s="3" t="s">
        <v>22</v>
      </c>
    </row>
    <row r="101" spans="1:3" x14ac:dyDescent="0.2">
      <c r="A101" s="3" t="s">
        <v>2418</v>
      </c>
      <c r="B101" s="3" t="s">
        <v>271</v>
      </c>
      <c r="C101" s="3" t="s">
        <v>22</v>
      </c>
    </row>
    <row r="102" spans="1:3" x14ac:dyDescent="0.2">
      <c r="A102" s="3" t="s">
        <v>2418</v>
      </c>
      <c r="B102" s="3" t="s">
        <v>272</v>
      </c>
      <c r="C102" s="3" t="s">
        <v>22</v>
      </c>
    </row>
    <row r="103" spans="1:3" x14ac:dyDescent="0.2">
      <c r="A103" s="3" t="s">
        <v>2418</v>
      </c>
      <c r="B103" s="3" t="s">
        <v>273</v>
      </c>
      <c r="C103" s="3" t="s">
        <v>22</v>
      </c>
    </row>
    <row r="104" spans="1:3" x14ac:dyDescent="0.2">
      <c r="A104" s="3" t="s">
        <v>2418</v>
      </c>
      <c r="B104" s="3" t="s">
        <v>274</v>
      </c>
      <c r="C104" s="3" t="s">
        <v>22</v>
      </c>
    </row>
    <row r="105" spans="1:3" x14ac:dyDescent="0.2">
      <c r="A105" s="3" t="s">
        <v>2418</v>
      </c>
      <c r="B105" s="3" t="s">
        <v>275</v>
      </c>
      <c r="C105" s="3" t="s">
        <v>22</v>
      </c>
    </row>
    <row r="106" spans="1:3" x14ac:dyDescent="0.2">
      <c r="A106" s="3" t="s">
        <v>2418</v>
      </c>
      <c r="B106" s="3" t="s">
        <v>276</v>
      </c>
      <c r="C106" s="3" t="s">
        <v>22</v>
      </c>
    </row>
    <row r="107" spans="1:3" x14ac:dyDescent="0.2">
      <c r="A107" s="3" t="s">
        <v>2418</v>
      </c>
      <c r="B107" s="3" t="s">
        <v>277</v>
      </c>
      <c r="C107" s="3" t="s">
        <v>22</v>
      </c>
    </row>
    <row r="108" spans="1:3" x14ac:dyDescent="0.2">
      <c r="A108" s="3" t="s">
        <v>2418</v>
      </c>
      <c r="B108" s="3" t="s">
        <v>1141</v>
      </c>
      <c r="C108" s="3" t="s">
        <v>22</v>
      </c>
    </row>
    <row r="109" spans="1:3" x14ac:dyDescent="0.2">
      <c r="A109" s="3" t="s">
        <v>2418</v>
      </c>
      <c r="B109" s="3" t="s">
        <v>278</v>
      </c>
      <c r="C109" s="3" t="s">
        <v>22</v>
      </c>
    </row>
    <row r="110" spans="1:3" x14ac:dyDescent="0.2">
      <c r="A110" s="3" t="s">
        <v>2418</v>
      </c>
      <c r="B110" s="3" t="s">
        <v>279</v>
      </c>
      <c r="C110" s="3" t="s">
        <v>22</v>
      </c>
    </row>
    <row r="111" spans="1:3" x14ac:dyDescent="0.2">
      <c r="A111" s="3" t="s">
        <v>2418</v>
      </c>
      <c r="B111" s="3" t="s">
        <v>1142</v>
      </c>
      <c r="C111" s="3" t="s">
        <v>22</v>
      </c>
    </row>
    <row r="112" spans="1:3" x14ac:dyDescent="0.2">
      <c r="A112" s="3" t="s">
        <v>2418</v>
      </c>
      <c r="B112" s="3" t="s">
        <v>282</v>
      </c>
      <c r="C112" s="3" t="s">
        <v>22</v>
      </c>
    </row>
    <row r="113" spans="1:3" x14ac:dyDescent="0.2">
      <c r="A113" s="3" t="s">
        <v>2418</v>
      </c>
      <c r="B113" s="3" t="s">
        <v>283</v>
      </c>
      <c r="C113" s="3" t="s">
        <v>22</v>
      </c>
    </row>
    <row r="114" spans="1:3" x14ac:dyDescent="0.2">
      <c r="A114" s="3" t="s">
        <v>2419</v>
      </c>
      <c r="B114" s="3" t="s">
        <v>731</v>
      </c>
      <c r="C114" s="3" t="s">
        <v>22</v>
      </c>
    </row>
    <row r="115" spans="1:3" x14ac:dyDescent="0.2">
      <c r="A115" s="3" t="s">
        <v>2419</v>
      </c>
      <c r="B115" s="3" t="s">
        <v>732</v>
      </c>
      <c r="C115" s="3" t="s">
        <v>22</v>
      </c>
    </row>
    <row r="116" spans="1:3" x14ac:dyDescent="0.2">
      <c r="A116" s="3" t="s">
        <v>2419</v>
      </c>
      <c r="B116" s="3" t="s">
        <v>265</v>
      </c>
      <c r="C116" s="3" t="s">
        <v>22</v>
      </c>
    </row>
    <row r="117" spans="1:3" x14ac:dyDescent="0.2">
      <c r="A117" s="3" t="s">
        <v>2419</v>
      </c>
      <c r="B117" s="3" t="s">
        <v>266</v>
      </c>
      <c r="C117" s="3" t="s">
        <v>22</v>
      </c>
    </row>
    <row r="118" spans="1:3" x14ac:dyDescent="0.2">
      <c r="A118" s="3" t="s">
        <v>2419</v>
      </c>
      <c r="B118" s="3" t="s">
        <v>271</v>
      </c>
      <c r="C118" s="3" t="s">
        <v>22</v>
      </c>
    </row>
    <row r="119" spans="1:3" x14ac:dyDescent="0.2">
      <c r="A119" s="3" t="s">
        <v>2419</v>
      </c>
      <c r="B119" s="3" t="s">
        <v>740</v>
      </c>
      <c r="C119" s="3" t="s">
        <v>22</v>
      </c>
    </row>
    <row r="120" spans="1:3" x14ac:dyDescent="0.2">
      <c r="A120" s="3" t="s">
        <v>2419</v>
      </c>
      <c r="B120" s="3" t="s">
        <v>280</v>
      </c>
      <c r="C120" s="3" t="s">
        <v>22</v>
      </c>
    </row>
    <row r="121" spans="1:3" x14ac:dyDescent="0.2">
      <c r="A121" s="3" t="s">
        <v>2419</v>
      </c>
      <c r="B121" s="3" t="s">
        <v>281</v>
      </c>
      <c r="C121" s="3" t="s">
        <v>22</v>
      </c>
    </row>
    <row r="122" spans="1:3" x14ac:dyDescent="0.2">
      <c r="A122" s="3" t="s">
        <v>2419</v>
      </c>
      <c r="B122" s="3" t="s">
        <v>282</v>
      </c>
      <c r="C122" s="3" t="s">
        <v>22</v>
      </c>
    </row>
    <row r="123" spans="1:3" x14ac:dyDescent="0.2">
      <c r="A123" s="3" t="s">
        <v>2419</v>
      </c>
      <c r="B123" s="3" t="s">
        <v>283</v>
      </c>
      <c r="C123" s="3" t="s">
        <v>22</v>
      </c>
    </row>
    <row r="124" spans="1:3" x14ac:dyDescent="0.2">
      <c r="A124" s="3" t="s">
        <v>2420</v>
      </c>
      <c r="B124" s="3" t="s">
        <v>2421</v>
      </c>
      <c r="C124" s="3" t="s">
        <v>22</v>
      </c>
    </row>
    <row r="125" spans="1:3" x14ac:dyDescent="0.2">
      <c r="A125" s="3" t="s">
        <v>2420</v>
      </c>
      <c r="B125" s="3" t="s">
        <v>2422</v>
      </c>
      <c r="C125" s="3" t="s">
        <v>22</v>
      </c>
    </row>
    <row r="126" spans="1:3" x14ac:dyDescent="0.2">
      <c r="A126" s="3" t="s">
        <v>2420</v>
      </c>
      <c r="B126" s="3" t="s">
        <v>2423</v>
      </c>
      <c r="C126" s="3" t="s">
        <v>22</v>
      </c>
    </row>
    <row r="127" spans="1:3" x14ac:dyDescent="0.2">
      <c r="A127" s="3" t="s">
        <v>2420</v>
      </c>
      <c r="B127" s="3" t="s">
        <v>2424</v>
      </c>
      <c r="C127" s="3" t="s">
        <v>22</v>
      </c>
    </row>
    <row r="128" spans="1:3" x14ac:dyDescent="0.2">
      <c r="A128" s="3" t="s">
        <v>2420</v>
      </c>
      <c r="B128" s="3" t="s">
        <v>2425</v>
      </c>
      <c r="C128" s="3" t="s">
        <v>22</v>
      </c>
    </row>
    <row r="129" spans="1:3" x14ac:dyDescent="0.2">
      <c r="A129" s="3" t="s">
        <v>2420</v>
      </c>
      <c r="B129" s="3" t="s">
        <v>2426</v>
      </c>
      <c r="C129" s="3" t="s">
        <v>22</v>
      </c>
    </row>
    <row r="130" spans="1:3" x14ac:dyDescent="0.2">
      <c r="A130" s="3" t="s">
        <v>2420</v>
      </c>
      <c r="B130" s="3" t="s">
        <v>2427</v>
      </c>
      <c r="C130" s="3" t="s">
        <v>22</v>
      </c>
    </row>
    <row r="131" spans="1:3" x14ac:dyDescent="0.2">
      <c r="A131" s="3" t="s">
        <v>2420</v>
      </c>
      <c r="B131" s="3" t="s">
        <v>2428</v>
      </c>
      <c r="C131" s="3" t="s">
        <v>22</v>
      </c>
    </row>
    <row r="132" spans="1:3" x14ac:dyDescent="0.2">
      <c r="A132" s="3" t="s">
        <v>2420</v>
      </c>
      <c r="B132" s="3" t="s">
        <v>2429</v>
      </c>
      <c r="C132" s="3" t="s">
        <v>22</v>
      </c>
    </row>
    <row r="133" spans="1:3" x14ac:dyDescent="0.2">
      <c r="A133" s="3" t="s">
        <v>2420</v>
      </c>
      <c r="B133" s="3" t="s">
        <v>2430</v>
      </c>
      <c r="C133" s="3" t="s">
        <v>22</v>
      </c>
    </row>
    <row r="134" spans="1:3" x14ac:dyDescent="0.2">
      <c r="A134" s="3" t="s">
        <v>2420</v>
      </c>
      <c r="B134" s="3" t="s">
        <v>2431</v>
      </c>
      <c r="C134" s="3" t="s">
        <v>22</v>
      </c>
    </row>
    <row r="135" spans="1:3" x14ac:dyDescent="0.2">
      <c r="A135" s="3" t="s">
        <v>2432</v>
      </c>
      <c r="B135" s="3" t="s">
        <v>1036</v>
      </c>
      <c r="C135" s="3" t="s">
        <v>22</v>
      </c>
    </row>
    <row r="136" spans="1:3" x14ac:dyDescent="0.2">
      <c r="A136" s="3" t="s">
        <v>2433</v>
      </c>
      <c r="B136" s="3" t="s">
        <v>1037</v>
      </c>
      <c r="C136" s="3" t="s">
        <v>22</v>
      </c>
    </row>
    <row r="137" spans="1:3" x14ac:dyDescent="0.2">
      <c r="A137" s="3" t="s">
        <v>2434</v>
      </c>
      <c r="B137" s="3" t="s">
        <v>1855</v>
      </c>
      <c r="C137" s="3" t="s">
        <v>22</v>
      </c>
    </row>
    <row r="138" spans="1:3" x14ac:dyDescent="0.2">
      <c r="A138" s="3" t="s">
        <v>2434</v>
      </c>
      <c r="B138" s="3" t="s">
        <v>1856</v>
      </c>
      <c r="C138" s="3" t="s">
        <v>22</v>
      </c>
    </row>
    <row r="139" spans="1:3" x14ac:dyDescent="0.2">
      <c r="A139" s="3" t="s">
        <v>2434</v>
      </c>
      <c r="B139" s="3" t="s">
        <v>1887</v>
      </c>
      <c r="C139" s="3" t="s">
        <v>22</v>
      </c>
    </row>
    <row r="140" spans="1:3" x14ac:dyDescent="0.2">
      <c r="A140" s="3" t="s">
        <v>2434</v>
      </c>
      <c r="B140" s="3" t="s">
        <v>1889</v>
      </c>
      <c r="C140" s="3" t="s">
        <v>22</v>
      </c>
    </row>
    <row r="141" spans="1:3" x14ac:dyDescent="0.2">
      <c r="A141" s="3" t="s">
        <v>2435</v>
      </c>
      <c r="B141" s="3" t="s">
        <v>1577</v>
      </c>
      <c r="C141" s="3" t="s">
        <v>22</v>
      </c>
    </row>
    <row r="142" spans="1:3" x14ac:dyDescent="0.2">
      <c r="A142" s="3" t="s">
        <v>2435</v>
      </c>
      <c r="B142" s="3" t="s">
        <v>1578</v>
      </c>
      <c r="C142" s="3" t="s">
        <v>22</v>
      </c>
    </row>
    <row r="143" spans="1:3" x14ac:dyDescent="0.2">
      <c r="A143" s="3" t="s">
        <v>2435</v>
      </c>
      <c r="B143" s="3" t="s">
        <v>1579</v>
      </c>
      <c r="C143" s="3" t="s">
        <v>22</v>
      </c>
    </row>
    <row r="144" spans="1:3" x14ac:dyDescent="0.2">
      <c r="A144" s="3" t="s">
        <v>2435</v>
      </c>
      <c r="B144" s="3" t="s">
        <v>1580</v>
      </c>
      <c r="C144" s="3" t="s">
        <v>22</v>
      </c>
    </row>
    <row r="145" spans="1:3" x14ac:dyDescent="0.2">
      <c r="A145" s="3" t="s">
        <v>2436</v>
      </c>
      <c r="B145" s="3" t="s">
        <v>413</v>
      </c>
      <c r="C145" s="3" t="s">
        <v>22</v>
      </c>
    </row>
    <row r="146" spans="1:3" x14ac:dyDescent="0.2">
      <c r="A146" s="3" t="s">
        <v>2436</v>
      </c>
      <c r="B146" s="3" t="s">
        <v>414</v>
      </c>
      <c r="C146" s="3" t="s">
        <v>22</v>
      </c>
    </row>
    <row r="147" spans="1:3" x14ac:dyDescent="0.2">
      <c r="A147" s="3" t="s">
        <v>2436</v>
      </c>
      <c r="B147" s="3" t="s">
        <v>415</v>
      </c>
      <c r="C147" s="3" t="s">
        <v>22</v>
      </c>
    </row>
    <row r="148" spans="1:3" x14ac:dyDescent="0.2">
      <c r="A148" s="3" t="s">
        <v>2436</v>
      </c>
      <c r="B148" s="3" t="s">
        <v>416</v>
      </c>
      <c r="C148" s="3" t="s">
        <v>22</v>
      </c>
    </row>
    <row r="149" spans="1:3" x14ac:dyDescent="0.2">
      <c r="A149" s="3" t="s">
        <v>2436</v>
      </c>
      <c r="B149" s="3" t="s">
        <v>417</v>
      </c>
      <c r="C149" s="3" t="s">
        <v>22</v>
      </c>
    </row>
    <row r="150" spans="1:3" x14ac:dyDescent="0.2">
      <c r="A150" s="3" t="s">
        <v>2436</v>
      </c>
      <c r="B150" s="3" t="s">
        <v>418</v>
      </c>
      <c r="C150" s="3" t="s">
        <v>22</v>
      </c>
    </row>
    <row r="151" spans="1:3" x14ac:dyDescent="0.2">
      <c r="A151" s="3" t="s">
        <v>2436</v>
      </c>
      <c r="B151" s="3" t="s">
        <v>419</v>
      </c>
      <c r="C151" s="3" t="s">
        <v>22</v>
      </c>
    </row>
    <row r="152" spans="1:3" x14ac:dyDescent="0.2">
      <c r="A152" s="3" t="s">
        <v>2436</v>
      </c>
      <c r="B152" s="3" t="s">
        <v>420</v>
      </c>
      <c r="C152" s="3" t="s">
        <v>22</v>
      </c>
    </row>
    <row r="153" spans="1:3" x14ac:dyDescent="0.2">
      <c r="A153" s="3" t="s">
        <v>2436</v>
      </c>
      <c r="B153" s="3" t="s">
        <v>421</v>
      </c>
      <c r="C153" s="3" t="s">
        <v>22</v>
      </c>
    </row>
    <row r="154" spans="1:3" x14ac:dyDescent="0.2">
      <c r="A154" s="3" t="s">
        <v>2436</v>
      </c>
      <c r="B154" s="3" t="s">
        <v>422</v>
      </c>
      <c r="C154" s="3" t="s">
        <v>22</v>
      </c>
    </row>
    <row r="155" spans="1:3" x14ac:dyDescent="0.2">
      <c r="A155" s="3" t="s">
        <v>2436</v>
      </c>
      <c r="B155" s="3" t="s">
        <v>423</v>
      </c>
      <c r="C155" s="3" t="s">
        <v>22</v>
      </c>
    </row>
    <row r="156" spans="1:3" x14ac:dyDescent="0.2">
      <c r="A156" s="3" t="s">
        <v>2436</v>
      </c>
      <c r="B156" s="3" t="s">
        <v>424</v>
      </c>
      <c r="C156" s="3" t="s">
        <v>22</v>
      </c>
    </row>
    <row r="157" spans="1:3" x14ac:dyDescent="0.2">
      <c r="A157" s="3" t="s">
        <v>2436</v>
      </c>
      <c r="B157" s="3" t="s">
        <v>425</v>
      </c>
      <c r="C157" s="3" t="s">
        <v>22</v>
      </c>
    </row>
    <row r="158" spans="1:3" x14ac:dyDescent="0.2">
      <c r="A158" s="3" t="s">
        <v>2436</v>
      </c>
      <c r="B158" s="3" t="s">
        <v>428</v>
      </c>
      <c r="C158" s="3" t="s">
        <v>22</v>
      </c>
    </row>
    <row r="159" spans="1:3" x14ac:dyDescent="0.2">
      <c r="A159" s="3" t="s">
        <v>2436</v>
      </c>
      <c r="B159" s="3" t="s">
        <v>430</v>
      </c>
      <c r="C159" s="3" t="s">
        <v>22</v>
      </c>
    </row>
    <row r="160" spans="1:3" x14ac:dyDescent="0.2">
      <c r="A160" s="3" t="s">
        <v>2436</v>
      </c>
      <c r="B160" s="3" t="s">
        <v>431</v>
      </c>
      <c r="C160" s="3" t="s">
        <v>22</v>
      </c>
    </row>
    <row r="161" spans="1:3" x14ac:dyDescent="0.2">
      <c r="A161" s="3" t="s">
        <v>2436</v>
      </c>
      <c r="B161" s="3" t="s">
        <v>432</v>
      </c>
      <c r="C161" s="3" t="s">
        <v>22</v>
      </c>
    </row>
    <row r="162" spans="1:3" x14ac:dyDescent="0.2">
      <c r="A162" s="3" t="s">
        <v>2436</v>
      </c>
      <c r="B162" s="3" t="s">
        <v>433</v>
      </c>
      <c r="C162" s="3" t="s">
        <v>22</v>
      </c>
    </row>
    <row r="163" spans="1:3" x14ac:dyDescent="0.2">
      <c r="A163" s="3" t="s">
        <v>2436</v>
      </c>
      <c r="B163" s="3" t="s">
        <v>434</v>
      </c>
      <c r="C163" s="3" t="s">
        <v>22</v>
      </c>
    </row>
    <row r="164" spans="1:3" x14ac:dyDescent="0.2">
      <c r="A164" s="3" t="s">
        <v>2436</v>
      </c>
      <c r="B164" s="3" t="s">
        <v>435</v>
      </c>
      <c r="C164" s="3" t="s">
        <v>22</v>
      </c>
    </row>
    <row r="165" spans="1:3" x14ac:dyDescent="0.2">
      <c r="A165" s="3" t="s">
        <v>2436</v>
      </c>
      <c r="B165" s="3" t="s">
        <v>436</v>
      </c>
      <c r="C165" s="3" t="s">
        <v>22</v>
      </c>
    </row>
    <row r="166" spans="1:3" x14ac:dyDescent="0.2">
      <c r="A166" s="3" t="s">
        <v>2436</v>
      </c>
      <c r="B166" s="3" t="s">
        <v>437</v>
      </c>
      <c r="C166" s="3" t="s">
        <v>22</v>
      </c>
    </row>
    <row r="167" spans="1:3" x14ac:dyDescent="0.2">
      <c r="A167" s="3" t="s">
        <v>2436</v>
      </c>
      <c r="B167" s="3" t="s">
        <v>438</v>
      </c>
      <c r="C167" s="3" t="s">
        <v>22</v>
      </c>
    </row>
    <row r="168" spans="1:3" x14ac:dyDescent="0.2">
      <c r="A168" s="3" t="s">
        <v>2436</v>
      </c>
      <c r="B168" s="3" t="s">
        <v>439</v>
      </c>
      <c r="C168" s="3" t="s">
        <v>22</v>
      </c>
    </row>
    <row r="169" spans="1:3" x14ac:dyDescent="0.2">
      <c r="A169" s="3" t="s">
        <v>2436</v>
      </c>
      <c r="B169" s="3" t="s">
        <v>440</v>
      </c>
      <c r="C169" s="3" t="s">
        <v>22</v>
      </c>
    </row>
    <row r="170" spans="1:3" x14ac:dyDescent="0.2">
      <c r="A170" s="3" t="s">
        <v>2436</v>
      </c>
      <c r="B170" s="3" t="s">
        <v>441</v>
      </c>
      <c r="C170" s="3" t="s">
        <v>22</v>
      </c>
    </row>
    <row r="171" spans="1:3" x14ac:dyDescent="0.2">
      <c r="A171" s="3" t="s">
        <v>2436</v>
      </c>
      <c r="B171" s="3" t="s">
        <v>442</v>
      </c>
      <c r="C171" s="3" t="s">
        <v>22</v>
      </c>
    </row>
    <row r="172" spans="1:3" x14ac:dyDescent="0.2">
      <c r="A172" s="3" t="s">
        <v>2436</v>
      </c>
      <c r="B172" s="3" t="s">
        <v>443</v>
      </c>
      <c r="C172" s="3" t="s">
        <v>22</v>
      </c>
    </row>
    <row r="173" spans="1:3" x14ac:dyDescent="0.2">
      <c r="A173" s="3" t="s">
        <v>2436</v>
      </c>
      <c r="B173" s="3" t="s">
        <v>444</v>
      </c>
      <c r="C173" s="3" t="s">
        <v>22</v>
      </c>
    </row>
    <row r="174" spans="1:3" x14ac:dyDescent="0.2">
      <c r="A174" s="3" t="s">
        <v>2436</v>
      </c>
      <c r="B174" s="3" t="s">
        <v>445</v>
      </c>
      <c r="C174" s="3" t="s">
        <v>22</v>
      </c>
    </row>
    <row r="175" spans="1:3" x14ac:dyDescent="0.2">
      <c r="A175" s="3" t="s">
        <v>2436</v>
      </c>
      <c r="B175" s="3" t="s">
        <v>446</v>
      </c>
      <c r="C175" s="3" t="s">
        <v>22</v>
      </c>
    </row>
    <row r="176" spans="1:3" x14ac:dyDescent="0.2">
      <c r="A176" s="3" t="s">
        <v>2436</v>
      </c>
      <c r="B176" s="3" t="s">
        <v>2437</v>
      </c>
      <c r="C176" s="3" t="s">
        <v>22</v>
      </c>
    </row>
    <row r="177" spans="1:3" x14ac:dyDescent="0.2">
      <c r="A177" s="3" t="s">
        <v>2436</v>
      </c>
      <c r="B177" s="3" t="s">
        <v>447</v>
      </c>
      <c r="C177" s="3" t="s">
        <v>22</v>
      </c>
    </row>
    <row r="178" spans="1:3" x14ac:dyDescent="0.2">
      <c r="A178" s="3" t="s">
        <v>2436</v>
      </c>
      <c r="B178" s="3" t="s">
        <v>448</v>
      </c>
      <c r="C178" s="3" t="s">
        <v>22</v>
      </c>
    </row>
    <row r="179" spans="1:3" x14ac:dyDescent="0.2">
      <c r="A179" s="3" t="s">
        <v>2436</v>
      </c>
      <c r="B179" s="3" t="s">
        <v>449</v>
      </c>
      <c r="C179" s="3" t="s">
        <v>22</v>
      </c>
    </row>
    <row r="180" spans="1:3" x14ac:dyDescent="0.2">
      <c r="A180" s="3" t="s">
        <v>2436</v>
      </c>
      <c r="B180" s="3" t="s">
        <v>450</v>
      </c>
      <c r="C180" s="3" t="s">
        <v>22</v>
      </c>
    </row>
    <row r="181" spans="1:3" x14ac:dyDescent="0.2">
      <c r="A181" s="3" t="s">
        <v>2436</v>
      </c>
      <c r="B181" s="3" t="s">
        <v>451</v>
      </c>
      <c r="C181" s="3" t="s">
        <v>22</v>
      </c>
    </row>
    <row r="182" spans="1:3" x14ac:dyDescent="0.2">
      <c r="A182" s="3" t="s">
        <v>2436</v>
      </c>
      <c r="B182" s="3" t="s">
        <v>452</v>
      </c>
      <c r="C182" s="3" t="s">
        <v>22</v>
      </c>
    </row>
    <row r="183" spans="1:3" x14ac:dyDescent="0.2">
      <c r="A183" s="3" t="s">
        <v>2436</v>
      </c>
      <c r="B183" s="3" t="s">
        <v>453</v>
      </c>
      <c r="C183" s="3" t="s">
        <v>22</v>
      </c>
    </row>
    <row r="184" spans="1:3" x14ac:dyDescent="0.2">
      <c r="A184" s="3" t="s">
        <v>2436</v>
      </c>
      <c r="B184" s="3" t="s">
        <v>454</v>
      </c>
      <c r="C184" s="3" t="s">
        <v>22</v>
      </c>
    </row>
    <row r="185" spans="1:3" x14ac:dyDescent="0.2">
      <c r="A185" s="3" t="s">
        <v>2436</v>
      </c>
      <c r="B185" s="3" t="s">
        <v>2438</v>
      </c>
      <c r="C185" s="3" t="s">
        <v>22</v>
      </c>
    </row>
    <row r="186" spans="1:3" x14ac:dyDescent="0.2">
      <c r="A186" s="3" t="s">
        <v>2436</v>
      </c>
      <c r="B186" s="3" t="s">
        <v>2439</v>
      </c>
      <c r="C186" s="3" t="s">
        <v>22</v>
      </c>
    </row>
    <row r="187" spans="1:3" x14ac:dyDescent="0.2">
      <c r="A187" s="3" t="s">
        <v>2436</v>
      </c>
      <c r="B187" s="3" t="s">
        <v>2440</v>
      </c>
      <c r="C187" s="3" t="s">
        <v>22</v>
      </c>
    </row>
    <row r="188" spans="1:3" x14ac:dyDescent="0.2">
      <c r="A188" s="3" t="s">
        <v>2436</v>
      </c>
      <c r="B188" s="3" t="s">
        <v>2441</v>
      </c>
      <c r="C188" s="3" t="s">
        <v>22</v>
      </c>
    </row>
    <row r="189" spans="1:3" x14ac:dyDescent="0.2">
      <c r="A189" s="3" t="s">
        <v>2436</v>
      </c>
      <c r="B189" s="3" t="s">
        <v>2442</v>
      </c>
      <c r="C189" s="3" t="s">
        <v>22</v>
      </c>
    </row>
    <row r="190" spans="1:3" x14ac:dyDescent="0.2">
      <c r="A190" s="3" t="s">
        <v>2436</v>
      </c>
      <c r="B190" s="3" t="s">
        <v>455</v>
      </c>
      <c r="C190" s="3" t="s">
        <v>22</v>
      </c>
    </row>
    <row r="191" spans="1:3" x14ac:dyDescent="0.2">
      <c r="A191" s="3" t="s">
        <v>2443</v>
      </c>
      <c r="B191" s="3" t="s">
        <v>1553</v>
      </c>
      <c r="C191" s="3" t="s">
        <v>22</v>
      </c>
    </row>
    <row r="192" spans="1:3" x14ac:dyDescent="0.2">
      <c r="A192" s="3" t="s">
        <v>2443</v>
      </c>
      <c r="B192" s="3" t="s">
        <v>1586</v>
      </c>
      <c r="C192" s="3" t="s">
        <v>22</v>
      </c>
    </row>
    <row r="193" spans="1:3" x14ac:dyDescent="0.2">
      <c r="A193" s="3" t="s">
        <v>2443</v>
      </c>
      <c r="B193" s="3" t="s">
        <v>1587</v>
      </c>
      <c r="C193" s="3" t="s">
        <v>22</v>
      </c>
    </row>
    <row r="194" spans="1:3" x14ac:dyDescent="0.2">
      <c r="A194" s="3" t="s">
        <v>2443</v>
      </c>
      <c r="B194" s="3" t="s">
        <v>1588</v>
      </c>
      <c r="C194" s="3" t="s">
        <v>22</v>
      </c>
    </row>
    <row r="195" spans="1:3" x14ac:dyDescent="0.2">
      <c r="A195" s="3" t="s">
        <v>2443</v>
      </c>
      <c r="B195" s="3" t="s">
        <v>1589</v>
      </c>
      <c r="C195" s="3" t="s">
        <v>22</v>
      </c>
    </row>
    <row r="196" spans="1:3" x14ac:dyDescent="0.2">
      <c r="A196" s="3" t="s">
        <v>2443</v>
      </c>
      <c r="B196" s="3" t="s">
        <v>1590</v>
      </c>
      <c r="C196" s="3" t="s">
        <v>22</v>
      </c>
    </row>
    <row r="197" spans="1:3" x14ac:dyDescent="0.2">
      <c r="A197" s="3" t="s">
        <v>2443</v>
      </c>
      <c r="B197" s="3" t="s">
        <v>1591</v>
      </c>
      <c r="C197" s="3" t="s">
        <v>22</v>
      </c>
    </row>
    <row r="198" spans="1:3" x14ac:dyDescent="0.2">
      <c r="A198" s="3" t="s">
        <v>2443</v>
      </c>
      <c r="B198" s="3" t="s">
        <v>1592</v>
      </c>
      <c r="C198" s="3" t="s">
        <v>22</v>
      </c>
    </row>
    <row r="199" spans="1:3" x14ac:dyDescent="0.2">
      <c r="A199" s="3" t="s">
        <v>2443</v>
      </c>
      <c r="B199" s="3" t="s">
        <v>942</v>
      </c>
      <c r="C199" s="3" t="s">
        <v>22</v>
      </c>
    </row>
    <row r="200" spans="1:3" x14ac:dyDescent="0.2">
      <c r="A200" s="3" t="s">
        <v>2443</v>
      </c>
      <c r="B200" s="3" t="s">
        <v>1607</v>
      </c>
      <c r="C200" s="3" t="s">
        <v>22</v>
      </c>
    </row>
    <row r="201" spans="1:3" x14ac:dyDescent="0.2">
      <c r="A201" s="3" t="s">
        <v>2443</v>
      </c>
      <c r="B201" s="3" t="s">
        <v>1608</v>
      </c>
      <c r="C201" s="3" t="s">
        <v>22</v>
      </c>
    </row>
    <row r="202" spans="1:3" x14ac:dyDescent="0.2">
      <c r="A202" s="3" t="s">
        <v>2444</v>
      </c>
      <c r="B202" s="3" t="s">
        <v>1553</v>
      </c>
      <c r="C202" s="3" t="s">
        <v>22</v>
      </c>
    </row>
    <row r="203" spans="1:3" x14ac:dyDescent="0.2">
      <c r="A203" s="3" t="s">
        <v>2444</v>
      </c>
      <c r="B203" s="3" t="s">
        <v>1554</v>
      </c>
      <c r="C203" s="3" t="s">
        <v>22</v>
      </c>
    </row>
    <row r="204" spans="1:3" x14ac:dyDescent="0.2">
      <c r="A204" s="3" t="s">
        <v>2444</v>
      </c>
      <c r="B204" s="3" t="s">
        <v>1555</v>
      </c>
      <c r="C204" s="3" t="s">
        <v>22</v>
      </c>
    </row>
    <row r="205" spans="1:3" x14ac:dyDescent="0.2">
      <c r="A205" s="3" t="s">
        <v>2444</v>
      </c>
      <c r="B205" s="3" t="s">
        <v>1556</v>
      </c>
      <c r="C205" s="3" t="s">
        <v>22</v>
      </c>
    </row>
    <row r="206" spans="1:3" x14ac:dyDescent="0.2">
      <c r="A206" s="3" t="s">
        <v>2444</v>
      </c>
      <c r="B206" s="3" t="s">
        <v>1568</v>
      </c>
      <c r="C206" s="3" t="s">
        <v>22</v>
      </c>
    </row>
    <row r="207" spans="1:3" x14ac:dyDescent="0.2">
      <c r="A207" s="3" t="s">
        <v>2444</v>
      </c>
      <c r="B207" s="3" t="s">
        <v>1569</v>
      </c>
      <c r="C207" s="3" t="s">
        <v>22</v>
      </c>
    </row>
    <row r="208" spans="1:3" x14ac:dyDescent="0.2">
      <c r="A208" s="3" t="s">
        <v>2444</v>
      </c>
      <c r="B208" s="3" t="s">
        <v>1557</v>
      </c>
      <c r="C208" s="3" t="s">
        <v>22</v>
      </c>
    </row>
    <row r="209" spans="1:3" x14ac:dyDescent="0.2">
      <c r="A209" s="3" t="s">
        <v>2444</v>
      </c>
      <c r="B209" s="3" t="s">
        <v>1558</v>
      </c>
      <c r="C209" s="3" t="s">
        <v>22</v>
      </c>
    </row>
    <row r="210" spans="1:3" x14ac:dyDescent="0.2">
      <c r="A210" s="3" t="s">
        <v>2444</v>
      </c>
      <c r="B210" s="3" t="s">
        <v>1570</v>
      </c>
      <c r="C210" s="3" t="s">
        <v>22</v>
      </c>
    </row>
    <row r="211" spans="1:3" x14ac:dyDescent="0.2">
      <c r="A211" s="3" t="s">
        <v>2444</v>
      </c>
      <c r="B211" s="3" t="s">
        <v>942</v>
      </c>
      <c r="C211" s="3" t="s">
        <v>22</v>
      </c>
    </row>
    <row r="212" spans="1:3" x14ac:dyDescent="0.2">
      <c r="A212" s="3" t="s">
        <v>2444</v>
      </c>
      <c r="B212" s="3" t="s">
        <v>1607</v>
      </c>
      <c r="C212" s="3" t="s">
        <v>22</v>
      </c>
    </row>
    <row r="213" spans="1:3" x14ac:dyDescent="0.2">
      <c r="A213" s="3" t="s">
        <v>2444</v>
      </c>
      <c r="B213" s="3" t="s">
        <v>1608</v>
      </c>
      <c r="C213" s="3" t="s">
        <v>22</v>
      </c>
    </row>
    <row r="214" spans="1:3" x14ac:dyDescent="0.2">
      <c r="A214" s="3" t="s">
        <v>2444</v>
      </c>
      <c r="B214" s="3" t="s">
        <v>1571</v>
      </c>
      <c r="C214" s="3" t="s">
        <v>22</v>
      </c>
    </row>
    <row r="215" spans="1:3" x14ac:dyDescent="0.2">
      <c r="A215" s="3" t="s">
        <v>2444</v>
      </c>
      <c r="B215" s="3" t="s">
        <v>1559</v>
      </c>
      <c r="C215" s="3" t="s">
        <v>22</v>
      </c>
    </row>
    <row r="216" spans="1:3" x14ac:dyDescent="0.2">
      <c r="A216" s="3" t="s">
        <v>2444</v>
      </c>
      <c r="B216" s="3" t="s">
        <v>1560</v>
      </c>
      <c r="C216" s="3" t="s">
        <v>22</v>
      </c>
    </row>
    <row r="217" spans="1:3" x14ac:dyDescent="0.2">
      <c r="A217" s="3" t="s">
        <v>2444</v>
      </c>
      <c r="B217" s="3" t="s">
        <v>1561</v>
      </c>
      <c r="C217" s="3" t="s">
        <v>22</v>
      </c>
    </row>
    <row r="218" spans="1:3" x14ac:dyDescent="0.2">
      <c r="A218" s="3" t="s">
        <v>2444</v>
      </c>
      <c r="B218" s="3" t="s">
        <v>1572</v>
      </c>
      <c r="C218" s="3" t="s">
        <v>22</v>
      </c>
    </row>
    <row r="219" spans="1:3" x14ac:dyDescent="0.2">
      <c r="A219" s="3" t="s">
        <v>2444</v>
      </c>
      <c r="B219" s="3" t="s">
        <v>1562</v>
      </c>
      <c r="C219" s="3" t="s">
        <v>22</v>
      </c>
    </row>
    <row r="220" spans="1:3" x14ac:dyDescent="0.2">
      <c r="A220" s="3" t="s">
        <v>2445</v>
      </c>
      <c r="B220" s="3" t="s">
        <v>1434</v>
      </c>
      <c r="C220" s="3" t="s">
        <v>22</v>
      </c>
    </row>
    <row r="221" spans="1:3" x14ac:dyDescent="0.2">
      <c r="A221" s="3" t="s">
        <v>2445</v>
      </c>
      <c r="B221" s="3" t="s">
        <v>1435</v>
      </c>
      <c r="C221" s="3" t="s">
        <v>22</v>
      </c>
    </row>
    <row r="222" spans="1:3" x14ac:dyDescent="0.2">
      <c r="A222" s="3" t="s">
        <v>2446</v>
      </c>
      <c r="B222" s="3" t="s">
        <v>1424</v>
      </c>
      <c r="C222" s="3" t="s">
        <v>22</v>
      </c>
    </row>
    <row r="223" spans="1:3" x14ac:dyDescent="0.2">
      <c r="A223" s="3" t="s">
        <v>2446</v>
      </c>
      <c r="B223" s="3" t="s">
        <v>2021</v>
      </c>
      <c r="C223" s="3" t="s">
        <v>22</v>
      </c>
    </row>
    <row r="224" spans="1:3" x14ac:dyDescent="0.2">
      <c r="A224" s="3" t="s">
        <v>2446</v>
      </c>
      <c r="B224" s="3" t="s">
        <v>1425</v>
      </c>
      <c r="C224" s="3" t="s">
        <v>22</v>
      </c>
    </row>
    <row r="225" spans="1:3" x14ac:dyDescent="0.2">
      <c r="A225" s="3" t="s">
        <v>2446</v>
      </c>
      <c r="B225" s="3" t="s">
        <v>1426</v>
      </c>
      <c r="C225" s="3" t="s">
        <v>22</v>
      </c>
    </row>
    <row r="226" spans="1:3" x14ac:dyDescent="0.2">
      <c r="A226" s="3" t="s">
        <v>2446</v>
      </c>
      <c r="B226" s="3" t="s">
        <v>1427</v>
      </c>
      <c r="C226" s="3" t="s">
        <v>22</v>
      </c>
    </row>
    <row r="227" spans="1:3" x14ac:dyDescent="0.2">
      <c r="A227" s="3" t="s">
        <v>2446</v>
      </c>
      <c r="B227" s="3" t="s">
        <v>1436</v>
      </c>
      <c r="C227" s="3" t="s">
        <v>22</v>
      </c>
    </row>
    <row r="228" spans="1:3" x14ac:dyDescent="0.2">
      <c r="A228" s="3" t="s">
        <v>2446</v>
      </c>
      <c r="B228" s="3" t="s">
        <v>2045</v>
      </c>
      <c r="C228" s="3" t="s">
        <v>22</v>
      </c>
    </row>
    <row r="229" spans="1:3" x14ac:dyDescent="0.2">
      <c r="A229" s="3" t="s">
        <v>2447</v>
      </c>
      <c r="B229" s="3" t="s">
        <v>1423</v>
      </c>
      <c r="C229" s="3" t="s">
        <v>22</v>
      </c>
    </row>
    <row r="230" spans="1:3" x14ac:dyDescent="0.2">
      <c r="A230" s="3" t="s">
        <v>2447</v>
      </c>
      <c r="B230" s="3" t="s">
        <v>1428</v>
      </c>
      <c r="C230" s="3" t="s">
        <v>22</v>
      </c>
    </row>
    <row r="231" spans="1:3" x14ac:dyDescent="0.2">
      <c r="A231" s="3" t="s">
        <v>2447</v>
      </c>
      <c r="B231" s="3" t="s">
        <v>1429</v>
      </c>
      <c r="C231" s="3" t="s">
        <v>22</v>
      </c>
    </row>
    <row r="232" spans="1:3" x14ac:dyDescent="0.2">
      <c r="A232" s="3" t="s">
        <v>2447</v>
      </c>
      <c r="B232" s="3" t="s">
        <v>1430</v>
      </c>
      <c r="C232" s="3" t="s">
        <v>22</v>
      </c>
    </row>
    <row r="233" spans="1:3" x14ac:dyDescent="0.2">
      <c r="A233" s="3" t="s">
        <v>2447</v>
      </c>
      <c r="B233" s="3" t="s">
        <v>1432</v>
      </c>
      <c r="C233" s="3" t="s">
        <v>22</v>
      </c>
    </row>
    <row r="234" spans="1:3" x14ac:dyDescent="0.2">
      <c r="A234" s="3" t="s">
        <v>2447</v>
      </c>
      <c r="B234" s="3" t="s">
        <v>1433</v>
      </c>
      <c r="C234" s="3" t="s">
        <v>22</v>
      </c>
    </row>
    <row r="235" spans="1:3" x14ac:dyDescent="0.2">
      <c r="A235" s="3" t="s">
        <v>2447</v>
      </c>
      <c r="B235" s="3" t="s">
        <v>1437</v>
      </c>
      <c r="C235" s="3" t="s">
        <v>22</v>
      </c>
    </row>
    <row r="236" spans="1:3" x14ac:dyDescent="0.2">
      <c r="A236" s="3" t="s">
        <v>2448</v>
      </c>
      <c r="B236" s="3" t="s">
        <v>1431</v>
      </c>
      <c r="C236" s="3" t="s">
        <v>22</v>
      </c>
    </row>
    <row r="237" spans="1:3" x14ac:dyDescent="0.2">
      <c r="A237" s="3" t="s">
        <v>2449</v>
      </c>
      <c r="B237" s="3" t="s">
        <v>2022</v>
      </c>
      <c r="C237" s="3" t="s">
        <v>22</v>
      </c>
    </row>
    <row r="238" spans="1:3" x14ac:dyDescent="0.2">
      <c r="A238" s="3" t="s">
        <v>2449</v>
      </c>
      <c r="B238" s="3" t="s">
        <v>2023</v>
      </c>
      <c r="C238" s="3" t="s">
        <v>22</v>
      </c>
    </row>
    <row r="239" spans="1:3" x14ac:dyDescent="0.2">
      <c r="A239" s="3" t="s">
        <v>2449</v>
      </c>
      <c r="B239" s="3" t="s">
        <v>2024</v>
      </c>
      <c r="C239" s="3" t="s">
        <v>22</v>
      </c>
    </row>
    <row r="240" spans="1:3" x14ac:dyDescent="0.2">
      <c r="A240" s="3" t="s">
        <v>2449</v>
      </c>
      <c r="B240" s="3" t="s">
        <v>2025</v>
      </c>
      <c r="C240" s="3" t="s">
        <v>22</v>
      </c>
    </row>
    <row r="241" spans="1:3" x14ac:dyDescent="0.2">
      <c r="A241" s="3" t="s">
        <v>2449</v>
      </c>
      <c r="B241" s="3" t="s">
        <v>2026</v>
      </c>
      <c r="C241" s="3" t="s">
        <v>22</v>
      </c>
    </row>
    <row r="242" spans="1:3" x14ac:dyDescent="0.2">
      <c r="A242" s="3" t="s">
        <v>2449</v>
      </c>
      <c r="B242" s="3" t="s">
        <v>2029</v>
      </c>
      <c r="C242" s="3" t="s">
        <v>22</v>
      </c>
    </row>
    <row r="243" spans="1:3" x14ac:dyDescent="0.2">
      <c r="A243" s="3" t="s">
        <v>2449</v>
      </c>
      <c r="B243" s="3" t="s">
        <v>2030</v>
      </c>
      <c r="C243" s="3" t="s">
        <v>22</v>
      </c>
    </row>
    <row r="244" spans="1:3" x14ac:dyDescent="0.2">
      <c r="A244" s="3" t="s">
        <v>2449</v>
      </c>
      <c r="B244" s="3" t="s">
        <v>2031</v>
      </c>
      <c r="C244" s="3" t="s">
        <v>22</v>
      </c>
    </row>
    <row r="245" spans="1:3" x14ac:dyDescent="0.2">
      <c r="A245" s="3" t="s">
        <v>2449</v>
      </c>
      <c r="B245" s="3" t="s">
        <v>2032</v>
      </c>
      <c r="C245" s="3" t="s">
        <v>22</v>
      </c>
    </row>
    <row r="246" spans="1:3" x14ac:dyDescent="0.2">
      <c r="A246" s="3" t="s">
        <v>2449</v>
      </c>
      <c r="B246" s="3" t="s">
        <v>2034</v>
      </c>
      <c r="C246" s="3" t="s">
        <v>22</v>
      </c>
    </row>
    <row r="247" spans="1:3" x14ac:dyDescent="0.2">
      <c r="A247" s="3" t="s">
        <v>2449</v>
      </c>
      <c r="B247" s="3" t="s">
        <v>2035</v>
      </c>
      <c r="C247" s="3" t="s">
        <v>22</v>
      </c>
    </row>
    <row r="248" spans="1:3" x14ac:dyDescent="0.2">
      <c r="A248" s="3" t="s">
        <v>2449</v>
      </c>
      <c r="B248" s="3" t="s">
        <v>2037</v>
      </c>
      <c r="C248" s="3" t="s">
        <v>22</v>
      </c>
    </row>
    <row r="249" spans="1:3" x14ac:dyDescent="0.2">
      <c r="A249" s="3" t="s">
        <v>2449</v>
      </c>
      <c r="B249" s="3" t="s">
        <v>2038</v>
      </c>
      <c r="C249" s="3" t="s">
        <v>22</v>
      </c>
    </row>
    <row r="250" spans="1:3" x14ac:dyDescent="0.2">
      <c r="A250" s="3" t="s">
        <v>2449</v>
      </c>
      <c r="B250" s="3" t="s">
        <v>2040</v>
      </c>
      <c r="C250" s="3" t="s">
        <v>22</v>
      </c>
    </row>
    <row r="251" spans="1:3" x14ac:dyDescent="0.2">
      <c r="A251" s="3" t="s">
        <v>2449</v>
      </c>
      <c r="B251" s="3" t="s">
        <v>2041</v>
      </c>
      <c r="C251" s="3" t="s">
        <v>22</v>
      </c>
    </row>
    <row r="252" spans="1:3" x14ac:dyDescent="0.2">
      <c r="A252" s="3" t="s">
        <v>2449</v>
      </c>
      <c r="B252" s="3" t="s">
        <v>2042</v>
      </c>
      <c r="C252" s="3" t="s">
        <v>22</v>
      </c>
    </row>
    <row r="253" spans="1:3" x14ac:dyDescent="0.2">
      <c r="A253" s="3" t="s">
        <v>2449</v>
      </c>
      <c r="B253" s="3" t="s">
        <v>2043</v>
      </c>
      <c r="C253" s="3" t="s">
        <v>22</v>
      </c>
    </row>
    <row r="254" spans="1:3" x14ac:dyDescent="0.2">
      <c r="A254" s="3" t="s">
        <v>2449</v>
      </c>
      <c r="B254" s="3" t="s">
        <v>2044</v>
      </c>
      <c r="C254" s="3" t="s">
        <v>22</v>
      </c>
    </row>
    <row r="255" spans="1:3" x14ac:dyDescent="0.2">
      <c r="A255" s="3" t="s">
        <v>2450</v>
      </c>
      <c r="B255" s="3" t="s">
        <v>2027</v>
      </c>
      <c r="C255" s="3" t="s">
        <v>22</v>
      </c>
    </row>
    <row r="256" spans="1:3" x14ac:dyDescent="0.2">
      <c r="A256" s="3" t="s">
        <v>2450</v>
      </c>
      <c r="B256" s="3" t="s">
        <v>2028</v>
      </c>
      <c r="C256" s="3" t="s">
        <v>22</v>
      </c>
    </row>
    <row r="257" spans="1:3" x14ac:dyDescent="0.2">
      <c r="A257" s="3" t="s">
        <v>2450</v>
      </c>
      <c r="B257" s="3" t="s">
        <v>2033</v>
      </c>
      <c r="C257" s="3" t="s">
        <v>22</v>
      </c>
    </row>
    <row r="258" spans="1:3" x14ac:dyDescent="0.2">
      <c r="A258" s="3" t="s">
        <v>2450</v>
      </c>
      <c r="B258" s="3" t="s">
        <v>2036</v>
      </c>
      <c r="C258" s="3" t="s">
        <v>22</v>
      </c>
    </row>
    <row r="259" spans="1:3" x14ac:dyDescent="0.2">
      <c r="A259" s="3" t="s">
        <v>2450</v>
      </c>
      <c r="B259" s="3" t="s">
        <v>2039</v>
      </c>
      <c r="C259" s="3" t="s">
        <v>22</v>
      </c>
    </row>
    <row r="260" spans="1:3" x14ac:dyDescent="0.2">
      <c r="A260" s="3" t="s">
        <v>2451</v>
      </c>
      <c r="B260" s="3" t="s">
        <v>1717</v>
      </c>
      <c r="C260" s="3" t="s">
        <v>22</v>
      </c>
    </row>
    <row r="261" spans="1:3" x14ac:dyDescent="0.2">
      <c r="A261" s="3" t="s">
        <v>2451</v>
      </c>
      <c r="B261" s="3" t="s">
        <v>1719</v>
      </c>
      <c r="C261" s="3" t="s">
        <v>22</v>
      </c>
    </row>
    <row r="262" spans="1:3" x14ac:dyDescent="0.2">
      <c r="A262" s="3" t="s">
        <v>2451</v>
      </c>
      <c r="B262" s="3" t="s">
        <v>1725</v>
      </c>
      <c r="C262" s="3" t="s">
        <v>22</v>
      </c>
    </row>
    <row r="263" spans="1:3" x14ac:dyDescent="0.2">
      <c r="A263" s="3" t="s">
        <v>2452</v>
      </c>
      <c r="B263" s="3" t="s">
        <v>1717</v>
      </c>
      <c r="C263" s="3" t="s">
        <v>22</v>
      </c>
    </row>
    <row r="264" spans="1:3" x14ac:dyDescent="0.2">
      <c r="A264" s="3" t="s">
        <v>2453</v>
      </c>
      <c r="B264" s="3" t="s">
        <v>1716</v>
      </c>
      <c r="C264" s="3" t="s">
        <v>22</v>
      </c>
    </row>
    <row r="265" spans="1:3" x14ac:dyDescent="0.2">
      <c r="A265" s="3" t="s">
        <v>2453</v>
      </c>
      <c r="B265" s="3" t="s">
        <v>1718</v>
      </c>
      <c r="C265" s="3" t="s">
        <v>22</v>
      </c>
    </row>
    <row r="266" spans="1:3" x14ac:dyDescent="0.2">
      <c r="A266" s="3" t="s">
        <v>2453</v>
      </c>
      <c r="B266" s="3" t="s">
        <v>1720</v>
      </c>
      <c r="C266" s="3" t="s">
        <v>22</v>
      </c>
    </row>
    <row r="267" spans="1:3" x14ac:dyDescent="0.2">
      <c r="A267" s="3" t="s">
        <v>2453</v>
      </c>
      <c r="B267" s="3" t="s">
        <v>1723</v>
      </c>
      <c r="C267" s="3" t="s">
        <v>22</v>
      </c>
    </row>
    <row r="268" spans="1:3" x14ac:dyDescent="0.2">
      <c r="A268" s="3" t="s">
        <v>2454</v>
      </c>
      <c r="B268" s="3" t="s">
        <v>1722</v>
      </c>
      <c r="C268" s="3" t="s">
        <v>22</v>
      </c>
    </row>
    <row r="269" spans="1:3" x14ac:dyDescent="0.2">
      <c r="A269" s="3" t="s">
        <v>2454</v>
      </c>
      <c r="B269" s="3" t="s">
        <v>1724</v>
      </c>
      <c r="C269" s="3" t="s">
        <v>22</v>
      </c>
    </row>
    <row r="270" spans="1:3" x14ac:dyDescent="0.2">
      <c r="A270" s="3" t="s">
        <v>2455</v>
      </c>
      <c r="B270" s="3" t="s">
        <v>1654</v>
      </c>
      <c r="C270" s="3" t="s">
        <v>22</v>
      </c>
    </row>
    <row r="271" spans="1:3" x14ac:dyDescent="0.2">
      <c r="A271" s="3" t="s">
        <v>2455</v>
      </c>
      <c r="B271" s="3" t="s">
        <v>1730</v>
      </c>
      <c r="C271" s="3" t="s">
        <v>22</v>
      </c>
    </row>
    <row r="272" spans="1:3" x14ac:dyDescent="0.2">
      <c r="A272" s="3" t="s">
        <v>2455</v>
      </c>
      <c r="B272" s="3" t="s">
        <v>1731</v>
      </c>
      <c r="C272" s="3" t="s">
        <v>22</v>
      </c>
    </row>
    <row r="273" spans="1:3" x14ac:dyDescent="0.2">
      <c r="A273" s="3" t="s">
        <v>2455</v>
      </c>
      <c r="B273" s="3" t="s">
        <v>1666</v>
      </c>
      <c r="C273" s="3" t="s">
        <v>22</v>
      </c>
    </row>
    <row r="274" spans="1:3" x14ac:dyDescent="0.2">
      <c r="A274" s="3" t="s">
        <v>2455</v>
      </c>
      <c r="B274" s="3" t="s">
        <v>1698</v>
      </c>
      <c r="C274" s="3" t="s">
        <v>22</v>
      </c>
    </row>
    <row r="275" spans="1:3" x14ac:dyDescent="0.2">
      <c r="A275" s="3" t="s">
        <v>2455</v>
      </c>
      <c r="B275" s="3" t="s">
        <v>1699</v>
      </c>
      <c r="C275" s="3" t="s">
        <v>22</v>
      </c>
    </row>
    <row r="276" spans="1:3" x14ac:dyDescent="0.2">
      <c r="A276" s="3" t="s">
        <v>2455</v>
      </c>
      <c r="B276" s="3" t="s">
        <v>1647</v>
      </c>
      <c r="C276" s="3" t="s">
        <v>22</v>
      </c>
    </row>
    <row r="277" spans="1:3" x14ac:dyDescent="0.2">
      <c r="A277" s="3" t="s">
        <v>2455</v>
      </c>
      <c r="B277" s="3" t="s">
        <v>1700</v>
      </c>
      <c r="C277" s="3" t="s">
        <v>22</v>
      </c>
    </row>
    <row r="278" spans="1:3" x14ac:dyDescent="0.2">
      <c r="A278" s="3" t="s">
        <v>2455</v>
      </c>
      <c r="B278" s="3" t="s">
        <v>1644</v>
      </c>
      <c r="C278" s="3" t="s">
        <v>22</v>
      </c>
    </row>
    <row r="279" spans="1:3" x14ac:dyDescent="0.2">
      <c r="A279" s="3" t="s">
        <v>2455</v>
      </c>
      <c r="B279" s="3" t="s">
        <v>1659</v>
      </c>
      <c r="C279" s="3" t="s">
        <v>22</v>
      </c>
    </row>
    <row r="280" spans="1:3" x14ac:dyDescent="0.2">
      <c r="A280" s="3" t="s">
        <v>2455</v>
      </c>
      <c r="B280" s="3" t="s">
        <v>1648</v>
      </c>
      <c r="C280" s="3" t="s">
        <v>22</v>
      </c>
    </row>
    <row r="281" spans="1:3" x14ac:dyDescent="0.2">
      <c r="A281" s="3" t="s">
        <v>2455</v>
      </c>
      <c r="B281" s="3" t="s">
        <v>1702</v>
      </c>
      <c r="C281" s="3" t="s">
        <v>22</v>
      </c>
    </row>
    <row r="282" spans="1:3" x14ac:dyDescent="0.2">
      <c r="A282" s="3" t="s">
        <v>2456</v>
      </c>
      <c r="B282" s="3" t="s">
        <v>1684</v>
      </c>
      <c r="C282" s="3" t="s">
        <v>22</v>
      </c>
    </row>
    <row r="283" spans="1:3" x14ac:dyDescent="0.2">
      <c r="A283" s="3" t="s">
        <v>2457</v>
      </c>
      <c r="B283" s="3" t="s">
        <v>1715</v>
      </c>
      <c r="C283" s="3" t="s">
        <v>22</v>
      </c>
    </row>
    <row r="284" spans="1:3" x14ac:dyDescent="0.2">
      <c r="A284" s="3" t="s">
        <v>2457</v>
      </c>
      <c r="B284" s="3" t="s">
        <v>1719</v>
      </c>
      <c r="C284" s="3" t="s">
        <v>22</v>
      </c>
    </row>
    <row r="285" spans="1:3" x14ac:dyDescent="0.2">
      <c r="A285" s="3" t="s">
        <v>2457</v>
      </c>
      <c r="B285" s="3" t="s">
        <v>1721</v>
      </c>
      <c r="C285" s="3" t="s">
        <v>22</v>
      </c>
    </row>
    <row r="286" spans="1:3" x14ac:dyDescent="0.2">
      <c r="A286" s="3" t="s">
        <v>2458</v>
      </c>
      <c r="B286" s="3" t="s">
        <v>1696</v>
      </c>
      <c r="C286" s="3" t="s">
        <v>22</v>
      </c>
    </row>
    <row r="287" spans="1:3" x14ac:dyDescent="0.2">
      <c r="A287" s="3" t="s">
        <v>2458</v>
      </c>
      <c r="B287" s="3" t="s">
        <v>1697</v>
      </c>
      <c r="C287" s="3" t="s">
        <v>22</v>
      </c>
    </row>
    <row r="288" spans="1:3" x14ac:dyDescent="0.2">
      <c r="A288" s="3" t="s">
        <v>2458</v>
      </c>
      <c r="B288" s="3" t="s">
        <v>1699</v>
      </c>
      <c r="C288" s="3" t="s">
        <v>22</v>
      </c>
    </row>
    <row r="289" spans="1:3" x14ac:dyDescent="0.2">
      <c r="A289" s="3" t="s">
        <v>2458</v>
      </c>
      <c r="B289" s="3" t="s">
        <v>1700</v>
      </c>
      <c r="C289" s="3" t="s">
        <v>22</v>
      </c>
    </row>
    <row r="290" spans="1:3" x14ac:dyDescent="0.2">
      <c r="A290" s="3" t="s">
        <v>2458</v>
      </c>
      <c r="B290" s="3" t="s">
        <v>1713</v>
      </c>
      <c r="C290" s="3" t="s">
        <v>22</v>
      </c>
    </row>
    <row r="291" spans="1:3" x14ac:dyDescent="0.2">
      <c r="A291" s="3" t="s">
        <v>2458</v>
      </c>
      <c r="B291" s="3" t="s">
        <v>1701</v>
      </c>
      <c r="C291" s="3" t="s">
        <v>22</v>
      </c>
    </row>
    <row r="292" spans="1:3" x14ac:dyDescent="0.2">
      <c r="A292" s="3" t="s">
        <v>2458</v>
      </c>
      <c r="B292" s="3" t="s">
        <v>1648</v>
      </c>
      <c r="C292" s="3" t="s">
        <v>22</v>
      </c>
    </row>
    <row r="293" spans="1:3" x14ac:dyDescent="0.2">
      <c r="A293" s="3" t="s">
        <v>2458</v>
      </c>
      <c r="B293" s="3" t="s">
        <v>1702</v>
      </c>
      <c r="C293" s="3" t="s">
        <v>22</v>
      </c>
    </row>
    <row r="294" spans="1:3" x14ac:dyDescent="0.2">
      <c r="A294" s="3" t="s">
        <v>2459</v>
      </c>
      <c r="B294" s="3" t="s">
        <v>1703</v>
      </c>
      <c r="C294" s="3" t="s">
        <v>22</v>
      </c>
    </row>
    <row r="295" spans="1:3" x14ac:dyDescent="0.2">
      <c r="A295" s="3" t="s">
        <v>2460</v>
      </c>
      <c r="B295" s="3" t="s">
        <v>1727</v>
      </c>
      <c r="C295" s="3" t="s">
        <v>22</v>
      </c>
    </row>
    <row r="296" spans="1:3" x14ac:dyDescent="0.2">
      <c r="A296" s="3" t="s">
        <v>2460</v>
      </c>
      <c r="B296" s="3" t="s">
        <v>1704</v>
      </c>
      <c r="C296" s="3" t="s">
        <v>22</v>
      </c>
    </row>
    <row r="297" spans="1:3" x14ac:dyDescent="0.2">
      <c r="A297" s="3" t="s">
        <v>2461</v>
      </c>
      <c r="B297" s="3" t="s">
        <v>1728</v>
      </c>
      <c r="C297" s="3" t="s">
        <v>22</v>
      </c>
    </row>
    <row r="298" spans="1:3" x14ac:dyDescent="0.2">
      <c r="A298" s="3" t="s">
        <v>2462</v>
      </c>
      <c r="B298" s="3" t="s">
        <v>1683</v>
      </c>
      <c r="C298" s="3" t="s">
        <v>22</v>
      </c>
    </row>
    <row r="299" spans="1:3" x14ac:dyDescent="0.2">
      <c r="A299" s="3" t="s">
        <v>2463</v>
      </c>
      <c r="B299" s="3" t="s">
        <v>2080</v>
      </c>
      <c r="C299" s="3" t="s">
        <v>22</v>
      </c>
    </row>
    <row r="300" spans="1:3" x14ac:dyDescent="0.2">
      <c r="A300" s="3" t="s">
        <v>2463</v>
      </c>
      <c r="B300" s="3" t="s">
        <v>2081</v>
      </c>
      <c r="C300" s="3" t="s">
        <v>22</v>
      </c>
    </row>
    <row r="301" spans="1:3" x14ac:dyDescent="0.2">
      <c r="A301" s="3" t="s">
        <v>2463</v>
      </c>
      <c r="B301" s="3" t="s">
        <v>2083</v>
      </c>
      <c r="C301" s="3" t="s">
        <v>22</v>
      </c>
    </row>
    <row r="302" spans="1:3" x14ac:dyDescent="0.2">
      <c r="A302" s="3" t="s">
        <v>2463</v>
      </c>
      <c r="B302" s="3" t="s">
        <v>2084</v>
      </c>
      <c r="C302" s="3" t="s">
        <v>22</v>
      </c>
    </row>
    <row r="303" spans="1:3" x14ac:dyDescent="0.2">
      <c r="A303" s="3" t="s">
        <v>2463</v>
      </c>
      <c r="B303" s="3" t="s">
        <v>2085</v>
      </c>
      <c r="C303" s="3" t="s">
        <v>22</v>
      </c>
    </row>
    <row r="304" spans="1:3" x14ac:dyDescent="0.2">
      <c r="A304" s="3" t="s">
        <v>2463</v>
      </c>
      <c r="B304" s="3" t="s">
        <v>2087</v>
      </c>
      <c r="C304" s="3" t="s">
        <v>22</v>
      </c>
    </row>
    <row r="305" spans="1:3" x14ac:dyDescent="0.2">
      <c r="A305" s="3" t="s">
        <v>2463</v>
      </c>
      <c r="B305" s="3" t="s">
        <v>2088</v>
      </c>
      <c r="C305" s="3" t="s">
        <v>22</v>
      </c>
    </row>
    <row r="306" spans="1:3" x14ac:dyDescent="0.2">
      <c r="A306" s="3" t="s">
        <v>2463</v>
      </c>
      <c r="B306" s="3" t="s">
        <v>2090</v>
      </c>
      <c r="C306" s="3" t="s">
        <v>22</v>
      </c>
    </row>
    <row r="307" spans="1:3" x14ac:dyDescent="0.2">
      <c r="A307" s="3" t="s">
        <v>2463</v>
      </c>
      <c r="B307" s="3" t="s">
        <v>2092</v>
      </c>
      <c r="C307" s="3" t="s">
        <v>22</v>
      </c>
    </row>
    <row r="308" spans="1:3" x14ac:dyDescent="0.2">
      <c r="A308" s="3" t="s">
        <v>2463</v>
      </c>
      <c r="B308" s="3" t="s">
        <v>2093</v>
      </c>
      <c r="C308" s="3" t="s">
        <v>22</v>
      </c>
    </row>
    <row r="309" spans="1:3" x14ac:dyDescent="0.2">
      <c r="A309" s="3" t="s">
        <v>2463</v>
      </c>
      <c r="B309" s="3" t="s">
        <v>2094</v>
      </c>
      <c r="C309" s="3" t="s">
        <v>22</v>
      </c>
    </row>
    <row r="310" spans="1:3" x14ac:dyDescent="0.2">
      <c r="A310" s="3" t="s">
        <v>2463</v>
      </c>
      <c r="B310" s="3" t="s">
        <v>2095</v>
      </c>
      <c r="C310" s="3" t="s">
        <v>22</v>
      </c>
    </row>
    <row r="311" spans="1:3" x14ac:dyDescent="0.2">
      <c r="A311" s="3" t="s">
        <v>2463</v>
      </c>
      <c r="B311" s="3" t="s">
        <v>2115</v>
      </c>
      <c r="C311" s="3" t="s">
        <v>22</v>
      </c>
    </row>
    <row r="312" spans="1:3" x14ac:dyDescent="0.2">
      <c r="A312" s="3" t="s">
        <v>2464</v>
      </c>
      <c r="B312" s="3" t="s">
        <v>2081</v>
      </c>
      <c r="C312" s="3" t="s">
        <v>22</v>
      </c>
    </row>
    <row r="313" spans="1:3" x14ac:dyDescent="0.2">
      <c r="A313" s="3" t="s">
        <v>2464</v>
      </c>
      <c r="B313" s="3" t="s">
        <v>2083</v>
      </c>
      <c r="C313" s="3" t="s">
        <v>22</v>
      </c>
    </row>
    <row r="314" spans="1:3" x14ac:dyDescent="0.2">
      <c r="A314" s="3" t="s">
        <v>2465</v>
      </c>
      <c r="B314" s="3" t="s">
        <v>2082</v>
      </c>
      <c r="C314" s="3" t="s">
        <v>22</v>
      </c>
    </row>
    <row r="315" spans="1:3" x14ac:dyDescent="0.2">
      <c r="A315" s="3" t="s">
        <v>2466</v>
      </c>
      <c r="B315" s="3" t="s">
        <v>2086</v>
      </c>
      <c r="C315" s="3" t="s">
        <v>22</v>
      </c>
    </row>
    <row r="316" spans="1:3" x14ac:dyDescent="0.2">
      <c r="A316" s="3" t="s">
        <v>2466</v>
      </c>
      <c r="B316" s="3" t="s">
        <v>2096</v>
      </c>
      <c r="C316" s="3" t="s">
        <v>22</v>
      </c>
    </row>
    <row r="317" spans="1:3" x14ac:dyDescent="0.2">
      <c r="A317" s="3" t="s">
        <v>2467</v>
      </c>
      <c r="B317" s="3" t="s">
        <v>2000</v>
      </c>
      <c r="C317" s="3" t="s">
        <v>22</v>
      </c>
    </row>
    <row r="318" spans="1:3" x14ac:dyDescent="0.2">
      <c r="A318" s="3" t="s">
        <v>2467</v>
      </c>
      <c r="B318" s="3" t="s">
        <v>2001</v>
      </c>
      <c r="C318" s="3" t="s">
        <v>22</v>
      </c>
    </row>
    <row r="319" spans="1:3" x14ac:dyDescent="0.2">
      <c r="A319" s="3" t="s">
        <v>2467</v>
      </c>
      <c r="B319" s="3" t="s">
        <v>2002</v>
      </c>
      <c r="C319" s="3" t="s">
        <v>22</v>
      </c>
    </row>
    <row r="320" spans="1:3" x14ac:dyDescent="0.2">
      <c r="A320" s="3" t="s">
        <v>2467</v>
      </c>
      <c r="B320" s="3" t="s">
        <v>2003</v>
      </c>
      <c r="C320" s="3" t="s">
        <v>22</v>
      </c>
    </row>
    <row r="321" spans="1:3" x14ac:dyDescent="0.2">
      <c r="A321" s="3" t="s">
        <v>2467</v>
      </c>
      <c r="B321" s="3" t="s">
        <v>2004</v>
      </c>
      <c r="C321" s="3" t="s">
        <v>22</v>
      </c>
    </row>
    <row r="322" spans="1:3" x14ac:dyDescent="0.2">
      <c r="A322" s="3" t="s">
        <v>2467</v>
      </c>
      <c r="B322" s="3" t="s">
        <v>2005</v>
      </c>
      <c r="C322" s="3" t="s">
        <v>22</v>
      </c>
    </row>
    <row r="323" spans="1:3" x14ac:dyDescent="0.2">
      <c r="A323" s="3" t="s">
        <v>2467</v>
      </c>
      <c r="B323" s="3" t="s">
        <v>2006</v>
      </c>
      <c r="C323" s="3" t="s">
        <v>22</v>
      </c>
    </row>
    <row r="324" spans="1:3" x14ac:dyDescent="0.2">
      <c r="A324" s="3" t="s">
        <v>2467</v>
      </c>
      <c r="B324" s="3" t="s">
        <v>2007</v>
      </c>
      <c r="C324" s="3" t="s">
        <v>22</v>
      </c>
    </row>
    <row r="325" spans="1:3" x14ac:dyDescent="0.2">
      <c r="A325" s="3" t="s">
        <v>2467</v>
      </c>
      <c r="B325" s="3" t="s">
        <v>2008</v>
      </c>
      <c r="C325" s="3" t="s">
        <v>22</v>
      </c>
    </row>
    <row r="326" spans="1:3" x14ac:dyDescent="0.2">
      <c r="A326" s="3" t="s">
        <v>2468</v>
      </c>
      <c r="B326" s="3" t="s">
        <v>2005</v>
      </c>
      <c r="C326" s="3" t="s">
        <v>22</v>
      </c>
    </row>
    <row r="327" spans="1:3" x14ac:dyDescent="0.2">
      <c r="A327" s="3" t="s">
        <v>2468</v>
      </c>
      <c r="B327" s="3" t="s">
        <v>2006</v>
      </c>
      <c r="C327" s="3" t="s">
        <v>22</v>
      </c>
    </row>
    <row r="328" spans="1:3" x14ac:dyDescent="0.2">
      <c r="A328" s="3" t="s">
        <v>2469</v>
      </c>
      <c r="B328" s="3" t="s">
        <v>2010</v>
      </c>
      <c r="C328" s="3" t="s">
        <v>22</v>
      </c>
    </row>
    <row r="329" spans="1:3" x14ac:dyDescent="0.2">
      <c r="A329" s="3" t="s">
        <v>2469</v>
      </c>
      <c r="B329" s="3" t="s">
        <v>2011</v>
      </c>
      <c r="C329" s="3" t="s">
        <v>22</v>
      </c>
    </row>
    <row r="330" spans="1:3" x14ac:dyDescent="0.2">
      <c r="A330" s="3" t="s">
        <v>2469</v>
      </c>
      <c r="B330" s="3" t="s">
        <v>2012</v>
      </c>
      <c r="C330" s="3" t="s">
        <v>22</v>
      </c>
    </row>
    <row r="331" spans="1:3" x14ac:dyDescent="0.2">
      <c r="A331" s="3" t="s">
        <v>2469</v>
      </c>
      <c r="B331" s="3" t="s">
        <v>2013</v>
      </c>
      <c r="C331" s="3" t="s">
        <v>22</v>
      </c>
    </row>
    <row r="332" spans="1:3" x14ac:dyDescent="0.2">
      <c r="A332" s="3" t="s">
        <v>2469</v>
      </c>
      <c r="B332" s="3" t="s">
        <v>2014</v>
      </c>
      <c r="C332" s="3" t="s">
        <v>22</v>
      </c>
    </row>
    <row r="333" spans="1:3" x14ac:dyDescent="0.2">
      <c r="A333" s="3" t="s">
        <v>2469</v>
      </c>
      <c r="B333" s="3" t="s">
        <v>2015</v>
      </c>
      <c r="C333" s="3" t="s">
        <v>22</v>
      </c>
    </row>
    <row r="334" spans="1:3" x14ac:dyDescent="0.2">
      <c r="A334" s="3" t="s">
        <v>2469</v>
      </c>
      <c r="B334" s="3" t="s">
        <v>2016</v>
      </c>
      <c r="C334" s="3" t="s">
        <v>22</v>
      </c>
    </row>
    <row r="335" spans="1:3" x14ac:dyDescent="0.2">
      <c r="A335" s="3" t="s">
        <v>2469</v>
      </c>
      <c r="B335" s="3" t="s">
        <v>2017</v>
      </c>
      <c r="C335" s="3" t="s">
        <v>22</v>
      </c>
    </row>
    <row r="336" spans="1:3" x14ac:dyDescent="0.2">
      <c r="A336" s="3" t="s">
        <v>2469</v>
      </c>
      <c r="B336" s="3" t="s">
        <v>2019</v>
      </c>
      <c r="C336" s="3" t="s">
        <v>22</v>
      </c>
    </row>
    <row r="337" spans="1:3" x14ac:dyDescent="0.2">
      <c r="A337" s="3" t="s">
        <v>2470</v>
      </c>
      <c r="B337" s="3" t="s">
        <v>2018</v>
      </c>
      <c r="C337" s="3" t="s">
        <v>22</v>
      </c>
    </row>
    <row r="338" spans="1:3" x14ac:dyDescent="0.2">
      <c r="A338" s="3" t="s">
        <v>2471</v>
      </c>
      <c r="B338" s="3" t="s">
        <v>1938</v>
      </c>
      <c r="C338" s="3" t="s">
        <v>22</v>
      </c>
    </row>
    <row r="339" spans="1:3" x14ac:dyDescent="0.2">
      <c r="A339" s="3" t="s">
        <v>2471</v>
      </c>
      <c r="B339" s="3" t="s">
        <v>1939</v>
      </c>
      <c r="C339" s="3" t="s">
        <v>22</v>
      </c>
    </row>
    <row r="340" spans="1:3" x14ac:dyDescent="0.2">
      <c r="A340" s="3" t="s">
        <v>2471</v>
      </c>
      <c r="B340" s="3" t="s">
        <v>1940</v>
      </c>
      <c r="C340" s="3" t="s">
        <v>22</v>
      </c>
    </row>
    <row r="341" spans="1:3" x14ac:dyDescent="0.2">
      <c r="A341" s="3" t="s">
        <v>2471</v>
      </c>
      <c r="B341" s="3" t="s">
        <v>1941</v>
      </c>
      <c r="C341" s="3" t="s">
        <v>22</v>
      </c>
    </row>
    <row r="342" spans="1:3" x14ac:dyDescent="0.2">
      <c r="A342" s="3" t="s">
        <v>2471</v>
      </c>
      <c r="B342" s="3" t="s">
        <v>1942</v>
      </c>
      <c r="C342" s="3" t="s">
        <v>22</v>
      </c>
    </row>
    <row r="343" spans="1:3" x14ac:dyDescent="0.2">
      <c r="A343" s="3" t="s">
        <v>2472</v>
      </c>
      <c r="B343" s="3" t="s">
        <v>1966</v>
      </c>
      <c r="C343" s="3" t="s">
        <v>22</v>
      </c>
    </row>
    <row r="344" spans="1:3" x14ac:dyDescent="0.2">
      <c r="A344" s="3" t="s">
        <v>2472</v>
      </c>
      <c r="B344" s="3" t="s">
        <v>1967</v>
      </c>
      <c r="C344" s="3" t="s">
        <v>22</v>
      </c>
    </row>
    <row r="345" spans="1:3" x14ac:dyDescent="0.2">
      <c r="A345" s="3" t="s">
        <v>2472</v>
      </c>
      <c r="B345" s="3" t="s">
        <v>1968</v>
      </c>
      <c r="C345" s="3" t="s">
        <v>22</v>
      </c>
    </row>
    <row r="346" spans="1:3" x14ac:dyDescent="0.2">
      <c r="A346" s="3" t="s">
        <v>2472</v>
      </c>
      <c r="B346" s="3" t="s">
        <v>1969</v>
      </c>
      <c r="C346" s="3" t="s">
        <v>22</v>
      </c>
    </row>
    <row r="347" spans="1:3" x14ac:dyDescent="0.2">
      <c r="A347" s="3" t="s">
        <v>2472</v>
      </c>
      <c r="B347" s="3" t="s">
        <v>1970</v>
      </c>
      <c r="C347" s="3" t="s">
        <v>22</v>
      </c>
    </row>
    <row r="348" spans="1:3" x14ac:dyDescent="0.2">
      <c r="A348" s="3" t="s">
        <v>2472</v>
      </c>
      <c r="B348" s="3" t="s">
        <v>1971</v>
      </c>
      <c r="C348" s="3" t="s">
        <v>22</v>
      </c>
    </row>
    <row r="349" spans="1:3" x14ac:dyDescent="0.2">
      <c r="A349" s="3" t="s">
        <v>2472</v>
      </c>
      <c r="B349" s="3" t="s">
        <v>1972</v>
      </c>
      <c r="C349" s="3" t="s">
        <v>22</v>
      </c>
    </row>
    <row r="350" spans="1:3" x14ac:dyDescent="0.2">
      <c r="A350" s="3" t="s">
        <v>2472</v>
      </c>
      <c r="B350" s="3" t="s">
        <v>1973</v>
      </c>
      <c r="C350" s="3" t="s">
        <v>22</v>
      </c>
    </row>
    <row r="351" spans="1:3" x14ac:dyDescent="0.2">
      <c r="A351" s="3" t="s">
        <v>2472</v>
      </c>
      <c r="B351" s="3" t="s">
        <v>1974</v>
      </c>
      <c r="C351" s="3" t="s">
        <v>22</v>
      </c>
    </row>
    <row r="352" spans="1:3" x14ac:dyDescent="0.2">
      <c r="A352" s="3" t="s">
        <v>2472</v>
      </c>
      <c r="B352" s="3" t="s">
        <v>1975</v>
      </c>
      <c r="C352" s="3" t="s">
        <v>22</v>
      </c>
    </row>
    <row r="353" spans="1:3" x14ac:dyDescent="0.2">
      <c r="A353" s="3" t="s">
        <v>2472</v>
      </c>
      <c r="B353" s="3" t="s">
        <v>1976</v>
      </c>
      <c r="C353" s="3" t="s">
        <v>22</v>
      </c>
    </row>
    <row r="354" spans="1:3" x14ac:dyDescent="0.2">
      <c r="A354" s="3" t="s">
        <v>2472</v>
      </c>
      <c r="B354" s="3" t="s">
        <v>1977</v>
      </c>
      <c r="C354" s="3" t="s">
        <v>22</v>
      </c>
    </row>
    <row r="355" spans="1:3" x14ac:dyDescent="0.2">
      <c r="A355" s="3" t="s">
        <v>2472</v>
      </c>
      <c r="B355" s="3" t="s">
        <v>1979</v>
      </c>
      <c r="C355" s="3" t="s">
        <v>22</v>
      </c>
    </row>
    <row r="356" spans="1:3" x14ac:dyDescent="0.2">
      <c r="A356" s="3" t="s">
        <v>2472</v>
      </c>
      <c r="B356" s="3" t="s">
        <v>1980</v>
      </c>
      <c r="C356" s="3" t="s">
        <v>22</v>
      </c>
    </row>
    <row r="357" spans="1:3" x14ac:dyDescent="0.2">
      <c r="A357" s="3" t="s">
        <v>2472</v>
      </c>
      <c r="B357" s="3" t="s">
        <v>1981</v>
      </c>
      <c r="C357" s="3" t="s">
        <v>22</v>
      </c>
    </row>
    <row r="358" spans="1:3" x14ac:dyDescent="0.2">
      <c r="A358" s="3" t="s">
        <v>2472</v>
      </c>
      <c r="B358" s="3" t="s">
        <v>1982</v>
      </c>
      <c r="C358" s="3" t="s">
        <v>22</v>
      </c>
    </row>
    <row r="359" spans="1:3" x14ac:dyDescent="0.2">
      <c r="A359" s="3" t="s">
        <v>2472</v>
      </c>
      <c r="B359" s="3" t="s">
        <v>2089</v>
      </c>
      <c r="C359" s="3" t="s">
        <v>22</v>
      </c>
    </row>
    <row r="360" spans="1:3" x14ac:dyDescent="0.2">
      <c r="A360" s="3" t="s">
        <v>2472</v>
      </c>
      <c r="B360" s="3" t="s">
        <v>1983</v>
      </c>
      <c r="C360" s="3" t="s">
        <v>22</v>
      </c>
    </row>
    <row r="361" spans="1:3" x14ac:dyDescent="0.2">
      <c r="A361" s="3" t="s">
        <v>2472</v>
      </c>
      <c r="B361" s="3" t="s">
        <v>1984</v>
      </c>
      <c r="C361" s="3" t="s">
        <v>22</v>
      </c>
    </row>
    <row r="362" spans="1:3" x14ac:dyDescent="0.2">
      <c r="A362" s="3" t="s">
        <v>2472</v>
      </c>
      <c r="B362" s="3" t="s">
        <v>1985</v>
      </c>
      <c r="C362" s="3" t="s">
        <v>22</v>
      </c>
    </row>
    <row r="363" spans="1:3" x14ac:dyDescent="0.2">
      <c r="A363" s="3" t="s">
        <v>2472</v>
      </c>
      <c r="B363" s="3" t="s">
        <v>1986</v>
      </c>
      <c r="C363" s="3" t="s">
        <v>22</v>
      </c>
    </row>
    <row r="364" spans="1:3" x14ac:dyDescent="0.2">
      <c r="A364" s="3" t="s">
        <v>2472</v>
      </c>
      <c r="B364" s="3" t="s">
        <v>1987</v>
      </c>
      <c r="C364" s="3" t="s">
        <v>22</v>
      </c>
    </row>
    <row r="365" spans="1:3" x14ac:dyDescent="0.2">
      <c r="A365" s="3" t="s">
        <v>2472</v>
      </c>
      <c r="B365" s="3" t="s">
        <v>1997</v>
      </c>
      <c r="C365" s="3" t="s">
        <v>22</v>
      </c>
    </row>
    <row r="366" spans="1:3" x14ac:dyDescent="0.2">
      <c r="A366" s="3" t="s">
        <v>2472</v>
      </c>
      <c r="B366" s="3" t="s">
        <v>2116</v>
      </c>
      <c r="C366" s="3" t="s">
        <v>22</v>
      </c>
    </row>
    <row r="367" spans="1:3" x14ac:dyDescent="0.2">
      <c r="A367" s="3" t="s">
        <v>2472</v>
      </c>
      <c r="B367" s="3" t="s">
        <v>2117</v>
      </c>
      <c r="C367" s="3" t="s">
        <v>22</v>
      </c>
    </row>
    <row r="368" spans="1:3" x14ac:dyDescent="0.2">
      <c r="A368" s="3" t="s">
        <v>2473</v>
      </c>
      <c r="B368" s="3" t="s">
        <v>2094</v>
      </c>
      <c r="C368" s="3" t="s">
        <v>22</v>
      </c>
    </row>
    <row r="369" spans="1:3" x14ac:dyDescent="0.2">
      <c r="A369" s="3" t="s">
        <v>2473</v>
      </c>
      <c r="B369" s="3" t="s">
        <v>2095</v>
      </c>
      <c r="C369" s="3" t="s">
        <v>22</v>
      </c>
    </row>
    <row r="370" spans="1:3" x14ac:dyDescent="0.2">
      <c r="A370" s="3" t="s">
        <v>2473</v>
      </c>
      <c r="B370" s="3" t="s">
        <v>2115</v>
      </c>
      <c r="C370" s="3" t="s">
        <v>22</v>
      </c>
    </row>
    <row r="371" spans="1:3" x14ac:dyDescent="0.2">
      <c r="A371" s="3" t="s">
        <v>2474</v>
      </c>
      <c r="B371" s="3" t="s">
        <v>1963</v>
      </c>
      <c r="C371" s="3" t="s">
        <v>22</v>
      </c>
    </row>
    <row r="372" spans="1:3" x14ac:dyDescent="0.2">
      <c r="A372" s="3" t="s">
        <v>2474</v>
      </c>
      <c r="B372" s="3" t="s">
        <v>1966</v>
      </c>
      <c r="C372" s="3" t="s">
        <v>22</v>
      </c>
    </row>
    <row r="373" spans="1:3" x14ac:dyDescent="0.2">
      <c r="A373" s="3" t="s">
        <v>2474</v>
      </c>
      <c r="B373" s="3" t="s">
        <v>1967</v>
      </c>
      <c r="C373" s="3" t="s">
        <v>22</v>
      </c>
    </row>
    <row r="374" spans="1:3" x14ac:dyDescent="0.2">
      <c r="A374" s="3" t="s">
        <v>2474</v>
      </c>
      <c r="B374" s="3" t="s">
        <v>1972</v>
      </c>
      <c r="C374" s="3" t="s">
        <v>22</v>
      </c>
    </row>
    <row r="375" spans="1:3" x14ac:dyDescent="0.2">
      <c r="A375" s="3" t="s">
        <v>2474</v>
      </c>
      <c r="B375" s="3" t="s">
        <v>1973</v>
      </c>
      <c r="C375" s="3" t="s">
        <v>22</v>
      </c>
    </row>
    <row r="376" spans="1:3" x14ac:dyDescent="0.2">
      <c r="A376" s="3" t="s">
        <v>2474</v>
      </c>
      <c r="B376" s="3" t="s">
        <v>1974</v>
      </c>
      <c r="C376" s="3" t="s">
        <v>22</v>
      </c>
    </row>
    <row r="377" spans="1:3" x14ac:dyDescent="0.2">
      <c r="A377" s="3" t="s">
        <v>2474</v>
      </c>
      <c r="B377" s="3" t="s">
        <v>1975</v>
      </c>
      <c r="C377" s="3" t="s">
        <v>22</v>
      </c>
    </row>
    <row r="378" spans="1:3" x14ac:dyDescent="0.2">
      <c r="A378" s="3" t="s">
        <v>2474</v>
      </c>
      <c r="B378" s="3" t="s">
        <v>1976</v>
      </c>
      <c r="C378" s="3" t="s">
        <v>22</v>
      </c>
    </row>
    <row r="379" spans="1:3" x14ac:dyDescent="0.2">
      <c r="A379" s="3" t="s">
        <v>2474</v>
      </c>
      <c r="B379" s="3" t="s">
        <v>1980</v>
      </c>
      <c r="C379" s="3" t="s">
        <v>22</v>
      </c>
    </row>
    <row r="380" spans="1:3" x14ac:dyDescent="0.2">
      <c r="A380" s="3" t="s">
        <v>2474</v>
      </c>
      <c r="B380" s="3" t="s">
        <v>1981</v>
      </c>
      <c r="C380" s="3" t="s">
        <v>22</v>
      </c>
    </row>
    <row r="381" spans="1:3" x14ac:dyDescent="0.2">
      <c r="A381" s="3" t="s">
        <v>2474</v>
      </c>
      <c r="B381" s="3" t="s">
        <v>1982</v>
      </c>
      <c r="C381" s="3" t="s">
        <v>22</v>
      </c>
    </row>
    <row r="382" spans="1:3" x14ac:dyDescent="0.2">
      <c r="A382" s="3" t="s">
        <v>2474</v>
      </c>
      <c r="B382" s="3" t="s">
        <v>2089</v>
      </c>
      <c r="C382" s="3" t="s">
        <v>22</v>
      </c>
    </row>
    <row r="383" spans="1:3" x14ac:dyDescent="0.2">
      <c r="A383" s="3" t="s">
        <v>2474</v>
      </c>
      <c r="B383" s="3" t="s">
        <v>1983</v>
      </c>
      <c r="C383" s="3" t="s">
        <v>22</v>
      </c>
    </row>
    <row r="384" spans="1:3" x14ac:dyDescent="0.2">
      <c r="A384" s="3" t="s">
        <v>2474</v>
      </c>
      <c r="B384" s="3" t="s">
        <v>1984</v>
      </c>
      <c r="C384" s="3" t="s">
        <v>22</v>
      </c>
    </row>
    <row r="385" spans="1:3" x14ac:dyDescent="0.2">
      <c r="A385" s="3" t="s">
        <v>2474</v>
      </c>
      <c r="B385" s="3" t="s">
        <v>1987</v>
      </c>
      <c r="C385" s="3" t="s">
        <v>22</v>
      </c>
    </row>
    <row r="386" spans="1:3" x14ac:dyDescent="0.2">
      <c r="A386" s="3" t="s">
        <v>2474</v>
      </c>
      <c r="B386" s="3" t="s">
        <v>1990</v>
      </c>
      <c r="C386" s="3" t="s">
        <v>22</v>
      </c>
    </row>
    <row r="387" spans="1:3" x14ac:dyDescent="0.2">
      <c r="A387" s="3" t="s">
        <v>2474</v>
      </c>
      <c r="B387" s="3" t="s">
        <v>1997</v>
      </c>
      <c r="C387" s="3" t="s">
        <v>22</v>
      </c>
    </row>
    <row r="388" spans="1:3" x14ac:dyDescent="0.2">
      <c r="A388" s="3" t="s">
        <v>2474</v>
      </c>
      <c r="B388" s="3" t="s">
        <v>2116</v>
      </c>
      <c r="C388" s="3" t="s">
        <v>22</v>
      </c>
    </row>
    <row r="389" spans="1:3" x14ac:dyDescent="0.2">
      <c r="A389" s="3" t="s">
        <v>2474</v>
      </c>
      <c r="B389" s="3" t="s">
        <v>2148</v>
      </c>
      <c r="C389" s="3" t="s">
        <v>22</v>
      </c>
    </row>
    <row r="390" spans="1:3" x14ac:dyDescent="0.2">
      <c r="A390" s="3" t="s">
        <v>2474</v>
      </c>
      <c r="B390" s="3" t="s">
        <v>2149</v>
      </c>
      <c r="C390" s="3" t="s">
        <v>22</v>
      </c>
    </row>
    <row r="391" spans="1:3" x14ac:dyDescent="0.2">
      <c r="A391" s="3" t="s">
        <v>2474</v>
      </c>
      <c r="B391" s="3" t="s">
        <v>2150</v>
      </c>
      <c r="C391" s="3" t="s">
        <v>22</v>
      </c>
    </row>
    <row r="392" spans="1:3" x14ac:dyDescent="0.2">
      <c r="A392" s="3" t="s">
        <v>2474</v>
      </c>
      <c r="B392" s="3" t="s">
        <v>2151</v>
      </c>
      <c r="C392" s="3" t="s">
        <v>22</v>
      </c>
    </row>
    <row r="393" spans="1:3" x14ac:dyDescent="0.2">
      <c r="A393" s="3" t="s">
        <v>2474</v>
      </c>
      <c r="B393" s="3" t="s">
        <v>2152</v>
      </c>
      <c r="C393" s="3" t="s">
        <v>22</v>
      </c>
    </row>
    <row r="394" spans="1:3" x14ac:dyDescent="0.2">
      <c r="A394" s="3" t="s">
        <v>2474</v>
      </c>
      <c r="B394" s="3" t="s">
        <v>2153</v>
      </c>
      <c r="C394" s="3" t="s">
        <v>22</v>
      </c>
    </row>
    <row r="395" spans="1:3" x14ac:dyDescent="0.2">
      <c r="A395" s="3" t="s">
        <v>2474</v>
      </c>
      <c r="B395" s="3" t="s">
        <v>2154</v>
      </c>
      <c r="C395" s="3" t="s">
        <v>22</v>
      </c>
    </row>
    <row r="396" spans="1:3" x14ac:dyDescent="0.2">
      <c r="A396" s="3" t="s">
        <v>2474</v>
      </c>
      <c r="B396" s="3" t="s">
        <v>2117</v>
      </c>
      <c r="C396" s="3" t="s">
        <v>22</v>
      </c>
    </row>
    <row r="397" spans="1:3" x14ac:dyDescent="0.2">
      <c r="A397" s="3" t="s">
        <v>2475</v>
      </c>
      <c r="B397" s="3" t="s">
        <v>1963</v>
      </c>
      <c r="C397" s="3" t="s">
        <v>22</v>
      </c>
    </row>
    <row r="398" spans="1:3" x14ac:dyDescent="0.2">
      <c r="A398" s="3" t="s">
        <v>2475</v>
      </c>
      <c r="B398" s="3" t="s">
        <v>1966</v>
      </c>
      <c r="C398" s="3" t="s">
        <v>22</v>
      </c>
    </row>
    <row r="399" spans="1:3" x14ac:dyDescent="0.2">
      <c r="A399" s="3" t="s">
        <v>2475</v>
      </c>
      <c r="B399" s="3" t="s">
        <v>1967</v>
      </c>
      <c r="C399" s="3" t="s">
        <v>22</v>
      </c>
    </row>
    <row r="400" spans="1:3" x14ac:dyDescent="0.2">
      <c r="A400" s="3" t="s">
        <v>2475</v>
      </c>
      <c r="B400" s="3" t="s">
        <v>1971</v>
      </c>
      <c r="C400" s="3" t="s">
        <v>22</v>
      </c>
    </row>
    <row r="401" spans="1:3" x14ac:dyDescent="0.2">
      <c r="A401" s="3" t="s">
        <v>2475</v>
      </c>
      <c r="B401" s="3" t="s">
        <v>1972</v>
      </c>
      <c r="C401" s="3" t="s">
        <v>22</v>
      </c>
    </row>
    <row r="402" spans="1:3" x14ac:dyDescent="0.2">
      <c r="A402" s="3" t="s">
        <v>2475</v>
      </c>
      <c r="B402" s="3" t="s">
        <v>1973</v>
      </c>
      <c r="C402" s="3" t="s">
        <v>22</v>
      </c>
    </row>
    <row r="403" spans="1:3" x14ac:dyDescent="0.2">
      <c r="A403" s="3" t="s">
        <v>2475</v>
      </c>
      <c r="B403" s="3" t="s">
        <v>1974</v>
      </c>
      <c r="C403" s="3" t="s">
        <v>22</v>
      </c>
    </row>
    <row r="404" spans="1:3" x14ac:dyDescent="0.2">
      <c r="A404" s="3" t="s">
        <v>2475</v>
      </c>
      <c r="B404" s="3" t="s">
        <v>1975</v>
      </c>
      <c r="C404" s="3" t="s">
        <v>22</v>
      </c>
    </row>
    <row r="405" spans="1:3" x14ac:dyDescent="0.2">
      <c r="A405" s="3" t="s">
        <v>2475</v>
      </c>
      <c r="B405" s="3" t="s">
        <v>1976</v>
      </c>
      <c r="C405" s="3" t="s">
        <v>22</v>
      </c>
    </row>
    <row r="406" spans="1:3" x14ac:dyDescent="0.2">
      <c r="A406" s="3" t="s">
        <v>2475</v>
      </c>
      <c r="B406" s="3" t="s">
        <v>1980</v>
      </c>
      <c r="C406" s="3" t="s">
        <v>22</v>
      </c>
    </row>
    <row r="407" spans="1:3" x14ac:dyDescent="0.2">
      <c r="A407" s="3" t="s">
        <v>2475</v>
      </c>
      <c r="B407" s="3" t="s">
        <v>1981</v>
      </c>
      <c r="C407" s="3" t="s">
        <v>22</v>
      </c>
    </row>
    <row r="408" spans="1:3" x14ac:dyDescent="0.2">
      <c r="A408" s="3" t="s">
        <v>2475</v>
      </c>
      <c r="B408" s="3" t="s">
        <v>1982</v>
      </c>
      <c r="C408" s="3" t="s">
        <v>22</v>
      </c>
    </row>
    <row r="409" spans="1:3" x14ac:dyDescent="0.2">
      <c r="A409" s="3" t="s">
        <v>2475</v>
      </c>
      <c r="B409" s="3" t="s">
        <v>2089</v>
      </c>
      <c r="C409" s="3" t="s">
        <v>22</v>
      </c>
    </row>
    <row r="410" spans="1:3" x14ac:dyDescent="0.2">
      <c r="A410" s="3" t="s">
        <v>2475</v>
      </c>
      <c r="B410" s="3" t="s">
        <v>1983</v>
      </c>
      <c r="C410" s="3" t="s">
        <v>22</v>
      </c>
    </row>
    <row r="411" spans="1:3" x14ac:dyDescent="0.2">
      <c r="A411" s="3" t="s">
        <v>2475</v>
      </c>
      <c r="B411" s="3" t="s">
        <v>1984</v>
      </c>
      <c r="C411" s="3" t="s">
        <v>22</v>
      </c>
    </row>
    <row r="412" spans="1:3" x14ac:dyDescent="0.2">
      <c r="A412" s="3" t="s">
        <v>2475</v>
      </c>
      <c r="B412" s="3" t="s">
        <v>1987</v>
      </c>
      <c r="C412" s="3" t="s">
        <v>22</v>
      </c>
    </row>
    <row r="413" spans="1:3" x14ac:dyDescent="0.2">
      <c r="A413" s="3" t="s">
        <v>2475</v>
      </c>
      <c r="B413" s="3" t="s">
        <v>1988</v>
      </c>
      <c r="C413" s="3" t="s">
        <v>22</v>
      </c>
    </row>
    <row r="414" spans="1:3" x14ac:dyDescent="0.2">
      <c r="A414" s="3" t="s">
        <v>2475</v>
      </c>
      <c r="B414" s="3" t="s">
        <v>1989</v>
      </c>
      <c r="C414" s="3" t="s">
        <v>22</v>
      </c>
    </row>
    <row r="415" spans="1:3" x14ac:dyDescent="0.2">
      <c r="A415" s="3" t="s">
        <v>2475</v>
      </c>
      <c r="B415" s="3" t="s">
        <v>1990</v>
      </c>
      <c r="C415" s="3" t="s">
        <v>22</v>
      </c>
    </row>
    <row r="416" spans="1:3" x14ac:dyDescent="0.2">
      <c r="A416" s="3" t="s">
        <v>2475</v>
      </c>
      <c r="B416" s="3" t="s">
        <v>1991</v>
      </c>
      <c r="C416" s="3" t="s">
        <v>22</v>
      </c>
    </row>
    <row r="417" spans="1:3" x14ac:dyDescent="0.2">
      <c r="A417" s="3" t="s">
        <v>2475</v>
      </c>
      <c r="B417" s="3" t="s">
        <v>1992</v>
      </c>
      <c r="C417" s="3" t="s">
        <v>22</v>
      </c>
    </row>
    <row r="418" spans="1:3" x14ac:dyDescent="0.2">
      <c r="A418" s="3" t="s">
        <v>2475</v>
      </c>
      <c r="B418" s="3" t="s">
        <v>1993</v>
      </c>
      <c r="C418" s="3" t="s">
        <v>22</v>
      </c>
    </row>
    <row r="419" spans="1:3" x14ac:dyDescent="0.2">
      <c r="A419" s="3" t="s">
        <v>2475</v>
      </c>
      <c r="B419" s="3" t="s">
        <v>1994</v>
      </c>
      <c r="C419" s="3" t="s">
        <v>22</v>
      </c>
    </row>
    <row r="420" spans="1:3" x14ac:dyDescent="0.2">
      <c r="A420" s="3" t="s">
        <v>2475</v>
      </c>
      <c r="B420" s="3" t="s">
        <v>1995</v>
      </c>
      <c r="C420" s="3" t="s">
        <v>22</v>
      </c>
    </row>
    <row r="421" spans="1:3" x14ac:dyDescent="0.2">
      <c r="A421" s="3" t="s">
        <v>2475</v>
      </c>
      <c r="B421" s="3" t="s">
        <v>1996</v>
      </c>
      <c r="C421" s="3" t="s">
        <v>22</v>
      </c>
    </row>
    <row r="422" spans="1:3" x14ac:dyDescent="0.2">
      <c r="A422" s="3" t="s">
        <v>2475</v>
      </c>
      <c r="B422" s="3" t="s">
        <v>1997</v>
      </c>
      <c r="C422" s="3" t="s">
        <v>22</v>
      </c>
    </row>
    <row r="423" spans="1:3" x14ac:dyDescent="0.2">
      <c r="A423" s="3" t="s">
        <v>2475</v>
      </c>
      <c r="B423" s="3" t="s">
        <v>2116</v>
      </c>
      <c r="C423" s="3" t="s">
        <v>22</v>
      </c>
    </row>
    <row r="424" spans="1:3" x14ac:dyDescent="0.2">
      <c r="A424" s="3" t="s">
        <v>2475</v>
      </c>
      <c r="B424" s="3" t="s">
        <v>2117</v>
      </c>
      <c r="C424" s="3" t="s">
        <v>22</v>
      </c>
    </row>
    <row r="425" spans="1:3" x14ac:dyDescent="0.2">
      <c r="A425" s="3" t="s">
        <v>2476</v>
      </c>
      <c r="B425" s="3" t="s">
        <v>1038</v>
      </c>
      <c r="C425" s="3" t="s">
        <v>22</v>
      </c>
    </row>
    <row r="426" spans="1:3" x14ac:dyDescent="0.2">
      <c r="A426" s="3" t="s">
        <v>2477</v>
      </c>
      <c r="B426" s="3" t="s">
        <v>1039</v>
      </c>
      <c r="C426" s="3" t="s">
        <v>22</v>
      </c>
    </row>
    <row r="427" spans="1:3" x14ac:dyDescent="0.2">
      <c r="A427" s="3" t="s">
        <v>2478</v>
      </c>
      <c r="B427" s="3" t="s">
        <v>1039</v>
      </c>
      <c r="C427" s="3" t="s">
        <v>22</v>
      </c>
    </row>
    <row r="428" spans="1:3" x14ac:dyDescent="0.2">
      <c r="A428" s="3" t="s">
        <v>2479</v>
      </c>
      <c r="B428" s="3" t="s">
        <v>1990</v>
      </c>
      <c r="C428" s="3" t="s">
        <v>22</v>
      </c>
    </row>
    <row r="429" spans="1:3" x14ac:dyDescent="0.2">
      <c r="A429" s="3" t="s">
        <v>2479</v>
      </c>
      <c r="B429" s="3" t="s">
        <v>2148</v>
      </c>
      <c r="C429" s="3" t="s">
        <v>22</v>
      </c>
    </row>
    <row r="430" spans="1:3" x14ac:dyDescent="0.2">
      <c r="A430" s="3" t="s">
        <v>2479</v>
      </c>
      <c r="B430" s="3" t="s">
        <v>2149</v>
      </c>
      <c r="C430" s="3" t="s">
        <v>22</v>
      </c>
    </row>
    <row r="431" spans="1:3" x14ac:dyDescent="0.2">
      <c r="A431" s="3" t="s">
        <v>2479</v>
      </c>
      <c r="B431" s="3" t="s">
        <v>2150</v>
      </c>
      <c r="C431" s="3" t="s">
        <v>22</v>
      </c>
    </row>
    <row r="432" spans="1:3" x14ac:dyDescent="0.2">
      <c r="A432" s="3" t="s">
        <v>2479</v>
      </c>
      <c r="B432" s="3" t="s">
        <v>2151</v>
      </c>
      <c r="C432" s="3" t="s">
        <v>22</v>
      </c>
    </row>
    <row r="433" spans="1:3" x14ac:dyDescent="0.2">
      <c r="A433" s="3" t="s">
        <v>2479</v>
      </c>
      <c r="B433" s="3" t="s">
        <v>2152</v>
      </c>
      <c r="C433" s="3" t="s">
        <v>22</v>
      </c>
    </row>
    <row r="434" spans="1:3" x14ac:dyDescent="0.2">
      <c r="A434" s="3" t="s">
        <v>2479</v>
      </c>
      <c r="B434" s="3" t="s">
        <v>2153</v>
      </c>
      <c r="C434" s="3" t="s">
        <v>22</v>
      </c>
    </row>
    <row r="435" spans="1:3" x14ac:dyDescent="0.2">
      <c r="A435" s="3" t="s">
        <v>2479</v>
      </c>
      <c r="B435" s="3" t="s">
        <v>2154</v>
      </c>
      <c r="C435" s="3" t="s">
        <v>22</v>
      </c>
    </row>
    <row r="436" spans="1:3" x14ac:dyDescent="0.2">
      <c r="A436" s="3" t="s">
        <v>2480</v>
      </c>
      <c r="B436" s="3" t="s">
        <v>2100</v>
      </c>
      <c r="C436" s="3" t="s">
        <v>22</v>
      </c>
    </row>
    <row r="437" spans="1:3" x14ac:dyDescent="0.2">
      <c r="A437" s="3" t="s">
        <v>2480</v>
      </c>
      <c r="B437" s="3" t="s">
        <v>2101</v>
      </c>
      <c r="C437" s="3" t="s">
        <v>22</v>
      </c>
    </row>
    <row r="438" spans="1:3" x14ac:dyDescent="0.2">
      <c r="A438" s="3" t="s">
        <v>2480</v>
      </c>
      <c r="B438" s="3" t="s">
        <v>2103</v>
      </c>
      <c r="C438" s="3" t="s">
        <v>22</v>
      </c>
    </row>
    <row r="439" spans="1:3" x14ac:dyDescent="0.2">
      <c r="A439" s="3" t="s">
        <v>2480</v>
      </c>
      <c r="B439" s="3" t="s">
        <v>2109</v>
      </c>
      <c r="C439" s="3" t="s">
        <v>22</v>
      </c>
    </row>
    <row r="440" spans="1:3" x14ac:dyDescent="0.2">
      <c r="A440" s="3" t="s">
        <v>2480</v>
      </c>
      <c r="B440" s="3" t="s">
        <v>2110</v>
      </c>
      <c r="C440" s="3" t="s">
        <v>22</v>
      </c>
    </row>
    <row r="441" spans="1:3" x14ac:dyDescent="0.2">
      <c r="A441" s="3" t="s">
        <v>2481</v>
      </c>
      <c r="B441" s="3" t="s">
        <v>2100</v>
      </c>
      <c r="C441" s="3" t="s">
        <v>22</v>
      </c>
    </row>
    <row r="442" spans="1:3" x14ac:dyDescent="0.2">
      <c r="A442" s="3" t="s">
        <v>2481</v>
      </c>
      <c r="B442" s="3" t="s">
        <v>2101</v>
      </c>
      <c r="C442" s="3" t="s">
        <v>22</v>
      </c>
    </row>
    <row r="443" spans="1:3" x14ac:dyDescent="0.2">
      <c r="A443" s="3" t="s">
        <v>2481</v>
      </c>
      <c r="B443" s="3" t="s">
        <v>2105</v>
      </c>
      <c r="C443" s="3" t="s">
        <v>22</v>
      </c>
    </row>
    <row r="444" spans="1:3" x14ac:dyDescent="0.2">
      <c r="A444" s="3" t="s">
        <v>2481</v>
      </c>
      <c r="B444" s="3" t="s">
        <v>2106</v>
      </c>
      <c r="C444" s="3" t="s">
        <v>22</v>
      </c>
    </row>
    <row r="445" spans="1:3" x14ac:dyDescent="0.2">
      <c r="A445" s="3" t="s">
        <v>2481</v>
      </c>
      <c r="B445" s="3" t="s">
        <v>2108</v>
      </c>
      <c r="C445" s="3" t="s">
        <v>22</v>
      </c>
    </row>
    <row r="446" spans="1:3" x14ac:dyDescent="0.2">
      <c r="A446" s="3" t="s">
        <v>2481</v>
      </c>
      <c r="B446" s="3" t="s">
        <v>2109</v>
      </c>
      <c r="C446" s="3" t="s">
        <v>22</v>
      </c>
    </row>
    <row r="447" spans="1:3" x14ac:dyDescent="0.2">
      <c r="A447" s="3" t="s">
        <v>2481</v>
      </c>
      <c r="B447" s="3" t="s">
        <v>2110</v>
      </c>
      <c r="C447" s="3" t="s">
        <v>22</v>
      </c>
    </row>
    <row r="448" spans="1:3" x14ac:dyDescent="0.2">
      <c r="A448" s="3" t="s">
        <v>2482</v>
      </c>
      <c r="B448" s="3" t="s">
        <v>2102</v>
      </c>
      <c r="C448" s="3" t="s">
        <v>22</v>
      </c>
    </row>
    <row r="449" spans="1:3" x14ac:dyDescent="0.2">
      <c r="A449" s="3" t="s">
        <v>2482</v>
      </c>
      <c r="B449" s="3" t="s">
        <v>2104</v>
      </c>
      <c r="C449" s="3" t="s">
        <v>22</v>
      </c>
    </row>
    <row r="450" spans="1:3" x14ac:dyDescent="0.2">
      <c r="A450" s="3" t="s">
        <v>2482</v>
      </c>
      <c r="B450" s="3" t="s">
        <v>2107</v>
      </c>
      <c r="C450" s="3" t="s">
        <v>22</v>
      </c>
    </row>
    <row r="451" spans="1:3" x14ac:dyDescent="0.2">
      <c r="A451" s="3" t="s">
        <v>2483</v>
      </c>
      <c r="B451" s="3" t="s">
        <v>1839</v>
      </c>
      <c r="C451" s="3" t="s">
        <v>22</v>
      </c>
    </row>
    <row r="452" spans="1:3" x14ac:dyDescent="0.2">
      <c r="A452" s="3" t="s">
        <v>2483</v>
      </c>
      <c r="B452" s="3" t="s">
        <v>1840</v>
      </c>
      <c r="C452" s="3" t="s">
        <v>22</v>
      </c>
    </row>
    <row r="453" spans="1:3" x14ac:dyDescent="0.2">
      <c r="A453" s="3" t="s">
        <v>2483</v>
      </c>
      <c r="B453" s="3" t="s">
        <v>1841</v>
      </c>
      <c r="C453" s="3" t="s">
        <v>22</v>
      </c>
    </row>
    <row r="454" spans="1:3" x14ac:dyDescent="0.2">
      <c r="A454" s="3" t="s">
        <v>2483</v>
      </c>
      <c r="B454" s="3" t="s">
        <v>1842</v>
      </c>
      <c r="C454" s="3" t="s">
        <v>22</v>
      </c>
    </row>
    <row r="455" spans="1:3" x14ac:dyDescent="0.2">
      <c r="A455" s="3" t="s">
        <v>2483</v>
      </c>
      <c r="B455" s="3" t="s">
        <v>1843</v>
      </c>
      <c r="C455" s="3" t="s">
        <v>22</v>
      </c>
    </row>
    <row r="456" spans="1:3" x14ac:dyDescent="0.2">
      <c r="A456" s="3" t="s">
        <v>2483</v>
      </c>
      <c r="B456" s="3" t="s">
        <v>1844</v>
      </c>
      <c r="C456" s="3" t="s">
        <v>22</v>
      </c>
    </row>
    <row r="457" spans="1:3" x14ac:dyDescent="0.2">
      <c r="A457" s="3" t="s">
        <v>2483</v>
      </c>
      <c r="B457" s="3" t="s">
        <v>1845</v>
      </c>
      <c r="C457" s="3" t="s">
        <v>22</v>
      </c>
    </row>
    <row r="458" spans="1:3" x14ac:dyDescent="0.2">
      <c r="A458" s="3" t="s">
        <v>2483</v>
      </c>
      <c r="B458" s="3" t="s">
        <v>1846</v>
      </c>
      <c r="C458" s="3" t="s">
        <v>22</v>
      </c>
    </row>
    <row r="459" spans="1:3" x14ac:dyDescent="0.2">
      <c r="A459" s="3" t="s">
        <v>2483</v>
      </c>
      <c r="B459" s="3" t="s">
        <v>1847</v>
      </c>
      <c r="C459" s="3" t="s">
        <v>22</v>
      </c>
    </row>
    <row r="460" spans="1:3" x14ac:dyDescent="0.2">
      <c r="A460" s="3" t="s">
        <v>2483</v>
      </c>
      <c r="B460" s="3" t="s">
        <v>1848</v>
      </c>
      <c r="C460" s="3" t="s">
        <v>22</v>
      </c>
    </row>
    <row r="461" spans="1:3" x14ac:dyDescent="0.2">
      <c r="A461" s="3" t="s">
        <v>2483</v>
      </c>
      <c r="B461" s="3" t="s">
        <v>1849</v>
      </c>
      <c r="C461" s="3" t="s">
        <v>22</v>
      </c>
    </row>
    <row r="462" spans="1:3" x14ac:dyDescent="0.2">
      <c r="A462" s="3" t="s">
        <v>2483</v>
      </c>
      <c r="B462" s="3" t="s">
        <v>1850</v>
      </c>
      <c r="C462" s="3" t="s">
        <v>22</v>
      </c>
    </row>
    <row r="463" spans="1:3" x14ac:dyDescent="0.2">
      <c r="A463" s="3" t="s">
        <v>2483</v>
      </c>
      <c r="B463" s="3" t="s">
        <v>1851</v>
      </c>
      <c r="C463" s="3" t="s">
        <v>22</v>
      </c>
    </row>
    <row r="464" spans="1:3" x14ac:dyDescent="0.2">
      <c r="A464" s="3" t="s">
        <v>2483</v>
      </c>
      <c r="B464" s="3" t="s">
        <v>1852</v>
      </c>
      <c r="C464" s="3" t="s">
        <v>22</v>
      </c>
    </row>
    <row r="465" spans="1:3" x14ac:dyDescent="0.2">
      <c r="A465" s="3" t="s">
        <v>2483</v>
      </c>
      <c r="B465" s="3" t="s">
        <v>1853</v>
      </c>
      <c r="C465" s="3" t="s">
        <v>22</v>
      </c>
    </row>
    <row r="466" spans="1:3" x14ac:dyDescent="0.2">
      <c r="A466" s="3" t="s">
        <v>2483</v>
      </c>
      <c r="B466" s="3" t="s">
        <v>1854</v>
      </c>
      <c r="C466" s="3" t="s">
        <v>22</v>
      </c>
    </row>
    <row r="467" spans="1:3" x14ac:dyDescent="0.2">
      <c r="A467" s="3" t="s">
        <v>2483</v>
      </c>
      <c r="B467" s="3" t="s">
        <v>1855</v>
      </c>
      <c r="C467" s="3" t="s">
        <v>22</v>
      </c>
    </row>
    <row r="468" spans="1:3" x14ac:dyDescent="0.2">
      <c r="A468" s="3" t="s">
        <v>2483</v>
      </c>
      <c r="B468" s="3" t="s">
        <v>1856</v>
      </c>
      <c r="C468" s="3" t="s">
        <v>22</v>
      </c>
    </row>
    <row r="469" spans="1:3" x14ac:dyDescent="0.2">
      <c r="A469" s="3" t="s">
        <v>2483</v>
      </c>
      <c r="B469" s="3" t="s">
        <v>1857</v>
      </c>
      <c r="C469" s="3" t="s">
        <v>22</v>
      </c>
    </row>
    <row r="470" spans="1:3" x14ac:dyDescent="0.2">
      <c r="A470" s="3" t="s">
        <v>2483</v>
      </c>
      <c r="B470" s="3" t="s">
        <v>1858</v>
      </c>
      <c r="C470" s="3" t="s">
        <v>22</v>
      </c>
    </row>
    <row r="471" spans="1:3" x14ac:dyDescent="0.2">
      <c r="A471" s="3" t="s">
        <v>2483</v>
      </c>
      <c r="B471" s="3" t="s">
        <v>1859</v>
      </c>
      <c r="C471" s="3" t="s">
        <v>22</v>
      </c>
    </row>
    <row r="472" spans="1:3" x14ac:dyDescent="0.2">
      <c r="A472" s="3" t="s">
        <v>2483</v>
      </c>
      <c r="B472" s="3" t="s">
        <v>1860</v>
      </c>
      <c r="C472" s="3" t="s">
        <v>22</v>
      </c>
    </row>
    <row r="473" spans="1:3" x14ac:dyDescent="0.2">
      <c r="A473" s="3" t="s">
        <v>2483</v>
      </c>
      <c r="B473" s="3" t="s">
        <v>1861</v>
      </c>
      <c r="C473" s="3" t="s">
        <v>22</v>
      </c>
    </row>
    <row r="474" spans="1:3" x14ac:dyDescent="0.2">
      <c r="A474" s="3" t="s">
        <v>2483</v>
      </c>
      <c r="B474" s="3" t="s">
        <v>1862</v>
      </c>
      <c r="C474" s="3" t="s">
        <v>22</v>
      </c>
    </row>
    <row r="475" spans="1:3" x14ac:dyDescent="0.2">
      <c r="A475" s="3" t="s">
        <v>2483</v>
      </c>
      <c r="B475" s="3" t="s">
        <v>1863</v>
      </c>
      <c r="C475" s="3" t="s">
        <v>22</v>
      </c>
    </row>
    <row r="476" spans="1:3" x14ac:dyDescent="0.2">
      <c r="A476" s="3" t="s">
        <v>2483</v>
      </c>
      <c r="B476" s="3" t="s">
        <v>1864</v>
      </c>
      <c r="C476" s="3" t="s">
        <v>22</v>
      </c>
    </row>
    <row r="477" spans="1:3" x14ac:dyDescent="0.2">
      <c r="A477" s="3" t="s">
        <v>2483</v>
      </c>
      <c r="B477" s="3" t="s">
        <v>1865</v>
      </c>
      <c r="C477" s="3" t="s">
        <v>22</v>
      </c>
    </row>
    <row r="478" spans="1:3" x14ac:dyDescent="0.2">
      <c r="A478" s="3" t="s">
        <v>2483</v>
      </c>
      <c r="B478" s="3" t="s">
        <v>1866</v>
      </c>
      <c r="C478" s="3" t="s">
        <v>22</v>
      </c>
    </row>
    <row r="479" spans="1:3" x14ac:dyDescent="0.2">
      <c r="A479" s="3" t="s">
        <v>2483</v>
      </c>
      <c r="B479" s="3" t="s">
        <v>1867</v>
      </c>
      <c r="C479" s="3" t="s">
        <v>22</v>
      </c>
    </row>
    <row r="480" spans="1:3" x14ac:dyDescent="0.2">
      <c r="A480" s="3" t="s">
        <v>2483</v>
      </c>
      <c r="B480" s="3" t="s">
        <v>1868</v>
      </c>
      <c r="C480" s="3" t="s">
        <v>22</v>
      </c>
    </row>
    <row r="481" spans="1:3" x14ac:dyDescent="0.2">
      <c r="A481" s="3" t="s">
        <v>2483</v>
      </c>
      <c r="B481" s="3" t="s">
        <v>1869</v>
      </c>
      <c r="C481" s="3" t="s">
        <v>22</v>
      </c>
    </row>
    <row r="482" spans="1:3" x14ac:dyDescent="0.2">
      <c r="A482" s="3" t="s">
        <v>2483</v>
      </c>
      <c r="B482" s="3" t="s">
        <v>1870</v>
      </c>
      <c r="C482" s="3" t="s">
        <v>22</v>
      </c>
    </row>
    <row r="483" spans="1:3" x14ac:dyDescent="0.2">
      <c r="A483" s="3" t="s">
        <v>2483</v>
      </c>
      <c r="B483" s="3" t="s">
        <v>1871</v>
      </c>
      <c r="C483" s="3" t="s">
        <v>22</v>
      </c>
    </row>
    <row r="484" spans="1:3" x14ac:dyDescent="0.2">
      <c r="A484" s="3" t="s">
        <v>2483</v>
      </c>
      <c r="B484" s="3" t="s">
        <v>1872</v>
      </c>
      <c r="C484" s="3" t="s">
        <v>22</v>
      </c>
    </row>
    <row r="485" spans="1:3" x14ac:dyDescent="0.2">
      <c r="A485" s="3" t="s">
        <v>2483</v>
      </c>
      <c r="B485" s="3" t="s">
        <v>1873</v>
      </c>
      <c r="C485" s="3" t="s">
        <v>22</v>
      </c>
    </row>
    <row r="486" spans="1:3" x14ac:dyDescent="0.2">
      <c r="A486" s="3" t="s">
        <v>2483</v>
      </c>
      <c r="B486" s="3" t="s">
        <v>1874</v>
      </c>
      <c r="C486" s="3" t="s">
        <v>22</v>
      </c>
    </row>
    <row r="487" spans="1:3" x14ac:dyDescent="0.2">
      <c r="A487" s="3" t="s">
        <v>2483</v>
      </c>
      <c r="B487" s="3" t="s">
        <v>1875</v>
      </c>
      <c r="C487" s="3" t="s">
        <v>22</v>
      </c>
    </row>
    <row r="488" spans="1:3" x14ac:dyDescent="0.2">
      <c r="A488" s="3" t="s">
        <v>2483</v>
      </c>
      <c r="B488" s="3" t="s">
        <v>1876</v>
      </c>
      <c r="C488" s="3" t="s">
        <v>22</v>
      </c>
    </row>
    <row r="489" spans="1:3" x14ac:dyDescent="0.2">
      <c r="A489" s="3" t="s">
        <v>2483</v>
      </c>
      <c r="B489" s="3" t="s">
        <v>1877</v>
      </c>
      <c r="C489" s="3" t="s">
        <v>22</v>
      </c>
    </row>
    <row r="490" spans="1:3" x14ac:dyDescent="0.2">
      <c r="A490" s="3" t="s">
        <v>2483</v>
      </c>
      <c r="B490" s="3" t="s">
        <v>1878</v>
      </c>
      <c r="C490" s="3" t="s">
        <v>22</v>
      </c>
    </row>
    <row r="491" spans="1:3" x14ac:dyDescent="0.2">
      <c r="A491" s="3" t="s">
        <v>2483</v>
      </c>
      <c r="B491" s="3" t="s">
        <v>1879</v>
      </c>
      <c r="C491" s="3" t="s">
        <v>22</v>
      </c>
    </row>
    <row r="492" spans="1:3" x14ac:dyDescent="0.2">
      <c r="A492" s="3" t="s">
        <v>2483</v>
      </c>
      <c r="B492" s="3" t="s">
        <v>1880</v>
      </c>
      <c r="C492" s="3" t="s">
        <v>22</v>
      </c>
    </row>
    <row r="493" spans="1:3" x14ac:dyDescent="0.2">
      <c r="A493" s="3" t="s">
        <v>2483</v>
      </c>
      <c r="B493" s="3" t="s">
        <v>1881</v>
      </c>
      <c r="C493" s="3" t="s">
        <v>22</v>
      </c>
    </row>
    <row r="494" spans="1:3" x14ac:dyDescent="0.2">
      <c r="A494" s="3" t="s">
        <v>2483</v>
      </c>
      <c r="B494" s="3" t="s">
        <v>1882</v>
      </c>
      <c r="C494" s="3" t="s">
        <v>22</v>
      </c>
    </row>
    <row r="495" spans="1:3" x14ac:dyDescent="0.2">
      <c r="A495" s="3" t="s">
        <v>2483</v>
      </c>
      <c r="B495" s="3" t="s">
        <v>1883</v>
      </c>
      <c r="C495" s="3" t="s">
        <v>22</v>
      </c>
    </row>
    <row r="496" spans="1:3" x14ac:dyDescent="0.2">
      <c r="A496" s="3" t="s">
        <v>2483</v>
      </c>
      <c r="B496" s="3" t="s">
        <v>1884</v>
      </c>
      <c r="C496" s="3" t="s">
        <v>22</v>
      </c>
    </row>
    <row r="497" spans="1:3" x14ac:dyDescent="0.2">
      <c r="A497" s="3" t="s">
        <v>2483</v>
      </c>
      <c r="B497" s="3" t="s">
        <v>2614</v>
      </c>
      <c r="C497" s="3" t="s">
        <v>22</v>
      </c>
    </row>
    <row r="498" spans="1:3" x14ac:dyDescent="0.2">
      <c r="A498" s="3" t="s">
        <v>2483</v>
      </c>
      <c r="B498" s="3" t="s">
        <v>1885</v>
      </c>
      <c r="C498" s="3" t="s">
        <v>22</v>
      </c>
    </row>
    <row r="499" spans="1:3" x14ac:dyDescent="0.2">
      <c r="A499" s="3" t="s">
        <v>2483</v>
      </c>
      <c r="B499" s="3" t="s">
        <v>2613</v>
      </c>
      <c r="C499" s="3" t="s">
        <v>22</v>
      </c>
    </row>
    <row r="500" spans="1:3" x14ac:dyDescent="0.2">
      <c r="A500" s="3" t="s">
        <v>2483</v>
      </c>
      <c r="B500" s="3" t="s">
        <v>1886</v>
      </c>
      <c r="C500" s="3" t="s">
        <v>22</v>
      </c>
    </row>
    <row r="501" spans="1:3" x14ac:dyDescent="0.2">
      <c r="A501" s="3" t="s">
        <v>2483</v>
      </c>
      <c r="B501" s="3" t="s">
        <v>1887</v>
      </c>
      <c r="C501" s="3" t="s">
        <v>22</v>
      </c>
    </row>
    <row r="502" spans="1:3" x14ac:dyDescent="0.2">
      <c r="A502" s="3" t="s">
        <v>2483</v>
      </c>
      <c r="B502" s="3" t="s">
        <v>1888</v>
      </c>
      <c r="C502" s="3" t="s">
        <v>22</v>
      </c>
    </row>
    <row r="503" spans="1:3" x14ac:dyDescent="0.2">
      <c r="A503" s="3" t="s">
        <v>2483</v>
      </c>
      <c r="B503" s="3" t="s">
        <v>1889</v>
      </c>
      <c r="C503" s="3" t="s">
        <v>22</v>
      </c>
    </row>
    <row r="504" spans="1:3" x14ac:dyDescent="0.2">
      <c r="A504" s="3" t="s">
        <v>2483</v>
      </c>
      <c r="B504" s="3" t="s">
        <v>1890</v>
      </c>
      <c r="C504" s="3" t="s">
        <v>22</v>
      </c>
    </row>
    <row r="505" spans="1:3" x14ac:dyDescent="0.2">
      <c r="A505" s="3" t="s">
        <v>2483</v>
      </c>
      <c r="B505" s="3" t="s">
        <v>1891</v>
      </c>
      <c r="C505" s="3" t="s">
        <v>22</v>
      </c>
    </row>
    <row r="506" spans="1:3" x14ac:dyDescent="0.2">
      <c r="A506" s="3" t="s">
        <v>2483</v>
      </c>
      <c r="B506" s="3" t="s">
        <v>1892</v>
      </c>
      <c r="C506" s="3" t="s">
        <v>22</v>
      </c>
    </row>
    <row r="507" spans="1:3" x14ac:dyDescent="0.2">
      <c r="A507" s="3" t="s">
        <v>2483</v>
      </c>
      <c r="B507" s="3" t="s">
        <v>1893</v>
      </c>
      <c r="C507" s="3" t="s">
        <v>22</v>
      </c>
    </row>
    <row r="508" spans="1:3" x14ac:dyDescent="0.2">
      <c r="A508" s="3" t="s">
        <v>2483</v>
      </c>
      <c r="B508" s="3" t="s">
        <v>1894</v>
      </c>
      <c r="C508" s="3" t="s">
        <v>22</v>
      </c>
    </row>
    <row r="509" spans="1:3" x14ac:dyDescent="0.2">
      <c r="A509" s="3" t="s">
        <v>2483</v>
      </c>
      <c r="B509" s="3" t="s">
        <v>1895</v>
      </c>
      <c r="C509" s="3" t="s">
        <v>22</v>
      </c>
    </row>
    <row r="510" spans="1:3" x14ac:dyDescent="0.2">
      <c r="A510" s="3" t="s">
        <v>2483</v>
      </c>
      <c r="B510" s="3" t="s">
        <v>1897</v>
      </c>
      <c r="C510" s="3" t="s">
        <v>22</v>
      </c>
    </row>
    <row r="511" spans="1:3" x14ac:dyDescent="0.2">
      <c r="A511" s="3" t="s">
        <v>2483</v>
      </c>
      <c r="B511" s="3" t="s">
        <v>1898</v>
      </c>
      <c r="C511" s="3" t="s">
        <v>22</v>
      </c>
    </row>
    <row r="512" spans="1:3" x14ac:dyDescent="0.2">
      <c r="A512" s="3" t="s">
        <v>2483</v>
      </c>
      <c r="B512" s="3" t="s">
        <v>1900</v>
      </c>
      <c r="C512" s="3" t="s">
        <v>22</v>
      </c>
    </row>
    <row r="513" spans="1:3" x14ac:dyDescent="0.2">
      <c r="A513" s="3" t="s">
        <v>2483</v>
      </c>
      <c r="B513" s="3" t="s">
        <v>1901</v>
      </c>
      <c r="C513" s="3" t="s">
        <v>22</v>
      </c>
    </row>
    <row r="514" spans="1:3" x14ac:dyDescent="0.2">
      <c r="A514" s="3" t="s">
        <v>2483</v>
      </c>
      <c r="B514" s="3" t="s">
        <v>1902</v>
      </c>
      <c r="C514" s="3" t="s">
        <v>22</v>
      </c>
    </row>
    <row r="515" spans="1:3" x14ac:dyDescent="0.2">
      <c r="A515" s="3" t="s">
        <v>2483</v>
      </c>
      <c r="B515" s="3" t="s">
        <v>1903</v>
      </c>
      <c r="C515" s="3" t="s">
        <v>22</v>
      </c>
    </row>
    <row r="516" spans="1:3" x14ac:dyDescent="0.2">
      <c r="A516" s="3" t="s">
        <v>2483</v>
      </c>
      <c r="B516" s="3" t="s">
        <v>1904</v>
      </c>
      <c r="C516" s="3" t="s">
        <v>22</v>
      </c>
    </row>
    <row r="517" spans="1:3" x14ac:dyDescent="0.2">
      <c r="A517" s="3" t="s">
        <v>2483</v>
      </c>
      <c r="B517" s="3" t="s">
        <v>2484</v>
      </c>
      <c r="C517" s="3" t="s">
        <v>22</v>
      </c>
    </row>
    <row r="518" spans="1:3" x14ac:dyDescent="0.2">
      <c r="A518" s="3" t="s">
        <v>2483</v>
      </c>
      <c r="B518" s="3" t="s">
        <v>1906</v>
      </c>
      <c r="C518" s="3" t="s">
        <v>22</v>
      </c>
    </row>
    <row r="519" spans="1:3" x14ac:dyDescent="0.2">
      <c r="A519" s="3" t="s">
        <v>2483</v>
      </c>
      <c r="B519" s="3" t="s">
        <v>1907</v>
      </c>
      <c r="C519" s="3" t="s">
        <v>22</v>
      </c>
    </row>
    <row r="520" spans="1:3" x14ac:dyDescent="0.2">
      <c r="A520" s="3" t="s">
        <v>2483</v>
      </c>
      <c r="B520" s="3" t="s">
        <v>1908</v>
      </c>
      <c r="C520" s="3" t="s">
        <v>22</v>
      </c>
    </row>
    <row r="521" spans="1:3" x14ac:dyDescent="0.2">
      <c r="A521" s="3" t="s">
        <v>2485</v>
      </c>
      <c r="B521" s="3" t="s">
        <v>1877</v>
      </c>
      <c r="C521" s="3" t="s">
        <v>22</v>
      </c>
    </row>
    <row r="522" spans="1:3" x14ac:dyDescent="0.2">
      <c r="A522" s="3" t="s">
        <v>2485</v>
      </c>
      <c r="B522" s="3" t="s">
        <v>1891</v>
      </c>
      <c r="C522" s="3" t="s">
        <v>22</v>
      </c>
    </row>
    <row r="523" spans="1:3" x14ac:dyDescent="0.2">
      <c r="A523" s="3" t="s">
        <v>2485</v>
      </c>
      <c r="B523" s="3" t="s">
        <v>1906</v>
      </c>
      <c r="C523" s="3" t="s">
        <v>22</v>
      </c>
    </row>
    <row r="524" spans="1:3" x14ac:dyDescent="0.2">
      <c r="A524" s="3" t="s">
        <v>2485</v>
      </c>
      <c r="B524" s="3" t="s">
        <v>1907</v>
      </c>
      <c r="C524" s="3" t="s">
        <v>22</v>
      </c>
    </row>
    <row r="525" spans="1:3" x14ac:dyDescent="0.2">
      <c r="A525" s="3" t="s">
        <v>2486</v>
      </c>
      <c r="B525" s="3" t="s">
        <v>717</v>
      </c>
      <c r="C525" s="3" t="s">
        <v>22</v>
      </c>
    </row>
    <row r="526" spans="1:3" x14ac:dyDescent="0.2">
      <c r="A526" s="3" t="s">
        <v>2534</v>
      </c>
      <c r="B526" s="3" t="s">
        <v>2566</v>
      </c>
      <c r="C526" s="3" t="s">
        <v>22</v>
      </c>
    </row>
    <row r="527" spans="1:3" x14ac:dyDescent="0.2">
      <c r="A527" s="3" t="s">
        <v>2535</v>
      </c>
      <c r="B527" s="3" t="s">
        <v>2566</v>
      </c>
      <c r="C527" s="3" t="s">
        <v>22</v>
      </c>
    </row>
    <row r="528" spans="1:3" x14ac:dyDescent="0.2">
      <c r="A528" s="3" t="s">
        <v>2536</v>
      </c>
      <c r="B528" s="3" t="s">
        <v>2566</v>
      </c>
      <c r="C528" s="3" t="s">
        <v>22</v>
      </c>
    </row>
    <row r="529" spans="1:3" x14ac:dyDescent="0.2">
      <c r="A529" s="3" t="s">
        <v>2537</v>
      </c>
      <c r="B529" s="3" t="s">
        <v>2566</v>
      </c>
      <c r="C529" s="3" t="s">
        <v>22</v>
      </c>
    </row>
    <row r="530" spans="1:3" x14ac:dyDescent="0.2">
      <c r="A530" s="3" t="s">
        <v>2538</v>
      </c>
      <c r="B530" s="3" t="s">
        <v>2566</v>
      </c>
      <c r="C530" s="3" t="s">
        <v>22</v>
      </c>
    </row>
    <row r="531" spans="1:3" x14ac:dyDescent="0.2">
      <c r="A531" s="3" t="s">
        <v>2539</v>
      </c>
      <c r="B531" s="3" t="s">
        <v>2566</v>
      </c>
      <c r="C531" s="3" t="s">
        <v>22</v>
      </c>
    </row>
    <row r="532" spans="1:3" x14ac:dyDescent="0.2">
      <c r="A532" s="3" t="s">
        <v>2540</v>
      </c>
      <c r="B532" s="3" t="s">
        <v>447</v>
      </c>
      <c r="C532" s="3" t="s">
        <v>22</v>
      </c>
    </row>
    <row r="533" spans="1:3" x14ac:dyDescent="0.2">
      <c r="A533" s="3" t="s">
        <v>2541</v>
      </c>
      <c r="B533" s="3" t="s">
        <v>1397</v>
      </c>
      <c r="C533" s="3" t="s">
        <v>22</v>
      </c>
    </row>
    <row r="534" spans="1:3" x14ac:dyDescent="0.2">
      <c r="A534" s="3" t="s">
        <v>2542</v>
      </c>
      <c r="B534" s="3" t="s">
        <v>2566</v>
      </c>
      <c r="C534" s="3" t="s">
        <v>22</v>
      </c>
    </row>
    <row r="535" spans="1:3" x14ac:dyDescent="0.2">
      <c r="A535" s="3" t="s">
        <v>2543</v>
      </c>
      <c r="B535" s="3" t="s">
        <v>2567</v>
      </c>
      <c r="C535" s="3" t="s">
        <v>22</v>
      </c>
    </row>
    <row r="536" spans="1:3" x14ac:dyDescent="0.2">
      <c r="A536" s="3" t="s">
        <v>2544</v>
      </c>
      <c r="B536" s="3" t="s">
        <v>1425</v>
      </c>
      <c r="C536" s="3" t="s">
        <v>22</v>
      </c>
    </row>
    <row r="537" spans="1:3" x14ac:dyDescent="0.2">
      <c r="A537" s="3" t="s">
        <v>2545</v>
      </c>
      <c r="B537" s="3" t="s">
        <v>1424</v>
      </c>
      <c r="C537" s="3" t="s">
        <v>22</v>
      </c>
    </row>
    <row r="538" spans="1:3" x14ac:dyDescent="0.2">
      <c r="A538" s="3" t="s">
        <v>2546</v>
      </c>
      <c r="B538" s="3" t="s">
        <v>1424</v>
      </c>
      <c r="C538" s="3" t="s">
        <v>22</v>
      </c>
    </row>
    <row r="539" spans="1:3" x14ac:dyDescent="0.2">
      <c r="A539" s="3" t="s">
        <v>2547</v>
      </c>
      <c r="B539" s="3" t="s">
        <v>1673</v>
      </c>
      <c r="C539" s="3" t="s">
        <v>22</v>
      </c>
    </row>
    <row r="540" spans="1:3" x14ac:dyDescent="0.2">
      <c r="A540" s="3" t="s">
        <v>2548</v>
      </c>
      <c r="B540" s="3" t="s">
        <v>1673</v>
      </c>
      <c r="C540" s="3" t="s">
        <v>22</v>
      </c>
    </row>
    <row r="541" spans="1:3" x14ac:dyDescent="0.2">
      <c r="A541" s="3" t="s">
        <v>2549</v>
      </c>
      <c r="B541" s="3" t="s">
        <v>2083</v>
      </c>
      <c r="C541" s="3" t="s">
        <v>22</v>
      </c>
    </row>
    <row r="542" spans="1:3" x14ac:dyDescent="0.2">
      <c r="A542" s="3" t="s">
        <v>2550</v>
      </c>
      <c r="B542" s="3" t="s">
        <v>2083</v>
      </c>
      <c r="C542" s="3" t="s">
        <v>22</v>
      </c>
    </row>
    <row r="543" spans="1:3" x14ac:dyDescent="0.2">
      <c r="A543" s="3" t="s">
        <v>2551</v>
      </c>
      <c r="B543" s="3" t="s">
        <v>2083</v>
      </c>
      <c r="C543" s="3" t="s">
        <v>22</v>
      </c>
    </row>
    <row r="544" spans="1:3" x14ac:dyDescent="0.2">
      <c r="A544" s="3" t="s">
        <v>2552</v>
      </c>
      <c r="B544" s="3" t="s">
        <v>2001</v>
      </c>
      <c r="C544" s="3" t="s">
        <v>22</v>
      </c>
    </row>
    <row r="545" spans="1:3" x14ac:dyDescent="0.2">
      <c r="A545" s="3" t="s">
        <v>2553</v>
      </c>
      <c r="B545" s="3" t="s">
        <v>2010</v>
      </c>
      <c r="C545" s="3" t="s">
        <v>22</v>
      </c>
    </row>
    <row r="546" spans="1:3" x14ac:dyDescent="0.2">
      <c r="A546" s="3" t="s">
        <v>2554</v>
      </c>
      <c r="B546" s="3" t="s">
        <v>1938</v>
      </c>
      <c r="C546" s="3" t="s">
        <v>22</v>
      </c>
    </row>
    <row r="547" spans="1:3" x14ac:dyDescent="0.2">
      <c r="A547" s="3" t="s">
        <v>2555</v>
      </c>
      <c r="B547" s="3" t="s">
        <v>1938</v>
      </c>
      <c r="C547" s="3" t="s">
        <v>22</v>
      </c>
    </row>
    <row r="548" spans="1:3" x14ac:dyDescent="0.2">
      <c r="A548" s="3" t="s">
        <v>2556</v>
      </c>
      <c r="B548" s="3" t="s">
        <v>2566</v>
      </c>
      <c r="C548" s="3" t="s">
        <v>22</v>
      </c>
    </row>
    <row r="549" spans="1:3" x14ac:dyDescent="0.2">
      <c r="A549" s="3" t="s">
        <v>2557</v>
      </c>
      <c r="B549" s="3" t="s">
        <v>2566</v>
      </c>
      <c r="C549" s="3" t="s">
        <v>22</v>
      </c>
    </row>
    <row r="550" spans="1:3" x14ac:dyDescent="0.2">
      <c r="A550" s="3" t="s">
        <v>2558</v>
      </c>
      <c r="B550" s="3" t="s">
        <v>2566</v>
      </c>
      <c r="C550" s="3" t="s">
        <v>22</v>
      </c>
    </row>
    <row r="551" spans="1:3" x14ac:dyDescent="0.2">
      <c r="A551" s="3" t="s">
        <v>2559</v>
      </c>
      <c r="B551" s="3" t="s">
        <v>2566</v>
      </c>
      <c r="C551" s="3" t="s">
        <v>22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CB00D-D60A-44D5-A2D4-6FD4C8655DA5}">
  <sheetPr codeName="Sheet7">
    <tabColor rgb="FFFFC000"/>
  </sheetPr>
  <dimension ref="A1:C2531"/>
  <sheetViews>
    <sheetView workbookViewId="0">
      <selection activeCell="J39" sqref="J39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s="3" t="s">
        <v>2183</v>
      </c>
      <c r="B2" s="3" t="s">
        <v>237</v>
      </c>
      <c r="C2" s="3" t="s">
        <v>169</v>
      </c>
    </row>
    <row r="3" spans="1:3" x14ac:dyDescent="0.2">
      <c r="A3" s="3" t="s">
        <v>2185</v>
      </c>
      <c r="B3" s="3" t="s">
        <v>2186</v>
      </c>
      <c r="C3" s="3" t="s">
        <v>169</v>
      </c>
    </row>
    <row r="4" spans="1:3" x14ac:dyDescent="0.2">
      <c r="A4" s="3" t="s">
        <v>2187</v>
      </c>
      <c r="B4" s="3" t="s">
        <v>2188</v>
      </c>
      <c r="C4" s="3" t="s">
        <v>169</v>
      </c>
    </row>
    <row r="5" spans="1:3" x14ac:dyDescent="0.2">
      <c r="A5" s="3" t="s">
        <v>2189</v>
      </c>
      <c r="B5" s="3" t="s">
        <v>913</v>
      </c>
      <c r="C5" s="3" t="s">
        <v>169</v>
      </c>
    </row>
    <row r="6" spans="1:3" x14ac:dyDescent="0.2">
      <c r="A6" s="3" t="s">
        <v>2190</v>
      </c>
      <c r="B6" s="3" t="s">
        <v>811</v>
      </c>
      <c r="C6" s="3" t="s">
        <v>169</v>
      </c>
    </row>
    <row r="7" spans="1:3" x14ac:dyDescent="0.2">
      <c r="A7" s="3" t="s">
        <v>2191</v>
      </c>
      <c r="B7" s="3" t="s">
        <v>1243</v>
      </c>
      <c r="C7" s="3" t="s">
        <v>169</v>
      </c>
    </row>
    <row r="8" spans="1:3" x14ac:dyDescent="0.2">
      <c r="A8" s="3" t="s">
        <v>2192</v>
      </c>
      <c r="B8" s="3" t="s">
        <v>1804</v>
      </c>
      <c r="C8" s="3" t="s">
        <v>169</v>
      </c>
    </row>
    <row r="9" spans="1:3" x14ac:dyDescent="0.2">
      <c r="A9" s="3" t="s">
        <v>165</v>
      </c>
      <c r="B9" s="3" t="s">
        <v>166</v>
      </c>
      <c r="C9" s="3" t="s">
        <v>53</v>
      </c>
    </row>
    <row r="10" spans="1:3" x14ac:dyDescent="0.2">
      <c r="A10" s="3" t="s">
        <v>165</v>
      </c>
      <c r="B10" s="3" t="s">
        <v>167</v>
      </c>
      <c r="C10" s="3" t="s">
        <v>53</v>
      </c>
    </row>
    <row r="11" spans="1:3" x14ac:dyDescent="0.2">
      <c r="A11" s="3" t="s">
        <v>165</v>
      </c>
      <c r="B11" s="3" t="s">
        <v>166</v>
      </c>
      <c r="C11" s="3" t="s">
        <v>54</v>
      </c>
    </row>
    <row r="12" spans="1:3" x14ac:dyDescent="0.2">
      <c r="A12" s="3" t="s">
        <v>165</v>
      </c>
      <c r="B12" s="3" t="s">
        <v>167</v>
      </c>
      <c r="C12" s="3" t="s">
        <v>54</v>
      </c>
    </row>
    <row r="13" spans="1:3" x14ac:dyDescent="0.2">
      <c r="A13" s="3" t="s">
        <v>165</v>
      </c>
      <c r="B13" s="3" t="s">
        <v>166</v>
      </c>
      <c r="C13" s="3" t="s">
        <v>55</v>
      </c>
    </row>
    <row r="14" spans="1:3" x14ac:dyDescent="0.2">
      <c r="A14" s="3" t="s">
        <v>165</v>
      </c>
      <c r="B14" s="3" t="s">
        <v>167</v>
      </c>
      <c r="C14" s="3" t="s">
        <v>55</v>
      </c>
    </row>
    <row r="15" spans="1:3" x14ac:dyDescent="0.2">
      <c r="A15" s="3" t="s">
        <v>165</v>
      </c>
      <c r="B15" s="3" t="s">
        <v>166</v>
      </c>
      <c r="C15" s="3" t="s">
        <v>56</v>
      </c>
    </row>
    <row r="16" spans="1:3" x14ac:dyDescent="0.2">
      <c r="A16" s="3" t="s">
        <v>165</v>
      </c>
      <c r="B16" s="3" t="s">
        <v>167</v>
      </c>
      <c r="C16" s="3" t="s">
        <v>56</v>
      </c>
    </row>
    <row r="17" spans="1:3" x14ac:dyDescent="0.2">
      <c r="A17" s="3" t="s">
        <v>165</v>
      </c>
      <c r="B17" s="3" t="s">
        <v>166</v>
      </c>
      <c r="C17" s="3" t="s">
        <v>57</v>
      </c>
    </row>
    <row r="18" spans="1:3" x14ac:dyDescent="0.2">
      <c r="A18" s="3" t="s">
        <v>165</v>
      </c>
      <c r="B18" s="3" t="s">
        <v>167</v>
      </c>
      <c r="C18" s="3" t="s">
        <v>57</v>
      </c>
    </row>
    <row r="19" spans="1:3" x14ac:dyDescent="0.2">
      <c r="A19" s="3" t="s">
        <v>165</v>
      </c>
      <c r="B19" s="3" t="s">
        <v>168</v>
      </c>
      <c r="C19" s="3" t="s">
        <v>169</v>
      </c>
    </row>
    <row r="20" spans="1:3" x14ac:dyDescent="0.2">
      <c r="A20" s="3" t="s">
        <v>170</v>
      </c>
      <c r="B20" s="3" t="s">
        <v>171</v>
      </c>
      <c r="C20" s="3" t="s">
        <v>53</v>
      </c>
    </row>
    <row r="21" spans="1:3" x14ac:dyDescent="0.2">
      <c r="A21" s="3" t="s">
        <v>170</v>
      </c>
      <c r="B21" s="3" t="s">
        <v>171</v>
      </c>
      <c r="C21" s="3" t="s">
        <v>54</v>
      </c>
    </row>
    <row r="22" spans="1:3" x14ac:dyDescent="0.2">
      <c r="A22" s="3" t="s">
        <v>170</v>
      </c>
      <c r="B22" s="3" t="s">
        <v>171</v>
      </c>
      <c r="C22" s="3" t="s">
        <v>55</v>
      </c>
    </row>
    <row r="23" spans="1:3" x14ac:dyDescent="0.2">
      <c r="A23" s="3" t="s">
        <v>170</v>
      </c>
      <c r="B23" s="3" t="s">
        <v>171</v>
      </c>
      <c r="C23" s="3" t="s">
        <v>56</v>
      </c>
    </row>
    <row r="24" spans="1:3" x14ac:dyDescent="0.2">
      <c r="A24" s="3" t="s">
        <v>170</v>
      </c>
      <c r="B24" s="3" t="s">
        <v>171</v>
      </c>
      <c r="C24" s="3" t="s">
        <v>57</v>
      </c>
    </row>
    <row r="25" spans="1:3" x14ac:dyDescent="0.2">
      <c r="A25" s="3" t="s">
        <v>170</v>
      </c>
      <c r="B25" s="3" t="s">
        <v>168</v>
      </c>
      <c r="C25" s="3" t="s">
        <v>169</v>
      </c>
    </row>
    <row r="26" spans="1:3" x14ac:dyDescent="0.2">
      <c r="A26" s="3" t="s">
        <v>170</v>
      </c>
      <c r="B26" s="3" t="s">
        <v>172</v>
      </c>
      <c r="C26" s="3" t="s">
        <v>169</v>
      </c>
    </row>
    <row r="27" spans="1:3" x14ac:dyDescent="0.2">
      <c r="A27" s="3" t="s">
        <v>170</v>
      </c>
      <c r="B27" s="3" t="s">
        <v>173</v>
      </c>
      <c r="C27" s="3" t="s">
        <v>169</v>
      </c>
    </row>
    <row r="28" spans="1:3" x14ac:dyDescent="0.2">
      <c r="A28" s="3" t="s">
        <v>170</v>
      </c>
      <c r="B28" s="3" t="s">
        <v>174</v>
      </c>
      <c r="C28" s="3" t="s">
        <v>169</v>
      </c>
    </row>
    <row r="29" spans="1:3" x14ac:dyDescent="0.2">
      <c r="A29" s="3" t="s">
        <v>170</v>
      </c>
      <c r="B29" s="3" t="s">
        <v>175</v>
      </c>
      <c r="C29" s="3" t="s">
        <v>169</v>
      </c>
    </row>
    <row r="30" spans="1:3" x14ac:dyDescent="0.2">
      <c r="A30" s="3" t="s">
        <v>170</v>
      </c>
      <c r="B30" s="3" t="s">
        <v>176</v>
      </c>
      <c r="C30" s="3" t="s">
        <v>169</v>
      </c>
    </row>
    <row r="31" spans="1:3" x14ac:dyDescent="0.2">
      <c r="A31" s="3" t="s">
        <v>170</v>
      </c>
      <c r="B31" s="3" t="s">
        <v>177</v>
      </c>
      <c r="C31" s="3" t="s">
        <v>169</v>
      </c>
    </row>
    <row r="32" spans="1:3" x14ac:dyDescent="0.2">
      <c r="A32" s="3" t="s">
        <v>170</v>
      </c>
      <c r="B32" s="3" t="s">
        <v>178</v>
      </c>
      <c r="C32" s="3" t="s">
        <v>169</v>
      </c>
    </row>
    <row r="33" spans="1:3" x14ac:dyDescent="0.2">
      <c r="A33" s="3" t="s">
        <v>179</v>
      </c>
      <c r="B33" s="3" t="s">
        <v>166</v>
      </c>
      <c r="C33" s="3" t="s">
        <v>53</v>
      </c>
    </row>
    <row r="34" spans="1:3" x14ac:dyDescent="0.2">
      <c r="A34" s="3" t="s">
        <v>179</v>
      </c>
      <c r="B34" s="3" t="s">
        <v>167</v>
      </c>
      <c r="C34" s="3" t="s">
        <v>53</v>
      </c>
    </row>
    <row r="35" spans="1:3" x14ac:dyDescent="0.2">
      <c r="A35" s="3" t="s">
        <v>179</v>
      </c>
      <c r="B35" s="3" t="s">
        <v>180</v>
      </c>
      <c r="C35" s="3" t="s">
        <v>53</v>
      </c>
    </row>
    <row r="36" spans="1:3" x14ac:dyDescent="0.2">
      <c r="A36" s="3" t="s">
        <v>179</v>
      </c>
      <c r="B36" s="3" t="s">
        <v>166</v>
      </c>
      <c r="C36" s="3" t="s">
        <v>54</v>
      </c>
    </row>
    <row r="37" spans="1:3" x14ac:dyDescent="0.2">
      <c r="A37" s="3" t="s">
        <v>179</v>
      </c>
      <c r="B37" s="3" t="s">
        <v>167</v>
      </c>
      <c r="C37" s="3" t="s">
        <v>54</v>
      </c>
    </row>
    <row r="38" spans="1:3" x14ac:dyDescent="0.2">
      <c r="A38" s="3" t="s">
        <v>179</v>
      </c>
      <c r="B38" s="3" t="s">
        <v>180</v>
      </c>
      <c r="C38" s="3" t="s">
        <v>54</v>
      </c>
    </row>
    <row r="39" spans="1:3" x14ac:dyDescent="0.2">
      <c r="A39" s="3" t="s">
        <v>179</v>
      </c>
      <c r="B39" s="3" t="s">
        <v>166</v>
      </c>
      <c r="C39" s="3" t="s">
        <v>55</v>
      </c>
    </row>
    <row r="40" spans="1:3" x14ac:dyDescent="0.2">
      <c r="A40" s="3" t="s">
        <v>179</v>
      </c>
      <c r="B40" s="3" t="s">
        <v>167</v>
      </c>
      <c r="C40" s="3" t="s">
        <v>55</v>
      </c>
    </row>
    <row r="41" spans="1:3" x14ac:dyDescent="0.2">
      <c r="A41" s="3" t="s">
        <v>179</v>
      </c>
      <c r="B41" s="3" t="s">
        <v>180</v>
      </c>
      <c r="C41" s="3" t="s">
        <v>55</v>
      </c>
    </row>
    <row r="42" spans="1:3" x14ac:dyDescent="0.2">
      <c r="A42" s="3" t="s">
        <v>179</v>
      </c>
      <c r="B42" s="3" t="s">
        <v>166</v>
      </c>
      <c r="C42" s="3" t="s">
        <v>56</v>
      </c>
    </row>
    <row r="43" spans="1:3" x14ac:dyDescent="0.2">
      <c r="A43" s="3" t="s">
        <v>179</v>
      </c>
      <c r="B43" s="3" t="s">
        <v>167</v>
      </c>
      <c r="C43" s="3" t="s">
        <v>56</v>
      </c>
    </row>
    <row r="44" spans="1:3" x14ac:dyDescent="0.2">
      <c r="A44" s="3" t="s">
        <v>179</v>
      </c>
      <c r="B44" s="3" t="s">
        <v>180</v>
      </c>
      <c r="C44" s="3" t="s">
        <v>56</v>
      </c>
    </row>
    <row r="45" spans="1:3" x14ac:dyDescent="0.2">
      <c r="A45" s="3" t="s">
        <v>179</v>
      </c>
      <c r="B45" s="3" t="s">
        <v>166</v>
      </c>
      <c r="C45" s="3" t="s">
        <v>57</v>
      </c>
    </row>
    <row r="46" spans="1:3" x14ac:dyDescent="0.2">
      <c r="A46" s="3" t="s">
        <v>179</v>
      </c>
      <c r="B46" s="3" t="s">
        <v>167</v>
      </c>
      <c r="C46" s="3" t="s">
        <v>57</v>
      </c>
    </row>
    <row r="47" spans="1:3" x14ac:dyDescent="0.2">
      <c r="A47" s="3" t="s">
        <v>179</v>
      </c>
      <c r="B47" s="3" t="s">
        <v>180</v>
      </c>
      <c r="C47" s="3" t="s">
        <v>57</v>
      </c>
    </row>
    <row r="48" spans="1:3" x14ac:dyDescent="0.2">
      <c r="A48" s="3" t="s">
        <v>179</v>
      </c>
      <c r="B48" s="3" t="s">
        <v>168</v>
      </c>
      <c r="C48" s="3" t="s">
        <v>169</v>
      </c>
    </row>
    <row r="49" spans="1:3" x14ac:dyDescent="0.2">
      <c r="A49" s="3" t="s">
        <v>179</v>
      </c>
      <c r="B49" s="3" t="s">
        <v>172</v>
      </c>
      <c r="C49" s="3" t="s">
        <v>169</v>
      </c>
    </row>
    <row r="50" spans="1:3" x14ac:dyDescent="0.2">
      <c r="A50" s="3" t="s">
        <v>179</v>
      </c>
      <c r="B50" s="3" t="s">
        <v>173</v>
      </c>
      <c r="C50" s="3" t="s">
        <v>169</v>
      </c>
    </row>
    <row r="51" spans="1:3" x14ac:dyDescent="0.2">
      <c r="A51" s="3" t="s">
        <v>179</v>
      </c>
      <c r="B51" s="3" t="s">
        <v>174</v>
      </c>
      <c r="C51" s="3" t="s">
        <v>169</v>
      </c>
    </row>
    <row r="52" spans="1:3" x14ac:dyDescent="0.2">
      <c r="A52" s="3" t="s">
        <v>179</v>
      </c>
      <c r="B52" s="3" t="s">
        <v>175</v>
      </c>
      <c r="C52" s="3" t="s">
        <v>169</v>
      </c>
    </row>
    <row r="53" spans="1:3" x14ac:dyDescent="0.2">
      <c r="A53" s="3" t="s">
        <v>181</v>
      </c>
      <c r="B53" s="3" t="s">
        <v>182</v>
      </c>
      <c r="C53" s="3" t="s">
        <v>53</v>
      </c>
    </row>
    <row r="54" spans="1:3" x14ac:dyDescent="0.2">
      <c r="A54" s="3" t="s">
        <v>181</v>
      </c>
      <c r="B54" s="3" t="s">
        <v>183</v>
      </c>
      <c r="C54" s="3" t="s">
        <v>53</v>
      </c>
    </row>
    <row r="55" spans="1:3" x14ac:dyDescent="0.2">
      <c r="A55" s="3" t="s">
        <v>181</v>
      </c>
      <c r="B55" s="3" t="s">
        <v>182</v>
      </c>
      <c r="C55" s="3" t="s">
        <v>54</v>
      </c>
    </row>
    <row r="56" spans="1:3" x14ac:dyDescent="0.2">
      <c r="A56" s="3" t="s">
        <v>181</v>
      </c>
      <c r="B56" s="3" t="s">
        <v>183</v>
      </c>
      <c r="C56" s="3" t="s">
        <v>54</v>
      </c>
    </row>
    <row r="57" spans="1:3" x14ac:dyDescent="0.2">
      <c r="A57" s="3" t="s">
        <v>181</v>
      </c>
      <c r="B57" s="3" t="s">
        <v>182</v>
      </c>
      <c r="C57" s="3" t="s">
        <v>55</v>
      </c>
    </row>
    <row r="58" spans="1:3" x14ac:dyDescent="0.2">
      <c r="A58" s="3" t="s">
        <v>181</v>
      </c>
      <c r="B58" s="3" t="s">
        <v>183</v>
      </c>
      <c r="C58" s="3" t="s">
        <v>55</v>
      </c>
    </row>
    <row r="59" spans="1:3" x14ac:dyDescent="0.2">
      <c r="A59" s="3" t="s">
        <v>181</v>
      </c>
      <c r="B59" s="3" t="s">
        <v>182</v>
      </c>
      <c r="C59" s="3" t="s">
        <v>56</v>
      </c>
    </row>
    <row r="60" spans="1:3" x14ac:dyDescent="0.2">
      <c r="A60" s="3" t="s">
        <v>181</v>
      </c>
      <c r="B60" s="3" t="s">
        <v>183</v>
      </c>
      <c r="C60" s="3" t="s">
        <v>56</v>
      </c>
    </row>
    <row r="61" spans="1:3" x14ac:dyDescent="0.2">
      <c r="A61" s="3" t="s">
        <v>181</v>
      </c>
      <c r="B61" s="3" t="s">
        <v>182</v>
      </c>
      <c r="C61" s="3" t="s">
        <v>57</v>
      </c>
    </row>
    <row r="62" spans="1:3" x14ac:dyDescent="0.2">
      <c r="A62" s="3" t="s">
        <v>181</v>
      </c>
      <c r="B62" s="3" t="s">
        <v>183</v>
      </c>
      <c r="C62" s="3" t="s">
        <v>57</v>
      </c>
    </row>
    <row r="63" spans="1:3" x14ac:dyDescent="0.2">
      <c r="A63" s="3" t="s">
        <v>181</v>
      </c>
      <c r="B63" s="3" t="s">
        <v>184</v>
      </c>
      <c r="C63" s="3" t="s">
        <v>169</v>
      </c>
    </row>
    <row r="64" spans="1:3" x14ac:dyDescent="0.2">
      <c r="A64" s="3" t="s">
        <v>181</v>
      </c>
      <c r="B64" s="3" t="s">
        <v>185</v>
      </c>
      <c r="C64" s="3" t="s">
        <v>169</v>
      </c>
    </row>
    <row r="65" spans="1:3" x14ac:dyDescent="0.2">
      <c r="A65" s="3" t="s">
        <v>181</v>
      </c>
      <c r="B65" s="3" t="s">
        <v>186</v>
      </c>
      <c r="C65" s="3" t="s">
        <v>10</v>
      </c>
    </row>
    <row r="66" spans="1:3" x14ac:dyDescent="0.2">
      <c r="A66" s="3" t="s">
        <v>181</v>
      </c>
      <c r="B66" s="3" t="s">
        <v>187</v>
      </c>
      <c r="C66" s="3" t="s">
        <v>10</v>
      </c>
    </row>
    <row r="67" spans="1:3" x14ac:dyDescent="0.2">
      <c r="A67" s="3" t="s">
        <v>181</v>
      </c>
      <c r="B67" s="3" t="s">
        <v>186</v>
      </c>
      <c r="C67" s="3" t="s">
        <v>11</v>
      </c>
    </row>
    <row r="68" spans="1:3" x14ac:dyDescent="0.2">
      <c r="A68" s="3" t="s">
        <v>188</v>
      </c>
      <c r="B68" s="3" t="s">
        <v>182</v>
      </c>
      <c r="C68" s="3" t="s">
        <v>53</v>
      </c>
    </row>
    <row r="69" spans="1:3" x14ac:dyDescent="0.2">
      <c r="A69" s="3" t="s">
        <v>188</v>
      </c>
      <c r="B69" s="3" t="s">
        <v>182</v>
      </c>
      <c r="C69" s="3" t="s">
        <v>54</v>
      </c>
    </row>
    <row r="70" spans="1:3" x14ac:dyDescent="0.2">
      <c r="A70" s="3" t="s">
        <v>188</v>
      </c>
      <c r="B70" s="3" t="s">
        <v>182</v>
      </c>
      <c r="C70" s="3" t="s">
        <v>55</v>
      </c>
    </row>
    <row r="71" spans="1:3" x14ac:dyDescent="0.2">
      <c r="A71" s="3" t="s">
        <v>188</v>
      </c>
      <c r="B71" s="3" t="s">
        <v>182</v>
      </c>
      <c r="C71" s="3" t="s">
        <v>56</v>
      </c>
    </row>
    <row r="72" spans="1:3" x14ac:dyDescent="0.2">
      <c r="A72" s="3" t="s">
        <v>188</v>
      </c>
      <c r="B72" s="3" t="s">
        <v>182</v>
      </c>
      <c r="C72" s="3" t="s">
        <v>57</v>
      </c>
    </row>
    <row r="73" spans="1:3" x14ac:dyDescent="0.2">
      <c r="A73" s="3" t="s">
        <v>188</v>
      </c>
      <c r="B73" s="3" t="s">
        <v>186</v>
      </c>
      <c r="C73" s="3" t="s">
        <v>10</v>
      </c>
    </row>
    <row r="74" spans="1:3" x14ac:dyDescent="0.2">
      <c r="A74" s="3" t="s">
        <v>188</v>
      </c>
      <c r="B74" s="3" t="s">
        <v>187</v>
      </c>
      <c r="C74" s="3" t="s">
        <v>10</v>
      </c>
    </row>
    <row r="75" spans="1:3" x14ac:dyDescent="0.2">
      <c r="A75" s="3" t="s">
        <v>188</v>
      </c>
      <c r="B75" s="3" t="s">
        <v>186</v>
      </c>
      <c r="C75" s="3" t="s">
        <v>11</v>
      </c>
    </row>
    <row r="76" spans="1:3" x14ac:dyDescent="0.2">
      <c r="A76" s="3" t="s">
        <v>2193</v>
      </c>
      <c r="B76" s="3" t="s">
        <v>2194</v>
      </c>
      <c r="C76" s="3" t="s">
        <v>169</v>
      </c>
    </row>
    <row r="77" spans="1:3" x14ac:dyDescent="0.2">
      <c r="A77" s="3" t="s">
        <v>2193</v>
      </c>
      <c r="B77" s="3" t="s">
        <v>2195</v>
      </c>
      <c r="C77" s="3" t="s">
        <v>169</v>
      </c>
    </row>
    <row r="78" spans="1:3" x14ac:dyDescent="0.2">
      <c r="A78" s="3" t="s">
        <v>2193</v>
      </c>
      <c r="B78" s="3" t="s">
        <v>2196</v>
      </c>
      <c r="C78" s="3" t="s">
        <v>169</v>
      </c>
    </row>
    <row r="79" spans="1:3" x14ac:dyDescent="0.2">
      <c r="A79" s="3" t="s">
        <v>2193</v>
      </c>
      <c r="B79" s="3" t="s">
        <v>2197</v>
      </c>
      <c r="C79" s="3" t="s">
        <v>169</v>
      </c>
    </row>
    <row r="80" spans="1:3" x14ac:dyDescent="0.2">
      <c r="A80" s="3" t="s">
        <v>2193</v>
      </c>
      <c r="B80" s="3" t="s">
        <v>2198</v>
      </c>
      <c r="C80" s="3" t="s">
        <v>169</v>
      </c>
    </row>
    <row r="81" spans="1:3" x14ac:dyDescent="0.2">
      <c r="A81" s="3" t="s">
        <v>2193</v>
      </c>
      <c r="B81" s="3" t="s">
        <v>2199</v>
      </c>
      <c r="C81" s="3" t="s">
        <v>169</v>
      </c>
    </row>
    <row r="82" spans="1:3" x14ac:dyDescent="0.2">
      <c r="A82" s="3" t="s">
        <v>189</v>
      </c>
      <c r="B82" s="3" t="s">
        <v>190</v>
      </c>
      <c r="C82" s="3" t="s">
        <v>53</v>
      </c>
    </row>
    <row r="83" spans="1:3" x14ac:dyDescent="0.2">
      <c r="A83" s="3" t="s">
        <v>189</v>
      </c>
      <c r="B83" s="3" t="s">
        <v>191</v>
      </c>
      <c r="C83" s="3" t="s">
        <v>53</v>
      </c>
    </row>
    <row r="84" spans="1:3" x14ac:dyDescent="0.2">
      <c r="A84" s="3" t="s">
        <v>189</v>
      </c>
      <c r="B84" s="3" t="s">
        <v>192</v>
      </c>
      <c r="C84" s="3" t="s">
        <v>53</v>
      </c>
    </row>
    <row r="85" spans="1:3" x14ac:dyDescent="0.2">
      <c r="A85" s="3" t="s">
        <v>189</v>
      </c>
      <c r="B85" s="3" t="s">
        <v>193</v>
      </c>
      <c r="C85" s="3" t="s">
        <v>53</v>
      </c>
    </row>
    <row r="86" spans="1:3" x14ac:dyDescent="0.2">
      <c r="A86" s="3" t="s">
        <v>189</v>
      </c>
      <c r="B86" s="3" t="s">
        <v>190</v>
      </c>
      <c r="C86" s="3" t="s">
        <v>54</v>
      </c>
    </row>
    <row r="87" spans="1:3" x14ac:dyDescent="0.2">
      <c r="A87" s="3" t="s">
        <v>189</v>
      </c>
      <c r="B87" s="3" t="s">
        <v>191</v>
      </c>
      <c r="C87" s="3" t="s">
        <v>54</v>
      </c>
    </row>
    <row r="88" spans="1:3" x14ac:dyDescent="0.2">
      <c r="A88" s="3" t="s">
        <v>189</v>
      </c>
      <c r="B88" s="3" t="s">
        <v>192</v>
      </c>
      <c r="C88" s="3" t="s">
        <v>54</v>
      </c>
    </row>
    <row r="89" spans="1:3" x14ac:dyDescent="0.2">
      <c r="A89" s="3" t="s">
        <v>189</v>
      </c>
      <c r="B89" s="3" t="s">
        <v>190</v>
      </c>
      <c r="C89" s="3" t="s">
        <v>55</v>
      </c>
    </row>
    <row r="90" spans="1:3" x14ac:dyDescent="0.2">
      <c r="A90" s="3" t="s">
        <v>189</v>
      </c>
      <c r="B90" s="3" t="s">
        <v>191</v>
      </c>
      <c r="C90" s="3" t="s">
        <v>55</v>
      </c>
    </row>
    <row r="91" spans="1:3" x14ac:dyDescent="0.2">
      <c r="A91" s="3" t="s">
        <v>189</v>
      </c>
      <c r="B91" s="3" t="s">
        <v>192</v>
      </c>
      <c r="C91" s="3" t="s">
        <v>55</v>
      </c>
    </row>
    <row r="92" spans="1:3" x14ac:dyDescent="0.2">
      <c r="A92" s="3" t="s">
        <v>189</v>
      </c>
      <c r="B92" s="3" t="s">
        <v>190</v>
      </c>
      <c r="C92" s="3" t="s">
        <v>56</v>
      </c>
    </row>
    <row r="93" spans="1:3" x14ac:dyDescent="0.2">
      <c r="A93" s="3" t="s">
        <v>189</v>
      </c>
      <c r="B93" s="3" t="s">
        <v>191</v>
      </c>
      <c r="C93" s="3" t="s">
        <v>56</v>
      </c>
    </row>
    <row r="94" spans="1:3" x14ac:dyDescent="0.2">
      <c r="A94" s="3" t="s">
        <v>189</v>
      </c>
      <c r="B94" s="3" t="s">
        <v>192</v>
      </c>
      <c r="C94" s="3" t="s">
        <v>56</v>
      </c>
    </row>
    <row r="95" spans="1:3" x14ac:dyDescent="0.2">
      <c r="A95" s="3" t="s">
        <v>189</v>
      </c>
      <c r="B95" s="3" t="s">
        <v>190</v>
      </c>
      <c r="C95" s="3" t="s">
        <v>57</v>
      </c>
    </row>
    <row r="96" spans="1:3" x14ac:dyDescent="0.2">
      <c r="A96" s="3" t="s">
        <v>189</v>
      </c>
      <c r="B96" s="3" t="s">
        <v>191</v>
      </c>
      <c r="C96" s="3" t="s">
        <v>57</v>
      </c>
    </row>
    <row r="97" spans="1:3" x14ac:dyDescent="0.2">
      <c r="A97" s="3" t="s">
        <v>189</v>
      </c>
      <c r="B97" s="3" t="s">
        <v>192</v>
      </c>
      <c r="C97" s="3" t="s">
        <v>57</v>
      </c>
    </row>
    <row r="98" spans="1:3" x14ac:dyDescent="0.2">
      <c r="A98" s="3" t="s">
        <v>189</v>
      </c>
      <c r="B98" s="3" t="s">
        <v>194</v>
      </c>
      <c r="C98" s="3" t="s">
        <v>169</v>
      </c>
    </row>
    <row r="99" spans="1:3" x14ac:dyDescent="0.2">
      <c r="A99" s="3" t="s">
        <v>189</v>
      </c>
      <c r="B99" s="3" t="s">
        <v>195</v>
      </c>
      <c r="C99" s="3" t="s">
        <v>169</v>
      </c>
    </row>
    <row r="100" spans="1:3" x14ac:dyDescent="0.2">
      <c r="A100" s="3" t="s">
        <v>196</v>
      </c>
      <c r="B100" s="3" t="s">
        <v>197</v>
      </c>
      <c r="C100" s="3" t="s">
        <v>53</v>
      </c>
    </row>
    <row r="101" spans="1:3" x14ac:dyDescent="0.2">
      <c r="A101" s="3" t="s">
        <v>196</v>
      </c>
      <c r="B101" s="3" t="s">
        <v>198</v>
      </c>
      <c r="C101" s="3" t="s">
        <v>53</v>
      </c>
    </row>
    <row r="102" spans="1:3" x14ac:dyDescent="0.2">
      <c r="A102" s="3" t="s">
        <v>196</v>
      </c>
      <c r="B102" s="3" t="s">
        <v>199</v>
      </c>
      <c r="C102" s="3" t="s">
        <v>53</v>
      </c>
    </row>
    <row r="103" spans="1:3" x14ac:dyDescent="0.2">
      <c r="A103" s="3" t="s">
        <v>196</v>
      </c>
      <c r="B103" s="3" t="s">
        <v>200</v>
      </c>
      <c r="C103" s="3" t="s">
        <v>53</v>
      </c>
    </row>
    <row r="104" spans="1:3" x14ac:dyDescent="0.2">
      <c r="A104" s="3" t="s">
        <v>196</v>
      </c>
      <c r="B104" s="3" t="s">
        <v>201</v>
      </c>
      <c r="C104" s="3" t="s">
        <v>53</v>
      </c>
    </row>
    <row r="105" spans="1:3" x14ac:dyDescent="0.2">
      <c r="A105" s="3" t="s">
        <v>196</v>
      </c>
      <c r="B105" s="3" t="s">
        <v>202</v>
      </c>
      <c r="C105" s="3" t="s">
        <v>53</v>
      </c>
    </row>
    <row r="106" spans="1:3" x14ac:dyDescent="0.2">
      <c r="A106" s="3" t="s">
        <v>196</v>
      </c>
      <c r="B106" s="3" t="s">
        <v>203</v>
      </c>
      <c r="C106" s="3" t="s">
        <v>53</v>
      </c>
    </row>
    <row r="107" spans="1:3" x14ac:dyDescent="0.2">
      <c r="A107" s="3" t="s">
        <v>196</v>
      </c>
      <c r="B107" s="3" t="s">
        <v>204</v>
      </c>
      <c r="C107" s="3" t="s">
        <v>53</v>
      </c>
    </row>
    <row r="108" spans="1:3" x14ac:dyDescent="0.2">
      <c r="A108" s="3" t="s">
        <v>196</v>
      </c>
      <c r="B108" s="3" t="s">
        <v>205</v>
      </c>
      <c r="C108" s="3" t="s">
        <v>53</v>
      </c>
    </row>
    <row r="109" spans="1:3" x14ac:dyDescent="0.2">
      <c r="A109" s="3" t="s">
        <v>196</v>
      </c>
      <c r="B109" s="3" t="s">
        <v>206</v>
      </c>
      <c r="C109" s="3" t="s">
        <v>53</v>
      </c>
    </row>
    <row r="110" spans="1:3" x14ac:dyDescent="0.2">
      <c r="A110" s="3" t="s">
        <v>196</v>
      </c>
      <c r="B110" s="3" t="s">
        <v>207</v>
      </c>
      <c r="C110" s="3" t="s">
        <v>53</v>
      </c>
    </row>
    <row r="111" spans="1:3" x14ac:dyDescent="0.2">
      <c r="A111" s="3" t="s">
        <v>196</v>
      </c>
      <c r="B111" s="3" t="s">
        <v>208</v>
      </c>
      <c r="C111" s="3" t="s">
        <v>53</v>
      </c>
    </row>
    <row r="112" spans="1:3" x14ac:dyDescent="0.2">
      <c r="A112" s="3" t="s">
        <v>196</v>
      </c>
      <c r="B112" s="3" t="s">
        <v>209</v>
      </c>
      <c r="C112" s="3" t="s">
        <v>53</v>
      </c>
    </row>
    <row r="113" spans="1:3" x14ac:dyDescent="0.2">
      <c r="A113" s="3" t="s">
        <v>196</v>
      </c>
      <c r="B113" s="3" t="s">
        <v>210</v>
      </c>
      <c r="C113" s="3" t="s">
        <v>53</v>
      </c>
    </row>
    <row r="114" spans="1:3" x14ac:dyDescent="0.2">
      <c r="A114" s="3" t="s">
        <v>196</v>
      </c>
      <c r="B114" s="3" t="s">
        <v>211</v>
      </c>
      <c r="C114" s="3" t="s">
        <v>53</v>
      </c>
    </row>
    <row r="115" spans="1:3" x14ac:dyDescent="0.2">
      <c r="A115" s="3" t="s">
        <v>196</v>
      </c>
      <c r="B115" s="3" t="s">
        <v>212</v>
      </c>
      <c r="C115" s="3" t="s">
        <v>53</v>
      </c>
    </row>
    <row r="116" spans="1:3" x14ac:dyDescent="0.2">
      <c r="A116" s="3" t="s">
        <v>196</v>
      </c>
      <c r="B116" s="3" t="s">
        <v>213</v>
      </c>
      <c r="C116" s="3" t="s">
        <v>53</v>
      </c>
    </row>
    <row r="117" spans="1:3" x14ac:dyDescent="0.2">
      <c r="A117" s="3" t="s">
        <v>196</v>
      </c>
      <c r="B117" s="3" t="s">
        <v>214</v>
      </c>
      <c r="C117" s="3" t="s">
        <v>53</v>
      </c>
    </row>
    <row r="118" spans="1:3" x14ac:dyDescent="0.2">
      <c r="A118" s="3" t="s">
        <v>196</v>
      </c>
      <c r="B118" s="3" t="s">
        <v>215</v>
      </c>
      <c r="C118" s="3" t="s">
        <v>53</v>
      </c>
    </row>
    <row r="119" spans="1:3" x14ac:dyDescent="0.2">
      <c r="A119" s="3" t="s">
        <v>196</v>
      </c>
      <c r="B119" s="3" t="s">
        <v>216</v>
      </c>
      <c r="C119" s="3" t="s">
        <v>53</v>
      </c>
    </row>
    <row r="120" spans="1:3" x14ac:dyDescent="0.2">
      <c r="A120" s="3" t="s">
        <v>196</v>
      </c>
      <c r="B120" s="3" t="s">
        <v>217</v>
      </c>
      <c r="C120" s="3" t="s">
        <v>53</v>
      </c>
    </row>
    <row r="121" spans="1:3" x14ac:dyDescent="0.2">
      <c r="A121" s="3" t="s">
        <v>196</v>
      </c>
      <c r="B121" s="3" t="s">
        <v>218</v>
      </c>
      <c r="C121" s="3" t="s">
        <v>53</v>
      </c>
    </row>
    <row r="122" spans="1:3" x14ac:dyDescent="0.2">
      <c r="A122" s="3" t="s">
        <v>196</v>
      </c>
      <c r="B122" s="3" t="s">
        <v>219</v>
      </c>
      <c r="C122" s="3" t="s">
        <v>54</v>
      </c>
    </row>
    <row r="123" spans="1:3" x14ac:dyDescent="0.2">
      <c r="A123" s="3" t="s">
        <v>196</v>
      </c>
      <c r="B123" s="3" t="s">
        <v>220</v>
      </c>
      <c r="C123" s="3" t="s">
        <v>54</v>
      </c>
    </row>
    <row r="124" spans="1:3" x14ac:dyDescent="0.2">
      <c r="A124" s="3" t="s">
        <v>196</v>
      </c>
      <c r="B124" s="3" t="s">
        <v>197</v>
      </c>
      <c r="C124" s="3" t="s">
        <v>54</v>
      </c>
    </row>
    <row r="125" spans="1:3" x14ac:dyDescent="0.2">
      <c r="A125" s="3" t="s">
        <v>196</v>
      </c>
      <c r="B125" s="3" t="s">
        <v>198</v>
      </c>
      <c r="C125" s="3" t="s">
        <v>54</v>
      </c>
    </row>
    <row r="126" spans="1:3" x14ac:dyDescent="0.2">
      <c r="A126" s="3" t="s">
        <v>196</v>
      </c>
      <c r="B126" s="3" t="s">
        <v>221</v>
      </c>
      <c r="C126" s="3" t="s">
        <v>54</v>
      </c>
    </row>
    <row r="127" spans="1:3" x14ac:dyDescent="0.2">
      <c r="A127" s="3" t="s">
        <v>196</v>
      </c>
      <c r="B127" s="3" t="s">
        <v>222</v>
      </c>
      <c r="C127" s="3" t="s">
        <v>54</v>
      </c>
    </row>
    <row r="128" spans="1:3" x14ac:dyDescent="0.2">
      <c r="A128" s="3" t="s">
        <v>196</v>
      </c>
      <c r="B128" s="3" t="s">
        <v>199</v>
      </c>
      <c r="C128" s="3" t="s">
        <v>54</v>
      </c>
    </row>
    <row r="129" spans="1:3" x14ac:dyDescent="0.2">
      <c r="A129" s="3" t="s">
        <v>196</v>
      </c>
      <c r="B129" s="3" t="s">
        <v>200</v>
      </c>
      <c r="C129" s="3" t="s">
        <v>54</v>
      </c>
    </row>
    <row r="130" spans="1:3" x14ac:dyDescent="0.2">
      <c r="A130" s="3" t="s">
        <v>196</v>
      </c>
      <c r="B130" s="3" t="s">
        <v>201</v>
      </c>
      <c r="C130" s="3" t="s">
        <v>54</v>
      </c>
    </row>
    <row r="131" spans="1:3" x14ac:dyDescent="0.2">
      <c r="A131" s="3" t="s">
        <v>196</v>
      </c>
      <c r="B131" s="3" t="s">
        <v>202</v>
      </c>
      <c r="C131" s="3" t="s">
        <v>54</v>
      </c>
    </row>
    <row r="132" spans="1:3" x14ac:dyDescent="0.2">
      <c r="A132" s="3" t="s">
        <v>196</v>
      </c>
      <c r="B132" s="3" t="s">
        <v>203</v>
      </c>
      <c r="C132" s="3" t="s">
        <v>54</v>
      </c>
    </row>
    <row r="133" spans="1:3" x14ac:dyDescent="0.2">
      <c r="A133" s="3" t="s">
        <v>196</v>
      </c>
      <c r="B133" s="3" t="s">
        <v>204</v>
      </c>
      <c r="C133" s="3" t="s">
        <v>54</v>
      </c>
    </row>
    <row r="134" spans="1:3" x14ac:dyDescent="0.2">
      <c r="A134" s="3" t="s">
        <v>196</v>
      </c>
      <c r="B134" s="3" t="s">
        <v>205</v>
      </c>
      <c r="C134" s="3" t="s">
        <v>54</v>
      </c>
    </row>
    <row r="135" spans="1:3" x14ac:dyDescent="0.2">
      <c r="A135" s="3" t="s">
        <v>196</v>
      </c>
      <c r="B135" s="3" t="s">
        <v>206</v>
      </c>
      <c r="C135" s="3" t="s">
        <v>54</v>
      </c>
    </row>
    <row r="136" spans="1:3" x14ac:dyDescent="0.2">
      <c r="A136" s="3" t="s">
        <v>196</v>
      </c>
      <c r="B136" s="3" t="s">
        <v>223</v>
      </c>
      <c r="C136" s="3" t="s">
        <v>54</v>
      </c>
    </row>
    <row r="137" spans="1:3" x14ac:dyDescent="0.2">
      <c r="A137" s="3" t="s">
        <v>196</v>
      </c>
      <c r="B137" s="3" t="s">
        <v>224</v>
      </c>
      <c r="C137" s="3" t="s">
        <v>54</v>
      </c>
    </row>
    <row r="138" spans="1:3" x14ac:dyDescent="0.2">
      <c r="A138" s="3" t="s">
        <v>196</v>
      </c>
      <c r="B138" s="3" t="s">
        <v>225</v>
      </c>
      <c r="C138" s="3" t="s">
        <v>54</v>
      </c>
    </row>
    <row r="139" spans="1:3" x14ac:dyDescent="0.2">
      <c r="A139" s="3" t="s">
        <v>196</v>
      </c>
      <c r="B139" s="3" t="s">
        <v>226</v>
      </c>
      <c r="C139" s="3" t="s">
        <v>54</v>
      </c>
    </row>
    <row r="140" spans="1:3" x14ac:dyDescent="0.2">
      <c r="A140" s="3" t="s">
        <v>196</v>
      </c>
      <c r="B140" s="3" t="s">
        <v>227</v>
      </c>
      <c r="C140" s="3" t="s">
        <v>54</v>
      </c>
    </row>
    <row r="141" spans="1:3" x14ac:dyDescent="0.2">
      <c r="A141" s="3" t="s">
        <v>196</v>
      </c>
      <c r="B141" s="3" t="s">
        <v>228</v>
      </c>
      <c r="C141" s="3" t="s">
        <v>54</v>
      </c>
    </row>
    <row r="142" spans="1:3" x14ac:dyDescent="0.2">
      <c r="A142" s="3" t="s">
        <v>196</v>
      </c>
      <c r="B142" s="3" t="s">
        <v>207</v>
      </c>
      <c r="C142" s="3" t="s">
        <v>54</v>
      </c>
    </row>
    <row r="143" spans="1:3" x14ac:dyDescent="0.2">
      <c r="A143" s="3" t="s">
        <v>196</v>
      </c>
      <c r="B143" s="3" t="s">
        <v>208</v>
      </c>
      <c r="C143" s="3" t="s">
        <v>54</v>
      </c>
    </row>
    <row r="144" spans="1:3" x14ac:dyDescent="0.2">
      <c r="A144" s="3" t="s">
        <v>196</v>
      </c>
      <c r="B144" s="3" t="s">
        <v>229</v>
      </c>
      <c r="C144" s="3" t="s">
        <v>54</v>
      </c>
    </row>
    <row r="145" spans="1:3" x14ac:dyDescent="0.2">
      <c r="A145" s="3" t="s">
        <v>196</v>
      </c>
      <c r="B145" s="3" t="s">
        <v>230</v>
      </c>
      <c r="C145" s="3" t="s">
        <v>54</v>
      </c>
    </row>
    <row r="146" spans="1:3" x14ac:dyDescent="0.2">
      <c r="A146" s="3" t="s">
        <v>196</v>
      </c>
      <c r="B146" s="3" t="s">
        <v>209</v>
      </c>
      <c r="C146" s="3" t="s">
        <v>54</v>
      </c>
    </row>
    <row r="147" spans="1:3" x14ac:dyDescent="0.2">
      <c r="A147" s="3" t="s">
        <v>196</v>
      </c>
      <c r="B147" s="3" t="s">
        <v>210</v>
      </c>
      <c r="C147" s="3" t="s">
        <v>54</v>
      </c>
    </row>
    <row r="148" spans="1:3" x14ac:dyDescent="0.2">
      <c r="A148" s="3" t="s">
        <v>196</v>
      </c>
      <c r="B148" s="3" t="s">
        <v>211</v>
      </c>
      <c r="C148" s="3" t="s">
        <v>54</v>
      </c>
    </row>
    <row r="149" spans="1:3" x14ac:dyDescent="0.2">
      <c r="A149" s="3" t="s">
        <v>196</v>
      </c>
      <c r="B149" s="3" t="s">
        <v>212</v>
      </c>
      <c r="C149" s="3" t="s">
        <v>54</v>
      </c>
    </row>
    <row r="150" spans="1:3" x14ac:dyDescent="0.2">
      <c r="A150" s="3" t="s">
        <v>196</v>
      </c>
      <c r="B150" s="3" t="s">
        <v>231</v>
      </c>
      <c r="C150" s="3" t="s">
        <v>54</v>
      </c>
    </row>
    <row r="151" spans="1:3" x14ac:dyDescent="0.2">
      <c r="A151" s="3" t="s">
        <v>196</v>
      </c>
      <c r="B151" s="3" t="s">
        <v>213</v>
      </c>
      <c r="C151" s="3" t="s">
        <v>54</v>
      </c>
    </row>
    <row r="152" spans="1:3" x14ac:dyDescent="0.2">
      <c r="A152" s="3" t="s">
        <v>196</v>
      </c>
      <c r="B152" s="3" t="s">
        <v>214</v>
      </c>
      <c r="C152" s="3" t="s">
        <v>54</v>
      </c>
    </row>
    <row r="153" spans="1:3" x14ac:dyDescent="0.2">
      <c r="A153" s="3" t="s">
        <v>196</v>
      </c>
      <c r="B153" s="3" t="s">
        <v>215</v>
      </c>
      <c r="C153" s="3" t="s">
        <v>54</v>
      </c>
    </row>
    <row r="154" spans="1:3" x14ac:dyDescent="0.2">
      <c r="A154" s="3" t="s">
        <v>196</v>
      </c>
      <c r="B154" s="3" t="s">
        <v>216</v>
      </c>
      <c r="C154" s="3" t="s">
        <v>54</v>
      </c>
    </row>
    <row r="155" spans="1:3" x14ac:dyDescent="0.2">
      <c r="A155" s="3" t="s">
        <v>196</v>
      </c>
      <c r="B155" s="3" t="s">
        <v>217</v>
      </c>
      <c r="C155" s="3" t="s">
        <v>54</v>
      </c>
    </row>
    <row r="156" spans="1:3" x14ac:dyDescent="0.2">
      <c r="A156" s="3" t="s">
        <v>196</v>
      </c>
      <c r="B156" s="3" t="s">
        <v>218</v>
      </c>
      <c r="C156" s="3" t="s">
        <v>54</v>
      </c>
    </row>
    <row r="157" spans="1:3" x14ac:dyDescent="0.2">
      <c r="A157" s="3" t="s">
        <v>196</v>
      </c>
      <c r="B157" s="3" t="s">
        <v>219</v>
      </c>
      <c r="C157" s="3" t="s">
        <v>55</v>
      </c>
    </row>
    <row r="158" spans="1:3" x14ac:dyDescent="0.2">
      <c r="A158" s="3" t="s">
        <v>196</v>
      </c>
      <c r="B158" s="3" t="s">
        <v>220</v>
      </c>
      <c r="C158" s="3" t="s">
        <v>55</v>
      </c>
    </row>
    <row r="159" spans="1:3" x14ac:dyDescent="0.2">
      <c r="A159" s="3" t="s">
        <v>196</v>
      </c>
      <c r="B159" s="3" t="s">
        <v>197</v>
      </c>
      <c r="C159" s="3" t="s">
        <v>55</v>
      </c>
    </row>
    <row r="160" spans="1:3" x14ac:dyDescent="0.2">
      <c r="A160" s="3" t="s">
        <v>196</v>
      </c>
      <c r="B160" s="3" t="s">
        <v>198</v>
      </c>
      <c r="C160" s="3" t="s">
        <v>55</v>
      </c>
    </row>
    <row r="161" spans="1:3" x14ac:dyDescent="0.2">
      <c r="A161" s="3" t="s">
        <v>196</v>
      </c>
      <c r="B161" s="3" t="s">
        <v>221</v>
      </c>
      <c r="C161" s="3" t="s">
        <v>55</v>
      </c>
    </row>
    <row r="162" spans="1:3" x14ac:dyDescent="0.2">
      <c r="A162" s="3" t="s">
        <v>196</v>
      </c>
      <c r="B162" s="3" t="s">
        <v>222</v>
      </c>
      <c r="C162" s="3" t="s">
        <v>55</v>
      </c>
    </row>
    <row r="163" spans="1:3" x14ac:dyDescent="0.2">
      <c r="A163" s="3" t="s">
        <v>196</v>
      </c>
      <c r="B163" s="3" t="s">
        <v>201</v>
      </c>
      <c r="C163" s="3" t="s">
        <v>55</v>
      </c>
    </row>
    <row r="164" spans="1:3" x14ac:dyDescent="0.2">
      <c r="A164" s="3" t="s">
        <v>196</v>
      </c>
      <c r="B164" s="3" t="s">
        <v>202</v>
      </c>
      <c r="C164" s="3" t="s">
        <v>55</v>
      </c>
    </row>
    <row r="165" spans="1:3" x14ac:dyDescent="0.2">
      <c r="A165" s="3" t="s">
        <v>196</v>
      </c>
      <c r="B165" s="3" t="s">
        <v>203</v>
      </c>
      <c r="C165" s="3" t="s">
        <v>55</v>
      </c>
    </row>
    <row r="166" spans="1:3" x14ac:dyDescent="0.2">
      <c r="A166" s="3" t="s">
        <v>196</v>
      </c>
      <c r="B166" s="3" t="s">
        <v>204</v>
      </c>
      <c r="C166" s="3" t="s">
        <v>55</v>
      </c>
    </row>
    <row r="167" spans="1:3" x14ac:dyDescent="0.2">
      <c r="A167" s="3" t="s">
        <v>196</v>
      </c>
      <c r="B167" s="3" t="s">
        <v>205</v>
      </c>
      <c r="C167" s="3" t="s">
        <v>55</v>
      </c>
    </row>
    <row r="168" spans="1:3" x14ac:dyDescent="0.2">
      <c r="A168" s="3" t="s">
        <v>196</v>
      </c>
      <c r="B168" s="3" t="s">
        <v>206</v>
      </c>
      <c r="C168" s="3" t="s">
        <v>55</v>
      </c>
    </row>
    <row r="169" spans="1:3" x14ac:dyDescent="0.2">
      <c r="A169" s="3" t="s">
        <v>196</v>
      </c>
      <c r="B169" s="3" t="s">
        <v>223</v>
      </c>
      <c r="C169" s="3" t="s">
        <v>55</v>
      </c>
    </row>
    <row r="170" spans="1:3" x14ac:dyDescent="0.2">
      <c r="A170" s="3" t="s">
        <v>196</v>
      </c>
      <c r="B170" s="3" t="s">
        <v>224</v>
      </c>
      <c r="C170" s="3" t="s">
        <v>55</v>
      </c>
    </row>
    <row r="171" spans="1:3" x14ac:dyDescent="0.2">
      <c r="A171" s="3" t="s">
        <v>196</v>
      </c>
      <c r="B171" s="3" t="s">
        <v>225</v>
      </c>
      <c r="C171" s="3" t="s">
        <v>55</v>
      </c>
    </row>
    <row r="172" spans="1:3" x14ac:dyDescent="0.2">
      <c r="A172" s="3" t="s">
        <v>196</v>
      </c>
      <c r="B172" s="3" t="s">
        <v>226</v>
      </c>
      <c r="C172" s="3" t="s">
        <v>55</v>
      </c>
    </row>
    <row r="173" spans="1:3" x14ac:dyDescent="0.2">
      <c r="A173" s="3" t="s">
        <v>196</v>
      </c>
      <c r="B173" s="3" t="s">
        <v>227</v>
      </c>
      <c r="C173" s="3" t="s">
        <v>55</v>
      </c>
    </row>
    <row r="174" spans="1:3" x14ac:dyDescent="0.2">
      <c r="A174" s="3" t="s">
        <v>196</v>
      </c>
      <c r="B174" s="3" t="s">
        <v>228</v>
      </c>
      <c r="C174" s="3" t="s">
        <v>55</v>
      </c>
    </row>
    <row r="175" spans="1:3" x14ac:dyDescent="0.2">
      <c r="A175" s="3" t="s">
        <v>196</v>
      </c>
      <c r="B175" s="3" t="s">
        <v>207</v>
      </c>
      <c r="C175" s="3" t="s">
        <v>55</v>
      </c>
    </row>
    <row r="176" spans="1:3" x14ac:dyDescent="0.2">
      <c r="A176" s="3" t="s">
        <v>196</v>
      </c>
      <c r="B176" s="3" t="s">
        <v>208</v>
      </c>
      <c r="C176" s="3" t="s">
        <v>55</v>
      </c>
    </row>
    <row r="177" spans="1:3" x14ac:dyDescent="0.2">
      <c r="A177" s="3" t="s">
        <v>196</v>
      </c>
      <c r="B177" s="3" t="s">
        <v>229</v>
      </c>
      <c r="C177" s="3" t="s">
        <v>55</v>
      </c>
    </row>
    <row r="178" spans="1:3" x14ac:dyDescent="0.2">
      <c r="A178" s="3" t="s">
        <v>196</v>
      </c>
      <c r="B178" s="3" t="s">
        <v>230</v>
      </c>
      <c r="C178" s="3" t="s">
        <v>55</v>
      </c>
    </row>
    <row r="179" spans="1:3" x14ac:dyDescent="0.2">
      <c r="A179" s="3" t="s">
        <v>196</v>
      </c>
      <c r="B179" s="3" t="s">
        <v>209</v>
      </c>
      <c r="C179" s="3" t="s">
        <v>55</v>
      </c>
    </row>
    <row r="180" spans="1:3" x14ac:dyDescent="0.2">
      <c r="A180" s="3" t="s">
        <v>196</v>
      </c>
      <c r="B180" s="3" t="s">
        <v>210</v>
      </c>
      <c r="C180" s="3" t="s">
        <v>55</v>
      </c>
    </row>
    <row r="181" spans="1:3" x14ac:dyDescent="0.2">
      <c r="A181" s="3" t="s">
        <v>196</v>
      </c>
      <c r="B181" s="3" t="s">
        <v>211</v>
      </c>
      <c r="C181" s="3" t="s">
        <v>55</v>
      </c>
    </row>
    <row r="182" spans="1:3" x14ac:dyDescent="0.2">
      <c r="A182" s="3" t="s">
        <v>196</v>
      </c>
      <c r="B182" s="3" t="s">
        <v>212</v>
      </c>
      <c r="C182" s="3" t="s">
        <v>55</v>
      </c>
    </row>
    <row r="183" spans="1:3" x14ac:dyDescent="0.2">
      <c r="A183" s="3" t="s">
        <v>196</v>
      </c>
      <c r="B183" s="3" t="s">
        <v>231</v>
      </c>
      <c r="C183" s="3" t="s">
        <v>55</v>
      </c>
    </row>
    <row r="184" spans="1:3" x14ac:dyDescent="0.2">
      <c r="A184" s="3" t="s">
        <v>196</v>
      </c>
      <c r="B184" s="3" t="s">
        <v>213</v>
      </c>
      <c r="C184" s="3" t="s">
        <v>55</v>
      </c>
    </row>
    <row r="185" spans="1:3" x14ac:dyDescent="0.2">
      <c r="A185" s="3" t="s">
        <v>196</v>
      </c>
      <c r="B185" s="3" t="s">
        <v>214</v>
      </c>
      <c r="C185" s="3" t="s">
        <v>55</v>
      </c>
    </row>
    <row r="186" spans="1:3" x14ac:dyDescent="0.2">
      <c r="A186" s="3" t="s">
        <v>196</v>
      </c>
      <c r="B186" s="3" t="s">
        <v>215</v>
      </c>
      <c r="C186" s="3" t="s">
        <v>55</v>
      </c>
    </row>
    <row r="187" spans="1:3" x14ac:dyDescent="0.2">
      <c r="A187" s="3" t="s">
        <v>196</v>
      </c>
      <c r="B187" s="3" t="s">
        <v>217</v>
      </c>
      <c r="C187" s="3" t="s">
        <v>55</v>
      </c>
    </row>
    <row r="188" spans="1:3" x14ac:dyDescent="0.2">
      <c r="A188" s="3" t="s">
        <v>196</v>
      </c>
      <c r="B188" s="3" t="s">
        <v>218</v>
      </c>
      <c r="C188" s="3" t="s">
        <v>55</v>
      </c>
    </row>
    <row r="189" spans="1:3" x14ac:dyDescent="0.2">
      <c r="A189" s="3" t="s">
        <v>196</v>
      </c>
      <c r="B189" s="3" t="s">
        <v>219</v>
      </c>
      <c r="C189" s="3" t="s">
        <v>56</v>
      </c>
    </row>
    <row r="190" spans="1:3" x14ac:dyDescent="0.2">
      <c r="A190" s="3" t="s">
        <v>196</v>
      </c>
      <c r="B190" s="3" t="s">
        <v>220</v>
      </c>
      <c r="C190" s="3" t="s">
        <v>56</v>
      </c>
    </row>
    <row r="191" spans="1:3" x14ac:dyDescent="0.2">
      <c r="A191" s="3" t="s">
        <v>196</v>
      </c>
      <c r="B191" s="3" t="s">
        <v>197</v>
      </c>
      <c r="C191" s="3" t="s">
        <v>56</v>
      </c>
    </row>
    <row r="192" spans="1:3" x14ac:dyDescent="0.2">
      <c r="A192" s="3" t="s">
        <v>196</v>
      </c>
      <c r="B192" s="3" t="s">
        <v>198</v>
      </c>
      <c r="C192" s="3" t="s">
        <v>56</v>
      </c>
    </row>
    <row r="193" spans="1:3" x14ac:dyDescent="0.2">
      <c r="A193" s="3" t="s">
        <v>196</v>
      </c>
      <c r="B193" s="3" t="s">
        <v>221</v>
      </c>
      <c r="C193" s="3" t="s">
        <v>56</v>
      </c>
    </row>
    <row r="194" spans="1:3" x14ac:dyDescent="0.2">
      <c r="A194" s="3" t="s">
        <v>196</v>
      </c>
      <c r="B194" s="3" t="s">
        <v>222</v>
      </c>
      <c r="C194" s="3" t="s">
        <v>56</v>
      </c>
    </row>
    <row r="195" spans="1:3" x14ac:dyDescent="0.2">
      <c r="A195" s="3" t="s">
        <v>196</v>
      </c>
      <c r="B195" s="3" t="s">
        <v>199</v>
      </c>
      <c r="C195" s="3" t="s">
        <v>56</v>
      </c>
    </row>
    <row r="196" spans="1:3" x14ac:dyDescent="0.2">
      <c r="A196" s="3" t="s">
        <v>196</v>
      </c>
      <c r="B196" s="3" t="s">
        <v>200</v>
      </c>
      <c r="C196" s="3" t="s">
        <v>56</v>
      </c>
    </row>
    <row r="197" spans="1:3" x14ac:dyDescent="0.2">
      <c r="A197" s="3" t="s">
        <v>196</v>
      </c>
      <c r="B197" s="3" t="s">
        <v>201</v>
      </c>
      <c r="C197" s="3" t="s">
        <v>56</v>
      </c>
    </row>
    <row r="198" spans="1:3" x14ac:dyDescent="0.2">
      <c r="A198" s="3" t="s">
        <v>196</v>
      </c>
      <c r="B198" s="3" t="s">
        <v>202</v>
      </c>
      <c r="C198" s="3" t="s">
        <v>56</v>
      </c>
    </row>
    <row r="199" spans="1:3" x14ac:dyDescent="0.2">
      <c r="A199" s="3" t="s">
        <v>196</v>
      </c>
      <c r="B199" s="3" t="s">
        <v>203</v>
      </c>
      <c r="C199" s="3" t="s">
        <v>56</v>
      </c>
    </row>
    <row r="200" spans="1:3" x14ac:dyDescent="0.2">
      <c r="A200" s="3" t="s">
        <v>196</v>
      </c>
      <c r="B200" s="3" t="s">
        <v>204</v>
      </c>
      <c r="C200" s="3" t="s">
        <v>56</v>
      </c>
    </row>
    <row r="201" spans="1:3" x14ac:dyDescent="0.2">
      <c r="A201" s="3" t="s">
        <v>196</v>
      </c>
      <c r="B201" s="3" t="s">
        <v>205</v>
      </c>
      <c r="C201" s="3" t="s">
        <v>56</v>
      </c>
    </row>
    <row r="202" spans="1:3" x14ac:dyDescent="0.2">
      <c r="A202" s="3" t="s">
        <v>196</v>
      </c>
      <c r="B202" s="3" t="s">
        <v>206</v>
      </c>
      <c r="C202" s="3" t="s">
        <v>56</v>
      </c>
    </row>
    <row r="203" spans="1:3" x14ac:dyDescent="0.2">
      <c r="A203" s="3" t="s">
        <v>196</v>
      </c>
      <c r="B203" s="3" t="s">
        <v>223</v>
      </c>
      <c r="C203" s="3" t="s">
        <v>56</v>
      </c>
    </row>
    <row r="204" spans="1:3" x14ac:dyDescent="0.2">
      <c r="A204" s="3" t="s">
        <v>196</v>
      </c>
      <c r="B204" s="3" t="s">
        <v>224</v>
      </c>
      <c r="C204" s="3" t="s">
        <v>56</v>
      </c>
    </row>
    <row r="205" spans="1:3" x14ac:dyDescent="0.2">
      <c r="A205" s="3" t="s">
        <v>196</v>
      </c>
      <c r="B205" s="3" t="s">
        <v>225</v>
      </c>
      <c r="C205" s="3" t="s">
        <v>56</v>
      </c>
    </row>
    <row r="206" spans="1:3" x14ac:dyDescent="0.2">
      <c r="A206" s="3" t="s">
        <v>196</v>
      </c>
      <c r="B206" s="3" t="s">
        <v>226</v>
      </c>
      <c r="C206" s="3" t="s">
        <v>56</v>
      </c>
    </row>
    <row r="207" spans="1:3" x14ac:dyDescent="0.2">
      <c r="A207" s="3" t="s">
        <v>196</v>
      </c>
      <c r="B207" s="3" t="s">
        <v>227</v>
      </c>
      <c r="C207" s="3" t="s">
        <v>56</v>
      </c>
    </row>
    <row r="208" spans="1:3" x14ac:dyDescent="0.2">
      <c r="A208" s="3" t="s">
        <v>196</v>
      </c>
      <c r="B208" s="3" t="s">
        <v>228</v>
      </c>
      <c r="C208" s="3" t="s">
        <v>56</v>
      </c>
    </row>
    <row r="209" spans="1:3" x14ac:dyDescent="0.2">
      <c r="A209" s="3" t="s">
        <v>196</v>
      </c>
      <c r="B209" s="3" t="s">
        <v>207</v>
      </c>
      <c r="C209" s="3" t="s">
        <v>56</v>
      </c>
    </row>
    <row r="210" spans="1:3" x14ac:dyDescent="0.2">
      <c r="A210" s="3" t="s">
        <v>196</v>
      </c>
      <c r="B210" s="3" t="s">
        <v>208</v>
      </c>
      <c r="C210" s="3" t="s">
        <v>56</v>
      </c>
    </row>
    <row r="211" spans="1:3" x14ac:dyDescent="0.2">
      <c r="A211" s="3" t="s">
        <v>196</v>
      </c>
      <c r="B211" s="3" t="s">
        <v>229</v>
      </c>
      <c r="C211" s="3" t="s">
        <v>56</v>
      </c>
    </row>
    <row r="212" spans="1:3" x14ac:dyDescent="0.2">
      <c r="A212" s="3" t="s">
        <v>196</v>
      </c>
      <c r="B212" s="3" t="s">
        <v>230</v>
      </c>
      <c r="C212" s="3" t="s">
        <v>56</v>
      </c>
    </row>
    <row r="213" spans="1:3" x14ac:dyDescent="0.2">
      <c r="A213" s="3" t="s">
        <v>196</v>
      </c>
      <c r="B213" s="3" t="s">
        <v>209</v>
      </c>
      <c r="C213" s="3" t="s">
        <v>56</v>
      </c>
    </row>
    <row r="214" spans="1:3" x14ac:dyDescent="0.2">
      <c r="A214" s="3" t="s">
        <v>196</v>
      </c>
      <c r="B214" s="3" t="s">
        <v>210</v>
      </c>
      <c r="C214" s="3" t="s">
        <v>56</v>
      </c>
    </row>
    <row r="215" spans="1:3" x14ac:dyDescent="0.2">
      <c r="A215" s="3" t="s">
        <v>196</v>
      </c>
      <c r="B215" s="3" t="s">
        <v>211</v>
      </c>
      <c r="C215" s="3" t="s">
        <v>56</v>
      </c>
    </row>
    <row r="216" spans="1:3" x14ac:dyDescent="0.2">
      <c r="A216" s="3" t="s">
        <v>196</v>
      </c>
      <c r="B216" s="3" t="s">
        <v>212</v>
      </c>
      <c r="C216" s="3" t="s">
        <v>56</v>
      </c>
    </row>
    <row r="217" spans="1:3" x14ac:dyDescent="0.2">
      <c r="A217" s="3" t="s">
        <v>196</v>
      </c>
      <c r="B217" s="3" t="s">
        <v>231</v>
      </c>
      <c r="C217" s="3" t="s">
        <v>56</v>
      </c>
    </row>
    <row r="218" spans="1:3" x14ac:dyDescent="0.2">
      <c r="A218" s="3" t="s">
        <v>196</v>
      </c>
      <c r="B218" s="3" t="s">
        <v>213</v>
      </c>
      <c r="C218" s="3" t="s">
        <v>56</v>
      </c>
    </row>
    <row r="219" spans="1:3" x14ac:dyDescent="0.2">
      <c r="A219" s="3" t="s">
        <v>196</v>
      </c>
      <c r="B219" s="3" t="s">
        <v>214</v>
      </c>
      <c r="C219" s="3" t="s">
        <v>56</v>
      </c>
    </row>
    <row r="220" spans="1:3" x14ac:dyDescent="0.2">
      <c r="A220" s="3" t="s">
        <v>196</v>
      </c>
      <c r="B220" s="3" t="s">
        <v>215</v>
      </c>
      <c r="C220" s="3" t="s">
        <v>56</v>
      </c>
    </row>
    <row r="221" spans="1:3" x14ac:dyDescent="0.2">
      <c r="A221" s="3" t="s">
        <v>196</v>
      </c>
      <c r="B221" s="3" t="s">
        <v>217</v>
      </c>
      <c r="C221" s="3" t="s">
        <v>56</v>
      </c>
    </row>
    <row r="222" spans="1:3" x14ac:dyDescent="0.2">
      <c r="A222" s="3" t="s">
        <v>196</v>
      </c>
      <c r="B222" s="3" t="s">
        <v>218</v>
      </c>
      <c r="C222" s="3" t="s">
        <v>56</v>
      </c>
    </row>
    <row r="223" spans="1:3" x14ac:dyDescent="0.2">
      <c r="A223" s="3" t="s">
        <v>196</v>
      </c>
      <c r="B223" s="3" t="s">
        <v>219</v>
      </c>
      <c r="C223" s="3" t="s">
        <v>57</v>
      </c>
    </row>
    <row r="224" spans="1:3" x14ac:dyDescent="0.2">
      <c r="A224" s="3" t="s">
        <v>196</v>
      </c>
      <c r="B224" s="3" t="s">
        <v>220</v>
      </c>
      <c r="C224" s="3" t="s">
        <v>57</v>
      </c>
    </row>
    <row r="225" spans="1:3" x14ac:dyDescent="0.2">
      <c r="A225" s="3" t="s">
        <v>196</v>
      </c>
      <c r="B225" s="3" t="s">
        <v>197</v>
      </c>
      <c r="C225" s="3" t="s">
        <v>57</v>
      </c>
    </row>
    <row r="226" spans="1:3" x14ac:dyDescent="0.2">
      <c r="A226" s="3" t="s">
        <v>196</v>
      </c>
      <c r="B226" s="3" t="s">
        <v>198</v>
      </c>
      <c r="C226" s="3" t="s">
        <v>57</v>
      </c>
    </row>
    <row r="227" spans="1:3" x14ac:dyDescent="0.2">
      <c r="A227" s="3" t="s">
        <v>196</v>
      </c>
      <c r="B227" s="3" t="s">
        <v>221</v>
      </c>
      <c r="C227" s="3" t="s">
        <v>57</v>
      </c>
    </row>
    <row r="228" spans="1:3" x14ac:dyDescent="0.2">
      <c r="A228" s="3" t="s">
        <v>196</v>
      </c>
      <c r="B228" s="3" t="s">
        <v>222</v>
      </c>
      <c r="C228" s="3" t="s">
        <v>57</v>
      </c>
    </row>
    <row r="229" spans="1:3" x14ac:dyDescent="0.2">
      <c r="A229" s="3" t="s">
        <v>196</v>
      </c>
      <c r="B229" s="3" t="s">
        <v>199</v>
      </c>
      <c r="C229" s="3" t="s">
        <v>57</v>
      </c>
    </row>
    <row r="230" spans="1:3" x14ac:dyDescent="0.2">
      <c r="A230" s="3" t="s">
        <v>196</v>
      </c>
      <c r="B230" s="3" t="s">
        <v>200</v>
      </c>
      <c r="C230" s="3" t="s">
        <v>57</v>
      </c>
    </row>
    <row r="231" spans="1:3" x14ac:dyDescent="0.2">
      <c r="A231" s="3" t="s">
        <v>196</v>
      </c>
      <c r="B231" s="3" t="s">
        <v>201</v>
      </c>
      <c r="C231" s="3" t="s">
        <v>57</v>
      </c>
    </row>
    <row r="232" spans="1:3" x14ac:dyDescent="0.2">
      <c r="A232" s="3" t="s">
        <v>196</v>
      </c>
      <c r="B232" s="3" t="s">
        <v>202</v>
      </c>
      <c r="C232" s="3" t="s">
        <v>57</v>
      </c>
    </row>
    <row r="233" spans="1:3" x14ac:dyDescent="0.2">
      <c r="A233" s="3" t="s">
        <v>196</v>
      </c>
      <c r="B233" s="3" t="s">
        <v>203</v>
      </c>
      <c r="C233" s="3" t="s">
        <v>57</v>
      </c>
    </row>
    <row r="234" spans="1:3" x14ac:dyDescent="0.2">
      <c r="A234" s="3" t="s">
        <v>196</v>
      </c>
      <c r="B234" s="3" t="s">
        <v>204</v>
      </c>
      <c r="C234" s="3" t="s">
        <v>57</v>
      </c>
    </row>
    <row r="235" spans="1:3" x14ac:dyDescent="0.2">
      <c r="A235" s="3" t="s">
        <v>196</v>
      </c>
      <c r="B235" s="3" t="s">
        <v>205</v>
      </c>
      <c r="C235" s="3" t="s">
        <v>57</v>
      </c>
    </row>
    <row r="236" spans="1:3" x14ac:dyDescent="0.2">
      <c r="A236" s="3" t="s">
        <v>196</v>
      </c>
      <c r="B236" s="3" t="s">
        <v>206</v>
      </c>
      <c r="C236" s="3" t="s">
        <v>57</v>
      </c>
    </row>
    <row r="237" spans="1:3" x14ac:dyDescent="0.2">
      <c r="A237" s="3" t="s">
        <v>196</v>
      </c>
      <c r="B237" s="3" t="s">
        <v>223</v>
      </c>
      <c r="C237" s="3" t="s">
        <v>57</v>
      </c>
    </row>
    <row r="238" spans="1:3" x14ac:dyDescent="0.2">
      <c r="A238" s="3" t="s">
        <v>196</v>
      </c>
      <c r="B238" s="3" t="s">
        <v>224</v>
      </c>
      <c r="C238" s="3" t="s">
        <v>57</v>
      </c>
    </row>
    <row r="239" spans="1:3" x14ac:dyDescent="0.2">
      <c r="A239" s="3" t="s">
        <v>196</v>
      </c>
      <c r="B239" s="3" t="s">
        <v>225</v>
      </c>
      <c r="C239" s="3" t="s">
        <v>57</v>
      </c>
    </row>
    <row r="240" spans="1:3" x14ac:dyDescent="0.2">
      <c r="A240" s="3" t="s">
        <v>196</v>
      </c>
      <c r="B240" s="3" t="s">
        <v>226</v>
      </c>
      <c r="C240" s="3" t="s">
        <v>57</v>
      </c>
    </row>
    <row r="241" spans="1:3" x14ac:dyDescent="0.2">
      <c r="A241" s="3" t="s">
        <v>196</v>
      </c>
      <c r="B241" s="3" t="s">
        <v>227</v>
      </c>
      <c r="C241" s="3" t="s">
        <v>57</v>
      </c>
    </row>
    <row r="242" spans="1:3" x14ac:dyDescent="0.2">
      <c r="A242" s="3" t="s">
        <v>196</v>
      </c>
      <c r="B242" s="3" t="s">
        <v>228</v>
      </c>
      <c r="C242" s="3" t="s">
        <v>57</v>
      </c>
    </row>
    <row r="243" spans="1:3" x14ac:dyDescent="0.2">
      <c r="A243" s="3" t="s">
        <v>196</v>
      </c>
      <c r="B243" s="3" t="s">
        <v>207</v>
      </c>
      <c r="C243" s="3" t="s">
        <v>57</v>
      </c>
    </row>
    <row r="244" spans="1:3" x14ac:dyDescent="0.2">
      <c r="A244" s="3" t="s">
        <v>196</v>
      </c>
      <c r="B244" s="3" t="s">
        <v>208</v>
      </c>
      <c r="C244" s="3" t="s">
        <v>57</v>
      </c>
    </row>
    <row r="245" spans="1:3" x14ac:dyDescent="0.2">
      <c r="A245" s="3" t="s">
        <v>196</v>
      </c>
      <c r="B245" s="3" t="s">
        <v>229</v>
      </c>
      <c r="C245" s="3" t="s">
        <v>57</v>
      </c>
    </row>
    <row r="246" spans="1:3" x14ac:dyDescent="0.2">
      <c r="A246" s="3" t="s">
        <v>196</v>
      </c>
      <c r="B246" s="3" t="s">
        <v>230</v>
      </c>
      <c r="C246" s="3" t="s">
        <v>57</v>
      </c>
    </row>
    <row r="247" spans="1:3" x14ac:dyDescent="0.2">
      <c r="A247" s="3" t="s">
        <v>196</v>
      </c>
      <c r="B247" s="3" t="s">
        <v>209</v>
      </c>
      <c r="C247" s="3" t="s">
        <v>57</v>
      </c>
    </row>
    <row r="248" spans="1:3" x14ac:dyDescent="0.2">
      <c r="A248" s="3" t="s">
        <v>196</v>
      </c>
      <c r="B248" s="3" t="s">
        <v>210</v>
      </c>
      <c r="C248" s="3" t="s">
        <v>57</v>
      </c>
    </row>
    <row r="249" spans="1:3" x14ac:dyDescent="0.2">
      <c r="A249" s="3" t="s">
        <v>196</v>
      </c>
      <c r="B249" s="3" t="s">
        <v>211</v>
      </c>
      <c r="C249" s="3" t="s">
        <v>57</v>
      </c>
    </row>
    <row r="250" spans="1:3" x14ac:dyDescent="0.2">
      <c r="A250" s="3" t="s">
        <v>196</v>
      </c>
      <c r="B250" s="3" t="s">
        <v>212</v>
      </c>
      <c r="C250" s="3" t="s">
        <v>57</v>
      </c>
    </row>
    <row r="251" spans="1:3" x14ac:dyDescent="0.2">
      <c r="A251" s="3" t="s">
        <v>196</v>
      </c>
      <c r="B251" s="3" t="s">
        <v>231</v>
      </c>
      <c r="C251" s="3" t="s">
        <v>57</v>
      </c>
    </row>
    <row r="252" spans="1:3" x14ac:dyDescent="0.2">
      <c r="A252" s="3" t="s">
        <v>196</v>
      </c>
      <c r="B252" s="3" t="s">
        <v>213</v>
      </c>
      <c r="C252" s="3" t="s">
        <v>57</v>
      </c>
    </row>
    <row r="253" spans="1:3" x14ac:dyDescent="0.2">
      <c r="A253" s="3" t="s">
        <v>196</v>
      </c>
      <c r="B253" s="3" t="s">
        <v>214</v>
      </c>
      <c r="C253" s="3" t="s">
        <v>57</v>
      </c>
    </row>
    <row r="254" spans="1:3" x14ac:dyDescent="0.2">
      <c r="A254" s="3" t="s">
        <v>196</v>
      </c>
      <c r="B254" s="3" t="s">
        <v>215</v>
      </c>
      <c r="C254" s="3" t="s">
        <v>57</v>
      </c>
    </row>
    <row r="255" spans="1:3" x14ac:dyDescent="0.2">
      <c r="A255" s="3" t="s">
        <v>196</v>
      </c>
      <c r="B255" s="3" t="s">
        <v>217</v>
      </c>
      <c r="C255" s="3" t="s">
        <v>57</v>
      </c>
    </row>
    <row r="256" spans="1:3" x14ac:dyDescent="0.2">
      <c r="A256" s="3" t="s">
        <v>196</v>
      </c>
      <c r="B256" s="3" t="s">
        <v>218</v>
      </c>
      <c r="C256" s="3" t="s">
        <v>57</v>
      </c>
    </row>
    <row r="257" spans="1:3" x14ac:dyDescent="0.2">
      <c r="A257" s="3" t="s">
        <v>196</v>
      </c>
      <c r="B257" s="3" t="s">
        <v>232</v>
      </c>
      <c r="C257" s="3" t="s">
        <v>169</v>
      </c>
    </row>
    <row r="258" spans="1:3" x14ac:dyDescent="0.2">
      <c r="A258" s="3" t="s">
        <v>196</v>
      </c>
      <c r="B258" s="3" t="s">
        <v>233</v>
      </c>
      <c r="C258" s="3" t="s">
        <v>169</v>
      </c>
    </row>
    <row r="259" spans="1:3" x14ac:dyDescent="0.2">
      <c r="A259" s="3" t="s">
        <v>196</v>
      </c>
      <c r="B259" s="3" t="s">
        <v>234</v>
      </c>
      <c r="C259" s="3" t="s">
        <v>169</v>
      </c>
    </row>
    <row r="260" spans="1:3" x14ac:dyDescent="0.2">
      <c r="A260" s="3" t="s">
        <v>196</v>
      </c>
      <c r="B260" s="3" t="s">
        <v>235</v>
      </c>
      <c r="C260" s="3" t="s">
        <v>169</v>
      </c>
    </row>
    <row r="261" spans="1:3" x14ac:dyDescent="0.2">
      <c r="A261" s="3" t="s">
        <v>196</v>
      </c>
      <c r="B261" s="3" t="s">
        <v>236</v>
      </c>
      <c r="C261" s="3" t="s">
        <v>169</v>
      </c>
    </row>
    <row r="262" spans="1:3" x14ac:dyDescent="0.2">
      <c r="A262" s="3" t="s">
        <v>196</v>
      </c>
      <c r="B262" s="3" t="s">
        <v>237</v>
      </c>
      <c r="C262" s="3" t="s">
        <v>169</v>
      </c>
    </row>
    <row r="263" spans="1:3" x14ac:dyDescent="0.2">
      <c r="A263" s="3" t="s">
        <v>196</v>
      </c>
      <c r="B263" s="3" t="s">
        <v>238</v>
      </c>
      <c r="C263" s="3" t="s">
        <v>169</v>
      </c>
    </row>
    <row r="264" spans="1:3" x14ac:dyDescent="0.2">
      <c r="A264" s="3" t="s">
        <v>196</v>
      </c>
      <c r="B264" s="3" t="s">
        <v>239</v>
      </c>
      <c r="C264" s="3" t="s">
        <v>169</v>
      </c>
    </row>
    <row r="265" spans="1:3" x14ac:dyDescent="0.2">
      <c r="A265" s="3" t="s">
        <v>196</v>
      </c>
      <c r="B265" s="3" t="s">
        <v>240</v>
      </c>
      <c r="C265" s="3" t="s">
        <v>169</v>
      </c>
    </row>
    <row r="266" spans="1:3" x14ac:dyDescent="0.2">
      <c r="A266" s="3" t="s">
        <v>196</v>
      </c>
      <c r="B266" s="3" t="s">
        <v>241</v>
      </c>
      <c r="C266" s="3" t="s">
        <v>169</v>
      </c>
    </row>
    <row r="267" spans="1:3" x14ac:dyDescent="0.2">
      <c r="A267" s="3" t="s">
        <v>196</v>
      </c>
      <c r="B267" s="3" t="s">
        <v>242</v>
      </c>
      <c r="C267" s="3" t="s">
        <v>169</v>
      </c>
    </row>
    <row r="268" spans="1:3" x14ac:dyDescent="0.2">
      <c r="A268" s="3" t="s">
        <v>196</v>
      </c>
      <c r="B268" s="3" t="s">
        <v>243</v>
      </c>
      <c r="C268" s="3" t="s">
        <v>169</v>
      </c>
    </row>
    <row r="269" spans="1:3" x14ac:dyDescent="0.2">
      <c r="A269" s="3" t="s">
        <v>196</v>
      </c>
      <c r="B269" s="3" t="s">
        <v>244</v>
      </c>
      <c r="C269" s="3" t="s">
        <v>169</v>
      </c>
    </row>
    <row r="270" spans="1:3" x14ac:dyDescent="0.2">
      <c r="A270" s="3" t="s">
        <v>196</v>
      </c>
      <c r="B270" s="3" t="s">
        <v>245</v>
      </c>
      <c r="C270" s="3" t="s">
        <v>169</v>
      </c>
    </row>
    <row r="271" spans="1:3" x14ac:dyDescent="0.2">
      <c r="A271" s="3" t="s">
        <v>196</v>
      </c>
      <c r="B271" s="3" t="s">
        <v>246</v>
      </c>
      <c r="C271" s="3" t="s">
        <v>169</v>
      </c>
    </row>
    <row r="272" spans="1:3" x14ac:dyDescent="0.2">
      <c r="A272" s="3" t="s">
        <v>196</v>
      </c>
      <c r="B272" s="3" t="s">
        <v>247</v>
      </c>
      <c r="C272" s="3" t="s">
        <v>169</v>
      </c>
    </row>
    <row r="273" spans="1:3" x14ac:dyDescent="0.2">
      <c r="A273" s="3" t="s">
        <v>196</v>
      </c>
      <c r="B273" s="3" t="s">
        <v>248</v>
      </c>
      <c r="C273" s="3" t="s">
        <v>169</v>
      </c>
    </row>
    <row r="274" spans="1:3" x14ac:dyDescent="0.2">
      <c r="A274" s="3" t="s">
        <v>196</v>
      </c>
      <c r="B274" s="3" t="s">
        <v>249</v>
      </c>
      <c r="C274" s="3" t="s">
        <v>169</v>
      </c>
    </row>
    <row r="275" spans="1:3" x14ac:dyDescent="0.2">
      <c r="A275" s="3" t="s">
        <v>196</v>
      </c>
      <c r="B275" s="3" t="s">
        <v>250</v>
      </c>
      <c r="C275" s="3" t="s">
        <v>169</v>
      </c>
    </row>
    <row r="276" spans="1:3" x14ac:dyDescent="0.2">
      <c r="A276" s="3" t="s">
        <v>196</v>
      </c>
      <c r="B276" s="3" t="s">
        <v>251</v>
      </c>
      <c r="C276" s="3" t="s">
        <v>169</v>
      </c>
    </row>
    <row r="277" spans="1:3" x14ac:dyDescent="0.2">
      <c r="A277" s="3" t="s">
        <v>196</v>
      </c>
      <c r="B277" s="3" t="s">
        <v>252</v>
      </c>
      <c r="C277" s="3" t="s">
        <v>169</v>
      </c>
    </row>
    <row r="278" spans="1:3" x14ac:dyDescent="0.2">
      <c r="A278" s="3" t="s">
        <v>2200</v>
      </c>
      <c r="B278" s="3" t="s">
        <v>2201</v>
      </c>
      <c r="C278" s="3" t="s">
        <v>55</v>
      </c>
    </row>
    <row r="279" spans="1:3" x14ac:dyDescent="0.2">
      <c r="A279" s="3" t="s">
        <v>2200</v>
      </c>
      <c r="B279" s="3" t="s">
        <v>2202</v>
      </c>
      <c r="C279" s="3" t="s">
        <v>55</v>
      </c>
    </row>
    <row r="280" spans="1:3" x14ac:dyDescent="0.2">
      <c r="A280" s="3" t="s">
        <v>2200</v>
      </c>
      <c r="B280" s="3" t="s">
        <v>2203</v>
      </c>
      <c r="C280" s="3" t="s">
        <v>55</v>
      </c>
    </row>
    <row r="281" spans="1:3" x14ac:dyDescent="0.2">
      <c r="A281" s="3" t="s">
        <v>2200</v>
      </c>
      <c r="B281" s="3" t="s">
        <v>256</v>
      </c>
      <c r="C281" s="3" t="s">
        <v>55</v>
      </c>
    </row>
    <row r="282" spans="1:3" x14ac:dyDescent="0.2">
      <c r="A282" s="3" t="s">
        <v>2200</v>
      </c>
      <c r="B282" s="3" t="s">
        <v>2204</v>
      </c>
      <c r="C282" s="3" t="s">
        <v>55</v>
      </c>
    </row>
    <row r="283" spans="1:3" x14ac:dyDescent="0.2">
      <c r="A283" s="3" t="s">
        <v>2200</v>
      </c>
      <c r="B283" s="3" t="s">
        <v>2205</v>
      </c>
      <c r="C283" s="3" t="s">
        <v>169</v>
      </c>
    </row>
    <row r="284" spans="1:3" x14ac:dyDescent="0.2">
      <c r="A284" s="3" t="s">
        <v>2206</v>
      </c>
      <c r="B284" s="3" t="s">
        <v>2205</v>
      </c>
      <c r="C284" s="3" t="s">
        <v>169</v>
      </c>
    </row>
    <row r="285" spans="1:3" x14ac:dyDescent="0.2">
      <c r="A285" s="3" t="s">
        <v>2207</v>
      </c>
      <c r="B285" s="3" t="s">
        <v>183</v>
      </c>
      <c r="C285" s="3" t="s">
        <v>53</v>
      </c>
    </row>
    <row r="286" spans="1:3" x14ac:dyDescent="0.2">
      <c r="A286" s="3" t="s">
        <v>2207</v>
      </c>
      <c r="B286" s="3" t="s">
        <v>197</v>
      </c>
      <c r="C286" s="3" t="s">
        <v>53</v>
      </c>
    </row>
    <row r="287" spans="1:3" x14ac:dyDescent="0.2">
      <c r="A287" s="3" t="s">
        <v>2207</v>
      </c>
      <c r="B287" s="3" t="s">
        <v>198</v>
      </c>
      <c r="C287" s="3" t="s">
        <v>53</v>
      </c>
    </row>
    <row r="288" spans="1:3" x14ac:dyDescent="0.2">
      <c r="A288" s="3" t="s">
        <v>2207</v>
      </c>
      <c r="B288" s="3" t="s">
        <v>183</v>
      </c>
      <c r="C288" s="3" t="s">
        <v>54</v>
      </c>
    </row>
    <row r="289" spans="1:3" x14ac:dyDescent="0.2">
      <c r="A289" s="3" t="s">
        <v>2207</v>
      </c>
      <c r="B289" s="3" t="s">
        <v>197</v>
      </c>
      <c r="C289" s="3" t="s">
        <v>54</v>
      </c>
    </row>
    <row r="290" spans="1:3" x14ac:dyDescent="0.2">
      <c r="A290" s="3" t="s">
        <v>2207</v>
      </c>
      <c r="B290" s="3" t="s">
        <v>198</v>
      </c>
      <c r="C290" s="3" t="s">
        <v>54</v>
      </c>
    </row>
    <row r="291" spans="1:3" x14ac:dyDescent="0.2">
      <c r="A291" s="3" t="s">
        <v>2207</v>
      </c>
      <c r="B291" s="3" t="s">
        <v>183</v>
      </c>
      <c r="C291" s="3" t="s">
        <v>55</v>
      </c>
    </row>
    <row r="292" spans="1:3" x14ac:dyDescent="0.2">
      <c r="A292" s="3" t="s">
        <v>2207</v>
      </c>
      <c r="B292" s="3" t="s">
        <v>197</v>
      </c>
      <c r="C292" s="3" t="s">
        <v>55</v>
      </c>
    </row>
    <row r="293" spans="1:3" x14ac:dyDescent="0.2">
      <c r="A293" s="3" t="s">
        <v>2207</v>
      </c>
      <c r="B293" s="3" t="s">
        <v>198</v>
      </c>
      <c r="C293" s="3" t="s">
        <v>55</v>
      </c>
    </row>
    <row r="294" spans="1:3" x14ac:dyDescent="0.2">
      <c r="A294" s="3" t="s">
        <v>2207</v>
      </c>
      <c r="B294" s="3" t="s">
        <v>183</v>
      </c>
      <c r="C294" s="3" t="s">
        <v>56</v>
      </c>
    </row>
    <row r="295" spans="1:3" x14ac:dyDescent="0.2">
      <c r="A295" s="3" t="s">
        <v>2207</v>
      </c>
      <c r="B295" s="3" t="s">
        <v>197</v>
      </c>
      <c r="C295" s="3" t="s">
        <v>56</v>
      </c>
    </row>
    <row r="296" spans="1:3" x14ac:dyDescent="0.2">
      <c r="A296" s="3" t="s">
        <v>2207</v>
      </c>
      <c r="B296" s="3" t="s">
        <v>198</v>
      </c>
      <c r="C296" s="3" t="s">
        <v>56</v>
      </c>
    </row>
    <row r="297" spans="1:3" x14ac:dyDescent="0.2">
      <c r="A297" s="3" t="s">
        <v>2207</v>
      </c>
      <c r="B297" s="3" t="s">
        <v>183</v>
      </c>
      <c r="C297" s="3" t="s">
        <v>57</v>
      </c>
    </row>
    <row r="298" spans="1:3" x14ac:dyDescent="0.2">
      <c r="A298" s="3" t="s">
        <v>2207</v>
      </c>
      <c r="B298" s="3" t="s">
        <v>197</v>
      </c>
      <c r="C298" s="3" t="s">
        <v>57</v>
      </c>
    </row>
    <row r="299" spans="1:3" x14ac:dyDescent="0.2">
      <c r="A299" s="3" t="s">
        <v>2207</v>
      </c>
      <c r="B299" s="3" t="s">
        <v>198</v>
      </c>
      <c r="C299" s="3" t="s">
        <v>57</v>
      </c>
    </row>
    <row r="300" spans="1:3" x14ac:dyDescent="0.2">
      <c r="A300" s="3" t="s">
        <v>2207</v>
      </c>
      <c r="B300" s="3" t="s">
        <v>1709</v>
      </c>
      <c r="C300" s="3" t="s">
        <v>169</v>
      </c>
    </row>
    <row r="301" spans="1:3" x14ac:dyDescent="0.2">
      <c r="A301" s="3" t="s">
        <v>2207</v>
      </c>
      <c r="B301" s="3" t="s">
        <v>239</v>
      </c>
      <c r="C301" s="3" t="s">
        <v>169</v>
      </c>
    </row>
    <row r="302" spans="1:3" x14ac:dyDescent="0.2">
      <c r="A302" s="3" t="s">
        <v>2207</v>
      </c>
      <c r="B302" s="3" t="s">
        <v>240</v>
      </c>
      <c r="C302" s="3" t="s">
        <v>169</v>
      </c>
    </row>
    <row r="303" spans="1:3" x14ac:dyDescent="0.2">
      <c r="A303" s="3" t="s">
        <v>2207</v>
      </c>
      <c r="B303" s="3" t="s">
        <v>241</v>
      </c>
      <c r="C303" s="3" t="s">
        <v>169</v>
      </c>
    </row>
    <row r="304" spans="1:3" x14ac:dyDescent="0.2">
      <c r="A304" s="3" t="s">
        <v>2207</v>
      </c>
      <c r="B304" s="3" t="s">
        <v>1710</v>
      </c>
      <c r="C304" s="3" t="s">
        <v>169</v>
      </c>
    </row>
    <row r="305" spans="1:3" x14ac:dyDescent="0.2">
      <c r="A305" s="3" t="s">
        <v>2207</v>
      </c>
      <c r="B305" s="3" t="s">
        <v>242</v>
      </c>
      <c r="C305" s="3" t="s">
        <v>169</v>
      </c>
    </row>
    <row r="306" spans="1:3" x14ac:dyDescent="0.2">
      <c r="A306" s="3" t="s">
        <v>2207</v>
      </c>
      <c r="B306" s="3" t="s">
        <v>244</v>
      </c>
      <c r="C306" s="3" t="s">
        <v>169</v>
      </c>
    </row>
    <row r="307" spans="1:3" x14ac:dyDescent="0.2">
      <c r="A307" s="3" t="s">
        <v>2207</v>
      </c>
      <c r="B307" s="3" t="s">
        <v>247</v>
      </c>
      <c r="C307" s="3" t="s">
        <v>169</v>
      </c>
    </row>
    <row r="308" spans="1:3" x14ac:dyDescent="0.2">
      <c r="A308" s="3" t="s">
        <v>2207</v>
      </c>
      <c r="B308" s="3" t="s">
        <v>295</v>
      </c>
      <c r="C308" s="3" t="s">
        <v>10</v>
      </c>
    </row>
    <row r="309" spans="1:3" x14ac:dyDescent="0.2">
      <c r="A309" s="3" t="s">
        <v>2207</v>
      </c>
      <c r="B309" s="3" t="s">
        <v>296</v>
      </c>
      <c r="C309" s="3" t="s">
        <v>10</v>
      </c>
    </row>
    <row r="310" spans="1:3" x14ac:dyDescent="0.2">
      <c r="A310" s="3" t="s">
        <v>2207</v>
      </c>
      <c r="B310" s="3" t="s">
        <v>297</v>
      </c>
      <c r="C310" s="3" t="s">
        <v>10</v>
      </c>
    </row>
    <row r="311" spans="1:3" x14ac:dyDescent="0.2">
      <c r="A311" s="3" t="s">
        <v>253</v>
      </c>
      <c r="B311" s="3" t="s">
        <v>254</v>
      </c>
      <c r="C311" s="3" t="s">
        <v>53</v>
      </c>
    </row>
    <row r="312" spans="1:3" x14ac:dyDescent="0.2">
      <c r="A312" s="3" t="s">
        <v>253</v>
      </c>
      <c r="B312" s="3" t="s">
        <v>255</v>
      </c>
      <c r="C312" s="3" t="s">
        <v>53</v>
      </c>
    </row>
    <row r="313" spans="1:3" x14ac:dyDescent="0.2">
      <c r="A313" s="3" t="s">
        <v>253</v>
      </c>
      <c r="B313" s="3" t="s">
        <v>199</v>
      </c>
      <c r="C313" s="3" t="s">
        <v>53</v>
      </c>
    </row>
    <row r="314" spans="1:3" x14ac:dyDescent="0.2">
      <c r="A314" s="3" t="s">
        <v>253</v>
      </c>
      <c r="B314" s="3" t="s">
        <v>221</v>
      </c>
      <c r="C314" s="3" t="s">
        <v>54</v>
      </c>
    </row>
    <row r="315" spans="1:3" x14ac:dyDescent="0.2">
      <c r="A315" s="3" t="s">
        <v>253</v>
      </c>
      <c r="B315" s="3" t="s">
        <v>254</v>
      </c>
      <c r="C315" s="3" t="s">
        <v>54</v>
      </c>
    </row>
    <row r="316" spans="1:3" x14ac:dyDescent="0.2">
      <c r="A316" s="3" t="s">
        <v>253</v>
      </c>
      <c r="B316" s="3" t="s">
        <v>255</v>
      </c>
      <c r="C316" s="3" t="s">
        <v>54</v>
      </c>
    </row>
    <row r="317" spans="1:3" x14ac:dyDescent="0.2">
      <c r="A317" s="3" t="s">
        <v>253</v>
      </c>
      <c r="B317" s="3" t="s">
        <v>199</v>
      </c>
      <c r="C317" s="3" t="s">
        <v>54</v>
      </c>
    </row>
    <row r="318" spans="1:3" x14ac:dyDescent="0.2">
      <c r="A318" s="3" t="s">
        <v>253</v>
      </c>
      <c r="B318" s="3" t="s">
        <v>221</v>
      </c>
      <c r="C318" s="3" t="s">
        <v>55</v>
      </c>
    </row>
    <row r="319" spans="1:3" x14ac:dyDescent="0.2">
      <c r="A319" s="3" t="s">
        <v>253</v>
      </c>
      <c r="B319" s="3" t="s">
        <v>254</v>
      </c>
      <c r="C319" s="3" t="s">
        <v>55</v>
      </c>
    </row>
    <row r="320" spans="1:3" x14ac:dyDescent="0.2">
      <c r="A320" s="3" t="s">
        <v>253</v>
      </c>
      <c r="B320" s="3" t="s">
        <v>256</v>
      </c>
      <c r="C320" s="3" t="s">
        <v>55</v>
      </c>
    </row>
    <row r="321" spans="1:3" x14ac:dyDescent="0.2">
      <c r="A321" s="3" t="s">
        <v>253</v>
      </c>
      <c r="B321" s="3" t="s">
        <v>221</v>
      </c>
      <c r="C321" s="3" t="s">
        <v>56</v>
      </c>
    </row>
    <row r="322" spans="1:3" x14ac:dyDescent="0.2">
      <c r="A322" s="3" t="s">
        <v>253</v>
      </c>
      <c r="B322" s="3" t="s">
        <v>254</v>
      </c>
      <c r="C322" s="3" t="s">
        <v>56</v>
      </c>
    </row>
    <row r="323" spans="1:3" x14ac:dyDescent="0.2">
      <c r="A323" s="3" t="s">
        <v>253</v>
      </c>
      <c r="B323" s="3" t="s">
        <v>199</v>
      </c>
      <c r="C323" s="3" t="s">
        <v>56</v>
      </c>
    </row>
    <row r="324" spans="1:3" x14ac:dyDescent="0.2">
      <c r="A324" s="3" t="s">
        <v>253</v>
      </c>
      <c r="B324" s="3" t="s">
        <v>221</v>
      </c>
      <c r="C324" s="3" t="s">
        <v>57</v>
      </c>
    </row>
    <row r="325" spans="1:3" x14ac:dyDescent="0.2">
      <c r="A325" s="3" t="s">
        <v>253</v>
      </c>
      <c r="B325" s="3" t="s">
        <v>254</v>
      </c>
      <c r="C325" s="3" t="s">
        <v>57</v>
      </c>
    </row>
    <row r="326" spans="1:3" x14ac:dyDescent="0.2">
      <c r="A326" s="3" t="s">
        <v>253</v>
      </c>
      <c r="B326" s="3" t="s">
        <v>255</v>
      </c>
      <c r="C326" s="3" t="s">
        <v>57</v>
      </c>
    </row>
    <row r="327" spans="1:3" x14ac:dyDescent="0.2">
      <c r="A327" s="3" t="s">
        <v>253</v>
      </c>
      <c r="B327" s="3" t="s">
        <v>199</v>
      </c>
      <c r="C327" s="3" t="s">
        <v>57</v>
      </c>
    </row>
    <row r="328" spans="1:3" x14ac:dyDescent="0.2">
      <c r="A328" s="3" t="s">
        <v>253</v>
      </c>
      <c r="B328" s="3" t="s">
        <v>237</v>
      </c>
      <c r="C328" s="3" t="s">
        <v>169</v>
      </c>
    </row>
    <row r="329" spans="1:3" x14ac:dyDescent="0.2">
      <c r="A329" s="3" t="s">
        <v>2208</v>
      </c>
      <c r="B329" s="3" t="s">
        <v>2209</v>
      </c>
      <c r="C329" s="3" t="s">
        <v>54</v>
      </c>
    </row>
    <row r="330" spans="1:3" x14ac:dyDescent="0.2">
      <c r="A330" s="3" t="s">
        <v>2208</v>
      </c>
      <c r="B330" s="3" t="s">
        <v>2210</v>
      </c>
      <c r="C330" s="3" t="s">
        <v>54</v>
      </c>
    </row>
    <row r="331" spans="1:3" x14ac:dyDescent="0.2">
      <c r="A331" s="3" t="s">
        <v>287</v>
      </c>
      <c r="B331" s="3" t="s">
        <v>288</v>
      </c>
      <c r="C331" s="3" t="s">
        <v>53</v>
      </c>
    </row>
    <row r="332" spans="1:3" x14ac:dyDescent="0.2">
      <c r="A332" s="3" t="s">
        <v>287</v>
      </c>
      <c r="B332" s="3" t="s">
        <v>289</v>
      </c>
      <c r="C332" s="3" t="s">
        <v>53</v>
      </c>
    </row>
    <row r="333" spans="1:3" x14ac:dyDescent="0.2">
      <c r="A333" s="3" t="s">
        <v>287</v>
      </c>
      <c r="B333" s="3" t="s">
        <v>290</v>
      </c>
      <c r="C333" s="3" t="s">
        <v>53</v>
      </c>
    </row>
    <row r="334" spans="1:3" x14ac:dyDescent="0.2">
      <c r="A334" s="3" t="s">
        <v>287</v>
      </c>
      <c r="B334" s="3" t="s">
        <v>291</v>
      </c>
      <c r="C334" s="3" t="s">
        <v>53</v>
      </c>
    </row>
    <row r="335" spans="1:3" x14ac:dyDescent="0.2">
      <c r="A335" s="3" t="s">
        <v>287</v>
      </c>
      <c r="B335" s="3" t="s">
        <v>285</v>
      </c>
      <c r="C335" s="3" t="s">
        <v>53</v>
      </c>
    </row>
    <row r="336" spans="1:3" x14ac:dyDescent="0.2">
      <c r="A336" s="3" t="s">
        <v>287</v>
      </c>
      <c r="B336" s="3" t="s">
        <v>286</v>
      </c>
      <c r="C336" s="3" t="s">
        <v>53</v>
      </c>
    </row>
    <row r="337" spans="1:3" x14ac:dyDescent="0.2">
      <c r="A337" s="3" t="s">
        <v>287</v>
      </c>
      <c r="B337" s="3" t="s">
        <v>288</v>
      </c>
      <c r="C337" s="3" t="s">
        <v>54</v>
      </c>
    </row>
    <row r="338" spans="1:3" x14ac:dyDescent="0.2">
      <c r="A338" s="3" t="s">
        <v>287</v>
      </c>
      <c r="B338" s="3" t="s">
        <v>289</v>
      </c>
      <c r="C338" s="3" t="s">
        <v>54</v>
      </c>
    </row>
    <row r="339" spans="1:3" x14ac:dyDescent="0.2">
      <c r="A339" s="3" t="s">
        <v>287</v>
      </c>
      <c r="B339" s="3" t="s">
        <v>290</v>
      </c>
      <c r="C339" s="3" t="s">
        <v>54</v>
      </c>
    </row>
    <row r="340" spans="1:3" x14ac:dyDescent="0.2">
      <c r="A340" s="3" t="s">
        <v>287</v>
      </c>
      <c r="B340" s="3" t="s">
        <v>291</v>
      </c>
      <c r="C340" s="3" t="s">
        <v>54</v>
      </c>
    </row>
    <row r="341" spans="1:3" x14ac:dyDescent="0.2">
      <c r="A341" s="3" t="s">
        <v>287</v>
      </c>
      <c r="B341" s="3" t="s">
        <v>285</v>
      </c>
      <c r="C341" s="3" t="s">
        <v>54</v>
      </c>
    </row>
    <row r="342" spans="1:3" x14ac:dyDescent="0.2">
      <c r="A342" s="3" t="s">
        <v>287</v>
      </c>
      <c r="B342" s="3" t="s">
        <v>286</v>
      </c>
      <c r="C342" s="3" t="s">
        <v>54</v>
      </c>
    </row>
    <row r="343" spans="1:3" x14ac:dyDescent="0.2">
      <c r="A343" s="3" t="s">
        <v>287</v>
      </c>
      <c r="B343" s="3" t="s">
        <v>288</v>
      </c>
      <c r="C343" s="3" t="s">
        <v>55</v>
      </c>
    </row>
    <row r="344" spans="1:3" x14ac:dyDescent="0.2">
      <c r="A344" s="3" t="s">
        <v>287</v>
      </c>
      <c r="B344" s="3" t="s">
        <v>289</v>
      </c>
      <c r="C344" s="3" t="s">
        <v>55</v>
      </c>
    </row>
    <row r="345" spans="1:3" x14ac:dyDescent="0.2">
      <c r="A345" s="3" t="s">
        <v>287</v>
      </c>
      <c r="B345" s="3" t="s">
        <v>290</v>
      </c>
      <c r="C345" s="3" t="s">
        <v>55</v>
      </c>
    </row>
    <row r="346" spans="1:3" x14ac:dyDescent="0.2">
      <c r="A346" s="3" t="s">
        <v>287</v>
      </c>
      <c r="B346" s="3" t="s">
        <v>291</v>
      </c>
      <c r="C346" s="3" t="s">
        <v>55</v>
      </c>
    </row>
    <row r="347" spans="1:3" x14ac:dyDescent="0.2">
      <c r="A347" s="3" t="s">
        <v>287</v>
      </c>
      <c r="B347" s="3" t="s">
        <v>285</v>
      </c>
      <c r="C347" s="3" t="s">
        <v>55</v>
      </c>
    </row>
    <row r="348" spans="1:3" x14ac:dyDescent="0.2">
      <c r="A348" s="3" t="s">
        <v>287</v>
      </c>
      <c r="B348" s="3" t="s">
        <v>286</v>
      </c>
      <c r="C348" s="3" t="s">
        <v>55</v>
      </c>
    </row>
    <row r="349" spans="1:3" x14ac:dyDescent="0.2">
      <c r="A349" s="3" t="s">
        <v>287</v>
      </c>
      <c r="B349" s="3" t="s">
        <v>288</v>
      </c>
      <c r="C349" s="3" t="s">
        <v>56</v>
      </c>
    </row>
    <row r="350" spans="1:3" x14ac:dyDescent="0.2">
      <c r="A350" s="3" t="s">
        <v>287</v>
      </c>
      <c r="B350" s="3" t="s">
        <v>289</v>
      </c>
      <c r="C350" s="3" t="s">
        <v>56</v>
      </c>
    </row>
    <row r="351" spans="1:3" x14ac:dyDescent="0.2">
      <c r="A351" s="3" t="s">
        <v>287</v>
      </c>
      <c r="B351" s="3" t="s">
        <v>290</v>
      </c>
      <c r="C351" s="3" t="s">
        <v>56</v>
      </c>
    </row>
    <row r="352" spans="1:3" x14ac:dyDescent="0.2">
      <c r="A352" s="3" t="s">
        <v>287</v>
      </c>
      <c r="B352" s="3" t="s">
        <v>291</v>
      </c>
      <c r="C352" s="3" t="s">
        <v>56</v>
      </c>
    </row>
    <row r="353" spans="1:3" x14ac:dyDescent="0.2">
      <c r="A353" s="3" t="s">
        <v>287</v>
      </c>
      <c r="B353" s="3" t="s">
        <v>285</v>
      </c>
      <c r="C353" s="3" t="s">
        <v>56</v>
      </c>
    </row>
    <row r="354" spans="1:3" x14ac:dyDescent="0.2">
      <c r="A354" s="3" t="s">
        <v>287</v>
      </c>
      <c r="B354" s="3" t="s">
        <v>286</v>
      </c>
      <c r="C354" s="3" t="s">
        <v>56</v>
      </c>
    </row>
    <row r="355" spans="1:3" x14ac:dyDescent="0.2">
      <c r="A355" s="3" t="s">
        <v>287</v>
      </c>
      <c r="B355" s="3" t="s">
        <v>288</v>
      </c>
      <c r="C355" s="3" t="s">
        <v>57</v>
      </c>
    </row>
    <row r="356" spans="1:3" x14ac:dyDescent="0.2">
      <c r="A356" s="3" t="s">
        <v>287</v>
      </c>
      <c r="B356" s="3" t="s">
        <v>289</v>
      </c>
      <c r="C356" s="3" t="s">
        <v>57</v>
      </c>
    </row>
    <row r="357" spans="1:3" x14ac:dyDescent="0.2">
      <c r="A357" s="3" t="s">
        <v>287</v>
      </c>
      <c r="B357" s="3" t="s">
        <v>290</v>
      </c>
      <c r="C357" s="3" t="s">
        <v>57</v>
      </c>
    </row>
    <row r="358" spans="1:3" x14ac:dyDescent="0.2">
      <c r="A358" s="3" t="s">
        <v>287</v>
      </c>
      <c r="B358" s="3" t="s">
        <v>291</v>
      </c>
      <c r="C358" s="3" t="s">
        <v>57</v>
      </c>
    </row>
    <row r="359" spans="1:3" x14ac:dyDescent="0.2">
      <c r="A359" s="3" t="s">
        <v>287</v>
      </c>
      <c r="B359" s="3" t="s">
        <v>285</v>
      </c>
      <c r="C359" s="3" t="s">
        <v>57</v>
      </c>
    </row>
    <row r="360" spans="1:3" x14ac:dyDescent="0.2">
      <c r="A360" s="3" t="s">
        <v>287</v>
      </c>
      <c r="B360" s="3" t="s">
        <v>286</v>
      </c>
      <c r="C360" s="3" t="s">
        <v>57</v>
      </c>
    </row>
    <row r="361" spans="1:3" x14ac:dyDescent="0.2">
      <c r="A361" s="3" t="s">
        <v>287</v>
      </c>
      <c r="B361" s="3" t="s">
        <v>276</v>
      </c>
      <c r="C361" s="3" t="s">
        <v>22</v>
      </c>
    </row>
    <row r="362" spans="1:3" x14ac:dyDescent="0.2">
      <c r="A362" s="3" t="s">
        <v>287</v>
      </c>
      <c r="B362" s="3" t="s">
        <v>277</v>
      </c>
      <c r="C362" s="3" t="s">
        <v>22</v>
      </c>
    </row>
    <row r="363" spans="1:3" x14ac:dyDescent="0.2">
      <c r="A363" s="3" t="s">
        <v>287</v>
      </c>
      <c r="B363" s="3" t="s">
        <v>278</v>
      </c>
      <c r="C363" s="3" t="s">
        <v>22</v>
      </c>
    </row>
    <row r="364" spans="1:3" x14ac:dyDescent="0.2">
      <c r="A364" s="3" t="s">
        <v>292</v>
      </c>
      <c r="B364" s="3" t="s">
        <v>199</v>
      </c>
      <c r="C364" s="3" t="s">
        <v>53</v>
      </c>
    </row>
    <row r="365" spans="1:3" x14ac:dyDescent="0.2">
      <c r="A365" s="3" t="s">
        <v>292</v>
      </c>
      <c r="B365" s="3" t="s">
        <v>221</v>
      </c>
      <c r="C365" s="3" t="s">
        <v>54</v>
      </c>
    </row>
    <row r="366" spans="1:3" x14ac:dyDescent="0.2">
      <c r="A366" s="3" t="s">
        <v>292</v>
      </c>
      <c r="B366" s="3" t="s">
        <v>199</v>
      </c>
      <c r="C366" s="3" t="s">
        <v>54</v>
      </c>
    </row>
    <row r="367" spans="1:3" x14ac:dyDescent="0.2">
      <c r="A367" s="3" t="s">
        <v>292</v>
      </c>
      <c r="B367" s="3" t="s">
        <v>221</v>
      </c>
      <c r="C367" s="3" t="s">
        <v>55</v>
      </c>
    </row>
    <row r="368" spans="1:3" x14ac:dyDescent="0.2">
      <c r="A368" s="3" t="s">
        <v>292</v>
      </c>
      <c r="B368" s="3" t="s">
        <v>256</v>
      </c>
      <c r="C368" s="3" t="s">
        <v>55</v>
      </c>
    </row>
    <row r="369" spans="1:3" x14ac:dyDescent="0.2">
      <c r="A369" s="3" t="s">
        <v>292</v>
      </c>
      <c r="B369" s="3" t="s">
        <v>221</v>
      </c>
      <c r="C369" s="3" t="s">
        <v>56</v>
      </c>
    </row>
    <row r="370" spans="1:3" x14ac:dyDescent="0.2">
      <c r="A370" s="3" t="s">
        <v>292</v>
      </c>
      <c r="B370" s="3" t="s">
        <v>199</v>
      </c>
      <c r="C370" s="3" t="s">
        <v>56</v>
      </c>
    </row>
    <row r="371" spans="1:3" x14ac:dyDescent="0.2">
      <c r="A371" s="3" t="s">
        <v>292</v>
      </c>
      <c r="B371" s="3" t="s">
        <v>221</v>
      </c>
      <c r="C371" s="3" t="s">
        <v>57</v>
      </c>
    </row>
    <row r="372" spans="1:3" x14ac:dyDescent="0.2">
      <c r="A372" s="3" t="s">
        <v>292</v>
      </c>
      <c r="B372" s="3" t="s">
        <v>199</v>
      </c>
      <c r="C372" s="3" t="s">
        <v>57</v>
      </c>
    </row>
    <row r="373" spans="1:3" x14ac:dyDescent="0.2">
      <c r="A373" s="3" t="s">
        <v>292</v>
      </c>
      <c r="B373" s="3" t="s">
        <v>293</v>
      </c>
      <c r="C373" s="3" t="s">
        <v>169</v>
      </c>
    </row>
    <row r="374" spans="1:3" x14ac:dyDescent="0.2">
      <c r="A374" s="3" t="s">
        <v>294</v>
      </c>
      <c r="B374" s="3" t="s">
        <v>183</v>
      </c>
      <c r="C374" s="3" t="s">
        <v>53</v>
      </c>
    </row>
    <row r="375" spans="1:3" x14ac:dyDescent="0.2">
      <c r="A375" s="3" t="s">
        <v>294</v>
      </c>
      <c r="B375" s="3" t="s">
        <v>183</v>
      </c>
      <c r="C375" s="3" t="s">
        <v>54</v>
      </c>
    </row>
    <row r="376" spans="1:3" x14ac:dyDescent="0.2">
      <c r="A376" s="3" t="s">
        <v>294</v>
      </c>
      <c r="B376" s="3" t="s">
        <v>183</v>
      </c>
      <c r="C376" s="3" t="s">
        <v>55</v>
      </c>
    </row>
    <row r="377" spans="1:3" x14ac:dyDescent="0.2">
      <c r="A377" s="3" t="s">
        <v>294</v>
      </c>
      <c r="B377" s="3" t="s">
        <v>183</v>
      </c>
      <c r="C377" s="3" t="s">
        <v>56</v>
      </c>
    </row>
    <row r="378" spans="1:3" x14ac:dyDescent="0.2">
      <c r="A378" s="3" t="s">
        <v>294</v>
      </c>
      <c r="B378" s="3" t="s">
        <v>183</v>
      </c>
      <c r="C378" s="3" t="s">
        <v>57</v>
      </c>
    </row>
    <row r="379" spans="1:3" x14ac:dyDescent="0.2">
      <c r="A379" s="3" t="s">
        <v>294</v>
      </c>
      <c r="B379" s="3" t="s">
        <v>295</v>
      </c>
      <c r="C379" s="3" t="s">
        <v>10</v>
      </c>
    </row>
    <row r="380" spans="1:3" x14ac:dyDescent="0.2">
      <c r="A380" s="3" t="s">
        <v>294</v>
      </c>
      <c r="B380" s="3" t="s">
        <v>296</v>
      </c>
      <c r="C380" s="3" t="s">
        <v>10</v>
      </c>
    </row>
    <row r="381" spans="1:3" x14ac:dyDescent="0.2">
      <c r="A381" s="3" t="s">
        <v>294</v>
      </c>
      <c r="B381" s="3" t="s">
        <v>297</v>
      </c>
      <c r="C381" s="3" t="s">
        <v>10</v>
      </c>
    </row>
    <row r="382" spans="1:3" x14ac:dyDescent="0.2">
      <c r="A382" s="3" t="s">
        <v>298</v>
      </c>
      <c r="B382" s="3" t="s">
        <v>299</v>
      </c>
      <c r="C382" s="3" t="s">
        <v>53</v>
      </c>
    </row>
    <row r="383" spans="1:3" x14ac:dyDescent="0.2">
      <c r="A383" s="3" t="s">
        <v>298</v>
      </c>
      <c r="B383" s="3" t="s">
        <v>300</v>
      </c>
      <c r="C383" s="3" t="s">
        <v>53</v>
      </c>
    </row>
    <row r="384" spans="1:3" x14ac:dyDescent="0.2">
      <c r="A384" s="3" t="s">
        <v>298</v>
      </c>
      <c r="B384" s="3" t="s">
        <v>299</v>
      </c>
      <c r="C384" s="3" t="s">
        <v>54</v>
      </c>
    </row>
    <row r="385" spans="1:3" x14ac:dyDescent="0.2">
      <c r="A385" s="3" t="s">
        <v>298</v>
      </c>
      <c r="B385" s="3" t="s">
        <v>300</v>
      </c>
      <c r="C385" s="3" t="s">
        <v>54</v>
      </c>
    </row>
    <row r="386" spans="1:3" x14ac:dyDescent="0.2">
      <c r="A386" s="3" t="s">
        <v>298</v>
      </c>
      <c r="B386" s="3" t="s">
        <v>299</v>
      </c>
      <c r="C386" s="3" t="s">
        <v>55</v>
      </c>
    </row>
    <row r="387" spans="1:3" x14ac:dyDescent="0.2">
      <c r="A387" s="3" t="s">
        <v>298</v>
      </c>
      <c r="B387" s="3" t="s">
        <v>300</v>
      </c>
      <c r="C387" s="3" t="s">
        <v>55</v>
      </c>
    </row>
    <row r="388" spans="1:3" x14ac:dyDescent="0.2">
      <c r="A388" s="3" t="s">
        <v>298</v>
      </c>
      <c r="B388" s="3" t="s">
        <v>299</v>
      </c>
      <c r="C388" s="3" t="s">
        <v>56</v>
      </c>
    </row>
    <row r="389" spans="1:3" x14ac:dyDescent="0.2">
      <c r="A389" s="3" t="s">
        <v>298</v>
      </c>
      <c r="B389" s="3" t="s">
        <v>300</v>
      </c>
      <c r="C389" s="3" t="s">
        <v>56</v>
      </c>
    </row>
    <row r="390" spans="1:3" x14ac:dyDescent="0.2">
      <c r="A390" s="3" t="s">
        <v>298</v>
      </c>
      <c r="B390" s="3" t="s">
        <v>299</v>
      </c>
      <c r="C390" s="3" t="s">
        <v>57</v>
      </c>
    </row>
    <row r="391" spans="1:3" x14ac:dyDescent="0.2">
      <c r="A391" s="3" t="s">
        <v>298</v>
      </c>
      <c r="B391" s="3" t="s">
        <v>300</v>
      </c>
      <c r="C391" s="3" t="s">
        <v>57</v>
      </c>
    </row>
    <row r="392" spans="1:3" x14ac:dyDescent="0.2">
      <c r="A392" s="3" t="s">
        <v>298</v>
      </c>
      <c r="B392" s="3" t="s">
        <v>301</v>
      </c>
      <c r="C392" s="3" t="s">
        <v>169</v>
      </c>
    </row>
    <row r="393" spans="1:3" x14ac:dyDescent="0.2">
      <c r="A393" s="3" t="s">
        <v>298</v>
      </c>
      <c r="B393" s="3" t="s">
        <v>302</v>
      </c>
      <c r="C393" s="3" t="s">
        <v>169</v>
      </c>
    </row>
    <row r="394" spans="1:3" x14ac:dyDescent="0.2">
      <c r="A394" s="3" t="s">
        <v>298</v>
      </c>
      <c r="B394" s="3" t="s">
        <v>303</v>
      </c>
      <c r="C394" s="3" t="s">
        <v>169</v>
      </c>
    </row>
    <row r="395" spans="1:3" x14ac:dyDescent="0.2">
      <c r="A395" s="3" t="s">
        <v>298</v>
      </c>
      <c r="B395" s="3" t="s">
        <v>304</v>
      </c>
      <c r="C395" s="3" t="s">
        <v>169</v>
      </c>
    </row>
    <row r="396" spans="1:3" x14ac:dyDescent="0.2">
      <c r="A396" s="3" t="s">
        <v>298</v>
      </c>
      <c r="B396" s="3" t="s">
        <v>305</v>
      </c>
      <c r="C396" s="3" t="s">
        <v>169</v>
      </c>
    </row>
    <row r="397" spans="1:3" x14ac:dyDescent="0.2">
      <c r="A397" s="3" t="s">
        <v>298</v>
      </c>
      <c r="B397" s="3" t="s">
        <v>306</v>
      </c>
      <c r="C397" s="3" t="s">
        <v>169</v>
      </c>
    </row>
    <row r="398" spans="1:3" x14ac:dyDescent="0.2">
      <c r="A398" s="3" t="s">
        <v>298</v>
      </c>
      <c r="B398" s="3" t="s">
        <v>307</v>
      </c>
      <c r="C398" s="3" t="s">
        <v>169</v>
      </c>
    </row>
    <row r="399" spans="1:3" x14ac:dyDescent="0.2">
      <c r="A399" s="3" t="s">
        <v>298</v>
      </c>
      <c r="B399" s="3" t="s">
        <v>308</v>
      </c>
      <c r="C399" s="3" t="s">
        <v>169</v>
      </c>
    </row>
    <row r="400" spans="1:3" x14ac:dyDescent="0.2">
      <c r="A400" s="3" t="s">
        <v>298</v>
      </c>
      <c r="B400" s="3" t="s">
        <v>309</v>
      </c>
      <c r="C400" s="3" t="s">
        <v>169</v>
      </c>
    </row>
    <row r="401" spans="1:3" x14ac:dyDescent="0.2">
      <c r="A401" s="3" t="s">
        <v>298</v>
      </c>
      <c r="B401" s="3" t="s">
        <v>310</v>
      </c>
      <c r="C401" s="3" t="s">
        <v>169</v>
      </c>
    </row>
    <row r="402" spans="1:3" x14ac:dyDescent="0.2">
      <c r="A402" s="3" t="s">
        <v>298</v>
      </c>
      <c r="B402" s="3" t="s">
        <v>311</v>
      </c>
      <c r="C402" s="3" t="s">
        <v>169</v>
      </c>
    </row>
    <row r="403" spans="1:3" x14ac:dyDescent="0.2">
      <c r="A403" s="3" t="s">
        <v>298</v>
      </c>
      <c r="B403" s="3" t="s">
        <v>312</v>
      </c>
      <c r="C403" s="3" t="s">
        <v>169</v>
      </c>
    </row>
    <row r="404" spans="1:3" x14ac:dyDescent="0.2">
      <c r="A404" s="3" t="s">
        <v>298</v>
      </c>
      <c r="B404" s="3" t="s">
        <v>313</v>
      </c>
      <c r="C404" s="3" t="s">
        <v>169</v>
      </c>
    </row>
    <row r="405" spans="1:3" x14ac:dyDescent="0.2">
      <c r="A405" s="3" t="s">
        <v>298</v>
      </c>
      <c r="B405" s="3" t="s">
        <v>314</v>
      </c>
      <c r="C405" s="3" t="s">
        <v>169</v>
      </c>
    </row>
    <row r="406" spans="1:3" x14ac:dyDescent="0.2">
      <c r="A406" s="3" t="s">
        <v>298</v>
      </c>
      <c r="B406" s="3" t="s">
        <v>315</v>
      </c>
      <c r="C406" s="3" t="s">
        <v>169</v>
      </c>
    </row>
    <row r="407" spans="1:3" x14ac:dyDescent="0.2">
      <c r="A407" s="3" t="s">
        <v>298</v>
      </c>
      <c r="B407" s="3" t="s">
        <v>316</v>
      </c>
      <c r="C407" s="3" t="s">
        <v>169</v>
      </c>
    </row>
    <row r="408" spans="1:3" x14ac:dyDescent="0.2">
      <c r="A408" s="3" t="s">
        <v>298</v>
      </c>
      <c r="B408" s="3" t="s">
        <v>317</v>
      </c>
      <c r="C408" s="3" t="s">
        <v>169</v>
      </c>
    </row>
    <row r="409" spans="1:3" x14ac:dyDescent="0.2">
      <c r="A409" s="3" t="s">
        <v>298</v>
      </c>
      <c r="B409" s="3" t="s">
        <v>318</v>
      </c>
      <c r="C409" s="3" t="s">
        <v>169</v>
      </c>
    </row>
    <row r="410" spans="1:3" x14ac:dyDescent="0.2">
      <c r="A410" s="3" t="s">
        <v>333</v>
      </c>
      <c r="B410" s="3" t="s">
        <v>199</v>
      </c>
      <c r="C410" s="3" t="s">
        <v>53</v>
      </c>
    </row>
    <row r="411" spans="1:3" x14ac:dyDescent="0.2">
      <c r="A411" s="3" t="s">
        <v>333</v>
      </c>
      <c r="B411" s="3" t="s">
        <v>221</v>
      </c>
      <c r="C411" s="3" t="s">
        <v>54</v>
      </c>
    </row>
    <row r="412" spans="1:3" x14ac:dyDescent="0.2">
      <c r="A412" s="3" t="s">
        <v>333</v>
      </c>
      <c r="B412" s="3" t="s">
        <v>199</v>
      </c>
      <c r="C412" s="3" t="s">
        <v>54</v>
      </c>
    </row>
    <row r="413" spans="1:3" x14ac:dyDescent="0.2">
      <c r="A413" s="3" t="s">
        <v>333</v>
      </c>
      <c r="B413" s="3" t="s">
        <v>221</v>
      </c>
      <c r="C413" s="3" t="s">
        <v>55</v>
      </c>
    </row>
    <row r="414" spans="1:3" x14ac:dyDescent="0.2">
      <c r="A414" s="3" t="s">
        <v>333</v>
      </c>
      <c r="B414" s="3" t="s">
        <v>221</v>
      </c>
      <c r="C414" s="3" t="s">
        <v>56</v>
      </c>
    </row>
    <row r="415" spans="1:3" x14ac:dyDescent="0.2">
      <c r="A415" s="3" t="s">
        <v>333</v>
      </c>
      <c r="B415" s="3" t="s">
        <v>199</v>
      </c>
      <c r="C415" s="3" t="s">
        <v>56</v>
      </c>
    </row>
    <row r="416" spans="1:3" x14ac:dyDescent="0.2">
      <c r="A416" s="3" t="s">
        <v>333</v>
      </c>
      <c r="B416" s="3" t="s">
        <v>221</v>
      </c>
      <c r="C416" s="3" t="s">
        <v>57</v>
      </c>
    </row>
    <row r="417" spans="1:3" x14ac:dyDescent="0.2">
      <c r="A417" s="3" t="s">
        <v>333</v>
      </c>
      <c r="B417" s="3" t="s">
        <v>199</v>
      </c>
      <c r="C417" s="3" t="s">
        <v>57</v>
      </c>
    </row>
    <row r="418" spans="1:3" x14ac:dyDescent="0.2">
      <c r="A418" s="3" t="s">
        <v>333</v>
      </c>
      <c r="B418" s="3" t="s">
        <v>334</v>
      </c>
      <c r="C418" s="3" t="s">
        <v>169</v>
      </c>
    </row>
    <row r="419" spans="1:3" x14ac:dyDescent="0.2">
      <c r="A419" s="3" t="s">
        <v>333</v>
      </c>
      <c r="B419" s="3" t="s">
        <v>335</v>
      </c>
      <c r="C419" s="3" t="s">
        <v>169</v>
      </c>
    </row>
    <row r="420" spans="1:3" x14ac:dyDescent="0.2">
      <c r="A420" s="3" t="s">
        <v>333</v>
      </c>
      <c r="B420" s="3" t="s">
        <v>336</v>
      </c>
      <c r="C420" s="3" t="s">
        <v>169</v>
      </c>
    </row>
    <row r="421" spans="1:3" x14ac:dyDescent="0.2">
      <c r="A421" s="3" t="s">
        <v>333</v>
      </c>
      <c r="B421" s="3" t="s">
        <v>337</v>
      </c>
      <c r="C421" s="3" t="s">
        <v>169</v>
      </c>
    </row>
    <row r="422" spans="1:3" x14ac:dyDescent="0.2">
      <c r="A422" s="3" t="s">
        <v>333</v>
      </c>
      <c r="B422" s="3" t="s">
        <v>338</v>
      </c>
      <c r="C422" s="3" t="s">
        <v>169</v>
      </c>
    </row>
    <row r="423" spans="1:3" x14ac:dyDescent="0.2">
      <c r="A423" s="3" t="s">
        <v>333</v>
      </c>
      <c r="B423" s="3" t="s">
        <v>339</v>
      </c>
      <c r="C423" s="3" t="s">
        <v>169</v>
      </c>
    </row>
    <row r="424" spans="1:3" x14ac:dyDescent="0.2">
      <c r="A424" s="3" t="s">
        <v>333</v>
      </c>
      <c r="B424" s="3" t="s">
        <v>340</v>
      </c>
      <c r="C424" s="3" t="s">
        <v>169</v>
      </c>
    </row>
    <row r="425" spans="1:3" x14ac:dyDescent="0.2">
      <c r="A425" s="3" t="s">
        <v>333</v>
      </c>
      <c r="B425" s="3" t="s">
        <v>341</v>
      </c>
      <c r="C425" s="3" t="s">
        <v>169</v>
      </c>
    </row>
    <row r="426" spans="1:3" x14ac:dyDescent="0.2">
      <c r="A426" s="3" t="s">
        <v>342</v>
      </c>
      <c r="B426" s="3" t="s">
        <v>183</v>
      </c>
      <c r="C426" s="3" t="s">
        <v>53</v>
      </c>
    </row>
    <row r="427" spans="1:3" x14ac:dyDescent="0.2">
      <c r="A427" s="3" t="s">
        <v>342</v>
      </c>
      <c r="B427" s="3" t="s">
        <v>213</v>
      </c>
      <c r="C427" s="3" t="s">
        <v>53</v>
      </c>
    </row>
    <row r="428" spans="1:3" x14ac:dyDescent="0.2">
      <c r="A428" s="3" t="s">
        <v>342</v>
      </c>
      <c r="B428" s="3" t="s">
        <v>214</v>
      </c>
      <c r="C428" s="3" t="s">
        <v>53</v>
      </c>
    </row>
    <row r="429" spans="1:3" x14ac:dyDescent="0.2">
      <c r="A429" s="3" t="s">
        <v>342</v>
      </c>
      <c r="B429" s="3" t="s">
        <v>215</v>
      </c>
      <c r="C429" s="3" t="s">
        <v>53</v>
      </c>
    </row>
    <row r="430" spans="1:3" x14ac:dyDescent="0.2">
      <c r="A430" s="3" t="s">
        <v>342</v>
      </c>
      <c r="B430" s="3" t="s">
        <v>216</v>
      </c>
      <c r="C430" s="3" t="s">
        <v>53</v>
      </c>
    </row>
    <row r="431" spans="1:3" x14ac:dyDescent="0.2">
      <c r="A431" s="3" t="s">
        <v>342</v>
      </c>
      <c r="B431" s="3" t="s">
        <v>183</v>
      </c>
      <c r="C431" s="3" t="s">
        <v>54</v>
      </c>
    </row>
    <row r="432" spans="1:3" x14ac:dyDescent="0.2">
      <c r="A432" s="3" t="s">
        <v>342</v>
      </c>
      <c r="B432" s="3" t="s">
        <v>213</v>
      </c>
      <c r="C432" s="3" t="s">
        <v>54</v>
      </c>
    </row>
    <row r="433" spans="1:3" x14ac:dyDescent="0.2">
      <c r="A433" s="3" t="s">
        <v>342</v>
      </c>
      <c r="B433" s="3" t="s">
        <v>214</v>
      </c>
      <c r="C433" s="3" t="s">
        <v>54</v>
      </c>
    </row>
    <row r="434" spans="1:3" x14ac:dyDescent="0.2">
      <c r="A434" s="3" t="s">
        <v>342</v>
      </c>
      <c r="B434" s="3" t="s">
        <v>215</v>
      </c>
      <c r="C434" s="3" t="s">
        <v>54</v>
      </c>
    </row>
    <row r="435" spans="1:3" x14ac:dyDescent="0.2">
      <c r="A435" s="3" t="s">
        <v>342</v>
      </c>
      <c r="B435" s="3" t="s">
        <v>216</v>
      </c>
      <c r="C435" s="3" t="s">
        <v>54</v>
      </c>
    </row>
    <row r="436" spans="1:3" x14ac:dyDescent="0.2">
      <c r="A436" s="3" t="s">
        <v>342</v>
      </c>
      <c r="B436" s="3" t="s">
        <v>183</v>
      </c>
      <c r="C436" s="3" t="s">
        <v>55</v>
      </c>
    </row>
    <row r="437" spans="1:3" x14ac:dyDescent="0.2">
      <c r="A437" s="3" t="s">
        <v>342</v>
      </c>
      <c r="B437" s="3" t="s">
        <v>213</v>
      </c>
      <c r="C437" s="3" t="s">
        <v>55</v>
      </c>
    </row>
    <row r="438" spans="1:3" x14ac:dyDescent="0.2">
      <c r="A438" s="3" t="s">
        <v>342</v>
      </c>
      <c r="B438" s="3" t="s">
        <v>214</v>
      </c>
      <c r="C438" s="3" t="s">
        <v>55</v>
      </c>
    </row>
    <row r="439" spans="1:3" x14ac:dyDescent="0.2">
      <c r="A439" s="3" t="s">
        <v>342</v>
      </c>
      <c r="B439" s="3" t="s">
        <v>215</v>
      </c>
      <c r="C439" s="3" t="s">
        <v>55</v>
      </c>
    </row>
    <row r="440" spans="1:3" x14ac:dyDescent="0.2">
      <c r="A440" s="3" t="s">
        <v>342</v>
      </c>
      <c r="B440" s="3" t="s">
        <v>183</v>
      </c>
      <c r="C440" s="3" t="s">
        <v>56</v>
      </c>
    </row>
    <row r="441" spans="1:3" x14ac:dyDescent="0.2">
      <c r="A441" s="3" t="s">
        <v>342</v>
      </c>
      <c r="B441" s="3" t="s">
        <v>213</v>
      </c>
      <c r="C441" s="3" t="s">
        <v>56</v>
      </c>
    </row>
    <row r="442" spans="1:3" x14ac:dyDescent="0.2">
      <c r="A442" s="3" t="s">
        <v>342</v>
      </c>
      <c r="B442" s="3" t="s">
        <v>214</v>
      </c>
      <c r="C442" s="3" t="s">
        <v>56</v>
      </c>
    </row>
    <row r="443" spans="1:3" x14ac:dyDescent="0.2">
      <c r="A443" s="3" t="s">
        <v>342</v>
      </c>
      <c r="B443" s="3" t="s">
        <v>215</v>
      </c>
      <c r="C443" s="3" t="s">
        <v>56</v>
      </c>
    </row>
    <row r="444" spans="1:3" x14ac:dyDescent="0.2">
      <c r="A444" s="3" t="s">
        <v>342</v>
      </c>
      <c r="B444" s="3" t="s">
        <v>183</v>
      </c>
      <c r="C444" s="3" t="s">
        <v>57</v>
      </c>
    </row>
    <row r="445" spans="1:3" x14ac:dyDescent="0.2">
      <c r="A445" s="3" t="s">
        <v>342</v>
      </c>
      <c r="B445" s="3" t="s">
        <v>213</v>
      </c>
      <c r="C445" s="3" t="s">
        <v>57</v>
      </c>
    </row>
    <row r="446" spans="1:3" x14ac:dyDescent="0.2">
      <c r="A446" s="3" t="s">
        <v>342</v>
      </c>
      <c r="B446" s="3" t="s">
        <v>214</v>
      </c>
      <c r="C446" s="3" t="s">
        <v>57</v>
      </c>
    </row>
    <row r="447" spans="1:3" x14ac:dyDescent="0.2">
      <c r="A447" s="3" t="s">
        <v>342</v>
      </c>
      <c r="B447" s="3" t="s">
        <v>215</v>
      </c>
      <c r="C447" s="3" t="s">
        <v>57</v>
      </c>
    </row>
    <row r="448" spans="1:3" x14ac:dyDescent="0.2">
      <c r="A448" s="3" t="s">
        <v>342</v>
      </c>
      <c r="B448" s="3" t="s">
        <v>296</v>
      </c>
      <c r="C448" s="3" t="s">
        <v>10</v>
      </c>
    </row>
    <row r="449" spans="1:3" x14ac:dyDescent="0.2">
      <c r="A449" s="3" t="s">
        <v>342</v>
      </c>
      <c r="B449" s="3" t="s">
        <v>343</v>
      </c>
      <c r="C449" s="3" t="s">
        <v>22</v>
      </c>
    </row>
    <row r="450" spans="1:3" x14ac:dyDescent="0.2">
      <c r="A450" s="3" t="s">
        <v>344</v>
      </c>
      <c r="B450" s="3" t="s">
        <v>338</v>
      </c>
      <c r="C450" s="3" t="s">
        <v>169</v>
      </c>
    </row>
    <row r="451" spans="1:3" x14ac:dyDescent="0.2">
      <c r="A451" s="3" t="s">
        <v>344</v>
      </c>
      <c r="B451" s="3" t="s">
        <v>340</v>
      </c>
      <c r="C451" s="3" t="s">
        <v>169</v>
      </c>
    </row>
    <row r="452" spans="1:3" x14ac:dyDescent="0.2">
      <c r="A452" s="3" t="s">
        <v>344</v>
      </c>
      <c r="B452" s="3" t="s">
        <v>295</v>
      </c>
      <c r="C452" s="3" t="s">
        <v>10</v>
      </c>
    </row>
    <row r="453" spans="1:3" x14ac:dyDescent="0.2">
      <c r="A453" s="3" t="s">
        <v>344</v>
      </c>
      <c r="B453" s="3" t="s">
        <v>296</v>
      </c>
      <c r="C453" s="3" t="s">
        <v>10</v>
      </c>
    </row>
    <row r="454" spans="1:3" x14ac:dyDescent="0.2">
      <c r="A454" s="3" t="s">
        <v>344</v>
      </c>
      <c r="B454" s="3" t="s">
        <v>297</v>
      </c>
      <c r="C454" s="3" t="s">
        <v>10</v>
      </c>
    </row>
    <row r="455" spans="1:3" x14ac:dyDescent="0.2">
      <c r="A455" s="3" t="s">
        <v>379</v>
      </c>
      <c r="B455" s="3" t="s">
        <v>380</v>
      </c>
      <c r="C455" s="3" t="s">
        <v>53</v>
      </c>
    </row>
    <row r="456" spans="1:3" x14ac:dyDescent="0.2">
      <c r="A456" s="3" t="s">
        <v>379</v>
      </c>
      <c r="B456" s="3" t="s">
        <v>323</v>
      </c>
      <c r="C456" s="3" t="s">
        <v>53</v>
      </c>
    </row>
    <row r="457" spans="1:3" x14ac:dyDescent="0.2">
      <c r="A457" s="3" t="s">
        <v>379</v>
      </c>
      <c r="B457" s="3" t="s">
        <v>380</v>
      </c>
      <c r="C457" s="3" t="s">
        <v>54</v>
      </c>
    </row>
    <row r="458" spans="1:3" x14ac:dyDescent="0.2">
      <c r="A458" s="3" t="s">
        <v>379</v>
      </c>
      <c r="B458" s="3" t="s">
        <v>323</v>
      </c>
      <c r="C458" s="3" t="s">
        <v>54</v>
      </c>
    </row>
    <row r="459" spans="1:3" x14ac:dyDescent="0.2">
      <c r="A459" s="3" t="s">
        <v>379</v>
      </c>
      <c r="B459" s="3" t="s">
        <v>380</v>
      </c>
      <c r="C459" s="3" t="s">
        <v>55</v>
      </c>
    </row>
    <row r="460" spans="1:3" x14ac:dyDescent="0.2">
      <c r="A460" s="3" t="s">
        <v>379</v>
      </c>
      <c r="B460" s="3" t="s">
        <v>323</v>
      </c>
      <c r="C460" s="3" t="s">
        <v>55</v>
      </c>
    </row>
    <row r="461" spans="1:3" x14ac:dyDescent="0.2">
      <c r="A461" s="3" t="s">
        <v>379</v>
      </c>
      <c r="B461" s="3" t="s">
        <v>380</v>
      </c>
      <c r="C461" s="3" t="s">
        <v>56</v>
      </c>
    </row>
    <row r="462" spans="1:3" x14ac:dyDescent="0.2">
      <c r="A462" s="3" t="s">
        <v>379</v>
      </c>
      <c r="B462" s="3" t="s">
        <v>323</v>
      </c>
      <c r="C462" s="3" t="s">
        <v>56</v>
      </c>
    </row>
    <row r="463" spans="1:3" x14ac:dyDescent="0.2">
      <c r="A463" s="3" t="s">
        <v>379</v>
      </c>
      <c r="B463" s="3" t="s">
        <v>380</v>
      </c>
      <c r="C463" s="3" t="s">
        <v>57</v>
      </c>
    </row>
    <row r="464" spans="1:3" x14ac:dyDescent="0.2">
      <c r="A464" s="3" t="s">
        <v>379</v>
      </c>
      <c r="B464" s="3" t="s">
        <v>323</v>
      </c>
      <c r="C464" s="3" t="s">
        <v>57</v>
      </c>
    </row>
    <row r="465" spans="1:3" x14ac:dyDescent="0.2">
      <c r="A465" s="3" t="s">
        <v>379</v>
      </c>
      <c r="B465" s="3" t="s">
        <v>381</v>
      </c>
      <c r="C465" s="3" t="s">
        <v>169</v>
      </c>
    </row>
    <row r="466" spans="1:3" x14ac:dyDescent="0.2">
      <c r="A466" s="3" t="s">
        <v>379</v>
      </c>
      <c r="B466" s="3" t="s">
        <v>382</v>
      </c>
      <c r="C466" s="3" t="s">
        <v>169</v>
      </c>
    </row>
    <row r="467" spans="1:3" x14ac:dyDescent="0.2">
      <c r="A467" s="3" t="s">
        <v>379</v>
      </c>
      <c r="B467" s="3" t="s">
        <v>383</v>
      </c>
      <c r="C467" s="3" t="s">
        <v>169</v>
      </c>
    </row>
    <row r="468" spans="1:3" x14ac:dyDescent="0.2">
      <c r="A468" s="3" t="s">
        <v>379</v>
      </c>
      <c r="B468" s="3" t="s">
        <v>384</v>
      </c>
      <c r="C468" s="3" t="s">
        <v>169</v>
      </c>
    </row>
    <row r="469" spans="1:3" x14ac:dyDescent="0.2">
      <c r="A469" s="3" t="s">
        <v>379</v>
      </c>
      <c r="B469" s="3" t="s">
        <v>385</v>
      </c>
      <c r="C469" s="3" t="s">
        <v>169</v>
      </c>
    </row>
    <row r="470" spans="1:3" x14ac:dyDescent="0.2">
      <c r="A470" s="3" t="s">
        <v>379</v>
      </c>
      <c r="B470" s="3" t="s">
        <v>386</v>
      </c>
      <c r="C470" s="3" t="s">
        <v>169</v>
      </c>
    </row>
    <row r="471" spans="1:3" x14ac:dyDescent="0.2">
      <c r="A471" s="3" t="s">
        <v>379</v>
      </c>
      <c r="B471" s="3" t="s">
        <v>387</v>
      </c>
      <c r="C471" s="3" t="s">
        <v>169</v>
      </c>
    </row>
    <row r="472" spans="1:3" x14ac:dyDescent="0.2">
      <c r="A472" s="3" t="s">
        <v>379</v>
      </c>
      <c r="B472" s="3" t="s">
        <v>388</v>
      </c>
      <c r="C472" s="3" t="s">
        <v>169</v>
      </c>
    </row>
    <row r="473" spans="1:3" x14ac:dyDescent="0.2">
      <c r="A473" s="3" t="s">
        <v>379</v>
      </c>
      <c r="B473" s="3" t="s">
        <v>389</v>
      </c>
      <c r="C473" s="3" t="s">
        <v>169</v>
      </c>
    </row>
    <row r="474" spans="1:3" x14ac:dyDescent="0.2">
      <c r="A474" s="3" t="s">
        <v>379</v>
      </c>
      <c r="B474" s="3" t="s">
        <v>390</v>
      </c>
      <c r="C474" s="3" t="s">
        <v>169</v>
      </c>
    </row>
    <row r="475" spans="1:3" x14ac:dyDescent="0.2">
      <c r="A475" s="3" t="s">
        <v>379</v>
      </c>
      <c r="B475" s="3" t="s">
        <v>391</v>
      </c>
      <c r="C475" s="3" t="s">
        <v>169</v>
      </c>
    </row>
    <row r="476" spans="1:3" x14ac:dyDescent="0.2">
      <c r="A476" s="3" t="s">
        <v>379</v>
      </c>
      <c r="B476" s="3" t="s">
        <v>392</v>
      </c>
      <c r="C476" s="3" t="s">
        <v>169</v>
      </c>
    </row>
    <row r="477" spans="1:3" x14ac:dyDescent="0.2">
      <c r="A477" s="3" t="s">
        <v>379</v>
      </c>
      <c r="B477" s="3" t="s">
        <v>393</v>
      </c>
      <c r="C477" s="3" t="s">
        <v>169</v>
      </c>
    </row>
    <row r="478" spans="1:3" x14ac:dyDescent="0.2">
      <c r="A478" s="3" t="s">
        <v>379</v>
      </c>
      <c r="B478" s="3" t="s">
        <v>394</v>
      </c>
      <c r="C478" s="3" t="s">
        <v>169</v>
      </c>
    </row>
    <row r="479" spans="1:3" x14ac:dyDescent="0.2">
      <c r="A479" s="3" t="s">
        <v>379</v>
      </c>
      <c r="B479" s="3" t="s">
        <v>395</v>
      </c>
      <c r="C479" s="3" t="s">
        <v>169</v>
      </c>
    </row>
    <row r="480" spans="1:3" x14ac:dyDescent="0.2">
      <c r="A480" s="3" t="s">
        <v>379</v>
      </c>
      <c r="B480" s="3" t="s">
        <v>396</v>
      </c>
      <c r="C480" s="3" t="s">
        <v>169</v>
      </c>
    </row>
    <row r="481" spans="1:3" x14ac:dyDescent="0.2">
      <c r="A481" s="3" t="s">
        <v>379</v>
      </c>
      <c r="B481" s="3" t="s">
        <v>397</v>
      </c>
      <c r="C481" s="3" t="s">
        <v>169</v>
      </c>
    </row>
    <row r="482" spans="1:3" x14ac:dyDescent="0.2">
      <c r="A482" s="3" t="s">
        <v>379</v>
      </c>
      <c r="B482" s="3" t="s">
        <v>398</v>
      </c>
      <c r="C482" s="3" t="s">
        <v>169</v>
      </c>
    </row>
    <row r="483" spans="1:3" x14ac:dyDescent="0.2">
      <c r="A483" s="3" t="s">
        <v>379</v>
      </c>
      <c r="B483" s="3" t="s">
        <v>399</v>
      </c>
      <c r="C483" s="3" t="s">
        <v>169</v>
      </c>
    </row>
    <row r="484" spans="1:3" x14ac:dyDescent="0.2">
      <c r="A484" s="3" t="s">
        <v>379</v>
      </c>
      <c r="B484" s="3" t="s">
        <v>400</v>
      </c>
      <c r="C484" s="3" t="s">
        <v>169</v>
      </c>
    </row>
    <row r="485" spans="1:3" x14ac:dyDescent="0.2">
      <c r="A485" s="3" t="s">
        <v>379</v>
      </c>
      <c r="B485" s="3" t="s">
        <v>401</v>
      </c>
      <c r="C485" s="3" t="s">
        <v>169</v>
      </c>
    </row>
    <row r="486" spans="1:3" x14ac:dyDescent="0.2">
      <c r="A486" s="3" t="s">
        <v>379</v>
      </c>
      <c r="B486" s="3" t="s">
        <v>402</v>
      </c>
      <c r="C486" s="3" t="s">
        <v>169</v>
      </c>
    </row>
    <row r="487" spans="1:3" x14ac:dyDescent="0.2">
      <c r="A487" s="3" t="s">
        <v>379</v>
      </c>
      <c r="B487" s="3" t="s">
        <v>403</v>
      </c>
      <c r="C487" s="3" t="s">
        <v>169</v>
      </c>
    </row>
    <row r="488" spans="1:3" x14ac:dyDescent="0.2">
      <c r="A488" s="3" t="s">
        <v>379</v>
      </c>
      <c r="B488" s="3" t="s">
        <v>404</v>
      </c>
      <c r="C488" s="3" t="s">
        <v>169</v>
      </c>
    </row>
    <row r="489" spans="1:3" x14ac:dyDescent="0.2">
      <c r="A489" s="3" t="s">
        <v>379</v>
      </c>
      <c r="B489" s="3" t="s">
        <v>405</v>
      </c>
      <c r="C489" s="3" t="s">
        <v>169</v>
      </c>
    </row>
    <row r="490" spans="1:3" x14ac:dyDescent="0.2">
      <c r="A490" s="3" t="s">
        <v>406</v>
      </c>
      <c r="B490" s="3" t="s">
        <v>407</v>
      </c>
      <c r="C490" s="3" t="s">
        <v>53</v>
      </c>
    </row>
    <row r="491" spans="1:3" x14ac:dyDescent="0.2">
      <c r="A491" s="3" t="s">
        <v>406</v>
      </c>
      <c r="B491" s="3" t="s">
        <v>380</v>
      </c>
      <c r="C491" s="3" t="s">
        <v>53</v>
      </c>
    </row>
    <row r="492" spans="1:3" x14ac:dyDescent="0.2">
      <c r="A492" s="3" t="s">
        <v>406</v>
      </c>
      <c r="B492" s="3" t="s">
        <v>322</v>
      </c>
      <c r="C492" s="3" t="s">
        <v>53</v>
      </c>
    </row>
    <row r="493" spans="1:3" x14ac:dyDescent="0.2">
      <c r="A493" s="3" t="s">
        <v>406</v>
      </c>
      <c r="B493" s="3" t="s">
        <v>323</v>
      </c>
      <c r="C493" s="3" t="s">
        <v>53</v>
      </c>
    </row>
    <row r="494" spans="1:3" x14ac:dyDescent="0.2">
      <c r="A494" s="3" t="s">
        <v>406</v>
      </c>
      <c r="B494" s="3" t="s">
        <v>408</v>
      </c>
      <c r="C494" s="3" t="s">
        <v>53</v>
      </c>
    </row>
    <row r="495" spans="1:3" x14ac:dyDescent="0.2">
      <c r="A495" s="3" t="s">
        <v>406</v>
      </c>
      <c r="B495" s="3" t="s">
        <v>407</v>
      </c>
      <c r="C495" s="3" t="s">
        <v>54</v>
      </c>
    </row>
    <row r="496" spans="1:3" x14ac:dyDescent="0.2">
      <c r="A496" s="3" t="s">
        <v>406</v>
      </c>
      <c r="B496" s="3" t="s">
        <v>380</v>
      </c>
      <c r="C496" s="3" t="s">
        <v>54</v>
      </c>
    </row>
    <row r="497" spans="1:3" x14ac:dyDescent="0.2">
      <c r="A497" s="3" t="s">
        <v>406</v>
      </c>
      <c r="B497" s="3" t="s">
        <v>322</v>
      </c>
      <c r="C497" s="3" t="s">
        <v>54</v>
      </c>
    </row>
    <row r="498" spans="1:3" x14ac:dyDescent="0.2">
      <c r="A498" s="3" t="s">
        <v>406</v>
      </c>
      <c r="B498" s="3" t="s">
        <v>323</v>
      </c>
      <c r="C498" s="3" t="s">
        <v>54</v>
      </c>
    </row>
    <row r="499" spans="1:3" x14ac:dyDescent="0.2">
      <c r="A499" s="3" t="s">
        <v>406</v>
      </c>
      <c r="B499" s="3" t="s">
        <v>408</v>
      </c>
      <c r="C499" s="3" t="s">
        <v>54</v>
      </c>
    </row>
    <row r="500" spans="1:3" x14ac:dyDescent="0.2">
      <c r="A500" s="3" t="s">
        <v>406</v>
      </c>
      <c r="B500" s="3" t="s">
        <v>407</v>
      </c>
      <c r="C500" s="3" t="s">
        <v>55</v>
      </c>
    </row>
    <row r="501" spans="1:3" x14ac:dyDescent="0.2">
      <c r="A501" s="3" t="s">
        <v>406</v>
      </c>
      <c r="B501" s="3" t="s">
        <v>380</v>
      </c>
      <c r="C501" s="3" t="s">
        <v>55</v>
      </c>
    </row>
    <row r="502" spans="1:3" x14ac:dyDescent="0.2">
      <c r="A502" s="3" t="s">
        <v>406</v>
      </c>
      <c r="B502" s="3" t="s">
        <v>322</v>
      </c>
      <c r="C502" s="3" t="s">
        <v>55</v>
      </c>
    </row>
    <row r="503" spans="1:3" x14ac:dyDescent="0.2">
      <c r="A503" s="3" t="s">
        <v>406</v>
      </c>
      <c r="B503" s="3" t="s">
        <v>323</v>
      </c>
      <c r="C503" s="3" t="s">
        <v>55</v>
      </c>
    </row>
    <row r="504" spans="1:3" x14ac:dyDescent="0.2">
      <c r="A504" s="3" t="s">
        <v>406</v>
      </c>
      <c r="B504" s="3" t="s">
        <v>408</v>
      </c>
      <c r="C504" s="3" t="s">
        <v>55</v>
      </c>
    </row>
    <row r="505" spans="1:3" x14ac:dyDescent="0.2">
      <c r="A505" s="3" t="s">
        <v>406</v>
      </c>
      <c r="B505" s="3" t="s">
        <v>407</v>
      </c>
      <c r="C505" s="3" t="s">
        <v>56</v>
      </c>
    </row>
    <row r="506" spans="1:3" x14ac:dyDescent="0.2">
      <c r="A506" s="3" t="s">
        <v>406</v>
      </c>
      <c r="B506" s="3" t="s">
        <v>380</v>
      </c>
      <c r="C506" s="3" t="s">
        <v>56</v>
      </c>
    </row>
    <row r="507" spans="1:3" x14ac:dyDescent="0.2">
      <c r="A507" s="3" t="s">
        <v>406</v>
      </c>
      <c r="B507" s="3" t="s">
        <v>322</v>
      </c>
      <c r="C507" s="3" t="s">
        <v>56</v>
      </c>
    </row>
    <row r="508" spans="1:3" x14ac:dyDescent="0.2">
      <c r="A508" s="3" t="s">
        <v>406</v>
      </c>
      <c r="B508" s="3" t="s">
        <v>323</v>
      </c>
      <c r="C508" s="3" t="s">
        <v>56</v>
      </c>
    </row>
    <row r="509" spans="1:3" x14ac:dyDescent="0.2">
      <c r="A509" s="3" t="s">
        <v>406</v>
      </c>
      <c r="B509" s="3" t="s">
        <v>408</v>
      </c>
      <c r="C509" s="3" t="s">
        <v>56</v>
      </c>
    </row>
    <row r="510" spans="1:3" x14ac:dyDescent="0.2">
      <c r="A510" s="3" t="s">
        <v>406</v>
      </c>
      <c r="B510" s="3" t="s">
        <v>407</v>
      </c>
      <c r="C510" s="3" t="s">
        <v>57</v>
      </c>
    </row>
    <row r="511" spans="1:3" x14ac:dyDescent="0.2">
      <c r="A511" s="3" t="s">
        <v>406</v>
      </c>
      <c r="B511" s="3" t="s">
        <v>380</v>
      </c>
      <c r="C511" s="3" t="s">
        <v>57</v>
      </c>
    </row>
    <row r="512" spans="1:3" x14ac:dyDescent="0.2">
      <c r="A512" s="3" t="s">
        <v>406</v>
      </c>
      <c r="B512" s="3" t="s">
        <v>322</v>
      </c>
      <c r="C512" s="3" t="s">
        <v>57</v>
      </c>
    </row>
    <row r="513" spans="1:3" x14ac:dyDescent="0.2">
      <c r="A513" s="3" t="s">
        <v>406</v>
      </c>
      <c r="B513" s="3" t="s">
        <v>323</v>
      </c>
      <c r="C513" s="3" t="s">
        <v>57</v>
      </c>
    </row>
    <row r="514" spans="1:3" x14ac:dyDescent="0.2">
      <c r="A514" s="3" t="s">
        <v>406</v>
      </c>
      <c r="B514" s="3" t="s">
        <v>408</v>
      </c>
      <c r="C514" s="3" t="s">
        <v>57</v>
      </c>
    </row>
    <row r="515" spans="1:3" x14ac:dyDescent="0.2">
      <c r="A515" s="3" t="s">
        <v>406</v>
      </c>
      <c r="B515" s="3" t="s">
        <v>409</v>
      </c>
      <c r="C515" s="3" t="s">
        <v>169</v>
      </c>
    </row>
    <row r="516" spans="1:3" x14ac:dyDescent="0.2">
      <c r="A516" s="3" t="s">
        <v>406</v>
      </c>
      <c r="B516" s="3" t="s">
        <v>410</v>
      </c>
      <c r="C516" s="3" t="s">
        <v>169</v>
      </c>
    </row>
    <row r="517" spans="1:3" x14ac:dyDescent="0.2">
      <c r="A517" s="3" t="s">
        <v>456</v>
      </c>
      <c r="B517" s="3" t="s">
        <v>457</v>
      </c>
      <c r="C517" s="3" t="s">
        <v>22</v>
      </c>
    </row>
    <row r="518" spans="1:3" x14ac:dyDescent="0.2">
      <c r="A518" s="3" t="s">
        <v>482</v>
      </c>
      <c r="B518" s="3" t="s">
        <v>199</v>
      </c>
      <c r="C518" s="3" t="s">
        <v>53</v>
      </c>
    </row>
    <row r="519" spans="1:3" x14ac:dyDescent="0.2">
      <c r="A519" s="3" t="s">
        <v>482</v>
      </c>
      <c r="B519" s="3" t="s">
        <v>221</v>
      </c>
      <c r="C519" s="3" t="s">
        <v>54</v>
      </c>
    </row>
    <row r="520" spans="1:3" x14ac:dyDescent="0.2">
      <c r="A520" s="3" t="s">
        <v>482</v>
      </c>
      <c r="B520" s="3" t="s">
        <v>199</v>
      </c>
      <c r="C520" s="3" t="s">
        <v>54</v>
      </c>
    </row>
    <row r="521" spans="1:3" x14ac:dyDescent="0.2">
      <c r="A521" s="3" t="s">
        <v>482</v>
      </c>
      <c r="B521" s="3" t="s">
        <v>221</v>
      </c>
      <c r="C521" s="3" t="s">
        <v>55</v>
      </c>
    </row>
    <row r="522" spans="1:3" x14ac:dyDescent="0.2">
      <c r="A522" s="3" t="s">
        <v>482</v>
      </c>
      <c r="B522" s="3" t="s">
        <v>256</v>
      </c>
      <c r="C522" s="3" t="s">
        <v>55</v>
      </c>
    </row>
    <row r="523" spans="1:3" x14ac:dyDescent="0.2">
      <c r="A523" s="3" t="s">
        <v>482</v>
      </c>
      <c r="B523" s="3" t="s">
        <v>221</v>
      </c>
      <c r="C523" s="3" t="s">
        <v>56</v>
      </c>
    </row>
    <row r="524" spans="1:3" x14ac:dyDescent="0.2">
      <c r="A524" s="3" t="s">
        <v>482</v>
      </c>
      <c r="B524" s="3" t="s">
        <v>199</v>
      </c>
      <c r="C524" s="3" t="s">
        <v>56</v>
      </c>
    </row>
    <row r="525" spans="1:3" x14ac:dyDescent="0.2">
      <c r="A525" s="3" t="s">
        <v>482</v>
      </c>
      <c r="B525" s="3" t="s">
        <v>221</v>
      </c>
      <c r="C525" s="3" t="s">
        <v>57</v>
      </c>
    </row>
    <row r="526" spans="1:3" x14ac:dyDescent="0.2">
      <c r="A526" s="3" t="s">
        <v>482</v>
      </c>
      <c r="B526" s="3" t="s">
        <v>199</v>
      </c>
      <c r="C526" s="3" t="s">
        <v>57</v>
      </c>
    </row>
    <row r="527" spans="1:3" x14ac:dyDescent="0.2">
      <c r="A527" s="3" t="s">
        <v>482</v>
      </c>
      <c r="B527" s="3" t="s">
        <v>465</v>
      </c>
      <c r="C527" s="3" t="s">
        <v>22</v>
      </c>
    </row>
    <row r="528" spans="1:3" x14ac:dyDescent="0.2">
      <c r="A528" s="3" t="s">
        <v>482</v>
      </c>
      <c r="B528" s="3" t="s">
        <v>466</v>
      </c>
      <c r="C528" s="3" t="s">
        <v>22</v>
      </c>
    </row>
    <row r="529" spans="1:3" x14ac:dyDescent="0.2">
      <c r="A529" s="3" t="s">
        <v>482</v>
      </c>
      <c r="B529" s="3" t="s">
        <v>467</v>
      </c>
      <c r="C529" s="3" t="s">
        <v>22</v>
      </c>
    </row>
    <row r="530" spans="1:3" x14ac:dyDescent="0.2">
      <c r="A530" s="3" t="s">
        <v>482</v>
      </c>
      <c r="B530" s="3" t="s">
        <v>468</v>
      </c>
      <c r="C530" s="3" t="s">
        <v>22</v>
      </c>
    </row>
    <row r="531" spans="1:3" x14ac:dyDescent="0.2">
      <c r="A531" s="3" t="s">
        <v>488</v>
      </c>
      <c r="B531" s="3" t="s">
        <v>183</v>
      </c>
      <c r="C531" s="3" t="s">
        <v>53</v>
      </c>
    </row>
    <row r="532" spans="1:3" x14ac:dyDescent="0.2">
      <c r="A532" s="3" t="s">
        <v>488</v>
      </c>
      <c r="B532" s="3" t="s">
        <v>183</v>
      </c>
      <c r="C532" s="3" t="s">
        <v>54</v>
      </c>
    </row>
    <row r="533" spans="1:3" x14ac:dyDescent="0.2">
      <c r="A533" s="3" t="s">
        <v>488</v>
      </c>
      <c r="B533" s="3" t="s">
        <v>183</v>
      </c>
      <c r="C533" s="3" t="s">
        <v>55</v>
      </c>
    </row>
    <row r="534" spans="1:3" x14ac:dyDescent="0.2">
      <c r="A534" s="3" t="s">
        <v>488</v>
      </c>
      <c r="B534" s="3" t="s">
        <v>183</v>
      </c>
      <c r="C534" s="3" t="s">
        <v>56</v>
      </c>
    </row>
    <row r="535" spans="1:3" x14ac:dyDescent="0.2">
      <c r="A535" s="3" t="s">
        <v>488</v>
      </c>
      <c r="B535" s="3" t="s">
        <v>183</v>
      </c>
      <c r="C535" s="3" t="s">
        <v>57</v>
      </c>
    </row>
    <row r="536" spans="1:3" x14ac:dyDescent="0.2">
      <c r="A536" s="3" t="s">
        <v>488</v>
      </c>
      <c r="B536" s="3" t="s">
        <v>489</v>
      </c>
      <c r="C536" s="3" t="s">
        <v>169</v>
      </c>
    </row>
    <row r="537" spans="1:3" x14ac:dyDescent="0.2">
      <c r="A537" s="3" t="s">
        <v>488</v>
      </c>
      <c r="B537" s="3" t="s">
        <v>490</v>
      </c>
      <c r="C537" s="3" t="s">
        <v>169</v>
      </c>
    </row>
    <row r="538" spans="1:3" x14ac:dyDescent="0.2">
      <c r="A538" s="3" t="s">
        <v>488</v>
      </c>
      <c r="B538" s="3" t="s">
        <v>491</v>
      </c>
      <c r="C538" s="3" t="s">
        <v>169</v>
      </c>
    </row>
    <row r="539" spans="1:3" x14ac:dyDescent="0.2">
      <c r="A539" s="3" t="s">
        <v>488</v>
      </c>
      <c r="B539" s="3" t="s">
        <v>295</v>
      </c>
      <c r="C539" s="3" t="s">
        <v>10</v>
      </c>
    </row>
    <row r="540" spans="1:3" x14ac:dyDescent="0.2">
      <c r="A540" s="3" t="s">
        <v>488</v>
      </c>
      <c r="B540" s="3" t="s">
        <v>296</v>
      </c>
      <c r="C540" s="3" t="s">
        <v>10</v>
      </c>
    </row>
    <row r="541" spans="1:3" x14ac:dyDescent="0.2">
      <c r="A541" s="3" t="s">
        <v>488</v>
      </c>
      <c r="B541" s="3" t="s">
        <v>297</v>
      </c>
      <c r="C541" s="3" t="s">
        <v>10</v>
      </c>
    </row>
    <row r="542" spans="1:3" x14ac:dyDescent="0.2">
      <c r="A542" s="3" t="s">
        <v>488</v>
      </c>
      <c r="B542" s="3" t="s">
        <v>343</v>
      </c>
      <c r="C542" s="3" t="s">
        <v>22</v>
      </c>
    </row>
    <row r="543" spans="1:3" x14ac:dyDescent="0.2">
      <c r="A543" s="3" t="s">
        <v>492</v>
      </c>
      <c r="B543" s="3" t="s">
        <v>493</v>
      </c>
      <c r="C543" s="3" t="s">
        <v>53</v>
      </c>
    </row>
    <row r="544" spans="1:3" x14ac:dyDescent="0.2">
      <c r="A544" s="3" t="s">
        <v>492</v>
      </c>
      <c r="B544" s="3" t="s">
        <v>494</v>
      </c>
      <c r="C544" s="3" t="s">
        <v>53</v>
      </c>
    </row>
    <row r="545" spans="1:3" x14ac:dyDescent="0.2">
      <c r="A545" s="3" t="s">
        <v>492</v>
      </c>
      <c r="B545" s="3" t="s">
        <v>485</v>
      </c>
      <c r="C545" s="3" t="s">
        <v>53</v>
      </c>
    </row>
    <row r="546" spans="1:3" x14ac:dyDescent="0.2">
      <c r="A546" s="3" t="s">
        <v>492</v>
      </c>
      <c r="B546" s="3" t="s">
        <v>487</v>
      </c>
      <c r="C546" s="3" t="s">
        <v>53</v>
      </c>
    </row>
    <row r="547" spans="1:3" x14ac:dyDescent="0.2">
      <c r="A547" s="3" t="s">
        <v>492</v>
      </c>
      <c r="B547" s="3" t="s">
        <v>495</v>
      </c>
      <c r="C547" s="3" t="s">
        <v>53</v>
      </c>
    </row>
    <row r="548" spans="1:3" x14ac:dyDescent="0.2">
      <c r="A548" s="3" t="s">
        <v>492</v>
      </c>
      <c r="B548" s="3" t="s">
        <v>496</v>
      </c>
      <c r="C548" s="3" t="s">
        <v>53</v>
      </c>
    </row>
    <row r="549" spans="1:3" x14ac:dyDescent="0.2">
      <c r="A549" s="3" t="s">
        <v>492</v>
      </c>
      <c r="B549" s="3" t="s">
        <v>497</v>
      </c>
      <c r="C549" s="3" t="s">
        <v>53</v>
      </c>
    </row>
    <row r="550" spans="1:3" x14ac:dyDescent="0.2">
      <c r="A550" s="3" t="s">
        <v>492</v>
      </c>
      <c r="B550" s="3" t="s">
        <v>498</v>
      </c>
      <c r="C550" s="3" t="s">
        <v>53</v>
      </c>
    </row>
    <row r="551" spans="1:3" x14ac:dyDescent="0.2">
      <c r="A551" s="3" t="s">
        <v>492</v>
      </c>
      <c r="B551" s="3" t="s">
        <v>493</v>
      </c>
      <c r="C551" s="3" t="s">
        <v>54</v>
      </c>
    </row>
    <row r="552" spans="1:3" x14ac:dyDescent="0.2">
      <c r="A552" s="3" t="s">
        <v>492</v>
      </c>
      <c r="B552" s="3" t="s">
        <v>494</v>
      </c>
      <c r="C552" s="3" t="s">
        <v>54</v>
      </c>
    </row>
    <row r="553" spans="1:3" x14ac:dyDescent="0.2">
      <c r="A553" s="3" t="s">
        <v>492</v>
      </c>
      <c r="B553" s="3" t="s">
        <v>485</v>
      </c>
      <c r="C553" s="3" t="s">
        <v>54</v>
      </c>
    </row>
    <row r="554" spans="1:3" x14ac:dyDescent="0.2">
      <c r="A554" s="3" t="s">
        <v>492</v>
      </c>
      <c r="B554" s="3" t="s">
        <v>487</v>
      </c>
      <c r="C554" s="3" t="s">
        <v>54</v>
      </c>
    </row>
    <row r="555" spans="1:3" x14ac:dyDescent="0.2">
      <c r="A555" s="3" t="s">
        <v>492</v>
      </c>
      <c r="B555" s="3" t="s">
        <v>495</v>
      </c>
      <c r="C555" s="3" t="s">
        <v>54</v>
      </c>
    </row>
    <row r="556" spans="1:3" x14ac:dyDescent="0.2">
      <c r="A556" s="3" t="s">
        <v>492</v>
      </c>
      <c r="B556" s="3" t="s">
        <v>496</v>
      </c>
      <c r="C556" s="3" t="s">
        <v>54</v>
      </c>
    </row>
    <row r="557" spans="1:3" x14ac:dyDescent="0.2">
      <c r="A557" s="3" t="s">
        <v>492</v>
      </c>
      <c r="B557" s="3" t="s">
        <v>497</v>
      </c>
      <c r="C557" s="3" t="s">
        <v>54</v>
      </c>
    </row>
    <row r="558" spans="1:3" x14ac:dyDescent="0.2">
      <c r="A558" s="3" t="s">
        <v>492</v>
      </c>
      <c r="B558" s="3" t="s">
        <v>498</v>
      </c>
      <c r="C558" s="3" t="s">
        <v>54</v>
      </c>
    </row>
    <row r="559" spans="1:3" x14ac:dyDescent="0.2">
      <c r="A559" s="3" t="s">
        <v>492</v>
      </c>
      <c r="B559" s="3" t="s">
        <v>493</v>
      </c>
      <c r="C559" s="3" t="s">
        <v>55</v>
      </c>
    </row>
    <row r="560" spans="1:3" x14ac:dyDescent="0.2">
      <c r="A560" s="3" t="s">
        <v>492</v>
      </c>
      <c r="B560" s="3" t="s">
        <v>494</v>
      </c>
      <c r="C560" s="3" t="s">
        <v>55</v>
      </c>
    </row>
    <row r="561" spans="1:3" x14ac:dyDescent="0.2">
      <c r="A561" s="3" t="s">
        <v>492</v>
      </c>
      <c r="B561" s="3" t="s">
        <v>485</v>
      </c>
      <c r="C561" s="3" t="s">
        <v>55</v>
      </c>
    </row>
    <row r="562" spans="1:3" x14ac:dyDescent="0.2">
      <c r="A562" s="3" t="s">
        <v>492</v>
      </c>
      <c r="B562" s="3" t="s">
        <v>487</v>
      </c>
      <c r="C562" s="3" t="s">
        <v>55</v>
      </c>
    </row>
    <row r="563" spans="1:3" x14ac:dyDescent="0.2">
      <c r="A563" s="3" t="s">
        <v>492</v>
      </c>
      <c r="B563" s="3" t="s">
        <v>495</v>
      </c>
      <c r="C563" s="3" t="s">
        <v>55</v>
      </c>
    </row>
    <row r="564" spans="1:3" x14ac:dyDescent="0.2">
      <c r="A564" s="3" t="s">
        <v>492</v>
      </c>
      <c r="B564" s="3" t="s">
        <v>496</v>
      </c>
      <c r="C564" s="3" t="s">
        <v>55</v>
      </c>
    </row>
    <row r="565" spans="1:3" x14ac:dyDescent="0.2">
      <c r="A565" s="3" t="s">
        <v>492</v>
      </c>
      <c r="B565" s="3" t="s">
        <v>497</v>
      </c>
      <c r="C565" s="3" t="s">
        <v>55</v>
      </c>
    </row>
    <row r="566" spans="1:3" x14ac:dyDescent="0.2">
      <c r="A566" s="3" t="s">
        <v>492</v>
      </c>
      <c r="B566" s="3" t="s">
        <v>498</v>
      </c>
      <c r="C566" s="3" t="s">
        <v>55</v>
      </c>
    </row>
    <row r="567" spans="1:3" x14ac:dyDescent="0.2">
      <c r="A567" s="3" t="s">
        <v>492</v>
      </c>
      <c r="B567" s="3" t="s">
        <v>499</v>
      </c>
      <c r="C567" s="3" t="s">
        <v>55</v>
      </c>
    </row>
    <row r="568" spans="1:3" x14ac:dyDescent="0.2">
      <c r="A568" s="3" t="s">
        <v>492</v>
      </c>
      <c r="B568" s="3" t="s">
        <v>493</v>
      </c>
      <c r="C568" s="3" t="s">
        <v>56</v>
      </c>
    </row>
    <row r="569" spans="1:3" x14ac:dyDescent="0.2">
      <c r="A569" s="3" t="s">
        <v>492</v>
      </c>
      <c r="B569" s="3" t="s">
        <v>494</v>
      </c>
      <c r="C569" s="3" t="s">
        <v>56</v>
      </c>
    </row>
    <row r="570" spans="1:3" x14ac:dyDescent="0.2">
      <c r="A570" s="3" t="s">
        <v>492</v>
      </c>
      <c r="B570" s="3" t="s">
        <v>485</v>
      </c>
      <c r="C570" s="3" t="s">
        <v>56</v>
      </c>
    </row>
    <row r="571" spans="1:3" x14ac:dyDescent="0.2">
      <c r="A571" s="3" t="s">
        <v>492</v>
      </c>
      <c r="B571" s="3" t="s">
        <v>487</v>
      </c>
      <c r="C571" s="3" t="s">
        <v>56</v>
      </c>
    </row>
    <row r="572" spans="1:3" x14ac:dyDescent="0.2">
      <c r="A572" s="3" t="s">
        <v>492</v>
      </c>
      <c r="B572" s="3" t="s">
        <v>495</v>
      </c>
      <c r="C572" s="3" t="s">
        <v>56</v>
      </c>
    </row>
    <row r="573" spans="1:3" x14ac:dyDescent="0.2">
      <c r="A573" s="3" t="s">
        <v>492</v>
      </c>
      <c r="B573" s="3" t="s">
        <v>496</v>
      </c>
      <c r="C573" s="3" t="s">
        <v>56</v>
      </c>
    </row>
    <row r="574" spans="1:3" x14ac:dyDescent="0.2">
      <c r="A574" s="3" t="s">
        <v>492</v>
      </c>
      <c r="B574" s="3" t="s">
        <v>497</v>
      </c>
      <c r="C574" s="3" t="s">
        <v>56</v>
      </c>
    </row>
    <row r="575" spans="1:3" x14ac:dyDescent="0.2">
      <c r="A575" s="3" t="s">
        <v>492</v>
      </c>
      <c r="B575" s="3" t="s">
        <v>498</v>
      </c>
      <c r="C575" s="3" t="s">
        <v>56</v>
      </c>
    </row>
    <row r="576" spans="1:3" x14ac:dyDescent="0.2">
      <c r="A576" s="3" t="s">
        <v>492</v>
      </c>
      <c r="B576" s="3" t="s">
        <v>493</v>
      </c>
      <c r="C576" s="3" t="s">
        <v>57</v>
      </c>
    </row>
    <row r="577" spans="1:3" x14ac:dyDescent="0.2">
      <c r="A577" s="3" t="s">
        <v>492</v>
      </c>
      <c r="B577" s="3" t="s">
        <v>494</v>
      </c>
      <c r="C577" s="3" t="s">
        <v>57</v>
      </c>
    </row>
    <row r="578" spans="1:3" x14ac:dyDescent="0.2">
      <c r="A578" s="3" t="s">
        <v>492</v>
      </c>
      <c r="B578" s="3" t="s">
        <v>485</v>
      </c>
      <c r="C578" s="3" t="s">
        <v>57</v>
      </c>
    </row>
    <row r="579" spans="1:3" x14ac:dyDescent="0.2">
      <c r="A579" s="3" t="s">
        <v>492</v>
      </c>
      <c r="B579" s="3" t="s">
        <v>487</v>
      </c>
      <c r="C579" s="3" t="s">
        <v>57</v>
      </c>
    </row>
    <row r="580" spans="1:3" x14ac:dyDescent="0.2">
      <c r="A580" s="3" t="s">
        <v>492</v>
      </c>
      <c r="B580" s="3" t="s">
        <v>495</v>
      </c>
      <c r="C580" s="3" t="s">
        <v>57</v>
      </c>
    </row>
    <row r="581" spans="1:3" x14ac:dyDescent="0.2">
      <c r="A581" s="3" t="s">
        <v>492</v>
      </c>
      <c r="B581" s="3" t="s">
        <v>496</v>
      </c>
      <c r="C581" s="3" t="s">
        <v>57</v>
      </c>
    </row>
    <row r="582" spans="1:3" x14ac:dyDescent="0.2">
      <c r="A582" s="3" t="s">
        <v>492</v>
      </c>
      <c r="B582" s="3" t="s">
        <v>497</v>
      </c>
      <c r="C582" s="3" t="s">
        <v>57</v>
      </c>
    </row>
    <row r="583" spans="1:3" x14ac:dyDescent="0.2">
      <c r="A583" s="3" t="s">
        <v>492</v>
      </c>
      <c r="B583" s="3" t="s">
        <v>498</v>
      </c>
      <c r="C583" s="3" t="s">
        <v>57</v>
      </c>
    </row>
    <row r="584" spans="1:3" x14ac:dyDescent="0.2">
      <c r="A584" s="3" t="s">
        <v>492</v>
      </c>
      <c r="B584" s="3" t="s">
        <v>500</v>
      </c>
      <c r="C584" s="3" t="s">
        <v>169</v>
      </c>
    </row>
    <row r="585" spans="1:3" x14ac:dyDescent="0.2">
      <c r="A585" s="3" t="s">
        <v>492</v>
      </c>
      <c r="B585" s="3" t="s">
        <v>501</v>
      </c>
      <c r="C585" s="3" t="s">
        <v>169</v>
      </c>
    </row>
    <row r="586" spans="1:3" x14ac:dyDescent="0.2">
      <c r="A586" s="3" t="s">
        <v>492</v>
      </c>
      <c r="B586" s="3" t="s">
        <v>502</v>
      </c>
      <c r="C586" s="3" t="s">
        <v>169</v>
      </c>
    </row>
    <row r="587" spans="1:3" x14ac:dyDescent="0.2">
      <c r="A587" s="3" t="s">
        <v>492</v>
      </c>
      <c r="B587" s="3" t="s">
        <v>503</v>
      </c>
      <c r="C587" s="3" t="s">
        <v>169</v>
      </c>
    </row>
    <row r="588" spans="1:3" x14ac:dyDescent="0.2">
      <c r="A588" s="3" t="s">
        <v>492</v>
      </c>
      <c r="B588" s="3" t="s">
        <v>504</v>
      </c>
      <c r="C588" s="3" t="s">
        <v>169</v>
      </c>
    </row>
    <row r="589" spans="1:3" x14ac:dyDescent="0.2">
      <c r="A589" s="3" t="s">
        <v>492</v>
      </c>
      <c r="B589" s="3" t="s">
        <v>505</v>
      </c>
      <c r="C589" s="3" t="s">
        <v>169</v>
      </c>
    </row>
    <row r="590" spans="1:3" x14ac:dyDescent="0.2">
      <c r="A590" s="3" t="s">
        <v>492</v>
      </c>
      <c r="B590" s="3" t="s">
        <v>506</v>
      </c>
      <c r="C590" s="3" t="s">
        <v>169</v>
      </c>
    </row>
    <row r="591" spans="1:3" x14ac:dyDescent="0.2">
      <c r="A591" s="3" t="s">
        <v>492</v>
      </c>
      <c r="B591" s="3" t="s">
        <v>507</v>
      </c>
      <c r="C591" s="3" t="s">
        <v>169</v>
      </c>
    </row>
    <row r="592" spans="1:3" x14ac:dyDescent="0.2">
      <c r="A592" s="3" t="s">
        <v>492</v>
      </c>
      <c r="B592" s="3" t="s">
        <v>508</v>
      </c>
      <c r="C592" s="3" t="s">
        <v>169</v>
      </c>
    </row>
    <row r="593" spans="1:3" x14ac:dyDescent="0.2">
      <c r="A593" s="3" t="s">
        <v>492</v>
      </c>
      <c r="B593" s="3" t="s">
        <v>509</v>
      </c>
      <c r="C593" s="3" t="s">
        <v>169</v>
      </c>
    </row>
    <row r="594" spans="1:3" x14ac:dyDescent="0.2">
      <c r="A594" s="3" t="s">
        <v>492</v>
      </c>
      <c r="B594" s="3" t="s">
        <v>510</v>
      </c>
      <c r="C594" s="3" t="s">
        <v>169</v>
      </c>
    </row>
    <row r="595" spans="1:3" x14ac:dyDescent="0.2">
      <c r="A595" s="3" t="s">
        <v>492</v>
      </c>
      <c r="B595" s="3" t="s">
        <v>511</v>
      </c>
      <c r="C595" s="3" t="s">
        <v>169</v>
      </c>
    </row>
    <row r="596" spans="1:3" x14ac:dyDescent="0.2">
      <c r="A596" s="3" t="s">
        <v>492</v>
      </c>
      <c r="B596" s="3" t="s">
        <v>512</v>
      </c>
      <c r="C596" s="3" t="s">
        <v>169</v>
      </c>
    </row>
    <row r="597" spans="1:3" x14ac:dyDescent="0.2">
      <c r="A597" s="3" t="s">
        <v>492</v>
      </c>
      <c r="B597" s="3" t="s">
        <v>513</v>
      </c>
      <c r="C597" s="3" t="s">
        <v>169</v>
      </c>
    </row>
    <row r="598" spans="1:3" x14ac:dyDescent="0.2">
      <c r="A598" s="3" t="s">
        <v>492</v>
      </c>
      <c r="B598" s="3" t="s">
        <v>514</v>
      </c>
      <c r="C598" s="3" t="s">
        <v>169</v>
      </c>
    </row>
    <row r="599" spans="1:3" x14ac:dyDescent="0.2">
      <c r="A599" s="3" t="s">
        <v>492</v>
      </c>
      <c r="B599" s="3" t="s">
        <v>515</v>
      </c>
      <c r="C599" s="3" t="s">
        <v>169</v>
      </c>
    </row>
    <row r="600" spans="1:3" x14ac:dyDescent="0.2">
      <c r="A600" s="3" t="s">
        <v>492</v>
      </c>
      <c r="B600" s="3" t="s">
        <v>516</v>
      </c>
      <c r="C600" s="3" t="s">
        <v>169</v>
      </c>
    </row>
    <row r="601" spans="1:3" x14ac:dyDescent="0.2">
      <c r="A601" s="3" t="s">
        <v>517</v>
      </c>
      <c r="B601" s="3" t="s">
        <v>459</v>
      </c>
      <c r="C601" s="3" t="s">
        <v>53</v>
      </c>
    </row>
    <row r="602" spans="1:3" x14ac:dyDescent="0.2">
      <c r="A602" s="3" t="s">
        <v>517</v>
      </c>
      <c r="B602" s="3" t="s">
        <v>460</v>
      </c>
      <c r="C602" s="3" t="s">
        <v>53</v>
      </c>
    </row>
    <row r="603" spans="1:3" x14ac:dyDescent="0.2">
      <c r="A603" s="3" t="s">
        <v>517</v>
      </c>
      <c r="B603" s="3" t="s">
        <v>518</v>
      </c>
      <c r="C603" s="3" t="s">
        <v>53</v>
      </c>
    </row>
    <row r="604" spans="1:3" x14ac:dyDescent="0.2">
      <c r="A604" s="3" t="s">
        <v>517</v>
      </c>
      <c r="B604" s="3" t="s">
        <v>461</v>
      </c>
      <c r="C604" s="3" t="s">
        <v>53</v>
      </c>
    </row>
    <row r="605" spans="1:3" x14ac:dyDescent="0.2">
      <c r="A605" s="3" t="s">
        <v>517</v>
      </c>
      <c r="B605" s="3" t="s">
        <v>462</v>
      </c>
      <c r="C605" s="3" t="s">
        <v>53</v>
      </c>
    </row>
    <row r="606" spans="1:3" x14ac:dyDescent="0.2">
      <c r="A606" s="3" t="s">
        <v>517</v>
      </c>
      <c r="B606" s="3" t="s">
        <v>519</v>
      </c>
      <c r="C606" s="3" t="s">
        <v>53</v>
      </c>
    </row>
    <row r="607" spans="1:3" x14ac:dyDescent="0.2">
      <c r="A607" s="3" t="s">
        <v>517</v>
      </c>
      <c r="B607" s="3" t="s">
        <v>459</v>
      </c>
      <c r="C607" s="3" t="s">
        <v>54</v>
      </c>
    </row>
    <row r="608" spans="1:3" x14ac:dyDescent="0.2">
      <c r="A608" s="3" t="s">
        <v>517</v>
      </c>
      <c r="B608" s="3" t="s">
        <v>460</v>
      </c>
      <c r="C608" s="3" t="s">
        <v>54</v>
      </c>
    </row>
    <row r="609" spans="1:3" x14ac:dyDescent="0.2">
      <c r="A609" s="3" t="s">
        <v>517</v>
      </c>
      <c r="B609" s="3" t="s">
        <v>518</v>
      </c>
      <c r="C609" s="3" t="s">
        <v>54</v>
      </c>
    </row>
    <row r="610" spans="1:3" x14ac:dyDescent="0.2">
      <c r="A610" s="3" t="s">
        <v>517</v>
      </c>
      <c r="B610" s="3" t="s">
        <v>461</v>
      </c>
      <c r="C610" s="3" t="s">
        <v>54</v>
      </c>
    </row>
    <row r="611" spans="1:3" x14ac:dyDescent="0.2">
      <c r="A611" s="3" t="s">
        <v>517</v>
      </c>
      <c r="B611" s="3" t="s">
        <v>462</v>
      </c>
      <c r="C611" s="3" t="s">
        <v>54</v>
      </c>
    </row>
    <row r="612" spans="1:3" x14ac:dyDescent="0.2">
      <c r="A612" s="3" t="s">
        <v>517</v>
      </c>
      <c r="B612" s="3" t="s">
        <v>519</v>
      </c>
      <c r="C612" s="3" t="s">
        <v>54</v>
      </c>
    </row>
    <row r="613" spans="1:3" x14ac:dyDescent="0.2">
      <c r="A613" s="3" t="s">
        <v>517</v>
      </c>
      <c r="B613" s="3" t="s">
        <v>464</v>
      </c>
      <c r="C613" s="3" t="s">
        <v>54</v>
      </c>
    </row>
    <row r="614" spans="1:3" x14ac:dyDescent="0.2">
      <c r="A614" s="3" t="s">
        <v>517</v>
      </c>
      <c r="B614" s="3" t="s">
        <v>459</v>
      </c>
      <c r="C614" s="3" t="s">
        <v>55</v>
      </c>
    </row>
    <row r="615" spans="1:3" x14ac:dyDescent="0.2">
      <c r="A615" s="3" t="s">
        <v>517</v>
      </c>
      <c r="B615" s="3" t="s">
        <v>460</v>
      </c>
      <c r="C615" s="3" t="s">
        <v>55</v>
      </c>
    </row>
    <row r="616" spans="1:3" x14ac:dyDescent="0.2">
      <c r="A616" s="3" t="s">
        <v>517</v>
      </c>
      <c r="B616" s="3" t="s">
        <v>518</v>
      </c>
      <c r="C616" s="3" t="s">
        <v>55</v>
      </c>
    </row>
    <row r="617" spans="1:3" x14ac:dyDescent="0.2">
      <c r="A617" s="3" t="s">
        <v>517</v>
      </c>
      <c r="B617" s="3" t="s">
        <v>461</v>
      </c>
      <c r="C617" s="3" t="s">
        <v>55</v>
      </c>
    </row>
    <row r="618" spans="1:3" x14ac:dyDescent="0.2">
      <c r="A618" s="3" t="s">
        <v>517</v>
      </c>
      <c r="B618" s="3" t="s">
        <v>462</v>
      </c>
      <c r="C618" s="3" t="s">
        <v>55</v>
      </c>
    </row>
    <row r="619" spans="1:3" x14ac:dyDescent="0.2">
      <c r="A619" s="3" t="s">
        <v>517</v>
      </c>
      <c r="B619" s="3" t="s">
        <v>519</v>
      </c>
      <c r="C619" s="3" t="s">
        <v>55</v>
      </c>
    </row>
    <row r="620" spans="1:3" x14ac:dyDescent="0.2">
      <c r="A620" s="3" t="s">
        <v>517</v>
      </c>
      <c r="B620" s="3" t="s">
        <v>459</v>
      </c>
      <c r="C620" s="3" t="s">
        <v>56</v>
      </c>
    </row>
    <row r="621" spans="1:3" x14ac:dyDescent="0.2">
      <c r="A621" s="3" t="s">
        <v>517</v>
      </c>
      <c r="B621" s="3" t="s">
        <v>460</v>
      </c>
      <c r="C621" s="3" t="s">
        <v>56</v>
      </c>
    </row>
    <row r="622" spans="1:3" x14ac:dyDescent="0.2">
      <c r="A622" s="3" t="s">
        <v>517</v>
      </c>
      <c r="B622" s="3" t="s">
        <v>518</v>
      </c>
      <c r="C622" s="3" t="s">
        <v>56</v>
      </c>
    </row>
    <row r="623" spans="1:3" x14ac:dyDescent="0.2">
      <c r="A623" s="3" t="s">
        <v>517</v>
      </c>
      <c r="B623" s="3" t="s">
        <v>461</v>
      </c>
      <c r="C623" s="3" t="s">
        <v>56</v>
      </c>
    </row>
    <row r="624" spans="1:3" x14ac:dyDescent="0.2">
      <c r="A624" s="3" t="s">
        <v>517</v>
      </c>
      <c r="B624" s="3" t="s">
        <v>462</v>
      </c>
      <c r="C624" s="3" t="s">
        <v>56</v>
      </c>
    </row>
    <row r="625" spans="1:3" x14ac:dyDescent="0.2">
      <c r="A625" s="3" t="s">
        <v>517</v>
      </c>
      <c r="B625" s="3" t="s">
        <v>519</v>
      </c>
      <c r="C625" s="3" t="s">
        <v>56</v>
      </c>
    </row>
    <row r="626" spans="1:3" x14ac:dyDescent="0.2">
      <c r="A626" s="3" t="s">
        <v>517</v>
      </c>
      <c r="B626" s="3" t="s">
        <v>459</v>
      </c>
      <c r="C626" s="3" t="s">
        <v>57</v>
      </c>
    </row>
    <row r="627" spans="1:3" x14ac:dyDescent="0.2">
      <c r="A627" s="3" t="s">
        <v>517</v>
      </c>
      <c r="B627" s="3" t="s">
        <v>460</v>
      </c>
      <c r="C627" s="3" t="s">
        <v>57</v>
      </c>
    </row>
    <row r="628" spans="1:3" x14ac:dyDescent="0.2">
      <c r="A628" s="3" t="s">
        <v>517</v>
      </c>
      <c r="B628" s="3" t="s">
        <v>518</v>
      </c>
      <c r="C628" s="3" t="s">
        <v>57</v>
      </c>
    </row>
    <row r="629" spans="1:3" x14ac:dyDescent="0.2">
      <c r="A629" s="3" t="s">
        <v>517</v>
      </c>
      <c r="B629" s="3" t="s">
        <v>461</v>
      </c>
      <c r="C629" s="3" t="s">
        <v>57</v>
      </c>
    </row>
    <row r="630" spans="1:3" x14ac:dyDescent="0.2">
      <c r="A630" s="3" t="s">
        <v>517</v>
      </c>
      <c r="B630" s="3" t="s">
        <v>462</v>
      </c>
      <c r="C630" s="3" t="s">
        <v>57</v>
      </c>
    </row>
    <row r="631" spans="1:3" x14ac:dyDescent="0.2">
      <c r="A631" s="3" t="s">
        <v>517</v>
      </c>
      <c r="B631" s="3" t="s">
        <v>519</v>
      </c>
      <c r="C631" s="3" t="s">
        <v>57</v>
      </c>
    </row>
    <row r="632" spans="1:3" x14ac:dyDescent="0.2">
      <c r="A632" s="3" t="s">
        <v>517</v>
      </c>
      <c r="B632" s="3" t="s">
        <v>520</v>
      </c>
      <c r="C632" s="3" t="s">
        <v>169</v>
      </c>
    </row>
    <row r="633" spans="1:3" x14ac:dyDescent="0.2">
      <c r="A633" s="3" t="s">
        <v>517</v>
      </c>
      <c r="B633" s="3" t="s">
        <v>521</v>
      </c>
      <c r="C633" s="3" t="s">
        <v>169</v>
      </c>
    </row>
    <row r="634" spans="1:3" x14ac:dyDescent="0.2">
      <c r="A634" s="3" t="s">
        <v>522</v>
      </c>
      <c r="B634" s="3" t="s">
        <v>484</v>
      </c>
      <c r="C634" s="3" t="s">
        <v>53</v>
      </c>
    </row>
    <row r="635" spans="1:3" x14ac:dyDescent="0.2">
      <c r="A635" s="3" t="s">
        <v>522</v>
      </c>
      <c r="B635" s="3" t="s">
        <v>518</v>
      </c>
      <c r="C635" s="3" t="s">
        <v>53</v>
      </c>
    </row>
    <row r="636" spans="1:3" x14ac:dyDescent="0.2">
      <c r="A636" s="3" t="s">
        <v>522</v>
      </c>
      <c r="B636" s="3" t="s">
        <v>486</v>
      </c>
      <c r="C636" s="3" t="s">
        <v>53</v>
      </c>
    </row>
    <row r="637" spans="1:3" x14ac:dyDescent="0.2">
      <c r="A637" s="3" t="s">
        <v>522</v>
      </c>
      <c r="B637" s="3" t="s">
        <v>523</v>
      </c>
      <c r="C637" s="3" t="s">
        <v>53</v>
      </c>
    </row>
    <row r="638" spans="1:3" x14ac:dyDescent="0.2">
      <c r="A638" s="3" t="s">
        <v>522</v>
      </c>
      <c r="B638" s="3" t="s">
        <v>519</v>
      </c>
      <c r="C638" s="3" t="s">
        <v>53</v>
      </c>
    </row>
    <row r="639" spans="1:3" x14ac:dyDescent="0.2">
      <c r="A639" s="3" t="s">
        <v>522</v>
      </c>
      <c r="B639" s="3" t="s">
        <v>484</v>
      </c>
      <c r="C639" s="3" t="s">
        <v>54</v>
      </c>
    </row>
    <row r="640" spans="1:3" x14ac:dyDescent="0.2">
      <c r="A640" s="3" t="s">
        <v>522</v>
      </c>
      <c r="B640" s="3" t="s">
        <v>518</v>
      </c>
      <c r="C640" s="3" t="s">
        <v>54</v>
      </c>
    </row>
    <row r="641" spans="1:3" x14ac:dyDescent="0.2">
      <c r="A641" s="3" t="s">
        <v>522</v>
      </c>
      <c r="B641" s="3" t="s">
        <v>486</v>
      </c>
      <c r="C641" s="3" t="s">
        <v>54</v>
      </c>
    </row>
    <row r="642" spans="1:3" x14ac:dyDescent="0.2">
      <c r="A642" s="3" t="s">
        <v>522</v>
      </c>
      <c r="B642" s="3" t="s">
        <v>523</v>
      </c>
      <c r="C642" s="3" t="s">
        <v>54</v>
      </c>
    </row>
    <row r="643" spans="1:3" x14ac:dyDescent="0.2">
      <c r="A643" s="3" t="s">
        <v>522</v>
      </c>
      <c r="B643" s="3" t="s">
        <v>519</v>
      </c>
      <c r="C643" s="3" t="s">
        <v>54</v>
      </c>
    </row>
    <row r="644" spans="1:3" x14ac:dyDescent="0.2">
      <c r="A644" s="3" t="s">
        <v>522</v>
      </c>
      <c r="B644" s="3" t="s">
        <v>484</v>
      </c>
      <c r="C644" s="3" t="s">
        <v>55</v>
      </c>
    </row>
    <row r="645" spans="1:3" x14ac:dyDescent="0.2">
      <c r="A645" s="3" t="s">
        <v>522</v>
      </c>
      <c r="B645" s="3" t="s">
        <v>518</v>
      </c>
      <c r="C645" s="3" t="s">
        <v>55</v>
      </c>
    </row>
    <row r="646" spans="1:3" x14ac:dyDescent="0.2">
      <c r="A646" s="3" t="s">
        <v>522</v>
      </c>
      <c r="B646" s="3" t="s">
        <v>486</v>
      </c>
      <c r="C646" s="3" t="s">
        <v>55</v>
      </c>
    </row>
    <row r="647" spans="1:3" x14ac:dyDescent="0.2">
      <c r="A647" s="3" t="s">
        <v>522</v>
      </c>
      <c r="B647" s="3" t="s">
        <v>523</v>
      </c>
      <c r="C647" s="3" t="s">
        <v>55</v>
      </c>
    </row>
    <row r="648" spans="1:3" x14ac:dyDescent="0.2">
      <c r="A648" s="3" t="s">
        <v>522</v>
      </c>
      <c r="B648" s="3" t="s">
        <v>519</v>
      </c>
      <c r="C648" s="3" t="s">
        <v>55</v>
      </c>
    </row>
    <row r="649" spans="1:3" x14ac:dyDescent="0.2">
      <c r="A649" s="3" t="s">
        <v>522</v>
      </c>
      <c r="B649" s="3" t="s">
        <v>484</v>
      </c>
      <c r="C649" s="3" t="s">
        <v>56</v>
      </c>
    </row>
    <row r="650" spans="1:3" x14ac:dyDescent="0.2">
      <c r="A650" s="3" t="s">
        <v>522</v>
      </c>
      <c r="B650" s="3" t="s">
        <v>518</v>
      </c>
      <c r="C650" s="3" t="s">
        <v>56</v>
      </c>
    </row>
    <row r="651" spans="1:3" x14ac:dyDescent="0.2">
      <c r="A651" s="3" t="s">
        <v>522</v>
      </c>
      <c r="B651" s="3" t="s">
        <v>486</v>
      </c>
      <c r="C651" s="3" t="s">
        <v>56</v>
      </c>
    </row>
    <row r="652" spans="1:3" x14ac:dyDescent="0.2">
      <c r="A652" s="3" t="s">
        <v>522</v>
      </c>
      <c r="B652" s="3" t="s">
        <v>523</v>
      </c>
      <c r="C652" s="3" t="s">
        <v>56</v>
      </c>
    </row>
    <row r="653" spans="1:3" x14ac:dyDescent="0.2">
      <c r="A653" s="3" t="s">
        <v>522</v>
      </c>
      <c r="B653" s="3" t="s">
        <v>519</v>
      </c>
      <c r="C653" s="3" t="s">
        <v>56</v>
      </c>
    </row>
    <row r="654" spans="1:3" x14ac:dyDescent="0.2">
      <c r="A654" s="3" t="s">
        <v>522</v>
      </c>
      <c r="B654" s="3" t="s">
        <v>484</v>
      </c>
      <c r="C654" s="3" t="s">
        <v>57</v>
      </c>
    </row>
    <row r="655" spans="1:3" x14ac:dyDescent="0.2">
      <c r="A655" s="3" t="s">
        <v>522</v>
      </c>
      <c r="B655" s="3" t="s">
        <v>518</v>
      </c>
      <c r="C655" s="3" t="s">
        <v>57</v>
      </c>
    </row>
    <row r="656" spans="1:3" x14ac:dyDescent="0.2">
      <c r="A656" s="3" t="s">
        <v>522</v>
      </c>
      <c r="B656" s="3" t="s">
        <v>486</v>
      </c>
      <c r="C656" s="3" t="s">
        <v>57</v>
      </c>
    </row>
    <row r="657" spans="1:3" x14ac:dyDescent="0.2">
      <c r="A657" s="3" t="s">
        <v>522</v>
      </c>
      <c r="B657" s="3" t="s">
        <v>523</v>
      </c>
      <c r="C657" s="3" t="s">
        <v>57</v>
      </c>
    </row>
    <row r="658" spans="1:3" x14ac:dyDescent="0.2">
      <c r="A658" s="3" t="s">
        <v>522</v>
      </c>
      <c r="B658" s="3" t="s">
        <v>519</v>
      </c>
      <c r="C658" s="3" t="s">
        <v>57</v>
      </c>
    </row>
    <row r="659" spans="1:3" x14ac:dyDescent="0.2">
      <c r="A659" s="3" t="s">
        <v>522</v>
      </c>
      <c r="B659" s="3" t="s">
        <v>524</v>
      </c>
      <c r="C659" s="3" t="s">
        <v>169</v>
      </c>
    </row>
    <row r="660" spans="1:3" x14ac:dyDescent="0.2">
      <c r="A660" s="3" t="s">
        <v>522</v>
      </c>
      <c r="B660" s="3" t="s">
        <v>490</v>
      </c>
      <c r="C660" s="3" t="s">
        <v>169</v>
      </c>
    </row>
    <row r="661" spans="1:3" x14ac:dyDescent="0.2">
      <c r="A661" s="3" t="s">
        <v>522</v>
      </c>
      <c r="B661" s="3" t="s">
        <v>491</v>
      </c>
      <c r="C661" s="3" t="s">
        <v>169</v>
      </c>
    </row>
    <row r="662" spans="1:3" x14ac:dyDescent="0.2">
      <c r="A662" s="3" t="s">
        <v>522</v>
      </c>
      <c r="B662" s="3" t="s">
        <v>525</v>
      </c>
      <c r="C662" s="3" t="s">
        <v>169</v>
      </c>
    </row>
    <row r="663" spans="1:3" x14ac:dyDescent="0.2">
      <c r="A663" s="3" t="s">
        <v>522</v>
      </c>
      <c r="B663" s="3" t="s">
        <v>526</v>
      </c>
      <c r="C663" s="3" t="s">
        <v>169</v>
      </c>
    </row>
    <row r="664" spans="1:3" x14ac:dyDescent="0.2">
      <c r="A664" s="3" t="s">
        <v>564</v>
      </c>
      <c r="B664" s="3" t="s">
        <v>565</v>
      </c>
      <c r="C664" s="3" t="s">
        <v>53</v>
      </c>
    </row>
    <row r="665" spans="1:3" x14ac:dyDescent="0.2">
      <c r="A665" s="3" t="s">
        <v>564</v>
      </c>
      <c r="B665" s="3" t="s">
        <v>566</v>
      </c>
      <c r="C665" s="3" t="s">
        <v>53</v>
      </c>
    </row>
    <row r="666" spans="1:3" x14ac:dyDescent="0.2">
      <c r="A666" s="3" t="s">
        <v>564</v>
      </c>
      <c r="B666" s="3" t="s">
        <v>561</v>
      </c>
      <c r="C666" s="3" t="s">
        <v>53</v>
      </c>
    </row>
    <row r="667" spans="1:3" x14ac:dyDescent="0.2">
      <c r="A667" s="3" t="s">
        <v>564</v>
      </c>
      <c r="B667" s="3" t="s">
        <v>567</v>
      </c>
      <c r="C667" s="3" t="s">
        <v>53</v>
      </c>
    </row>
    <row r="668" spans="1:3" x14ac:dyDescent="0.2">
      <c r="A668" s="3" t="s">
        <v>564</v>
      </c>
      <c r="B668" s="3" t="s">
        <v>568</v>
      </c>
      <c r="C668" s="3" t="s">
        <v>53</v>
      </c>
    </row>
    <row r="669" spans="1:3" x14ac:dyDescent="0.2">
      <c r="A669" s="3" t="s">
        <v>564</v>
      </c>
      <c r="B669" s="3" t="s">
        <v>569</v>
      </c>
      <c r="C669" s="3" t="s">
        <v>53</v>
      </c>
    </row>
    <row r="670" spans="1:3" x14ac:dyDescent="0.2">
      <c r="A670" s="3" t="s">
        <v>564</v>
      </c>
      <c r="B670" s="3" t="s">
        <v>570</v>
      </c>
      <c r="C670" s="3" t="s">
        <v>53</v>
      </c>
    </row>
    <row r="671" spans="1:3" x14ac:dyDescent="0.2">
      <c r="A671" s="3" t="s">
        <v>564</v>
      </c>
      <c r="B671" s="3" t="s">
        <v>571</v>
      </c>
      <c r="C671" s="3" t="s">
        <v>53</v>
      </c>
    </row>
    <row r="672" spans="1:3" x14ac:dyDescent="0.2">
      <c r="A672" s="3" t="s">
        <v>564</v>
      </c>
      <c r="B672" s="3" t="s">
        <v>565</v>
      </c>
      <c r="C672" s="3" t="s">
        <v>54</v>
      </c>
    </row>
    <row r="673" spans="1:3" x14ac:dyDescent="0.2">
      <c r="A673" s="3" t="s">
        <v>564</v>
      </c>
      <c r="B673" s="3" t="s">
        <v>566</v>
      </c>
      <c r="C673" s="3" t="s">
        <v>54</v>
      </c>
    </row>
    <row r="674" spans="1:3" x14ac:dyDescent="0.2">
      <c r="A674" s="3" t="s">
        <v>564</v>
      </c>
      <c r="B674" s="3" t="s">
        <v>561</v>
      </c>
      <c r="C674" s="3" t="s">
        <v>54</v>
      </c>
    </row>
    <row r="675" spans="1:3" x14ac:dyDescent="0.2">
      <c r="A675" s="3" t="s">
        <v>564</v>
      </c>
      <c r="B675" s="3" t="s">
        <v>567</v>
      </c>
      <c r="C675" s="3" t="s">
        <v>54</v>
      </c>
    </row>
    <row r="676" spans="1:3" x14ac:dyDescent="0.2">
      <c r="A676" s="3" t="s">
        <v>564</v>
      </c>
      <c r="B676" s="3" t="s">
        <v>568</v>
      </c>
      <c r="C676" s="3" t="s">
        <v>54</v>
      </c>
    </row>
    <row r="677" spans="1:3" x14ac:dyDescent="0.2">
      <c r="A677" s="3" t="s">
        <v>564</v>
      </c>
      <c r="B677" s="3" t="s">
        <v>569</v>
      </c>
      <c r="C677" s="3" t="s">
        <v>54</v>
      </c>
    </row>
    <row r="678" spans="1:3" x14ac:dyDescent="0.2">
      <c r="A678" s="3" t="s">
        <v>564</v>
      </c>
      <c r="B678" s="3" t="s">
        <v>570</v>
      </c>
      <c r="C678" s="3" t="s">
        <v>54</v>
      </c>
    </row>
    <row r="679" spans="1:3" x14ac:dyDescent="0.2">
      <c r="A679" s="3" t="s">
        <v>564</v>
      </c>
      <c r="B679" s="3" t="s">
        <v>571</v>
      </c>
      <c r="C679" s="3" t="s">
        <v>54</v>
      </c>
    </row>
    <row r="680" spans="1:3" x14ac:dyDescent="0.2">
      <c r="A680" s="3" t="s">
        <v>564</v>
      </c>
      <c r="B680" s="3" t="s">
        <v>565</v>
      </c>
      <c r="C680" s="3" t="s">
        <v>55</v>
      </c>
    </row>
    <row r="681" spans="1:3" x14ac:dyDescent="0.2">
      <c r="A681" s="3" t="s">
        <v>564</v>
      </c>
      <c r="B681" s="3" t="s">
        <v>566</v>
      </c>
      <c r="C681" s="3" t="s">
        <v>55</v>
      </c>
    </row>
    <row r="682" spans="1:3" x14ac:dyDescent="0.2">
      <c r="A682" s="3" t="s">
        <v>564</v>
      </c>
      <c r="B682" s="3" t="s">
        <v>561</v>
      </c>
      <c r="C682" s="3" t="s">
        <v>55</v>
      </c>
    </row>
    <row r="683" spans="1:3" x14ac:dyDescent="0.2">
      <c r="A683" s="3" t="s">
        <v>564</v>
      </c>
      <c r="B683" s="3" t="s">
        <v>567</v>
      </c>
      <c r="C683" s="3" t="s">
        <v>55</v>
      </c>
    </row>
    <row r="684" spans="1:3" x14ac:dyDescent="0.2">
      <c r="A684" s="3" t="s">
        <v>564</v>
      </c>
      <c r="B684" s="3" t="s">
        <v>568</v>
      </c>
      <c r="C684" s="3" t="s">
        <v>55</v>
      </c>
    </row>
    <row r="685" spans="1:3" x14ac:dyDescent="0.2">
      <c r="A685" s="3" t="s">
        <v>564</v>
      </c>
      <c r="B685" s="3" t="s">
        <v>569</v>
      </c>
      <c r="C685" s="3" t="s">
        <v>55</v>
      </c>
    </row>
    <row r="686" spans="1:3" x14ac:dyDescent="0.2">
      <c r="A686" s="3" t="s">
        <v>564</v>
      </c>
      <c r="B686" s="3" t="s">
        <v>570</v>
      </c>
      <c r="C686" s="3" t="s">
        <v>55</v>
      </c>
    </row>
    <row r="687" spans="1:3" x14ac:dyDescent="0.2">
      <c r="A687" s="3" t="s">
        <v>564</v>
      </c>
      <c r="B687" s="3" t="s">
        <v>565</v>
      </c>
      <c r="C687" s="3" t="s">
        <v>56</v>
      </c>
    </row>
    <row r="688" spans="1:3" x14ac:dyDescent="0.2">
      <c r="A688" s="3" t="s">
        <v>564</v>
      </c>
      <c r="B688" s="3" t="s">
        <v>566</v>
      </c>
      <c r="C688" s="3" t="s">
        <v>56</v>
      </c>
    </row>
    <row r="689" spans="1:3" x14ac:dyDescent="0.2">
      <c r="A689" s="3" t="s">
        <v>564</v>
      </c>
      <c r="B689" s="3" t="s">
        <v>561</v>
      </c>
      <c r="C689" s="3" t="s">
        <v>56</v>
      </c>
    </row>
    <row r="690" spans="1:3" x14ac:dyDescent="0.2">
      <c r="A690" s="3" t="s">
        <v>564</v>
      </c>
      <c r="B690" s="3" t="s">
        <v>567</v>
      </c>
      <c r="C690" s="3" t="s">
        <v>56</v>
      </c>
    </row>
    <row r="691" spans="1:3" x14ac:dyDescent="0.2">
      <c r="A691" s="3" t="s">
        <v>564</v>
      </c>
      <c r="B691" s="3" t="s">
        <v>568</v>
      </c>
      <c r="C691" s="3" t="s">
        <v>56</v>
      </c>
    </row>
    <row r="692" spans="1:3" x14ac:dyDescent="0.2">
      <c r="A692" s="3" t="s">
        <v>564</v>
      </c>
      <c r="B692" s="3" t="s">
        <v>569</v>
      </c>
      <c r="C692" s="3" t="s">
        <v>56</v>
      </c>
    </row>
    <row r="693" spans="1:3" x14ac:dyDescent="0.2">
      <c r="A693" s="3" t="s">
        <v>564</v>
      </c>
      <c r="B693" s="3" t="s">
        <v>570</v>
      </c>
      <c r="C693" s="3" t="s">
        <v>56</v>
      </c>
    </row>
    <row r="694" spans="1:3" x14ac:dyDescent="0.2">
      <c r="A694" s="3" t="s">
        <v>564</v>
      </c>
      <c r="B694" s="3" t="s">
        <v>565</v>
      </c>
      <c r="C694" s="3" t="s">
        <v>57</v>
      </c>
    </row>
    <row r="695" spans="1:3" x14ac:dyDescent="0.2">
      <c r="A695" s="3" t="s">
        <v>564</v>
      </c>
      <c r="B695" s="3" t="s">
        <v>566</v>
      </c>
      <c r="C695" s="3" t="s">
        <v>57</v>
      </c>
    </row>
    <row r="696" spans="1:3" x14ac:dyDescent="0.2">
      <c r="A696" s="3" t="s">
        <v>564</v>
      </c>
      <c r="B696" s="3" t="s">
        <v>561</v>
      </c>
      <c r="C696" s="3" t="s">
        <v>57</v>
      </c>
    </row>
    <row r="697" spans="1:3" x14ac:dyDescent="0.2">
      <c r="A697" s="3" t="s">
        <v>564</v>
      </c>
      <c r="B697" s="3" t="s">
        <v>567</v>
      </c>
      <c r="C697" s="3" t="s">
        <v>57</v>
      </c>
    </row>
    <row r="698" spans="1:3" x14ac:dyDescent="0.2">
      <c r="A698" s="3" t="s">
        <v>564</v>
      </c>
      <c r="B698" s="3" t="s">
        <v>568</v>
      </c>
      <c r="C698" s="3" t="s">
        <v>57</v>
      </c>
    </row>
    <row r="699" spans="1:3" x14ac:dyDescent="0.2">
      <c r="A699" s="3" t="s">
        <v>564</v>
      </c>
      <c r="B699" s="3" t="s">
        <v>569</v>
      </c>
      <c r="C699" s="3" t="s">
        <v>57</v>
      </c>
    </row>
    <row r="700" spans="1:3" x14ac:dyDescent="0.2">
      <c r="A700" s="3" t="s">
        <v>564</v>
      </c>
      <c r="B700" s="3" t="s">
        <v>570</v>
      </c>
      <c r="C700" s="3" t="s">
        <v>57</v>
      </c>
    </row>
    <row r="701" spans="1:3" x14ac:dyDescent="0.2">
      <c r="A701" s="3" t="s">
        <v>564</v>
      </c>
      <c r="B701" s="3" t="s">
        <v>572</v>
      </c>
      <c r="C701" s="3" t="s">
        <v>169</v>
      </c>
    </row>
    <row r="702" spans="1:3" x14ac:dyDescent="0.2">
      <c r="A702" s="3" t="s">
        <v>564</v>
      </c>
      <c r="B702" s="3" t="s">
        <v>573</v>
      </c>
      <c r="C702" s="3" t="s">
        <v>169</v>
      </c>
    </row>
    <row r="703" spans="1:3" x14ac:dyDescent="0.2">
      <c r="A703" s="3" t="s">
        <v>564</v>
      </c>
      <c r="B703" s="3" t="s">
        <v>574</v>
      </c>
      <c r="C703" s="3" t="s">
        <v>169</v>
      </c>
    </row>
    <row r="704" spans="1:3" x14ac:dyDescent="0.2">
      <c r="A704" s="3" t="s">
        <v>564</v>
      </c>
      <c r="B704" s="3" t="s">
        <v>575</v>
      </c>
      <c r="C704" s="3" t="s">
        <v>169</v>
      </c>
    </row>
    <row r="705" spans="1:3" x14ac:dyDescent="0.2">
      <c r="A705" s="3" t="s">
        <v>564</v>
      </c>
      <c r="B705" s="3" t="s">
        <v>576</v>
      </c>
      <c r="C705" s="3" t="s">
        <v>169</v>
      </c>
    </row>
    <row r="706" spans="1:3" x14ac:dyDescent="0.2">
      <c r="A706" s="3" t="s">
        <v>564</v>
      </c>
      <c r="B706" s="3" t="s">
        <v>577</v>
      </c>
      <c r="C706" s="3" t="s">
        <v>169</v>
      </c>
    </row>
    <row r="707" spans="1:3" x14ac:dyDescent="0.2">
      <c r="A707" s="3" t="s">
        <v>564</v>
      </c>
      <c r="B707" s="3" t="s">
        <v>578</v>
      </c>
      <c r="C707" s="3" t="s">
        <v>169</v>
      </c>
    </row>
    <row r="708" spans="1:3" x14ac:dyDescent="0.2">
      <c r="A708" s="3" t="s">
        <v>564</v>
      </c>
      <c r="B708" s="3" t="s">
        <v>579</v>
      </c>
      <c r="C708" s="3" t="s">
        <v>169</v>
      </c>
    </row>
    <row r="709" spans="1:3" x14ac:dyDescent="0.2">
      <c r="A709" s="3" t="s">
        <v>564</v>
      </c>
      <c r="B709" s="3" t="s">
        <v>580</v>
      </c>
      <c r="C709" s="3" t="s">
        <v>169</v>
      </c>
    </row>
    <row r="710" spans="1:3" x14ac:dyDescent="0.2">
      <c r="A710" s="3" t="s">
        <v>564</v>
      </c>
      <c r="B710" s="3" t="s">
        <v>581</v>
      </c>
      <c r="C710" s="3" t="s">
        <v>169</v>
      </c>
    </row>
    <row r="711" spans="1:3" x14ac:dyDescent="0.2">
      <c r="A711" s="3" t="s">
        <v>564</v>
      </c>
      <c r="B711" s="3" t="s">
        <v>582</v>
      </c>
      <c r="C711" s="3" t="s">
        <v>169</v>
      </c>
    </row>
    <row r="712" spans="1:3" x14ac:dyDescent="0.2">
      <c r="A712" s="3" t="s">
        <v>564</v>
      </c>
      <c r="B712" s="3" t="s">
        <v>583</v>
      </c>
      <c r="C712" s="3" t="s">
        <v>169</v>
      </c>
    </row>
    <row r="713" spans="1:3" x14ac:dyDescent="0.2">
      <c r="A713" s="3" t="s">
        <v>564</v>
      </c>
      <c r="B713" s="3" t="s">
        <v>584</v>
      </c>
      <c r="C713" s="3" t="s">
        <v>169</v>
      </c>
    </row>
    <row r="714" spans="1:3" x14ac:dyDescent="0.2">
      <c r="A714" s="3" t="s">
        <v>564</v>
      </c>
      <c r="B714" s="3" t="s">
        <v>585</v>
      </c>
      <c r="C714" s="3" t="s">
        <v>169</v>
      </c>
    </row>
    <row r="715" spans="1:3" x14ac:dyDescent="0.2">
      <c r="A715" s="3" t="s">
        <v>564</v>
      </c>
      <c r="B715" s="3" t="s">
        <v>586</v>
      </c>
      <c r="C715" s="3" t="s">
        <v>169</v>
      </c>
    </row>
    <row r="716" spans="1:3" x14ac:dyDescent="0.2">
      <c r="A716" s="3" t="s">
        <v>564</v>
      </c>
      <c r="B716" s="3" t="s">
        <v>587</v>
      </c>
      <c r="C716" s="3" t="s">
        <v>169</v>
      </c>
    </row>
    <row r="717" spans="1:3" x14ac:dyDescent="0.2">
      <c r="A717" s="3" t="s">
        <v>564</v>
      </c>
      <c r="B717" s="3" t="s">
        <v>176</v>
      </c>
      <c r="C717" s="3" t="s">
        <v>169</v>
      </c>
    </row>
    <row r="718" spans="1:3" x14ac:dyDescent="0.2">
      <c r="A718" s="3" t="s">
        <v>588</v>
      </c>
      <c r="B718" s="3" t="s">
        <v>589</v>
      </c>
      <c r="C718" s="3" t="s">
        <v>169</v>
      </c>
    </row>
    <row r="719" spans="1:3" x14ac:dyDescent="0.2">
      <c r="A719" s="3" t="s">
        <v>588</v>
      </c>
      <c r="B719" s="3" t="s">
        <v>590</v>
      </c>
      <c r="C719" s="3" t="s">
        <v>169</v>
      </c>
    </row>
    <row r="720" spans="1:3" x14ac:dyDescent="0.2">
      <c r="A720" s="3" t="s">
        <v>588</v>
      </c>
      <c r="B720" s="3" t="s">
        <v>591</v>
      </c>
      <c r="C720" s="3" t="s">
        <v>169</v>
      </c>
    </row>
    <row r="721" spans="1:3" x14ac:dyDescent="0.2">
      <c r="A721" s="3" t="s">
        <v>588</v>
      </c>
      <c r="B721" s="3" t="s">
        <v>592</v>
      </c>
      <c r="C721" s="3" t="s">
        <v>169</v>
      </c>
    </row>
    <row r="722" spans="1:3" x14ac:dyDescent="0.2">
      <c r="A722" s="3" t="s">
        <v>588</v>
      </c>
      <c r="B722" s="3" t="s">
        <v>176</v>
      </c>
      <c r="C722" s="3" t="s">
        <v>169</v>
      </c>
    </row>
    <row r="723" spans="1:3" x14ac:dyDescent="0.2">
      <c r="A723" s="3" t="s">
        <v>588</v>
      </c>
      <c r="B723" s="3" t="s">
        <v>593</v>
      </c>
      <c r="C723" s="3" t="s">
        <v>169</v>
      </c>
    </row>
    <row r="724" spans="1:3" x14ac:dyDescent="0.2">
      <c r="A724" s="3" t="s">
        <v>588</v>
      </c>
      <c r="B724" s="3" t="s">
        <v>594</v>
      </c>
      <c r="C724" s="3" t="s">
        <v>169</v>
      </c>
    </row>
    <row r="725" spans="1:3" x14ac:dyDescent="0.2">
      <c r="A725" s="3" t="s">
        <v>588</v>
      </c>
      <c r="B725" s="3" t="s">
        <v>595</v>
      </c>
      <c r="C725" s="3" t="s">
        <v>169</v>
      </c>
    </row>
    <row r="726" spans="1:3" x14ac:dyDescent="0.2">
      <c r="A726" s="3" t="s">
        <v>596</v>
      </c>
      <c r="B726" s="3" t="s">
        <v>597</v>
      </c>
      <c r="C726" s="3" t="s">
        <v>53</v>
      </c>
    </row>
    <row r="727" spans="1:3" x14ac:dyDescent="0.2">
      <c r="A727" s="3" t="s">
        <v>596</v>
      </c>
      <c r="B727" s="3" t="s">
        <v>598</v>
      </c>
      <c r="C727" s="3" t="s">
        <v>53</v>
      </c>
    </row>
    <row r="728" spans="1:3" x14ac:dyDescent="0.2">
      <c r="A728" s="3" t="s">
        <v>596</v>
      </c>
      <c r="B728" s="3" t="s">
        <v>183</v>
      </c>
      <c r="C728" s="3" t="s">
        <v>53</v>
      </c>
    </row>
    <row r="729" spans="1:3" x14ac:dyDescent="0.2">
      <c r="A729" s="3" t="s">
        <v>596</v>
      </c>
      <c r="B729" s="3" t="s">
        <v>597</v>
      </c>
      <c r="C729" s="3" t="s">
        <v>54</v>
      </c>
    </row>
    <row r="730" spans="1:3" x14ac:dyDescent="0.2">
      <c r="A730" s="3" t="s">
        <v>596</v>
      </c>
      <c r="B730" s="3" t="s">
        <v>598</v>
      </c>
      <c r="C730" s="3" t="s">
        <v>54</v>
      </c>
    </row>
    <row r="731" spans="1:3" x14ac:dyDescent="0.2">
      <c r="A731" s="3" t="s">
        <v>596</v>
      </c>
      <c r="B731" s="3" t="s">
        <v>183</v>
      </c>
      <c r="C731" s="3" t="s">
        <v>54</v>
      </c>
    </row>
    <row r="732" spans="1:3" x14ac:dyDescent="0.2">
      <c r="A732" s="3" t="s">
        <v>596</v>
      </c>
      <c r="B732" s="3" t="s">
        <v>597</v>
      </c>
      <c r="C732" s="3" t="s">
        <v>55</v>
      </c>
    </row>
    <row r="733" spans="1:3" x14ac:dyDescent="0.2">
      <c r="A733" s="3" t="s">
        <v>596</v>
      </c>
      <c r="B733" s="3" t="s">
        <v>598</v>
      </c>
      <c r="C733" s="3" t="s">
        <v>55</v>
      </c>
    </row>
    <row r="734" spans="1:3" x14ac:dyDescent="0.2">
      <c r="A734" s="3" t="s">
        <v>596</v>
      </c>
      <c r="B734" s="3" t="s">
        <v>183</v>
      </c>
      <c r="C734" s="3" t="s">
        <v>55</v>
      </c>
    </row>
    <row r="735" spans="1:3" x14ac:dyDescent="0.2">
      <c r="A735" s="3" t="s">
        <v>596</v>
      </c>
      <c r="B735" s="3" t="s">
        <v>597</v>
      </c>
      <c r="C735" s="3" t="s">
        <v>56</v>
      </c>
    </row>
    <row r="736" spans="1:3" x14ac:dyDescent="0.2">
      <c r="A736" s="3" t="s">
        <v>596</v>
      </c>
      <c r="B736" s="3" t="s">
        <v>598</v>
      </c>
      <c r="C736" s="3" t="s">
        <v>56</v>
      </c>
    </row>
    <row r="737" spans="1:3" x14ac:dyDescent="0.2">
      <c r="A737" s="3" t="s">
        <v>596</v>
      </c>
      <c r="B737" s="3" t="s">
        <v>183</v>
      </c>
      <c r="C737" s="3" t="s">
        <v>56</v>
      </c>
    </row>
    <row r="738" spans="1:3" x14ac:dyDescent="0.2">
      <c r="A738" s="3" t="s">
        <v>596</v>
      </c>
      <c r="B738" s="3" t="s">
        <v>597</v>
      </c>
      <c r="C738" s="3" t="s">
        <v>57</v>
      </c>
    </row>
    <row r="739" spans="1:3" x14ac:dyDescent="0.2">
      <c r="A739" s="3" t="s">
        <v>596</v>
      </c>
      <c r="B739" s="3" t="s">
        <v>598</v>
      </c>
      <c r="C739" s="3" t="s">
        <v>57</v>
      </c>
    </row>
    <row r="740" spans="1:3" x14ac:dyDescent="0.2">
      <c r="A740" s="3" t="s">
        <v>596</v>
      </c>
      <c r="B740" s="3" t="s">
        <v>183</v>
      </c>
      <c r="C740" s="3" t="s">
        <v>57</v>
      </c>
    </row>
    <row r="741" spans="1:3" x14ac:dyDescent="0.2">
      <c r="A741" s="3" t="s">
        <v>596</v>
      </c>
      <c r="B741" s="3" t="s">
        <v>599</v>
      </c>
      <c r="C741" s="3" t="s">
        <v>169</v>
      </c>
    </row>
    <row r="742" spans="1:3" x14ac:dyDescent="0.2">
      <c r="A742" s="3" t="s">
        <v>596</v>
      </c>
      <c r="B742" s="3" t="s">
        <v>600</v>
      </c>
      <c r="C742" s="3" t="s">
        <v>169</v>
      </c>
    </row>
    <row r="743" spans="1:3" x14ac:dyDescent="0.2">
      <c r="A743" s="3" t="s">
        <v>596</v>
      </c>
      <c r="B743" s="3" t="s">
        <v>601</v>
      </c>
      <c r="C743" s="3" t="s">
        <v>169</v>
      </c>
    </row>
    <row r="744" spans="1:3" x14ac:dyDescent="0.2">
      <c r="A744" s="3" t="s">
        <v>602</v>
      </c>
      <c r="B744" s="3" t="s">
        <v>603</v>
      </c>
      <c r="C744" s="3" t="s">
        <v>53</v>
      </c>
    </row>
    <row r="745" spans="1:3" x14ac:dyDescent="0.2">
      <c r="A745" s="3" t="s">
        <v>602</v>
      </c>
      <c r="B745" s="3" t="s">
        <v>604</v>
      </c>
      <c r="C745" s="3" t="s">
        <v>53</v>
      </c>
    </row>
    <row r="746" spans="1:3" x14ac:dyDescent="0.2">
      <c r="A746" s="3" t="s">
        <v>602</v>
      </c>
      <c r="B746" s="3" t="s">
        <v>603</v>
      </c>
      <c r="C746" s="3" t="s">
        <v>54</v>
      </c>
    </row>
    <row r="747" spans="1:3" x14ac:dyDescent="0.2">
      <c r="A747" s="3" t="s">
        <v>602</v>
      </c>
      <c r="B747" s="3" t="s">
        <v>604</v>
      </c>
      <c r="C747" s="3" t="s">
        <v>54</v>
      </c>
    </row>
    <row r="748" spans="1:3" x14ac:dyDescent="0.2">
      <c r="A748" s="3" t="s">
        <v>602</v>
      </c>
      <c r="B748" s="3" t="s">
        <v>603</v>
      </c>
      <c r="C748" s="3" t="s">
        <v>55</v>
      </c>
    </row>
    <row r="749" spans="1:3" x14ac:dyDescent="0.2">
      <c r="A749" s="3" t="s">
        <v>602</v>
      </c>
      <c r="B749" s="3" t="s">
        <v>604</v>
      </c>
      <c r="C749" s="3" t="s">
        <v>55</v>
      </c>
    </row>
    <row r="750" spans="1:3" x14ac:dyDescent="0.2">
      <c r="A750" s="3" t="s">
        <v>602</v>
      </c>
      <c r="B750" s="3" t="s">
        <v>603</v>
      </c>
      <c r="C750" s="3" t="s">
        <v>56</v>
      </c>
    </row>
    <row r="751" spans="1:3" x14ac:dyDescent="0.2">
      <c r="A751" s="3" t="s">
        <v>602</v>
      </c>
      <c r="B751" s="3" t="s">
        <v>604</v>
      </c>
      <c r="C751" s="3" t="s">
        <v>56</v>
      </c>
    </row>
    <row r="752" spans="1:3" x14ac:dyDescent="0.2">
      <c r="A752" s="3" t="s">
        <v>602</v>
      </c>
      <c r="B752" s="3" t="s">
        <v>603</v>
      </c>
      <c r="C752" s="3" t="s">
        <v>57</v>
      </c>
    </row>
    <row r="753" spans="1:3" x14ac:dyDescent="0.2">
      <c r="A753" s="3" t="s">
        <v>602</v>
      </c>
      <c r="B753" s="3" t="s">
        <v>604</v>
      </c>
      <c r="C753" s="3" t="s">
        <v>57</v>
      </c>
    </row>
    <row r="754" spans="1:3" x14ac:dyDescent="0.2">
      <c r="A754" s="3" t="s">
        <v>602</v>
      </c>
      <c r="B754" s="3" t="s">
        <v>605</v>
      </c>
      <c r="C754" s="3" t="s">
        <v>169</v>
      </c>
    </row>
    <row r="755" spans="1:3" x14ac:dyDescent="0.2">
      <c r="A755" s="3" t="s">
        <v>2211</v>
      </c>
      <c r="B755" s="3" t="s">
        <v>2212</v>
      </c>
      <c r="C755" s="3" t="s">
        <v>53</v>
      </c>
    </row>
    <row r="756" spans="1:3" x14ac:dyDescent="0.2">
      <c r="A756" s="3" t="s">
        <v>2211</v>
      </c>
      <c r="B756" s="3" t="s">
        <v>2212</v>
      </c>
      <c r="C756" s="3" t="s">
        <v>54</v>
      </c>
    </row>
    <row r="757" spans="1:3" x14ac:dyDescent="0.2">
      <c r="A757" s="3" t="s">
        <v>2211</v>
      </c>
      <c r="B757" s="3" t="s">
        <v>2212</v>
      </c>
      <c r="C757" s="3" t="s">
        <v>55</v>
      </c>
    </row>
    <row r="758" spans="1:3" x14ac:dyDescent="0.2">
      <c r="A758" s="3" t="s">
        <v>2211</v>
      </c>
      <c r="B758" s="3" t="s">
        <v>2212</v>
      </c>
      <c r="C758" s="3" t="s">
        <v>56</v>
      </c>
    </row>
    <row r="759" spans="1:3" x14ac:dyDescent="0.2">
      <c r="A759" s="3" t="s">
        <v>2211</v>
      </c>
      <c r="B759" s="3" t="s">
        <v>2212</v>
      </c>
      <c r="C759" s="3" t="s">
        <v>57</v>
      </c>
    </row>
    <row r="760" spans="1:3" x14ac:dyDescent="0.2">
      <c r="A760" s="3" t="s">
        <v>2211</v>
      </c>
      <c r="B760" s="3" t="s">
        <v>2213</v>
      </c>
      <c r="C760" s="3" t="s">
        <v>169</v>
      </c>
    </row>
    <row r="761" spans="1:3" x14ac:dyDescent="0.2">
      <c r="A761" s="3" t="s">
        <v>2211</v>
      </c>
      <c r="B761" s="3" t="s">
        <v>2214</v>
      </c>
      <c r="C761" s="3" t="s">
        <v>169</v>
      </c>
    </row>
    <row r="762" spans="1:3" x14ac:dyDescent="0.2">
      <c r="A762" s="3" t="s">
        <v>2211</v>
      </c>
      <c r="B762" s="3" t="s">
        <v>2215</v>
      </c>
      <c r="C762" s="3" t="s">
        <v>169</v>
      </c>
    </row>
    <row r="763" spans="1:3" x14ac:dyDescent="0.2">
      <c r="A763" s="3" t="s">
        <v>2211</v>
      </c>
      <c r="B763" s="3" t="s">
        <v>2216</v>
      </c>
      <c r="C763" s="3" t="s">
        <v>169</v>
      </c>
    </row>
    <row r="764" spans="1:3" x14ac:dyDescent="0.2">
      <c r="A764" s="3" t="s">
        <v>2211</v>
      </c>
      <c r="B764" s="3" t="s">
        <v>2186</v>
      </c>
      <c r="C764" s="3" t="s">
        <v>169</v>
      </c>
    </row>
    <row r="765" spans="1:3" x14ac:dyDescent="0.2">
      <c r="A765" s="3" t="s">
        <v>2211</v>
      </c>
      <c r="B765" s="3" t="s">
        <v>2217</v>
      </c>
      <c r="C765" s="3" t="s">
        <v>169</v>
      </c>
    </row>
    <row r="766" spans="1:3" x14ac:dyDescent="0.2">
      <c r="A766" s="3" t="s">
        <v>2211</v>
      </c>
      <c r="B766" s="3" t="s">
        <v>2218</v>
      </c>
      <c r="C766" s="3" t="s">
        <v>169</v>
      </c>
    </row>
    <row r="767" spans="1:3" x14ac:dyDescent="0.2">
      <c r="A767" s="3" t="s">
        <v>2211</v>
      </c>
      <c r="B767" s="3" t="s">
        <v>2219</v>
      </c>
      <c r="C767" s="3" t="s">
        <v>169</v>
      </c>
    </row>
    <row r="768" spans="1:3" x14ac:dyDescent="0.2">
      <c r="A768" s="3" t="s">
        <v>2211</v>
      </c>
      <c r="B768" s="3" t="s">
        <v>2220</v>
      </c>
      <c r="C768" s="3" t="s">
        <v>169</v>
      </c>
    </row>
    <row r="769" spans="1:3" x14ac:dyDescent="0.2">
      <c r="A769" s="3" t="s">
        <v>2211</v>
      </c>
      <c r="B769" s="3" t="s">
        <v>2221</v>
      </c>
      <c r="C769" s="3" t="s">
        <v>169</v>
      </c>
    </row>
    <row r="770" spans="1:3" x14ac:dyDescent="0.2">
      <c r="A770" s="3" t="s">
        <v>2211</v>
      </c>
      <c r="B770" s="3" t="s">
        <v>639</v>
      </c>
      <c r="C770" s="3" t="s">
        <v>169</v>
      </c>
    </row>
    <row r="771" spans="1:3" x14ac:dyDescent="0.2">
      <c r="A771" s="3" t="s">
        <v>2211</v>
      </c>
      <c r="B771" s="3" t="s">
        <v>2222</v>
      </c>
      <c r="C771" s="3" t="s">
        <v>169</v>
      </c>
    </row>
    <row r="772" spans="1:3" x14ac:dyDescent="0.2">
      <c r="A772" s="3" t="s">
        <v>2211</v>
      </c>
      <c r="B772" s="3" t="s">
        <v>2223</v>
      </c>
      <c r="C772" s="3" t="s">
        <v>169</v>
      </c>
    </row>
    <row r="773" spans="1:3" x14ac:dyDescent="0.2">
      <c r="A773" s="3" t="s">
        <v>2211</v>
      </c>
      <c r="B773" s="3" t="s">
        <v>2224</v>
      </c>
      <c r="C773" s="3" t="s">
        <v>169</v>
      </c>
    </row>
    <row r="774" spans="1:3" x14ac:dyDescent="0.2">
      <c r="A774" s="3" t="s">
        <v>2211</v>
      </c>
      <c r="B774" s="3" t="s">
        <v>2225</v>
      </c>
      <c r="C774" s="3" t="s">
        <v>169</v>
      </c>
    </row>
    <row r="775" spans="1:3" x14ac:dyDescent="0.2">
      <c r="A775" s="3" t="s">
        <v>2211</v>
      </c>
      <c r="B775" s="3" t="s">
        <v>2226</v>
      </c>
      <c r="C775" s="3" t="s">
        <v>169</v>
      </c>
    </row>
    <row r="776" spans="1:3" x14ac:dyDescent="0.2">
      <c r="A776" s="3" t="s">
        <v>2211</v>
      </c>
      <c r="B776" s="3" t="s">
        <v>2227</v>
      </c>
      <c r="C776" s="3" t="s">
        <v>169</v>
      </c>
    </row>
    <row r="777" spans="1:3" x14ac:dyDescent="0.2">
      <c r="A777" s="3" t="s">
        <v>2228</v>
      </c>
      <c r="B777" s="3" t="s">
        <v>2229</v>
      </c>
      <c r="C777" s="3" t="s">
        <v>53</v>
      </c>
    </row>
    <row r="778" spans="1:3" x14ac:dyDescent="0.2">
      <c r="A778" s="3" t="s">
        <v>2228</v>
      </c>
      <c r="B778" s="3" t="s">
        <v>2230</v>
      </c>
      <c r="C778" s="3" t="s">
        <v>53</v>
      </c>
    </row>
    <row r="779" spans="1:3" x14ac:dyDescent="0.2">
      <c r="A779" s="3" t="s">
        <v>2228</v>
      </c>
      <c r="B779" s="3" t="s">
        <v>2231</v>
      </c>
      <c r="C779" s="3" t="s">
        <v>53</v>
      </c>
    </row>
    <row r="780" spans="1:3" x14ac:dyDescent="0.2">
      <c r="A780" s="3" t="s">
        <v>2228</v>
      </c>
      <c r="B780" s="3" t="s">
        <v>2232</v>
      </c>
      <c r="C780" s="3" t="s">
        <v>53</v>
      </c>
    </row>
    <row r="781" spans="1:3" x14ac:dyDescent="0.2">
      <c r="A781" s="3" t="s">
        <v>2228</v>
      </c>
      <c r="B781" s="3" t="s">
        <v>2233</v>
      </c>
      <c r="C781" s="3" t="s">
        <v>53</v>
      </c>
    </row>
    <row r="782" spans="1:3" x14ac:dyDescent="0.2">
      <c r="A782" s="3" t="s">
        <v>2228</v>
      </c>
      <c r="B782" s="3" t="s">
        <v>2234</v>
      </c>
      <c r="C782" s="3" t="s">
        <v>53</v>
      </c>
    </row>
    <row r="783" spans="1:3" x14ac:dyDescent="0.2">
      <c r="A783" s="3" t="s">
        <v>2228</v>
      </c>
      <c r="B783" s="3" t="s">
        <v>2235</v>
      </c>
      <c r="C783" s="3" t="s">
        <v>53</v>
      </c>
    </row>
    <row r="784" spans="1:3" x14ac:dyDescent="0.2">
      <c r="A784" s="3" t="s">
        <v>2228</v>
      </c>
      <c r="B784" s="3" t="s">
        <v>2229</v>
      </c>
      <c r="C784" s="3" t="s">
        <v>54</v>
      </c>
    </row>
    <row r="785" spans="1:3" x14ac:dyDescent="0.2">
      <c r="A785" s="3" t="s">
        <v>2228</v>
      </c>
      <c r="B785" s="3" t="s">
        <v>2230</v>
      </c>
      <c r="C785" s="3" t="s">
        <v>54</v>
      </c>
    </row>
    <row r="786" spans="1:3" x14ac:dyDescent="0.2">
      <c r="A786" s="3" t="s">
        <v>2228</v>
      </c>
      <c r="B786" s="3" t="s">
        <v>2231</v>
      </c>
      <c r="C786" s="3" t="s">
        <v>54</v>
      </c>
    </row>
    <row r="787" spans="1:3" x14ac:dyDescent="0.2">
      <c r="A787" s="3" t="s">
        <v>2228</v>
      </c>
      <c r="B787" s="3" t="s">
        <v>2232</v>
      </c>
      <c r="C787" s="3" t="s">
        <v>54</v>
      </c>
    </row>
    <row r="788" spans="1:3" x14ac:dyDescent="0.2">
      <c r="A788" s="3" t="s">
        <v>2228</v>
      </c>
      <c r="B788" s="3" t="s">
        <v>2233</v>
      </c>
      <c r="C788" s="3" t="s">
        <v>54</v>
      </c>
    </row>
    <row r="789" spans="1:3" x14ac:dyDescent="0.2">
      <c r="A789" s="3" t="s">
        <v>2228</v>
      </c>
      <c r="B789" s="3" t="s">
        <v>2234</v>
      </c>
      <c r="C789" s="3" t="s">
        <v>54</v>
      </c>
    </row>
    <row r="790" spans="1:3" x14ac:dyDescent="0.2">
      <c r="A790" s="3" t="s">
        <v>2228</v>
      </c>
      <c r="B790" s="3" t="s">
        <v>2235</v>
      </c>
      <c r="C790" s="3" t="s">
        <v>54</v>
      </c>
    </row>
    <row r="791" spans="1:3" x14ac:dyDescent="0.2">
      <c r="A791" s="3" t="s">
        <v>2228</v>
      </c>
      <c r="B791" s="3" t="s">
        <v>2229</v>
      </c>
      <c r="C791" s="3" t="s">
        <v>55</v>
      </c>
    </row>
    <row r="792" spans="1:3" x14ac:dyDescent="0.2">
      <c r="A792" s="3" t="s">
        <v>2228</v>
      </c>
      <c r="B792" s="3" t="s">
        <v>2230</v>
      </c>
      <c r="C792" s="3" t="s">
        <v>55</v>
      </c>
    </row>
    <row r="793" spans="1:3" x14ac:dyDescent="0.2">
      <c r="A793" s="3" t="s">
        <v>2228</v>
      </c>
      <c r="B793" s="3" t="s">
        <v>2231</v>
      </c>
      <c r="C793" s="3" t="s">
        <v>55</v>
      </c>
    </row>
    <row r="794" spans="1:3" x14ac:dyDescent="0.2">
      <c r="A794" s="3" t="s">
        <v>2228</v>
      </c>
      <c r="B794" s="3" t="s">
        <v>2232</v>
      </c>
      <c r="C794" s="3" t="s">
        <v>55</v>
      </c>
    </row>
    <row r="795" spans="1:3" x14ac:dyDescent="0.2">
      <c r="A795" s="3" t="s">
        <v>2228</v>
      </c>
      <c r="B795" s="3" t="s">
        <v>2233</v>
      </c>
      <c r="C795" s="3" t="s">
        <v>55</v>
      </c>
    </row>
    <row r="796" spans="1:3" x14ac:dyDescent="0.2">
      <c r="A796" s="3" t="s">
        <v>2228</v>
      </c>
      <c r="B796" s="3" t="s">
        <v>2234</v>
      </c>
      <c r="C796" s="3" t="s">
        <v>55</v>
      </c>
    </row>
    <row r="797" spans="1:3" x14ac:dyDescent="0.2">
      <c r="A797" s="3" t="s">
        <v>2228</v>
      </c>
      <c r="B797" s="3" t="s">
        <v>2235</v>
      </c>
      <c r="C797" s="3" t="s">
        <v>55</v>
      </c>
    </row>
    <row r="798" spans="1:3" x14ac:dyDescent="0.2">
      <c r="A798" s="3" t="s">
        <v>2228</v>
      </c>
      <c r="B798" s="3" t="s">
        <v>2229</v>
      </c>
      <c r="C798" s="3" t="s">
        <v>56</v>
      </c>
    </row>
    <row r="799" spans="1:3" x14ac:dyDescent="0.2">
      <c r="A799" s="3" t="s">
        <v>2228</v>
      </c>
      <c r="B799" s="3" t="s">
        <v>2230</v>
      </c>
      <c r="C799" s="3" t="s">
        <v>56</v>
      </c>
    </row>
    <row r="800" spans="1:3" x14ac:dyDescent="0.2">
      <c r="A800" s="3" t="s">
        <v>2228</v>
      </c>
      <c r="B800" s="3" t="s">
        <v>2231</v>
      </c>
      <c r="C800" s="3" t="s">
        <v>56</v>
      </c>
    </row>
    <row r="801" spans="1:3" x14ac:dyDescent="0.2">
      <c r="A801" s="3" t="s">
        <v>2228</v>
      </c>
      <c r="B801" s="3" t="s">
        <v>2232</v>
      </c>
      <c r="C801" s="3" t="s">
        <v>56</v>
      </c>
    </row>
    <row r="802" spans="1:3" x14ac:dyDescent="0.2">
      <c r="A802" s="3" t="s">
        <v>2228</v>
      </c>
      <c r="B802" s="3" t="s">
        <v>2233</v>
      </c>
      <c r="C802" s="3" t="s">
        <v>56</v>
      </c>
    </row>
    <row r="803" spans="1:3" x14ac:dyDescent="0.2">
      <c r="A803" s="3" t="s">
        <v>2228</v>
      </c>
      <c r="B803" s="3" t="s">
        <v>2234</v>
      </c>
      <c r="C803" s="3" t="s">
        <v>56</v>
      </c>
    </row>
    <row r="804" spans="1:3" x14ac:dyDescent="0.2">
      <c r="A804" s="3" t="s">
        <v>2228</v>
      </c>
      <c r="B804" s="3" t="s">
        <v>2235</v>
      </c>
      <c r="C804" s="3" t="s">
        <v>56</v>
      </c>
    </row>
    <row r="805" spans="1:3" x14ac:dyDescent="0.2">
      <c r="A805" s="3" t="s">
        <v>2228</v>
      </c>
      <c r="B805" s="3" t="s">
        <v>2229</v>
      </c>
      <c r="C805" s="3" t="s">
        <v>57</v>
      </c>
    </row>
    <row r="806" spans="1:3" x14ac:dyDescent="0.2">
      <c r="A806" s="3" t="s">
        <v>2228</v>
      </c>
      <c r="B806" s="3" t="s">
        <v>2230</v>
      </c>
      <c r="C806" s="3" t="s">
        <v>57</v>
      </c>
    </row>
    <row r="807" spans="1:3" x14ac:dyDescent="0.2">
      <c r="A807" s="3" t="s">
        <v>2228</v>
      </c>
      <c r="B807" s="3" t="s">
        <v>2231</v>
      </c>
      <c r="C807" s="3" t="s">
        <v>57</v>
      </c>
    </row>
    <row r="808" spans="1:3" x14ac:dyDescent="0.2">
      <c r="A808" s="3" t="s">
        <v>2228</v>
      </c>
      <c r="B808" s="3" t="s">
        <v>2232</v>
      </c>
      <c r="C808" s="3" t="s">
        <v>57</v>
      </c>
    </row>
    <row r="809" spans="1:3" x14ac:dyDescent="0.2">
      <c r="A809" s="3" t="s">
        <v>2228</v>
      </c>
      <c r="B809" s="3" t="s">
        <v>2233</v>
      </c>
      <c r="C809" s="3" t="s">
        <v>57</v>
      </c>
    </row>
    <row r="810" spans="1:3" x14ac:dyDescent="0.2">
      <c r="A810" s="3" t="s">
        <v>2228</v>
      </c>
      <c r="B810" s="3" t="s">
        <v>2234</v>
      </c>
      <c r="C810" s="3" t="s">
        <v>57</v>
      </c>
    </row>
    <row r="811" spans="1:3" x14ac:dyDescent="0.2">
      <c r="A811" s="3" t="s">
        <v>2228</v>
      </c>
      <c r="B811" s="3" t="s">
        <v>2235</v>
      </c>
      <c r="C811" s="3" t="s">
        <v>57</v>
      </c>
    </row>
    <row r="812" spans="1:3" x14ac:dyDescent="0.2">
      <c r="A812" s="3" t="s">
        <v>2228</v>
      </c>
      <c r="B812" s="3" t="s">
        <v>2213</v>
      </c>
      <c r="C812" s="3" t="s">
        <v>169</v>
      </c>
    </row>
    <row r="813" spans="1:3" x14ac:dyDescent="0.2">
      <c r="A813" s="3" t="s">
        <v>2228</v>
      </c>
      <c r="B813" s="3" t="s">
        <v>2214</v>
      </c>
      <c r="C813" s="3" t="s">
        <v>169</v>
      </c>
    </row>
    <row r="814" spans="1:3" x14ac:dyDescent="0.2">
      <c r="A814" s="3" t="s">
        <v>2228</v>
      </c>
      <c r="B814" s="3" t="s">
        <v>2186</v>
      </c>
      <c r="C814" s="3" t="s">
        <v>169</v>
      </c>
    </row>
    <row r="815" spans="1:3" x14ac:dyDescent="0.2">
      <c r="A815" s="3" t="s">
        <v>2228</v>
      </c>
      <c r="B815" s="3" t="s">
        <v>2217</v>
      </c>
      <c r="C815" s="3" t="s">
        <v>169</v>
      </c>
    </row>
    <row r="816" spans="1:3" x14ac:dyDescent="0.2">
      <c r="A816" s="3" t="s">
        <v>2228</v>
      </c>
      <c r="B816" s="3" t="s">
        <v>2218</v>
      </c>
      <c r="C816" s="3" t="s">
        <v>169</v>
      </c>
    </row>
    <row r="817" spans="1:3" x14ac:dyDescent="0.2">
      <c r="A817" s="3" t="s">
        <v>2228</v>
      </c>
      <c r="B817" s="3" t="s">
        <v>2219</v>
      </c>
      <c r="C817" s="3" t="s">
        <v>169</v>
      </c>
    </row>
    <row r="818" spans="1:3" x14ac:dyDescent="0.2">
      <c r="A818" s="3" t="s">
        <v>2228</v>
      </c>
      <c r="B818" s="3" t="s">
        <v>2222</v>
      </c>
      <c r="C818" s="3" t="s">
        <v>169</v>
      </c>
    </row>
    <row r="819" spans="1:3" x14ac:dyDescent="0.2">
      <c r="A819" s="3" t="s">
        <v>2228</v>
      </c>
      <c r="B819" s="3" t="s">
        <v>2223</v>
      </c>
      <c r="C819" s="3" t="s">
        <v>169</v>
      </c>
    </row>
    <row r="820" spans="1:3" x14ac:dyDescent="0.2">
      <c r="A820" s="3" t="s">
        <v>2228</v>
      </c>
      <c r="B820" s="3" t="s">
        <v>2224</v>
      </c>
      <c r="C820" s="3" t="s">
        <v>169</v>
      </c>
    </row>
    <row r="821" spans="1:3" x14ac:dyDescent="0.2">
      <c r="A821" s="3" t="s">
        <v>2236</v>
      </c>
      <c r="B821" s="3" t="s">
        <v>2237</v>
      </c>
      <c r="C821" s="3" t="s">
        <v>53</v>
      </c>
    </row>
    <row r="822" spans="1:3" x14ac:dyDescent="0.2">
      <c r="A822" s="3" t="s">
        <v>2236</v>
      </c>
      <c r="B822" s="3" t="s">
        <v>2238</v>
      </c>
      <c r="C822" s="3" t="s">
        <v>53</v>
      </c>
    </row>
    <row r="823" spans="1:3" x14ac:dyDescent="0.2">
      <c r="A823" s="3" t="s">
        <v>2236</v>
      </c>
      <c r="B823" s="3" t="s">
        <v>2237</v>
      </c>
      <c r="C823" s="3" t="s">
        <v>54</v>
      </c>
    </row>
    <row r="824" spans="1:3" x14ac:dyDescent="0.2">
      <c r="A824" s="3" t="s">
        <v>2236</v>
      </c>
      <c r="B824" s="3" t="s">
        <v>2238</v>
      </c>
      <c r="C824" s="3" t="s">
        <v>54</v>
      </c>
    </row>
    <row r="825" spans="1:3" x14ac:dyDescent="0.2">
      <c r="A825" s="3" t="s">
        <v>2236</v>
      </c>
      <c r="B825" s="3" t="s">
        <v>2237</v>
      </c>
      <c r="C825" s="3" t="s">
        <v>55</v>
      </c>
    </row>
    <row r="826" spans="1:3" x14ac:dyDescent="0.2">
      <c r="A826" s="3" t="s">
        <v>2236</v>
      </c>
      <c r="B826" s="3" t="s">
        <v>2238</v>
      </c>
      <c r="C826" s="3" t="s">
        <v>55</v>
      </c>
    </row>
    <row r="827" spans="1:3" x14ac:dyDescent="0.2">
      <c r="A827" s="3" t="s">
        <v>2236</v>
      </c>
      <c r="B827" s="3" t="s">
        <v>2237</v>
      </c>
      <c r="C827" s="3" t="s">
        <v>56</v>
      </c>
    </row>
    <row r="828" spans="1:3" x14ac:dyDescent="0.2">
      <c r="A828" s="3" t="s">
        <v>2236</v>
      </c>
      <c r="B828" s="3" t="s">
        <v>2238</v>
      </c>
      <c r="C828" s="3" t="s">
        <v>56</v>
      </c>
    </row>
    <row r="829" spans="1:3" x14ac:dyDescent="0.2">
      <c r="A829" s="3" t="s">
        <v>2236</v>
      </c>
      <c r="B829" s="3" t="s">
        <v>2237</v>
      </c>
      <c r="C829" s="3" t="s">
        <v>57</v>
      </c>
    </row>
    <row r="830" spans="1:3" x14ac:dyDescent="0.2">
      <c r="A830" s="3" t="s">
        <v>2236</v>
      </c>
      <c r="B830" s="3" t="s">
        <v>2238</v>
      </c>
      <c r="C830" s="3" t="s">
        <v>57</v>
      </c>
    </row>
    <row r="831" spans="1:3" x14ac:dyDescent="0.2">
      <c r="A831" s="3" t="s">
        <v>2236</v>
      </c>
      <c r="B831" s="3" t="s">
        <v>2213</v>
      </c>
      <c r="C831" s="3" t="s">
        <v>169</v>
      </c>
    </row>
    <row r="832" spans="1:3" x14ac:dyDescent="0.2">
      <c r="A832" s="3" t="s">
        <v>2236</v>
      </c>
      <c r="B832" s="3" t="s">
        <v>2214</v>
      </c>
      <c r="C832" s="3" t="s">
        <v>169</v>
      </c>
    </row>
    <row r="833" spans="1:3" x14ac:dyDescent="0.2">
      <c r="A833" s="3" t="s">
        <v>2236</v>
      </c>
      <c r="B833" s="3" t="s">
        <v>2186</v>
      </c>
      <c r="C833" s="3" t="s">
        <v>169</v>
      </c>
    </row>
    <row r="834" spans="1:3" x14ac:dyDescent="0.2">
      <c r="A834" s="3" t="s">
        <v>2236</v>
      </c>
      <c r="B834" s="3" t="s">
        <v>2219</v>
      </c>
      <c r="C834" s="3" t="s">
        <v>169</v>
      </c>
    </row>
    <row r="835" spans="1:3" x14ac:dyDescent="0.2">
      <c r="A835" s="3" t="s">
        <v>2236</v>
      </c>
      <c r="B835" s="3" t="s">
        <v>2222</v>
      </c>
      <c r="C835" s="3" t="s">
        <v>169</v>
      </c>
    </row>
    <row r="836" spans="1:3" x14ac:dyDescent="0.2">
      <c r="A836" s="3" t="s">
        <v>2236</v>
      </c>
      <c r="B836" s="3" t="s">
        <v>2223</v>
      </c>
      <c r="C836" s="3" t="s">
        <v>169</v>
      </c>
    </row>
    <row r="837" spans="1:3" x14ac:dyDescent="0.2">
      <c r="A837" s="3" t="s">
        <v>2236</v>
      </c>
      <c r="B837" s="3" t="s">
        <v>2224</v>
      </c>
      <c r="C837" s="3" t="s">
        <v>169</v>
      </c>
    </row>
    <row r="838" spans="1:3" x14ac:dyDescent="0.2">
      <c r="A838" s="3" t="s">
        <v>2239</v>
      </c>
      <c r="B838" s="3" t="s">
        <v>2240</v>
      </c>
      <c r="C838" s="3" t="s">
        <v>53</v>
      </c>
    </row>
    <row r="839" spans="1:3" x14ac:dyDescent="0.2">
      <c r="A839" s="3" t="s">
        <v>2239</v>
      </c>
      <c r="B839" s="3" t="s">
        <v>2241</v>
      </c>
      <c r="C839" s="3" t="s">
        <v>53</v>
      </c>
    </row>
    <row r="840" spans="1:3" x14ac:dyDescent="0.2">
      <c r="A840" s="3" t="s">
        <v>2239</v>
      </c>
      <c r="B840" s="3" t="s">
        <v>183</v>
      </c>
      <c r="C840" s="3" t="s">
        <v>53</v>
      </c>
    </row>
    <row r="841" spans="1:3" x14ac:dyDescent="0.2">
      <c r="A841" s="3" t="s">
        <v>2239</v>
      </c>
      <c r="B841" s="3" t="s">
        <v>2240</v>
      </c>
      <c r="C841" s="3" t="s">
        <v>54</v>
      </c>
    </row>
    <row r="842" spans="1:3" x14ac:dyDescent="0.2">
      <c r="A842" s="3" t="s">
        <v>2239</v>
      </c>
      <c r="B842" s="3" t="s">
        <v>2241</v>
      </c>
      <c r="C842" s="3" t="s">
        <v>54</v>
      </c>
    </row>
    <row r="843" spans="1:3" x14ac:dyDescent="0.2">
      <c r="A843" s="3" t="s">
        <v>2239</v>
      </c>
      <c r="B843" s="3" t="s">
        <v>183</v>
      </c>
      <c r="C843" s="3" t="s">
        <v>54</v>
      </c>
    </row>
    <row r="844" spans="1:3" x14ac:dyDescent="0.2">
      <c r="A844" s="3" t="s">
        <v>2239</v>
      </c>
      <c r="B844" s="3" t="s">
        <v>2240</v>
      </c>
      <c r="C844" s="3" t="s">
        <v>55</v>
      </c>
    </row>
    <row r="845" spans="1:3" x14ac:dyDescent="0.2">
      <c r="A845" s="3" t="s">
        <v>2239</v>
      </c>
      <c r="B845" s="3" t="s">
        <v>2241</v>
      </c>
      <c r="C845" s="3" t="s">
        <v>55</v>
      </c>
    </row>
    <row r="846" spans="1:3" x14ac:dyDescent="0.2">
      <c r="A846" s="3" t="s">
        <v>2239</v>
      </c>
      <c r="B846" s="3" t="s">
        <v>183</v>
      </c>
      <c r="C846" s="3" t="s">
        <v>55</v>
      </c>
    </row>
    <row r="847" spans="1:3" x14ac:dyDescent="0.2">
      <c r="A847" s="3" t="s">
        <v>2239</v>
      </c>
      <c r="B847" s="3" t="s">
        <v>2240</v>
      </c>
      <c r="C847" s="3" t="s">
        <v>56</v>
      </c>
    </row>
    <row r="848" spans="1:3" x14ac:dyDescent="0.2">
      <c r="A848" s="3" t="s">
        <v>2239</v>
      </c>
      <c r="B848" s="3" t="s">
        <v>2241</v>
      </c>
      <c r="C848" s="3" t="s">
        <v>56</v>
      </c>
    </row>
    <row r="849" spans="1:3" x14ac:dyDescent="0.2">
      <c r="A849" s="3" t="s">
        <v>2239</v>
      </c>
      <c r="B849" s="3" t="s">
        <v>183</v>
      </c>
      <c r="C849" s="3" t="s">
        <v>56</v>
      </c>
    </row>
    <row r="850" spans="1:3" x14ac:dyDescent="0.2">
      <c r="A850" s="3" t="s">
        <v>2239</v>
      </c>
      <c r="B850" s="3" t="s">
        <v>2240</v>
      </c>
      <c r="C850" s="3" t="s">
        <v>57</v>
      </c>
    </row>
    <row r="851" spans="1:3" x14ac:dyDescent="0.2">
      <c r="A851" s="3" t="s">
        <v>2239</v>
      </c>
      <c r="B851" s="3" t="s">
        <v>2241</v>
      </c>
      <c r="C851" s="3" t="s">
        <v>57</v>
      </c>
    </row>
    <row r="852" spans="1:3" x14ac:dyDescent="0.2">
      <c r="A852" s="3" t="s">
        <v>2239</v>
      </c>
      <c r="B852" s="3" t="s">
        <v>183</v>
      </c>
      <c r="C852" s="3" t="s">
        <v>57</v>
      </c>
    </row>
    <row r="853" spans="1:3" x14ac:dyDescent="0.2">
      <c r="A853" s="3" t="s">
        <v>2239</v>
      </c>
      <c r="B853" s="3" t="s">
        <v>2213</v>
      </c>
      <c r="C853" s="3" t="s">
        <v>169</v>
      </c>
    </row>
    <row r="854" spans="1:3" x14ac:dyDescent="0.2">
      <c r="A854" s="3" t="s">
        <v>2239</v>
      </c>
      <c r="B854" s="3" t="s">
        <v>2215</v>
      </c>
      <c r="C854" s="3" t="s">
        <v>169</v>
      </c>
    </row>
    <row r="855" spans="1:3" x14ac:dyDescent="0.2">
      <c r="A855" s="3" t="s">
        <v>2239</v>
      </c>
      <c r="B855" s="3" t="s">
        <v>2216</v>
      </c>
      <c r="C855" s="3" t="s">
        <v>169</v>
      </c>
    </row>
    <row r="856" spans="1:3" x14ac:dyDescent="0.2">
      <c r="A856" s="3" t="s">
        <v>2239</v>
      </c>
      <c r="B856" s="3" t="s">
        <v>2186</v>
      </c>
      <c r="C856" s="3" t="s">
        <v>169</v>
      </c>
    </row>
    <row r="857" spans="1:3" x14ac:dyDescent="0.2">
      <c r="A857" s="3" t="s">
        <v>2239</v>
      </c>
      <c r="B857" s="3" t="s">
        <v>2217</v>
      </c>
      <c r="C857" s="3" t="s">
        <v>169</v>
      </c>
    </row>
    <row r="858" spans="1:3" x14ac:dyDescent="0.2">
      <c r="A858" s="3" t="s">
        <v>2239</v>
      </c>
      <c r="B858" s="3" t="s">
        <v>2221</v>
      </c>
      <c r="C858" s="3" t="s">
        <v>169</v>
      </c>
    </row>
    <row r="859" spans="1:3" x14ac:dyDescent="0.2">
      <c r="A859" s="3" t="s">
        <v>2239</v>
      </c>
      <c r="B859" s="3" t="s">
        <v>2242</v>
      </c>
      <c r="C859" s="3" t="s">
        <v>169</v>
      </c>
    </row>
    <row r="860" spans="1:3" x14ac:dyDescent="0.2">
      <c r="A860" s="3" t="s">
        <v>2239</v>
      </c>
      <c r="B860" s="3" t="s">
        <v>2243</v>
      </c>
      <c r="C860" s="3" t="s">
        <v>169</v>
      </c>
    </row>
    <row r="861" spans="1:3" x14ac:dyDescent="0.2">
      <c r="A861" s="3" t="s">
        <v>2244</v>
      </c>
      <c r="B861" s="3" t="s">
        <v>2240</v>
      </c>
      <c r="C861" s="3" t="s">
        <v>53</v>
      </c>
    </row>
    <row r="862" spans="1:3" x14ac:dyDescent="0.2">
      <c r="A862" s="3" t="s">
        <v>2244</v>
      </c>
      <c r="B862" s="3" t="s">
        <v>2240</v>
      </c>
      <c r="C862" s="3" t="s">
        <v>54</v>
      </c>
    </row>
    <row r="863" spans="1:3" x14ac:dyDescent="0.2">
      <c r="A863" s="3" t="s">
        <v>2244</v>
      </c>
      <c r="B863" s="3" t="s">
        <v>2240</v>
      </c>
      <c r="C863" s="3" t="s">
        <v>55</v>
      </c>
    </row>
    <row r="864" spans="1:3" x14ac:dyDescent="0.2">
      <c r="A864" s="3" t="s">
        <v>2244</v>
      </c>
      <c r="B864" s="3" t="s">
        <v>2240</v>
      </c>
      <c r="C864" s="3" t="s">
        <v>56</v>
      </c>
    </row>
    <row r="865" spans="1:3" x14ac:dyDescent="0.2">
      <c r="A865" s="3" t="s">
        <v>2244</v>
      </c>
      <c r="B865" s="3" t="s">
        <v>2240</v>
      </c>
      <c r="C865" s="3" t="s">
        <v>57</v>
      </c>
    </row>
    <row r="866" spans="1:3" x14ac:dyDescent="0.2">
      <c r="A866" s="3" t="s">
        <v>606</v>
      </c>
      <c r="B866" s="3" t="s">
        <v>603</v>
      </c>
      <c r="C866" s="3" t="s">
        <v>53</v>
      </c>
    </row>
    <row r="867" spans="1:3" x14ac:dyDescent="0.2">
      <c r="A867" s="3" t="s">
        <v>606</v>
      </c>
      <c r="B867" s="3" t="s">
        <v>167</v>
      </c>
      <c r="C867" s="3" t="s">
        <v>53</v>
      </c>
    </row>
    <row r="868" spans="1:3" x14ac:dyDescent="0.2">
      <c r="A868" s="3" t="s">
        <v>606</v>
      </c>
      <c r="B868" s="3" t="s">
        <v>603</v>
      </c>
      <c r="C868" s="3" t="s">
        <v>54</v>
      </c>
    </row>
    <row r="869" spans="1:3" x14ac:dyDescent="0.2">
      <c r="A869" s="3" t="s">
        <v>606</v>
      </c>
      <c r="B869" s="3" t="s">
        <v>167</v>
      </c>
      <c r="C869" s="3" t="s">
        <v>54</v>
      </c>
    </row>
    <row r="870" spans="1:3" x14ac:dyDescent="0.2">
      <c r="A870" s="3" t="s">
        <v>606</v>
      </c>
      <c r="B870" s="3" t="s">
        <v>603</v>
      </c>
      <c r="C870" s="3" t="s">
        <v>55</v>
      </c>
    </row>
    <row r="871" spans="1:3" x14ac:dyDescent="0.2">
      <c r="A871" s="3" t="s">
        <v>606</v>
      </c>
      <c r="B871" s="3" t="s">
        <v>167</v>
      </c>
      <c r="C871" s="3" t="s">
        <v>55</v>
      </c>
    </row>
    <row r="872" spans="1:3" x14ac:dyDescent="0.2">
      <c r="A872" s="3" t="s">
        <v>606</v>
      </c>
      <c r="B872" s="3" t="s">
        <v>603</v>
      </c>
      <c r="C872" s="3" t="s">
        <v>56</v>
      </c>
    </row>
    <row r="873" spans="1:3" x14ac:dyDescent="0.2">
      <c r="A873" s="3" t="s">
        <v>606</v>
      </c>
      <c r="B873" s="3" t="s">
        <v>167</v>
      </c>
      <c r="C873" s="3" t="s">
        <v>56</v>
      </c>
    </row>
    <row r="874" spans="1:3" x14ac:dyDescent="0.2">
      <c r="A874" s="3" t="s">
        <v>606</v>
      </c>
      <c r="B874" s="3" t="s">
        <v>603</v>
      </c>
      <c r="C874" s="3" t="s">
        <v>57</v>
      </c>
    </row>
    <row r="875" spans="1:3" x14ac:dyDescent="0.2">
      <c r="A875" s="3" t="s">
        <v>606</v>
      </c>
      <c r="B875" s="3" t="s">
        <v>167</v>
      </c>
      <c r="C875" s="3" t="s">
        <v>57</v>
      </c>
    </row>
    <row r="876" spans="1:3" x14ac:dyDescent="0.2">
      <c r="A876" s="3" t="s">
        <v>606</v>
      </c>
      <c r="B876" s="3" t="s">
        <v>607</v>
      </c>
      <c r="C876" s="3" t="s">
        <v>169</v>
      </c>
    </row>
    <row r="877" spans="1:3" x14ac:dyDescent="0.2">
      <c r="A877" s="3" t="s">
        <v>606</v>
      </c>
      <c r="B877" s="3" t="s">
        <v>608</v>
      </c>
      <c r="C877" s="3" t="s">
        <v>11</v>
      </c>
    </row>
    <row r="878" spans="1:3" x14ac:dyDescent="0.2">
      <c r="A878" s="3" t="s">
        <v>621</v>
      </c>
      <c r="B878" s="3" t="s">
        <v>603</v>
      </c>
      <c r="C878" s="3" t="s">
        <v>53</v>
      </c>
    </row>
    <row r="879" spans="1:3" x14ac:dyDescent="0.2">
      <c r="A879" s="3" t="s">
        <v>621</v>
      </c>
      <c r="B879" s="3" t="s">
        <v>604</v>
      </c>
      <c r="C879" s="3" t="s">
        <v>53</v>
      </c>
    </row>
    <row r="880" spans="1:3" x14ac:dyDescent="0.2">
      <c r="A880" s="3" t="s">
        <v>621</v>
      </c>
      <c r="B880" s="3" t="s">
        <v>603</v>
      </c>
      <c r="C880" s="3" t="s">
        <v>54</v>
      </c>
    </row>
    <row r="881" spans="1:3" x14ac:dyDescent="0.2">
      <c r="A881" s="3" t="s">
        <v>621</v>
      </c>
      <c r="B881" s="3" t="s">
        <v>604</v>
      </c>
      <c r="C881" s="3" t="s">
        <v>54</v>
      </c>
    </row>
    <row r="882" spans="1:3" x14ac:dyDescent="0.2">
      <c r="A882" s="3" t="s">
        <v>621</v>
      </c>
      <c r="B882" s="3" t="s">
        <v>603</v>
      </c>
      <c r="C882" s="3" t="s">
        <v>55</v>
      </c>
    </row>
    <row r="883" spans="1:3" x14ac:dyDescent="0.2">
      <c r="A883" s="3" t="s">
        <v>621</v>
      </c>
      <c r="B883" s="3" t="s">
        <v>604</v>
      </c>
      <c r="C883" s="3" t="s">
        <v>55</v>
      </c>
    </row>
    <row r="884" spans="1:3" x14ac:dyDescent="0.2">
      <c r="A884" s="3" t="s">
        <v>621</v>
      </c>
      <c r="B884" s="3" t="s">
        <v>603</v>
      </c>
      <c r="C884" s="3" t="s">
        <v>56</v>
      </c>
    </row>
    <row r="885" spans="1:3" x14ac:dyDescent="0.2">
      <c r="A885" s="3" t="s">
        <v>621</v>
      </c>
      <c r="B885" s="3" t="s">
        <v>604</v>
      </c>
      <c r="C885" s="3" t="s">
        <v>56</v>
      </c>
    </row>
    <row r="886" spans="1:3" x14ac:dyDescent="0.2">
      <c r="A886" s="3" t="s">
        <v>621</v>
      </c>
      <c r="B886" s="3" t="s">
        <v>603</v>
      </c>
      <c r="C886" s="3" t="s">
        <v>57</v>
      </c>
    </row>
    <row r="887" spans="1:3" x14ac:dyDescent="0.2">
      <c r="A887" s="3" t="s">
        <v>621</v>
      </c>
      <c r="B887" s="3" t="s">
        <v>604</v>
      </c>
      <c r="C887" s="3" t="s">
        <v>57</v>
      </c>
    </row>
    <row r="888" spans="1:3" x14ac:dyDescent="0.2">
      <c r="A888" s="3" t="s">
        <v>627</v>
      </c>
      <c r="B888" s="3" t="s">
        <v>603</v>
      </c>
      <c r="C888" s="3" t="s">
        <v>53</v>
      </c>
    </row>
    <row r="889" spans="1:3" x14ac:dyDescent="0.2">
      <c r="A889" s="3" t="s">
        <v>627</v>
      </c>
      <c r="B889" s="3" t="s">
        <v>603</v>
      </c>
      <c r="C889" s="3" t="s">
        <v>54</v>
      </c>
    </row>
    <row r="890" spans="1:3" x14ac:dyDescent="0.2">
      <c r="A890" s="3" t="s">
        <v>627</v>
      </c>
      <c r="B890" s="3" t="s">
        <v>603</v>
      </c>
      <c r="C890" s="3" t="s">
        <v>55</v>
      </c>
    </row>
    <row r="891" spans="1:3" x14ac:dyDescent="0.2">
      <c r="A891" s="3" t="s">
        <v>627</v>
      </c>
      <c r="B891" s="3" t="s">
        <v>603</v>
      </c>
      <c r="C891" s="3" t="s">
        <v>56</v>
      </c>
    </row>
    <row r="892" spans="1:3" x14ac:dyDescent="0.2">
      <c r="A892" s="3" t="s">
        <v>627</v>
      </c>
      <c r="B892" s="3" t="s">
        <v>613</v>
      </c>
      <c r="C892" s="3" t="s">
        <v>56</v>
      </c>
    </row>
    <row r="893" spans="1:3" x14ac:dyDescent="0.2">
      <c r="A893" s="3" t="s">
        <v>627</v>
      </c>
      <c r="B893" s="3" t="s">
        <v>628</v>
      </c>
      <c r="C893" s="3" t="s">
        <v>56</v>
      </c>
    </row>
    <row r="894" spans="1:3" x14ac:dyDescent="0.2">
      <c r="A894" s="3" t="s">
        <v>627</v>
      </c>
      <c r="B894" s="3" t="s">
        <v>614</v>
      </c>
      <c r="C894" s="3" t="s">
        <v>56</v>
      </c>
    </row>
    <row r="895" spans="1:3" x14ac:dyDescent="0.2">
      <c r="A895" s="3" t="s">
        <v>627</v>
      </c>
      <c r="B895" s="3" t="s">
        <v>603</v>
      </c>
      <c r="C895" s="3" t="s">
        <v>57</v>
      </c>
    </row>
    <row r="896" spans="1:3" x14ac:dyDescent="0.2">
      <c r="A896" s="3" t="s">
        <v>627</v>
      </c>
      <c r="B896" s="3" t="s">
        <v>613</v>
      </c>
      <c r="C896" s="3" t="s">
        <v>57</v>
      </c>
    </row>
    <row r="897" spans="1:3" x14ac:dyDescent="0.2">
      <c r="A897" s="3" t="s">
        <v>627</v>
      </c>
      <c r="B897" s="3" t="s">
        <v>628</v>
      </c>
      <c r="C897" s="3" t="s">
        <v>57</v>
      </c>
    </row>
    <row r="898" spans="1:3" x14ac:dyDescent="0.2">
      <c r="A898" s="3" t="s">
        <v>627</v>
      </c>
      <c r="B898" s="3" t="s">
        <v>614</v>
      </c>
      <c r="C898" s="3" t="s">
        <v>57</v>
      </c>
    </row>
    <row r="899" spans="1:3" x14ac:dyDescent="0.2">
      <c r="A899" s="3" t="s">
        <v>631</v>
      </c>
      <c r="B899" s="3" t="s">
        <v>632</v>
      </c>
      <c r="C899" s="3" t="s">
        <v>53</v>
      </c>
    </row>
    <row r="900" spans="1:3" x14ac:dyDescent="0.2">
      <c r="A900" s="3" t="s">
        <v>631</v>
      </c>
      <c r="B900" s="3" t="s">
        <v>633</v>
      </c>
      <c r="C900" s="3" t="s">
        <v>53</v>
      </c>
    </row>
    <row r="901" spans="1:3" x14ac:dyDescent="0.2">
      <c r="A901" s="3" t="s">
        <v>631</v>
      </c>
      <c r="B901" s="3" t="s">
        <v>634</v>
      </c>
      <c r="C901" s="3" t="s">
        <v>53</v>
      </c>
    </row>
    <row r="902" spans="1:3" x14ac:dyDescent="0.2">
      <c r="A902" s="3" t="s">
        <v>631</v>
      </c>
      <c r="B902" s="3" t="s">
        <v>635</v>
      </c>
      <c r="C902" s="3" t="s">
        <v>53</v>
      </c>
    </row>
    <row r="903" spans="1:3" x14ac:dyDescent="0.2">
      <c r="A903" s="3" t="s">
        <v>631</v>
      </c>
      <c r="B903" s="3" t="s">
        <v>636</v>
      </c>
      <c r="C903" s="3" t="s">
        <v>53</v>
      </c>
    </row>
    <row r="904" spans="1:3" x14ac:dyDescent="0.2">
      <c r="A904" s="3" t="s">
        <v>631</v>
      </c>
      <c r="B904" s="3" t="s">
        <v>637</v>
      </c>
      <c r="C904" s="3" t="s">
        <v>53</v>
      </c>
    </row>
    <row r="905" spans="1:3" x14ac:dyDescent="0.2">
      <c r="A905" s="3" t="s">
        <v>631</v>
      </c>
      <c r="B905" s="3" t="s">
        <v>638</v>
      </c>
      <c r="C905" s="3" t="s">
        <v>53</v>
      </c>
    </row>
    <row r="906" spans="1:3" x14ac:dyDescent="0.2">
      <c r="A906" s="3" t="s">
        <v>631</v>
      </c>
      <c r="B906" s="3" t="s">
        <v>632</v>
      </c>
      <c r="C906" s="3" t="s">
        <v>54</v>
      </c>
    </row>
    <row r="907" spans="1:3" x14ac:dyDescent="0.2">
      <c r="A907" s="3" t="s">
        <v>631</v>
      </c>
      <c r="B907" s="3" t="s">
        <v>633</v>
      </c>
      <c r="C907" s="3" t="s">
        <v>54</v>
      </c>
    </row>
    <row r="908" spans="1:3" x14ac:dyDescent="0.2">
      <c r="A908" s="3" t="s">
        <v>631</v>
      </c>
      <c r="B908" s="3" t="s">
        <v>634</v>
      </c>
      <c r="C908" s="3" t="s">
        <v>54</v>
      </c>
    </row>
    <row r="909" spans="1:3" x14ac:dyDescent="0.2">
      <c r="A909" s="3" t="s">
        <v>631</v>
      </c>
      <c r="B909" s="3" t="s">
        <v>635</v>
      </c>
      <c r="C909" s="3" t="s">
        <v>54</v>
      </c>
    </row>
    <row r="910" spans="1:3" x14ac:dyDescent="0.2">
      <c r="A910" s="3" t="s">
        <v>631</v>
      </c>
      <c r="B910" s="3" t="s">
        <v>636</v>
      </c>
      <c r="C910" s="3" t="s">
        <v>54</v>
      </c>
    </row>
    <row r="911" spans="1:3" x14ac:dyDescent="0.2">
      <c r="A911" s="3" t="s">
        <v>631</v>
      </c>
      <c r="B911" s="3" t="s">
        <v>637</v>
      </c>
      <c r="C911" s="3" t="s">
        <v>54</v>
      </c>
    </row>
    <row r="912" spans="1:3" x14ac:dyDescent="0.2">
      <c r="A912" s="3" t="s">
        <v>631</v>
      </c>
      <c r="B912" s="3" t="s">
        <v>638</v>
      </c>
      <c r="C912" s="3" t="s">
        <v>54</v>
      </c>
    </row>
    <row r="913" spans="1:3" x14ac:dyDescent="0.2">
      <c r="A913" s="3" t="s">
        <v>631</v>
      </c>
      <c r="B913" s="3" t="s">
        <v>632</v>
      </c>
      <c r="C913" s="3" t="s">
        <v>55</v>
      </c>
    </row>
    <row r="914" spans="1:3" x14ac:dyDescent="0.2">
      <c r="A914" s="3" t="s">
        <v>631</v>
      </c>
      <c r="B914" s="3" t="s">
        <v>633</v>
      </c>
      <c r="C914" s="3" t="s">
        <v>55</v>
      </c>
    </row>
    <row r="915" spans="1:3" x14ac:dyDescent="0.2">
      <c r="A915" s="3" t="s">
        <v>631</v>
      </c>
      <c r="B915" s="3" t="s">
        <v>634</v>
      </c>
      <c r="C915" s="3" t="s">
        <v>55</v>
      </c>
    </row>
    <row r="916" spans="1:3" x14ac:dyDescent="0.2">
      <c r="A916" s="3" t="s">
        <v>631</v>
      </c>
      <c r="B916" s="3" t="s">
        <v>635</v>
      </c>
      <c r="C916" s="3" t="s">
        <v>55</v>
      </c>
    </row>
    <row r="917" spans="1:3" x14ac:dyDescent="0.2">
      <c r="A917" s="3" t="s">
        <v>631</v>
      </c>
      <c r="B917" s="3" t="s">
        <v>636</v>
      </c>
      <c r="C917" s="3" t="s">
        <v>55</v>
      </c>
    </row>
    <row r="918" spans="1:3" x14ac:dyDescent="0.2">
      <c r="A918" s="3" t="s">
        <v>631</v>
      </c>
      <c r="B918" s="3" t="s">
        <v>637</v>
      </c>
      <c r="C918" s="3" t="s">
        <v>55</v>
      </c>
    </row>
    <row r="919" spans="1:3" x14ac:dyDescent="0.2">
      <c r="A919" s="3" t="s">
        <v>631</v>
      </c>
      <c r="B919" s="3" t="s">
        <v>638</v>
      </c>
      <c r="C919" s="3" t="s">
        <v>55</v>
      </c>
    </row>
    <row r="920" spans="1:3" x14ac:dyDescent="0.2">
      <c r="A920" s="3" t="s">
        <v>631</v>
      </c>
      <c r="B920" s="3" t="s">
        <v>632</v>
      </c>
      <c r="C920" s="3" t="s">
        <v>56</v>
      </c>
    </row>
    <row r="921" spans="1:3" x14ac:dyDescent="0.2">
      <c r="A921" s="3" t="s">
        <v>631</v>
      </c>
      <c r="B921" s="3" t="s">
        <v>633</v>
      </c>
      <c r="C921" s="3" t="s">
        <v>56</v>
      </c>
    </row>
    <row r="922" spans="1:3" x14ac:dyDescent="0.2">
      <c r="A922" s="3" t="s">
        <v>631</v>
      </c>
      <c r="B922" s="3" t="s">
        <v>634</v>
      </c>
      <c r="C922" s="3" t="s">
        <v>56</v>
      </c>
    </row>
    <row r="923" spans="1:3" x14ac:dyDescent="0.2">
      <c r="A923" s="3" t="s">
        <v>631</v>
      </c>
      <c r="B923" s="3" t="s">
        <v>635</v>
      </c>
      <c r="C923" s="3" t="s">
        <v>56</v>
      </c>
    </row>
    <row r="924" spans="1:3" x14ac:dyDescent="0.2">
      <c r="A924" s="3" t="s">
        <v>631</v>
      </c>
      <c r="B924" s="3" t="s">
        <v>636</v>
      </c>
      <c r="C924" s="3" t="s">
        <v>56</v>
      </c>
    </row>
    <row r="925" spans="1:3" x14ac:dyDescent="0.2">
      <c r="A925" s="3" t="s">
        <v>631</v>
      </c>
      <c r="B925" s="3" t="s">
        <v>637</v>
      </c>
      <c r="C925" s="3" t="s">
        <v>56</v>
      </c>
    </row>
    <row r="926" spans="1:3" x14ac:dyDescent="0.2">
      <c r="A926" s="3" t="s">
        <v>631</v>
      </c>
      <c r="B926" s="3" t="s">
        <v>638</v>
      </c>
      <c r="C926" s="3" t="s">
        <v>56</v>
      </c>
    </row>
    <row r="927" spans="1:3" x14ac:dyDescent="0.2">
      <c r="A927" s="3" t="s">
        <v>631</v>
      </c>
      <c r="B927" s="3" t="s">
        <v>632</v>
      </c>
      <c r="C927" s="3" t="s">
        <v>57</v>
      </c>
    </row>
    <row r="928" spans="1:3" x14ac:dyDescent="0.2">
      <c r="A928" s="3" t="s">
        <v>631</v>
      </c>
      <c r="B928" s="3" t="s">
        <v>633</v>
      </c>
      <c r="C928" s="3" t="s">
        <v>57</v>
      </c>
    </row>
    <row r="929" spans="1:3" x14ac:dyDescent="0.2">
      <c r="A929" s="3" t="s">
        <v>631</v>
      </c>
      <c r="B929" s="3" t="s">
        <v>634</v>
      </c>
      <c r="C929" s="3" t="s">
        <v>57</v>
      </c>
    </row>
    <row r="930" spans="1:3" x14ac:dyDescent="0.2">
      <c r="A930" s="3" t="s">
        <v>631</v>
      </c>
      <c r="B930" s="3" t="s">
        <v>635</v>
      </c>
      <c r="C930" s="3" t="s">
        <v>57</v>
      </c>
    </row>
    <row r="931" spans="1:3" x14ac:dyDescent="0.2">
      <c r="A931" s="3" t="s">
        <v>631</v>
      </c>
      <c r="B931" s="3" t="s">
        <v>636</v>
      </c>
      <c r="C931" s="3" t="s">
        <v>57</v>
      </c>
    </row>
    <row r="932" spans="1:3" x14ac:dyDescent="0.2">
      <c r="A932" s="3" t="s">
        <v>631</v>
      </c>
      <c r="B932" s="3" t="s">
        <v>637</v>
      </c>
      <c r="C932" s="3" t="s">
        <v>57</v>
      </c>
    </row>
    <row r="933" spans="1:3" x14ac:dyDescent="0.2">
      <c r="A933" s="3" t="s">
        <v>631</v>
      </c>
      <c r="B933" s="3" t="s">
        <v>638</v>
      </c>
      <c r="C933" s="3" t="s">
        <v>57</v>
      </c>
    </row>
    <row r="934" spans="1:3" x14ac:dyDescent="0.2">
      <c r="A934" s="3" t="s">
        <v>631</v>
      </c>
      <c r="B934" s="3" t="s">
        <v>639</v>
      </c>
      <c r="C934" s="3" t="s">
        <v>169</v>
      </c>
    </row>
    <row r="935" spans="1:3" x14ac:dyDescent="0.2">
      <c r="A935" s="3" t="s">
        <v>631</v>
      </c>
      <c r="B935" s="3" t="s">
        <v>640</v>
      </c>
      <c r="C935" s="3" t="s">
        <v>169</v>
      </c>
    </row>
    <row r="936" spans="1:3" x14ac:dyDescent="0.2">
      <c r="A936" s="3" t="s">
        <v>631</v>
      </c>
      <c r="B936" s="3" t="s">
        <v>641</v>
      </c>
      <c r="C936" s="3" t="s">
        <v>169</v>
      </c>
    </row>
    <row r="937" spans="1:3" x14ac:dyDescent="0.2">
      <c r="A937" s="3" t="s">
        <v>631</v>
      </c>
      <c r="B937" s="3" t="s">
        <v>642</v>
      </c>
      <c r="C937" s="3" t="s">
        <v>169</v>
      </c>
    </row>
    <row r="938" spans="1:3" x14ac:dyDescent="0.2">
      <c r="A938" s="3" t="s">
        <v>631</v>
      </c>
      <c r="B938" s="3" t="s">
        <v>643</v>
      </c>
      <c r="C938" s="3" t="s">
        <v>169</v>
      </c>
    </row>
    <row r="939" spans="1:3" x14ac:dyDescent="0.2">
      <c r="A939" s="3" t="s">
        <v>631</v>
      </c>
      <c r="B939" s="3" t="s">
        <v>644</v>
      </c>
      <c r="C939" s="3" t="s">
        <v>169</v>
      </c>
    </row>
    <row r="940" spans="1:3" x14ac:dyDescent="0.2">
      <c r="A940" s="3" t="s">
        <v>647</v>
      </c>
      <c r="B940" s="3" t="s">
        <v>648</v>
      </c>
      <c r="C940" s="3" t="s">
        <v>169</v>
      </c>
    </row>
    <row r="941" spans="1:3" x14ac:dyDescent="0.2">
      <c r="A941" s="3" t="s">
        <v>647</v>
      </c>
      <c r="B941" s="3" t="s">
        <v>640</v>
      </c>
      <c r="C941" s="3" t="s">
        <v>169</v>
      </c>
    </row>
    <row r="942" spans="1:3" x14ac:dyDescent="0.2">
      <c r="A942" s="3" t="s">
        <v>647</v>
      </c>
      <c r="B942" s="3" t="s">
        <v>649</v>
      </c>
      <c r="C942" s="3" t="s">
        <v>169</v>
      </c>
    </row>
    <row r="943" spans="1:3" x14ac:dyDescent="0.2">
      <c r="A943" s="3" t="s">
        <v>647</v>
      </c>
      <c r="B943" s="3" t="s">
        <v>641</v>
      </c>
      <c r="C943" s="3" t="s">
        <v>169</v>
      </c>
    </row>
    <row r="944" spans="1:3" x14ac:dyDescent="0.2">
      <c r="A944" s="3" t="s">
        <v>647</v>
      </c>
      <c r="B944" s="3" t="s">
        <v>642</v>
      </c>
      <c r="C944" s="3" t="s">
        <v>169</v>
      </c>
    </row>
    <row r="945" spans="1:3" x14ac:dyDescent="0.2">
      <c r="A945" s="3" t="s">
        <v>647</v>
      </c>
      <c r="B945" s="3" t="s">
        <v>643</v>
      </c>
      <c r="C945" s="3" t="s">
        <v>169</v>
      </c>
    </row>
    <row r="946" spans="1:3" x14ac:dyDescent="0.2">
      <c r="A946" s="3" t="s">
        <v>647</v>
      </c>
      <c r="B946" s="3" t="s">
        <v>650</v>
      </c>
      <c r="C946" s="3" t="s">
        <v>169</v>
      </c>
    </row>
    <row r="947" spans="1:3" x14ac:dyDescent="0.2">
      <c r="A947" s="3" t="s">
        <v>647</v>
      </c>
      <c r="B947" s="3" t="s">
        <v>644</v>
      </c>
      <c r="C947" s="3" t="s">
        <v>169</v>
      </c>
    </row>
    <row r="948" spans="1:3" x14ac:dyDescent="0.2">
      <c r="A948" s="3" t="s">
        <v>647</v>
      </c>
      <c r="B948" s="3" t="s">
        <v>651</v>
      </c>
      <c r="C948" s="3" t="s">
        <v>169</v>
      </c>
    </row>
    <row r="949" spans="1:3" x14ac:dyDescent="0.2">
      <c r="A949" s="3" t="s">
        <v>647</v>
      </c>
      <c r="B949" s="3" t="s">
        <v>652</v>
      </c>
      <c r="C949" s="3" t="s">
        <v>169</v>
      </c>
    </row>
    <row r="950" spans="1:3" x14ac:dyDescent="0.2">
      <c r="A950" s="3" t="s">
        <v>653</v>
      </c>
      <c r="B950" s="3" t="s">
        <v>654</v>
      </c>
      <c r="C950" s="3" t="s">
        <v>169</v>
      </c>
    </row>
    <row r="951" spans="1:3" x14ac:dyDescent="0.2">
      <c r="A951" s="3" t="s">
        <v>2245</v>
      </c>
      <c r="B951" s="3" t="s">
        <v>2246</v>
      </c>
      <c r="C951" s="3" t="s">
        <v>53</v>
      </c>
    </row>
    <row r="952" spans="1:3" x14ac:dyDescent="0.2">
      <c r="A952" s="3" t="s">
        <v>2245</v>
      </c>
      <c r="B952" s="3" t="s">
        <v>2247</v>
      </c>
      <c r="C952" s="3" t="s">
        <v>53</v>
      </c>
    </row>
    <row r="953" spans="1:3" x14ac:dyDescent="0.2">
      <c r="A953" s="3" t="s">
        <v>2245</v>
      </c>
      <c r="B953" s="3" t="s">
        <v>687</v>
      </c>
      <c r="C953" s="3" t="s">
        <v>53</v>
      </c>
    </row>
    <row r="954" spans="1:3" x14ac:dyDescent="0.2">
      <c r="A954" s="3" t="s">
        <v>2245</v>
      </c>
      <c r="B954" s="3" t="s">
        <v>688</v>
      </c>
      <c r="C954" s="3" t="s">
        <v>53</v>
      </c>
    </row>
    <row r="955" spans="1:3" x14ac:dyDescent="0.2">
      <c r="A955" s="3" t="s">
        <v>2245</v>
      </c>
      <c r="B955" s="3" t="s">
        <v>2246</v>
      </c>
      <c r="C955" s="3" t="s">
        <v>54</v>
      </c>
    </row>
    <row r="956" spans="1:3" x14ac:dyDescent="0.2">
      <c r="A956" s="3" t="s">
        <v>2245</v>
      </c>
      <c r="B956" s="3" t="s">
        <v>2247</v>
      </c>
      <c r="C956" s="3" t="s">
        <v>54</v>
      </c>
    </row>
    <row r="957" spans="1:3" x14ac:dyDescent="0.2">
      <c r="A957" s="3" t="s">
        <v>2245</v>
      </c>
      <c r="B957" s="3" t="s">
        <v>687</v>
      </c>
      <c r="C957" s="3" t="s">
        <v>54</v>
      </c>
    </row>
    <row r="958" spans="1:3" x14ac:dyDescent="0.2">
      <c r="A958" s="3" t="s">
        <v>2245</v>
      </c>
      <c r="B958" s="3" t="s">
        <v>688</v>
      </c>
      <c r="C958" s="3" t="s">
        <v>54</v>
      </c>
    </row>
    <row r="959" spans="1:3" x14ac:dyDescent="0.2">
      <c r="A959" s="3" t="s">
        <v>2245</v>
      </c>
      <c r="B959" s="3" t="s">
        <v>2246</v>
      </c>
      <c r="C959" s="3" t="s">
        <v>55</v>
      </c>
    </row>
    <row r="960" spans="1:3" x14ac:dyDescent="0.2">
      <c r="A960" s="3" t="s">
        <v>2245</v>
      </c>
      <c r="B960" s="3" t="s">
        <v>2247</v>
      </c>
      <c r="C960" s="3" t="s">
        <v>55</v>
      </c>
    </row>
    <row r="961" spans="1:3" x14ac:dyDescent="0.2">
      <c r="A961" s="3" t="s">
        <v>2245</v>
      </c>
      <c r="B961" s="3" t="s">
        <v>687</v>
      </c>
      <c r="C961" s="3" t="s">
        <v>55</v>
      </c>
    </row>
    <row r="962" spans="1:3" x14ac:dyDescent="0.2">
      <c r="A962" s="3" t="s">
        <v>2245</v>
      </c>
      <c r="B962" s="3" t="s">
        <v>688</v>
      </c>
      <c r="C962" s="3" t="s">
        <v>55</v>
      </c>
    </row>
    <row r="963" spans="1:3" x14ac:dyDescent="0.2">
      <c r="A963" s="3" t="s">
        <v>2245</v>
      </c>
      <c r="B963" s="3" t="s">
        <v>2248</v>
      </c>
      <c r="C963" s="3" t="s">
        <v>55</v>
      </c>
    </row>
    <row r="964" spans="1:3" x14ac:dyDescent="0.2">
      <c r="A964" s="3" t="s">
        <v>2245</v>
      </c>
      <c r="B964" s="3" t="s">
        <v>2246</v>
      </c>
      <c r="C964" s="3" t="s">
        <v>56</v>
      </c>
    </row>
    <row r="965" spans="1:3" x14ac:dyDescent="0.2">
      <c r="A965" s="3" t="s">
        <v>2245</v>
      </c>
      <c r="B965" s="3" t="s">
        <v>2247</v>
      </c>
      <c r="C965" s="3" t="s">
        <v>56</v>
      </c>
    </row>
    <row r="966" spans="1:3" x14ac:dyDescent="0.2">
      <c r="A966" s="3" t="s">
        <v>2245</v>
      </c>
      <c r="B966" s="3" t="s">
        <v>687</v>
      </c>
      <c r="C966" s="3" t="s">
        <v>56</v>
      </c>
    </row>
    <row r="967" spans="1:3" x14ac:dyDescent="0.2">
      <c r="A967" s="3" t="s">
        <v>2245</v>
      </c>
      <c r="B967" s="3" t="s">
        <v>688</v>
      </c>
      <c r="C967" s="3" t="s">
        <v>56</v>
      </c>
    </row>
    <row r="968" spans="1:3" x14ac:dyDescent="0.2">
      <c r="A968" s="3" t="s">
        <v>2245</v>
      </c>
      <c r="B968" s="3" t="s">
        <v>2248</v>
      </c>
      <c r="C968" s="3" t="s">
        <v>56</v>
      </c>
    </row>
    <row r="969" spans="1:3" x14ac:dyDescent="0.2">
      <c r="A969" s="3" t="s">
        <v>2245</v>
      </c>
      <c r="B969" s="3" t="s">
        <v>2246</v>
      </c>
      <c r="C969" s="3" t="s">
        <v>57</v>
      </c>
    </row>
    <row r="970" spans="1:3" x14ac:dyDescent="0.2">
      <c r="A970" s="3" t="s">
        <v>2245</v>
      </c>
      <c r="B970" s="3" t="s">
        <v>2247</v>
      </c>
      <c r="C970" s="3" t="s">
        <v>57</v>
      </c>
    </row>
    <row r="971" spans="1:3" x14ac:dyDescent="0.2">
      <c r="A971" s="3" t="s">
        <v>2245</v>
      </c>
      <c r="B971" s="3" t="s">
        <v>687</v>
      </c>
      <c r="C971" s="3" t="s">
        <v>57</v>
      </c>
    </row>
    <row r="972" spans="1:3" x14ac:dyDescent="0.2">
      <c r="A972" s="3" t="s">
        <v>2245</v>
      </c>
      <c r="B972" s="3" t="s">
        <v>688</v>
      </c>
      <c r="C972" s="3" t="s">
        <v>57</v>
      </c>
    </row>
    <row r="973" spans="1:3" x14ac:dyDescent="0.2">
      <c r="A973" s="3" t="s">
        <v>2245</v>
      </c>
      <c r="B973" s="3" t="s">
        <v>2248</v>
      </c>
      <c r="C973" s="3" t="s">
        <v>57</v>
      </c>
    </row>
    <row r="974" spans="1:3" x14ac:dyDescent="0.2">
      <c r="A974" s="3" t="s">
        <v>2245</v>
      </c>
      <c r="B974" s="3" t="s">
        <v>689</v>
      </c>
      <c r="C974" s="3" t="s">
        <v>169</v>
      </c>
    </row>
    <row r="975" spans="1:3" x14ac:dyDescent="0.2">
      <c r="A975" s="3" t="s">
        <v>2245</v>
      </c>
      <c r="B975" s="3" t="s">
        <v>690</v>
      </c>
      <c r="C975" s="3" t="s">
        <v>169</v>
      </c>
    </row>
    <row r="976" spans="1:3" x14ac:dyDescent="0.2">
      <c r="A976" s="3" t="s">
        <v>2245</v>
      </c>
      <c r="B976" s="3" t="s">
        <v>2249</v>
      </c>
      <c r="C976" s="3" t="s">
        <v>169</v>
      </c>
    </row>
    <row r="977" spans="1:3" x14ac:dyDescent="0.2">
      <c r="A977" s="3" t="s">
        <v>686</v>
      </c>
      <c r="B977" s="3" t="s">
        <v>687</v>
      </c>
      <c r="C977" s="3" t="s">
        <v>53</v>
      </c>
    </row>
    <row r="978" spans="1:3" x14ac:dyDescent="0.2">
      <c r="A978" s="3" t="s">
        <v>686</v>
      </c>
      <c r="B978" s="3" t="s">
        <v>688</v>
      </c>
      <c r="C978" s="3" t="s">
        <v>53</v>
      </c>
    </row>
    <row r="979" spans="1:3" x14ac:dyDescent="0.2">
      <c r="A979" s="3" t="s">
        <v>686</v>
      </c>
      <c r="B979" s="3" t="s">
        <v>687</v>
      </c>
      <c r="C979" s="3" t="s">
        <v>54</v>
      </c>
    </row>
    <row r="980" spans="1:3" x14ac:dyDescent="0.2">
      <c r="A980" s="3" t="s">
        <v>686</v>
      </c>
      <c r="B980" s="3" t="s">
        <v>688</v>
      </c>
      <c r="C980" s="3" t="s">
        <v>54</v>
      </c>
    </row>
    <row r="981" spans="1:3" x14ac:dyDescent="0.2">
      <c r="A981" s="3" t="s">
        <v>686</v>
      </c>
      <c r="B981" s="3" t="s">
        <v>687</v>
      </c>
      <c r="C981" s="3" t="s">
        <v>55</v>
      </c>
    </row>
    <row r="982" spans="1:3" x14ac:dyDescent="0.2">
      <c r="A982" s="3" t="s">
        <v>686</v>
      </c>
      <c r="B982" s="3" t="s">
        <v>688</v>
      </c>
      <c r="C982" s="3" t="s">
        <v>55</v>
      </c>
    </row>
    <row r="983" spans="1:3" x14ac:dyDescent="0.2">
      <c r="A983" s="3" t="s">
        <v>686</v>
      </c>
      <c r="B983" s="3" t="s">
        <v>687</v>
      </c>
      <c r="C983" s="3" t="s">
        <v>56</v>
      </c>
    </row>
    <row r="984" spans="1:3" x14ac:dyDescent="0.2">
      <c r="A984" s="3" t="s">
        <v>686</v>
      </c>
      <c r="B984" s="3" t="s">
        <v>688</v>
      </c>
      <c r="C984" s="3" t="s">
        <v>56</v>
      </c>
    </row>
    <row r="985" spans="1:3" x14ac:dyDescent="0.2">
      <c r="A985" s="3" t="s">
        <v>686</v>
      </c>
      <c r="B985" s="3" t="s">
        <v>687</v>
      </c>
      <c r="C985" s="3" t="s">
        <v>57</v>
      </c>
    </row>
    <row r="986" spans="1:3" x14ac:dyDescent="0.2">
      <c r="A986" s="3" t="s">
        <v>686</v>
      </c>
      <c r="B986" s="3" t="s">
        <v>688</v>
      </c>
      <c r="C986" s="3" t="s">
        <v>57</v>
      </c>
    </row>
    <row r="987" spans="1:3" x14ac:dyDescent="0.2">
      <c r="A987" s="3" t="s">
        <v>686</v>
      </c>
      <c r="B987" s="3" t="s">
        <v>689</v>
      </c>
      <c r="C987" s="3" t="s">
        <v>169</v>
      </c>
    </row>
    <row r="988" spans="1:3" x14ac:dyDescent="0.2">
      <c r="A988" s="3" t="s">
        <v>686</v>
      </c>
      <c r="B988" s="3" t="s">
        <v>690</v>
      </c>
      <c r="C988" s="3" t="s">
        <v>169</v>
      </c>
    </row>
    <row r="989" spans="1:3" x14ac:dyDescent="0.2">
      <c r="A989" s="3" t="s">
        <v>686</v>
      </c>
      <c r="B989" s="3" t="s">
        <v>337</v>
      </c>
      <c r="C989" s="3" t="s">
        <v>169</v>
      </c>
    </row>
    <row r="990" spans="1:3" x14ac:dyDescent="0.2">
      <c r="A990" s="3" t="s">
        <v>686</v>
      </c>
      <c r="B990" s="3" t="s">
        <v>338</v>
      </c>
      <c r="C990" s="3" t="s">
        <v>169</v>
      </c>
    </row>
    <row r="991" spans="1:3" x14ac:dyDescent="0.2">
      <c r="A991" s="3" t="s">
        <v>686</v>
      </c>
      <c r="B991" s="3" t="s">
        <v>339</v>
      </c>
      <c r="C991" s="3" t="s">
        <v>169</v>
      </c>
    </row>
    <row r="992" spans="1:3" x14ac:dyDescent="0.2">
      <c r="A992" s="3" t="s">
        <v>686</v>
      </c>
      <c r="B992" s="3" t="s">
        <v>340</v>
      </c>
      <c r="C992" s="3" t="s">
        <v>169</v>
      </c>
    </row>
    <row r="993" spans="1:3" x14ac:dyDescent="0.2">
      <c r="A993" s="3" t="s">
        <v>686</v>
      </c>
      <c r="B993" s="3" t="s">
        <v>691</v>
      </c>
      <c r="C993" s="3" t="s">
        <v>169</v>
      </c>
    </row>
    <row r="994" spans="1:3" x14ac:dyDescent="0.2">
      <c r="A994" s="3" t="s">
        <v>686</v>
      </c>
      <c r="B994" s="3" t="s">
        <v>692</v>
      </c>
      <c r="C994" s="3" t="s">
        <v>169</v>
      </c>
    </row>
    <row r="995" spans="1:3" x14ac:dyDescent="0.2">
      <c r="A995" s="3" t="s">
        <v>686</v>
      </c>
      <c r="B995" s="3" t="s">
        <v>693</v>
      </c>
      <c r="C995" s="3" t="s">
        <v>169</v>
      </c>
    </row>
    <row r="996" spans="1:3" x14ac:dyDescent="0.2">
      <c r="A996" s="3" t="s">
        <v>694</v>
      </c>
      <c r="B996" s="3" t="s">
        <v>658</v>
      </c>
      <c r="C996" s="3" t="s">
        <v>53</v>
      </c>
    </row>
    <row r="997" spans="1:3" x14ac:dyDescent="0.2">
      <c r="A997" s="3" t="s">
        <v>694</v>
      </c>
      <c r="B997" s="3" t="s">
        <v>658</v>
      </c>
      <c r="C997" s="3" t="s">
        <v>54</v>
      </c>
    </row>
    <row r="998" spans="1:3" x14ac:dyDescent="0.2">
      <c r="A998" s="3" t="s">
        <v>694</v>
      </c>
      <c r="B998" s="3" t="s">
        <v>695</v>
      </c>
      <c r="C998" s="3" t="s">
        <v>169</v>
      </c>
    </row>
    <row r="999" spans="1:3" x14ac:dyDescent="0.2">
      <c r="A999" s="3" t="s">
        <v>694</v>
      </c>
      <c r="B999" s="3" t="s">
        <v>696</v>
      </c>
      <c r="C999" s="3" t="s">
        <v>169</v>
      </c>
    </row>
    <row r="1000" spans="1:3" x14ac:dyDescent="0.2">
      <c r="A1000" s="3" t="s">
        <v>694</v>
      </c>
      <c r="B1000" s="3" t="s">
        <v>697</v>
      </c>
      <c r="C1000" s="3" t="s">
        <v>169</v>
      </c>
    </row>
    <row r="1001" spans="1:3" x14ac:dyDescent="0.2">
      <c r="A1001" s="3" t="s">
        <v>694</v>
      </c>
      <c r="B1001" s="3" t="s">
        <v>698</v>
      </c>
      <c r="C1001" s="3" t="s">
        <v>169</v>
      </c>
    </row>
    <row r="1002" spans="1:3" x14ac:dyDescent="0.2">
      <c r="A1002" s="3" t="s">
        <v>694</v>
      </c>
      <c r="B1002" s="3" t="s">
        <v>699</v>
      </c>
      <c r="C1002" s="3" t="s">
        <v>169</v>
      </c>
    </row>
    <row r="1003" spans="1:3" x14ac:dyDescent="0.2">
      <c r="A1003" s="3" t="s">
        <v>694</v>
      </c>
      <c r="B1003" s="3" t="s">
        <v>700</v>
      </c>
      <c r="C1003" s="3" t="s">
        <v>169</v>
      </c>
    </row>
    <row r="1004" spans="1:3" x14ac:dyDescent="0.2">
      <c r="A1004" s="3" t="s">
        <v>694</v>
      </c>
      <c r="B1004" s="3" t="s">
        <v>701</v>
      </c>
      <c r="C1004" s="3" t="s">
        <v>169</v>
      </c>
    </row>
    <row r="1005" spans="1:3" x14ac:dyDescent="0.2">
      <c r="A1005" s="3" t="s">
        <v>694</v>
      </c>
      <c r="B1005" s="3" t="s">
        <v>702</v>
      </c>
      <c r="C1005" s="3" t="s">
        <v>169</v>
      </c>
    </row>
    <row r="1006" spans="1:3" x14ac:dyDescent="0.2">
      <c r="A1006" s="3" t="s">
        <v>694</v>
      </c>
      <c r="B1006" s="3" t="s">
        <v>703</v>
      </c>
      <c r="C1006" s="3" t="s">
        <v>169</v>
      </c>
    </row>
    <row r="1007" spans="1:3" x14ac:dyDescent="0.2">
      <c r="A1007" s="3" t="s">
        <v>694</v>
      </c>
      <c r="B1007" s="3" t="s">
        <v>704</v>
      </c>
      <c r="C1007" s="3" t="s">
        <v>169</v>
      </c>
    </row>
    <row r="1008" spans="1:3" x14ac:dyDescent="0.2">
      <c r="A1008" s="3" t="s">
        <v>712</v>
      </c>
      <c r="B1008" s="3" t="s">
        <v>713</v>
      </c>
      <c r="C1008" s="3" t="s">
        <v>53</v>
      </c>
    </row>
    <row r="1009" spans="1:3" x14ac:dyDescent="0.2">
      <c r="A1009" s="3" t="s">
        <v>712</v>
      </c>
      <c r="B1009" s="3" t="s">
        <v>711</v>
      </c>
      <c r="C1009" s="3" t="s">
        <v>53</v>
      </c>
    </row>
    <row r="1010" spans="1:3" x14ac:dyDescent="0.2">
      <c r="A1010" s="3" t="s">
        <v>712</v>
      </c>
      <c r="B1010" s="3" t="s">
        <v>713</v>
      </c>
      <c r="C1010" s="3" t="s">
        <v>54</v>
      </c>
    </row>
    <row r="1011" spans="1:3" x14ac:dyDescent="0.2">
      <c r="A1011" s="3" t="s">
        <v>712</v>
      </c>
      <c r="B1011" s="3" t="s">
        <v>711</v>
      </c>
      <c r="C1011" s="3" t="s">
        <v>54</v>
      </c>
    </row>
    <row r="1012" spans="1:3" x14ac:dyDescent="0.2">
      <c r="A1012" s="3" t="s">
        <v>712</v>
      </c>
      <c r="B1012" s="3" t="s">
        <v>713</v>
      </c>
      <c r="C1012" s="3" t="s">
        <v>55</v>
      </c>
    </row>
    <row r="1013" spans="1:3" x14ac:dyDescent="0.2">
      <c r="A1013" s="3" t="s">
        <v>712</v>
      </c>
      <c r="B1013" s="3" t="s">
        <v>711</v>
      </c>
      <c r="C1013" s="3" t="s">
        <v>55</v>
      </c>
    </row>
    <row r="1014" spans="1:3" x14ac:dyDescent="0.2">
      <c r="A1014" s="3" t="s">
        <v>712</v>
      </c>
      <c r="B1014" s="3" t="s">
        <v>713</v>
      </c>
      <c r="C1014" s="3" t="s">
        <v>56</v>
      </c>
    </row>
    <row r="1015" spans="1:3" x14ac:dyDescent="0.2">
      <c r="A1015" s="3" t="s">
        <v>712</v>
      </c>
      <c r="B1015" s="3" t="s">
        <v>711</v>
      </c>
      <c r="C1015" s="3" t="s">
        <v>56</v>
      </c>
    </row>
    <row r="1016" spans="1:3" x14ac:dyDescent="0.2">
      <c r="A1016" s="3" t="s">
        <v>712</v>
      </c>
      <c r="B1016" s="3" t="s">
        <v>713</v>
      </c>
      <c r="C1016" s="3" t="s">
        <v>57</v>
      </c>
    </row>
    <row r="1017" spans="1:3" x14ac:dyDescent="0.2">
      <c r="A1017" s="3" t="s">
        <v>712</v>
      </c>
      <c r="B1017" s="3" t="s">
        <v>711</v>
      </c>
      <c r="C1017" s="3" t="s">
        <v>57</v>
      </c>
    </row>
    <row r="1018" spans="1:3" x14ac:dyDescent="0.2">
      <c r="A1018" s="3" t="s">
        <v>712</v>
      </c>
      <c r="B1018" s="3" t="s">
        <v>714</v>
      </c>
      <c r="C1018" s="3" t="s">
        <v>169</v>
      </c>
    </row>
    <row r="1019" spans="1:3" x14ac:dyDescent="0.2">
      <c r="A1019" s="3" t="s">
        <v>712</v>
      </c>
      <c r="B1019" s="3" t="s">
        <v>715</v>
      </c>
      <c r="C1019" s="3" t="s">
        <v>169</v>
      </c>
    </row>
    <row r="1020" spans="1:3" x14ac:dyDescent="0.2">
      <c r="A1020" s="3" t="s">
        <v>712</v>
      </c>
      <c r="B1020" s="3" t="s">
        <v>716</v>
      </c>
      <c r="C1020" s="3" t="s">
        <v>169</v>
      </c>
    </row>
    <row r="1021" spans="1:3" x14ac:dyDescent="0.2">
      <c r="A1021" s="3" t="s">
        <v>712</v>
      </c>
      <c r="B1021" s="3" t="s">
        <v>717</v>
      </c>
      <c r="C1021" s="3" t="s">
        <v>22</v>
      </c>
    </row>
    <row r="1022" spans="1:3" x14ac:dyDescent="0.2">
      <c r="A1022" s="3" t="s">
        <v>744</v>
      </c>
      <c r="B1022" s="3" t="s">
        <v>199</v>
      </c>
      <c r="C1022" s="3" t="s">
        <v>53</v>
      </c>
    </row>
    <row r="1023" spans="1:3" x14ac:dyDescent="0.2">
      <c r="A1023" s="3" t="s">
        <v>744</v>
      </c>
      <c r="B1023" s="3" t="s">
        <v>221</v>
      </c>
      <c r="C1023" s="3" t="s">
        <v>54</v>
      </c>
    </row>
    <row r="1024" spans="1:3" x14ac:dyDescent="0.2">
      <c r="A1024" s="3" t="s">
        <v>744</v>
      </c>
      <c r="B1024" s="3" t="s">
        <v>199</v>
      </c>
      <c r="C1024" s="3" t="s">
        <v>54</v>
      </c>
    </row>
    <row r="1025" spans="1:3" x14ac:dyDescent="0.2">
      <c r="A1025" s="3" t="s">
        <v>744</v>
      </c>
      <c r="B1025" s="3" t="s">
        <v>221</v>
      </c>
      <c r="C1025" s="3" t="s">
        <v>55</v>
      </c>
    </row>
    <row r="1026" spans="1:3" x14ac:dyDescent="0.2">
      <c r="A1026" s="3" t="s">
        <v>744</v>
      </c>
      <c r="B1026" s="3" t="s">
        <v>221</v>
      </c>
      <c r="C1026" s="3" t="s">
        <v>56</v>
      </c>
    </row>
    <row r="1027" spans="1:3" x14ac:dyDescent="0.2">
      <c r="A1027" s="3" t="s">
        <v>744</v>
      </c>
      <c r="B1027" s="3" t="s">
        <v>199</v>
      </c>
      <c r="C1027" s="3" t="s">
        <v>56</v>
      </c>
    </row>
    <row r="1028" spans="1:3" x14ac:dyDescent="0.2">
      <c r="A1028" s="3" t="s">
        <v>744</v>
      </c>
      <c r="B1028" s="3" t="s">
        <v>221</v>
      </c>
      <c r="C1028" s="3" t="s">
        <v>57</v>
      </c>
    </row>
    <row r="1029" spans="1:3" x14ac:dyDescent="0.2">
      <c r="A1029" s="3" t="s">
        <v>744</v>
      </c>
      <c r="B1029" s="3" t="s">
        <v>199</v>
      </c>
      <c r="C1029" s="3" t="s">
        <v>57</v>
      </c>
    </row>
    <row r="1030" spans="1:3" x14ac:dyDescent="0.2">
      <c r="A1030" s="3" t="s">
        <v>744</v>
      </c>
      <c r="B1030" s="3" t="s">
        <v>745</v>
      </c>
      <c r="C1030" s="3" t="s">
        <v>169</v>
      </c>
    </row>
    <row r="1031" spans="1:3" x14ac:dyDescent="0.2">
      <c r="A1031" s="3" t="s">
        <v>744</v>
      </c>
      <c r="B1031" s="3" t="s">
        <v>733</v>
      </c>
      <c r="C1031" s="3" t="s">
        <v>22</v>
      </c>
    </row>
    <row r="1032" spans="1:3" x14ac:dyDescent="0.2">
      <c r="A1032" s="3" t="s">
        <v>744</v>
      </c>
      <c r="B1032" s="3" t="s">
        <v>734</v>
      </c>
      <c r="C1032" s="3" t="s">
        <v>22</v>
      </c>
    </row>
    <row r="1033" spans="1:3" x14ac:dyDescent="0.2">
      <c r="A1033" s="3" t="s">
        <v>744</v>
      </c>
      <c r="B1033" s="3" t="s">
        <v>741</v>
      </c>
      <c r="C1033" s="3" t="s">
        <v>22</v>
      </c>
    </row>
    <row r="1034" spans="1:3" x14ac:dyDescent="0.2">
      <c r="A1034" s="3" t="s">
        <v>2250</v>
      </c>
      <c r="B1034" s="3" t="s">
        <v>183</v>
      </c>
      <c r="C1034" s="3" t="s">
        <v>53</v>
      </c>
    </row>
    <row r="1035" spans="1:3" x14ac:dyDescent="0.2">
      <c r="A1035" s="3" t="s">
        <v>2250</v>
      </c>
      <c r="B1035" s="3" t="s">
        <v>183</v>
      </c>
      <c r="C1035" s="3" t="s">
        <v>54</v>
      </c>
    </row>
    <row r="1036" spans="1:3" x14ac:dyDescent="0.2">
      <c r="A1036" s="3" t="s">
        <v>2250</v>
      </c>
      <c r="B1036" s="3" t="s">
        <v>183</v>
      </c>
      <c r="C1036" s="3" t="s">
        <v>55</v>
      </c>
    </row>
    <row r="1037" spans="1:3" x14ac:dyDescent="0.2">
      <c r="A1037" s="3" t="s">
        <v>2250</v>
      </c>
      <c r="B1037" s="3" t="s">
        <v>183</v>
      </c>
      <c r="C1037" s="3" t="s">
        <v>56</v>
      </c>
    </row>
    <row r="1038" spans="1:3" x14ac:dyDescent="0.2">
      <c r="A1038" s="3" t="s">
        <v>2250</v>
      </c>
      <c r="B1038" s="3" t="s">
        <v>183</v>
      </c>
      <c r="C1038" s="3" t="s">
        <v>57</v>
      </c>
    </row>
    <row r="1039" spans="1:3" x14ac:dyDescent="0.2">
      <c r="A1039" s="3" t="s">
        <v>2250</v>
      </c>
      <c r="B1039" s="3" t="s">
        <v>295</v>
      </c>
      <c r="C1039" s="3" t="s">
        <v>10</v>
      </c>
    </row>
    <row r="1040" spans="1:3" x14ac:dyDescent="0.2">
      <c r="A1040" s="3" t="s">
        <v>2250</v>
      </c>
      <c r="B1040" s="3" t="s">
        <v>296</v>
      </c>
      <c r="C1040" s="3" t="s">
        <v>10</v>
      </c>
    </row>
    <row r="1041" spans="1:3" x14ac:dyDescent="0.2">
      <c r="A1041" s="3" t="s">
        <v>2250</v>
      </c>
      <c r="B1041" s="3" t="s">
        <v>297</v>
      </c>
      <c r="C1041" s="3" t="s">
        <v>10</v>
      </c>
    </row>
    <row r="1042" spans="1:3" x14ac:dyDescent="0.2">
      <c r="A1042" s="3" t="s">
        <v>752</v>
      </c>
      <c r="B1042" s="3" t="s">
        <v>753</v>
      </c>
      <c r="C1042" s="3" t="s">
        <v>53</v>
      </c>
    </row>
    <row r="1043" spans="1:3" x14ac:dyDescent="0.2">
      <c r="A1043" s="3" t="s">
        <v>752</v>
      </c>
      <c r="B1043" s="3" t="s">
        <v>754</v>
      </c>
      <c r="C1043" s="3" t="s">
        <v>53</v>
      </c>
    </row>
    <row r="1044" spans="1:3" x14ac:dyDescent="0.2">
      <c r="A1044" s="3" t="s">
        <v>752</v>
      </c>
      <c r="B1044" s="3" t="s">
        <v>755</v>
      </c>
      <c r="C1044" s="3" t="s">
        <v>53</v>
      </c>
    </row>
    <row r="1045" spans="1:3" x14ac:dyDescent="0.2">
      <c r="A1045" s="3" t="s">
        <v>752</v>
      </c>
      <c r="B1045" s="3" t="s">
        <v>756</v>
      </c>
      <c r="C1045" s="3" t="s">
        <v>53</v>
      </c>
    </row>
    <row r="1046" spans="1:3" x14ac:dyDescent="0.2">
      <c r="A1046" s="3" t="s">
        <v>752</v>
      </c>
      <c r="B1046" s="3" t="s">
        <v>757</v>
      </c>
      <c r="C1046" s="3" t="s">
        <v>53</v>
      </c>
    </row>
    <row r="1047" spans="1:3" x14ac:dyDescent="0.2">
      <c r="A1047" s="3" t="s">
        <v>752</v>
      </c>
      <c r="B1047" s="3" t="s">
        <v>758</v>
      </c>
      <c r="C1047" s="3" t="s">
        <v>53</v>
      </c>
    </row>
    <row r="1048" spans="1:3" x14ac:dyDescent="0.2">
      <c r="A1048" s="3" t="s">
        <v>752</v>
      </c>
      <c r="B1048" s="3" t="s">
        <v>759</v>
      </c>
      <c r="C1048" s="3" t="s">
        <v>53</v>
      </c>
    </row>
    <row r="1049" spans="1:3" x14ac:dyDescent="0.2">
      <c r="A1049" s="3" t="s">
        <v>752</v>
      </c>
      <c r="B1049" s="3" t="s">
        <v>760</v>
      </c>
      <c r="C1049" s="3" t="s">
        <v>53</v>
      </c>
    </row>
    <row r="1050" spans="1:3" x14ac:dyDescent="0.2">
      <c r="A1050" s="3" t="s">
        <v>752</v>
      </c>
      <c r="B1050" s="3" t="s">
        <v>761</v>
      </c>
      <c r="C1050" s="3" t="s">
        <v>53</v>
      </c>
    </row>
    <row r="1051" spans="1:3" x14ac:dyDescent="0.2">
      <c r="A1051" s="3" t="s">
        <v>752</v>
      </c>
      <c r="B1051" s="3" t="s">
        <v>762</v>
      </c>
      <c r="C1051" s="3" t="s">
        <v>53</v>
      </c>
    </row>
    <row r="1052" spans="1:3" x14ac:dyDescent="0.2">
      <c r="A1052" s="3" t="s">
        <v>752</v>
      </c>
      <c r="B1052" s="3" t="s">
        <v>763</v>
      </c>
      <c r="C1052" s="3" t="s">
        <v>53</v>
      </c>
    </row>
    <row r="1053" spans="1:3" x14ac:dyDescent="0.2">
      <c r="A1053" s="3" t="s">
        <v>752</v>
      </c>
      <c r="B1053" s="3" t="s">
        <v>764</v>
      </c>
      <c r="C1053" s="3" t="s">
        <v>53</v>
      </c>
    </row>
    <row r="1054" spans="1:3" x14ac:dyDescent="0.2">
      <c r="A1054" s="3" t="s">
        <v>752</v>
      </c>
      <c r="B1054" s="3" t="s">
        <v>765</v>
      </c>
      <c r="C1054" s="3" t="s">
        <v>53</v>
      </c>
    </row>
    <row r="1055" spans="1:3" x14ac:dyDescent="0.2">
      <c r="A1055" s="3" t="s">
        <v>752</v>
      </c>
      <c r="B1055" s="3" t="s">
        <v>766</v>
      </c>
      <c r="C1055" s="3" t="s">
        <v>53</v>
      </c>
    </row>
    <row r="1056" spans="1:3" x14ac:dyDescent="0.2">
      <c r="A1056" s="3" t="s">
        <v>752</v>
      </c>
      <c r="B1056" s="3" t="s">
        <v>767</v>
      </c>
      <c r="C1056" s="3" t="s">
        <v>53</v>
      </c>
    </row>
    <row r="1057" spans="1:3" x14ac:dyDescent="0.2">
      <c r="A1057" s="3" t="s">
        <v>752</v>
      </c>
      <c r="B1057" s="3" t="s">
        <v>768</v>
      </c>
      <c r="C1057" s="3" t="s">
        <v>53</v>
      </c>
    </row>
    <row r="1058" spans="1:3" x14ac:dyDescent="0.2">
      <c r="A1058" s="3" t="s">
        <v>752</v>
      </c>
      <c r="B1058" s="3" t="s">
        <v>769</v>
      </c>
      <c r="C1058" s="3" t="s">
        <v>53</v>
      </c>
    </row>
    <row r="1059" spans="1:3" x14ac:dyDescent="0.2">
      <c r="A1059" s="3" t="s">
        <v>752</v>
      </c>
      <c r="B1059" s="3" t="s">
        <v>770</v>
      </c>
      <c r="C1059" s="3" t="s">
        <v>53</v>
      </c>
    </row>
    <row r="1060" spans="1:3" x14ac:dyDescent="0.2">
      <c r="A1060" s="3" t="s">
        <v>752</v>
      </c>
      <c r="B1060" s="3" t="s">
        <v>771</v>
      </c>
      <c r="C1060" s="3" t="s">
        <v>53</v>
      </c>
    </row>
    <row r="1061" spans="1:3" x14ac:dyDescent="0.2">
      <c r="A1061" s="3" t="s">
        <v>752</v>
      </c>
      <c r="B1061" s="3" t="s">
        <v>753</v>
      </c>
      <c r="C1061" s="3" t="s">
        <v>54</v>
      </c>
    </row>
    <row r="1062" spans="1:3" x14ac:dyDescent="0.2">
      <c r="A1062" s="3" t="s">
        <v>752</v>
      </c>
      <c r="B1062" s="3" t="s">
        <v>754</v>
      </c>
      <c r="C1062" s="3" t="s">
        <v>54</v>
      </c>
    </row>
    <row r="1063" spans="1:3" x14ac:dyDescent="0.2">
      <c r="A1063" s="3" t="s">
        <v>752</v>
      </c>
      <c r="B1063" s="3" t="s">
        <v>755</v>
      </c>
      <c r="C1063" s="3" t="s">
        <v>54</v>
      </c>
    </row>
    <row r="1064" spans="1:3" x14ac:dyDescent="0.2">
      <c r="A1064" s="3" t="s">
        <v>752</v>
      </c>
      <c r="B1064" s="3" t="s">
        <v>756</v>
      </c>
      <c r="C1064" s="3" t="s">
        <v>54</v>
      </c>
    </row>
    <row r="1065" spans="1:3" x14ac:dyDescent="0.2">
      <c r="A1065" s="3" t="s">
        <v>752</v>
      </c>
      <c r="B1065" s="3" t="s">
        <v>757</v>
      </c>
      <c r="C1065" s="3" t="s">
        <v>54</v>
      </c>
    </row>
    <row r="1066" spans="1:3" x14ac:dyDescent="0.2">
      <c r="A1066" s="3" t="s">
        <v>752</v>
      </c>
      <c r="B1066" s="3" t="s">
        <v>758</v>
      </c>
      <c r="C1066" s="3" t="s">
        <v>54</v>
      </c>
    </row>
    <row r="1067" spans="1:3" x14ac:dyDescent="0.2">
      <c r="A1067" s="3" t="s">
        <v>752</v>
      </c>
      <c r="B1067" s="3" t="s">
        <v>759</v>
      </c>
      <c r="C1067" s="3" t="s">
        <v>54</v>
      </c>
    </row>
    <row r="1068" spans="1:3" x14ac:dyDescent="0.2">
      <c r="A1068" s="3" t="s">
        <v>752</v>
      </c>
      <c r="B1068" s="3" t="s">
        <v>760</v>
      </c>
      <c r="C1068" s="3" t="s">
        <v>54</v>
      </c>
    </row>
    <row r="1069" spans="1:3" x14ac:dyDescent="0.2">
      <c r="A1069" s="3" t="s">
        <v>752</v>
      </c>
      <c r="B1069" s="3" t="s">
        <v>761</v>
      </c>
      <c r="C1069" s="3" t="s">
        <v>54</v>
      </c>
    </row>
    <row r="1070" spans="1:3" x14ac:dyDescent="0.2">
      <c r="A1070" s="3" t="s">
        <v>752</v>
      </c>
      <c r="B1070" s="3" t="s">
        <v>762</v>
      </c>
      <c r="C1070" s="3" t="s">
        <v>54</v>
      </c>
    </row>
    <row r="1071" spans="1:3" x14ac:dyDescent="0.2">
      <c r="A1071" s="3" t="s">
        <v>752</v>
      </c>
      <c r="B1071" s="3" t="s">
        <v>763</v>
      </c>
      <c r="C1071" s="3" t="s">
        <v>54</v>
      </c>
    </row>
    <row r="1072" spans="1:3" x14ac:dyDescent="0.2">
      <c r="A1072" s="3" t="s">
        <v>752</v>
      </c>
      <c r="B1072" s="3" t="s">
        <v>764</v>
      </c>
      <c r="C1072" s="3" t="s">
        <v>54</v>
      </c>
    </row>
    <row r="1073" spans="1:3" x14ac:dyDescent="0.2">
      <c r="A1073" s="3" t="s">
        <v>752</v>
      </c>
      <c r="B1073" s="3" t="s">
        <v>765</v>
      </c>
      <c r="C1073" s="3" t="s">
        <v>54</v>
      </c>
    </row>
    <row r="1074" spans="1:3" x14ac:dyDescent="0.2">
      <c r="A1074" s="3" t="s">
        <v>752</v>
      </c>
      <c r="B1074" s="3" t="s">
        <v>766</v>
      </c>
      <c r="C1074" s="3" t="s">
        <v>54</v>
      </c>
    </row>
    <row r="1075" spans="1:3" x14ac:dyDescent="0.2">
      <c r="A1075" s="3" t="s">
        <v>752</v>
      </c>
      <c r="B1075" s="3" t="s">
        <v>767</v>
      </c>
      <c r="C1075" s="3" t="s">
        <v>54</v>
      </c>
    </row>
    <row r="1076" spans="1:3" x14ac:dyDescent="0.2">
      <c r="A1076" s="3" t="s">
        <v>752</v>
      </c>
      <c r="B1076" s="3" t="s">
        <v>768</v>
      </c>
      <c r="C1076" s="3" t="s">
        <v>54</v>
      </c>
    </row>
    <row r="1077" spans="1:3" x14ac:dyDescent="0.2">
      <c r="A1077" s="3" t="s">
        <v>752</v>
      </c>
      <c r="B1077" s="3" t="s">
        <v>769</v>
      </c>
      <c r="C1077" s="3" t="s">
        <v>54</v>
      </c>
    </row>
    <row r="1078" spans="1:3" x14ac:dyDescent="0.2">
      <c r="A1078" s="3" t="s">
        <v>752</v>
      </c>
      <c r="B1078" s="3" t="s">
        <v>770</v>
      </c>
      <c r="C1078" s="3" t="s">
        <v>54</v>
      </c>
    </row>
    <row r="1079" spans="1:3" x14ac:dyDescent="0.2">
      <c r="A1079" s="3" t="s">
        <v>752</v>
      </c>
      <c r="B1079" s="3" t="s">
        <v>771</v>
      </c>
      <c r="C1079" s="3" t="s">
        <v>54</v>
      </c>
    </row>
    <row r="1080" spans="1:3" x14ac:dyDescent="0.2">
      <c r="A1080" s="3" t="s">
        <v>752</v>
      </c>
      <c r="B1080" s="3" t="s">
        <v>753</v>
      </c>
      <c r="C1080" s="3" t="s">
        <v>55</v>
      </c>
    </row>
    <row r="1081" spans="1:3" x14ac:dyDescent="0.2">
      <c r="A1081" s="3" t="s">
        <v>752</v>
      </c>
      <c r="B1081" s="3" t="s">
        <v>754</v>
      </c>
      <c r="C1081" s="3" t="s">
        <v>55</v>
      </c>
    </row>
    <row r="1082" spans="1:3" x14ac:dyDescent="0.2">
      <c r="A1082" s="3" t="s">
        <v>752</v>
      </c>
      <c r="B1082" s="3" t="s">
        <v>755</v>
      </c>
      <c r="C1082" s="3" t="s">
        <v>55</v>
      </c>
    </row>
    <row r="1083" spans="1:3" x14ac:dyDescent="0.2">
      <c r="A1083" s="3" t="s">
        <v>752</v>
      </c>
      <c r="B1083" s="3" t="s">
        <v>757</v>
      </c>
      <c r="C1083" s="3" t="s">
        <v>55</v>
      </c>
    </row>
    <row r="1084" spans="1:3" x14ac:dyDescent="0.2">
      <c r="A1084" s="3" t="s">
        <v>752</v>
      </c>
      <c r="B1084" s="3" t="s">
        <v>758</v>
      </c>
      <c r="C1084" s="3" t="s">
        <v>55</v>
      </c>
    </row>
    <row r="1085" spans="1:3" x14ac:dyDescent="0.2">
      <c r="A1085" s="3" t="s">
        <v>752</v>
      </c>
      <c r="B1085" s="3" t="s">
        <v>759</v>
      </c>
      <c r="C1085" s="3" t="s">
        <v>55</v>
      </c>
    </row>
    <row r="1086" spans="1:3" x14ac:dyDescent="0.2">
      <c r="A1086" s="3" t="s">
        <v>752</v>
      </c>
      <c r="B1086" s="3" t="s">
        <v>760</v>
      </c>
      <c r="C1086" s="3" t="s">
        <v>55</v>
      </c>
    </row>
    <row r="1087" spans="1:3" x14ac:dyDescent="0.2">
      <c r="A1087" s="3" t="s">
        <v>752</v>
      </c>
      <c r="B1087" s="3" t="s">
        <v>761</v>
      </c>
      <c r="C1087" s="3" t="s">
        <v>55</v>
      </c>
    </row>
    <row r="1088" spans="1:3" x14ac:dyDescent="0.2">
      <c r="A1088" s="3" t="s">
        <v>752</v>
      </c>
      <c r="B1088" s="3" t="s">
        <v>762</v>
      </c>
      <c r="C1088" s="3" t="s">
        <v>55</v>
      </c>
    </row>
    <row r="1089" spans="1:3" x14ac:dyDescent="0.2">
      <c r="A1089" s="3" t="s">
        <v>752</v>
      </c>
      <c r="B1089" s="3" t="s">
        <v>764</v>
      </c>
      <c r="C1089" s="3" t="s">
        <v>55</v>
      </c>
    </row>
    <row r="1090" spans="1:3" x14ac:dyDescent="0.2">
      <c r="A1090" s="3" t="s">
        <v>752</v>
      </c>
      <c r="B1090" s="3" t="s">
        <v>765</v>
      </c>
      <c r="C1090" s="3" t="s">
        <v>55</v>
      </c>
    </row>
    <row r="1091" spans="1:3" x14ac:dyDescent="0.2">
      <c r="A1091" s="3" t="s">
        <v>752</v>
      </c>
      <c r="B1091" s="3" t="s">
        <v>766</v>
      </c>
      <c r="C1091" s="3" t="s">
        <v>55</v>
      </c>
    </row>
    <row r="1092" spans="1:3" x14ac:dyDescent="0.2">
      <c r="A1092" s="3" t="s">
        <v>752</v>
      </c>
      <c r="B1092" s="3" t="s">
        <v>767</v>
      </c>
      <c r="C1092" s="3" t="s">
        <v>55</v>
      </c>
    </row>
    <row r="1093" spans="1:3" x14ac:dyDescent="0.2">
      <c r="A1093" s="3" t="s">
        <v>752</v>
      </c>
      <c r="B1093" s="3" t="s">
        <v>768</v>
      </c>
      <c r="C1093" s="3" t="s">
        <v>55</v>
      </c>
    </row>
    <row r="1094" spans="1:3" x14ac:dyDescent="0.2">
      <c r="A1094" s="3" t="s">
        <v>752</v>
      </c>
      <c r="B1094" s="3" t="s">
        <v>769</v>
      </c>
      <c r="C1094" s="3" t="s">
        <v>55</v>
      </c>
    </row>
    <row r="1095" spans="1:3" x14ac:dyDescent="0.2">
      <c r="A1095" s="3" t="s">
        <v>752</v>
      </c>
      <c r="B1095" s="3" t="s">
        <v>770</v>
      </c>
      <c r="C1095" s="3" t="s">
        <v>55</v>
      </c>
    </row>
    <row r="1096" spans="1:3" x14ac:dyDescent="0.2">
      <c r="A1096" s="3" t="s">
        <v>752</v>
      </c>
      <c r="B1096" s="3" t="s">
        <v>771</v>
      </c>
      <c r="C1096" s="3" t="s">
        <v>55</v>
      </c>
    </row>
    <row r="1097" spans="1:3" x14ac:dyDescent="0.2">
      <c r="A1097" s="3" t="s">
        <v>752</v>
      </c>
      <c r="B1097" s="3" t="s">
        <v>753</v>
      </c>
      <c r="C1097" s="3" t="s">
        <v>56</v>
      </c>
    </row>
    <row r="1098" spans="1:3" x14ac:dyDescent="0.2">
      <c r="A1098" s="3" t="s">
        <v>752</v>
      </c>
      <c r="B1098" s="3" t="s">
        <v>754</v>
      </c>
      <c r="C1098" s="3" t="s">
        <v>56</v>
      </c>
    </row>
    <row r="1099" spans="1:3" x14ac:dyDescent="0.2">
      <c r="A1099" s="3" t="s">
        <v>752</v>
      </c>
      <c r="B1099" s="3" t="s">
        <v>755</v>
      </c>
      <c r="C1099" s="3" t="s">
        <v>56</v>
      </c>
    </row>
    <row r="1100" spans="1:3" x14ac:dyDescent="0.2">
      <c r="A1100" s="3" t="s">
        <v>752</v>
      </c>
      <c r="B1100" s="3" t="s">
        <v>757</v>
      </c>
      <c r="C1100" s="3" t="s">
        <v>56</v>
      </c>
    </row>
    <row r="1101" spans="1:3" x14ac:dyDescent="0.2">
      <c r="A1101" s="3" t="s">
        <v>752</v>
      </c>
      <c r="B1101" s="3" t="s">
        <v>758</v>
      </c>
      <c r="C1101" s="3" t="s">
        <v>56</v>
      </c>
    </row>
    <row r="1102" spans="1:3" x14ac:dyDescent="0.2">
      <c r="A1102" s="3" t="s">
        <v>752</v>
      </c>
      <c r="B1102" s="3" t="s">
        <v>759</v>
      </c>
      <c r="C1102" s="3" t="s">
        <v>56</v>
      </c>
    </row>
    <row r="1103" spans="1:3" x14ac:dyDescent="0.2">
      <c r="A1103" s="3" t="s">
        <v>752</v>
      </c>
      <c r="B1103" s="3" t="s">
        <v>760</v>
      </c>
      <c r="C1103" s="3" t="s">
        <v>56</v>
      </c>
    </row>
    <row r="1104" spans="1:3" x14ac:dyDescent="0.2">
      <c r="A1104" s="3" t="s">
        <v>752</v>
      </c>
      <c r="B1104" s="3" t="s">
        <v>761</v>
      </c>
      <c r="C1104" s="3" t="s">
        <v>56</v>
      </c>
    </row>
    <row r="1105" spans="1:3" x14ac:dyDescent="0.2">
      <c r="A1105" s="3" t="s">
        <v>752</v>
      </c>
      <c r="B1105" s="3" t="s">
        <v>762</v>
      </c>
      <c r="C1105" s="3" t="s">
        <v>56</v>
      </c>
    </row>
    <row r="1106" spans="1:3" x14ac:dyDescent="0.2">
      <c r="A1106" s="3" t="s">
        <v>752</v>
      </c>
      <c r="B1106" s="3" t="s">
        <v>764</v>
      </c>
      <c r="C1106" s="3" t="s">
        <v>56</v>
      </c>
    </row>
    <row r="1107" spans="1:3" x14ac:dyDescent="0.2">
      <c r="A1107" s="3" t="s">
        <v>752</v>
      </c>
      <c r="B1107" s="3" t="s">
        <v>765</v>
      </c>
      <c r="C1107" s="3" t="s">
        <v>56</v>
      </c>
    </row>
    <row r="1108" spans="1:3" x14ac:dyDescent="0.2">
      <c r="A1108" s="3" t="s">
        <v>752</v>
      </c>
      <c r="B1108" s="3" t="s">
        <v>766</v>
      </c>
      <c r="C1108" s="3" t="s">
        <v>56</v>
      </c>
    </row>
    <row r="1109" spans="1:3" x14ac:dyDescent="0.2">
      <c r="A1109" s="3" t="s">
        <v>752</v>
      </c>
      <c r="B1109" s="3" t="s">
        <v>767</v>
      </c>
      <c r="C1109" s="3" t="s">
        <v>56</v>
      </c>
    </row>
    <row r="1110" spans="1:3" x14ac:dyDescent="0.2">
      <c r="A1110" s="3" t="s">
        <v>752</v>
      </c>
      <c r="B1110" s="3" t="s">
        <v>768</v>
      </c>
      <c r="C1110" s="3" t="s">
        <v>56</v>
      </c>
    </row>
    <row r="1111" spans="1:3" x14ac:dyDescent="0.2">
      <c r="A1111" s="3" t="s">
        <v>752</v>
      </c>
      <c r="B1111" s="3" t="s">
        <v>769</v>
      </c>
      <c r="C1111" s="3" t="s">
        <v>56</v>
      </c>
    </row>
    <row r="1112" spans="1:3" x14ac:dyDescent="0.2">
      <c r="A1112" s="3" t="s">
        <v>752</v>
      </c>
      <c r="B1112" s="3" t="s">
        <v>770</v>
      </c>
      <c r="C1112" s="3" t="s">
        <v>56</v>
      </c>
    </row>
    <row r="1113" spans="1:3" x14ac:dyDescent="0.2">
      <c r="A1113" s="3" t="s">
        <v>752</v>
      </c>
      <c r="B1113" s="3" t="s">
        <v>771</v>
      </c>
      <c r="C1113" s="3" t="s">
        <v>56</v>
      </c>
    </row>
    <row r="1114" spans="1:3" x14ac:dyDescent="0.2">
      <c r="A1114" s="3" t="s">
        <v>752</v>
      </c>
      <c r="B1114" s="3" t="s">
        <v>753</v>
      </c>
      <c r="C1114" s="3" t="s">
        <v>57</v>
      </c>
    </row>
    <row r="1115" spans="1:3" x14ac:dyDescent="0.2">
      <c r="A1115" s="3" t="s">
        <v>752</v>
      </c>
      <c r="B1115" s="3" t="s">
        <v>754</v>
      </c>
      <c r="C1115" s="3" t="s">
        <v>57</v>
      </c>
    </row>
    <row r="1116" spans="1:3" x14ac:dyDescent="0.2">
      <c r="A1116" s="3" t="s">
        <v>752</v>
      </c>
      <c r="B1116" s="3" t="s">
        <v>755</v>
      </c>
      <c r="C1116" s="3" t="s">
        <v>57</v>
      </c>
    </row>
    <row r="1117" spans="1:3" x14ac:dyDescent="0.2">
      <c r="A1117" s="3" t="s">
        <v>752</v>
      </c>
      <c r="B1117" s="3" t="s">
        <v>757</v>
      </c>
      <c r="C1117" s="3" t="s">
        <v>57</v>
      </c>
    </row>
    <row r="1118" spans="1:3" x14ac:dyDescent="0.2">
      <c r="A1118" s="3" t="s">
        <v>752</v>
      </c>
      <c r="B1118" s="3" t="s">
        <v>758</v>
      </c>
      <c r="C1118" s="3" t="s">
        <v>57</v>
      </c>
    </row>
    <row r="1119" spans="1:3" x14ac:dyDescent="0.2">
      <c r="A1119" s="3" t="s">
        <v>752</v>
      </c>
      <c r="B1119" s="3" t="s">
        <v>759</v>
      </c>
      <c r="C1119" s="3" t="s">
        <v>57</v>
      </c>
    </row>
    <row r="1120" spans="1:3" x14ac:dyDescent="0.2">
      <c r="A1120" s="3" t="s">
        <v>752</v>
      </c>
      <c r="B1120" s="3" t="s">
        <v>760</v>
      </c>
      <c r="C1120" s="3" t="s">
        <v>57</v>
      </c>
    </row>
    <row r="1121" spans="1:3" x14ac:dyDescent="0.2">
      <c r="A1121" s="3" t="s">
        <v>752</v>
      </c>
      <c r="B1121" s="3" t="s">
        <v>761</v>
      </c>
      <c r="C1121" s="3" t="s">
        <v>57</v>
      </c>
    </row>
    <row r="1122" spans="1:3" x14ac:dyDescent="0.2">
      <c r="A1122" s="3" t="s">
        <v>752</v>
      </c>
      <c r="B1122" s="3" t="s">
        <v>762</v>
      </c>
      <c r="C1122" s="3" t="s">
        <v>57</v>
      </c>
    </row>
    <row r="1123" spans="1:3" x14ac:dyDescent="0.2">
      <c r="A1123" s="3" t="s">
        <v>752</v>
      </c>
      <c r="B1123" s="3" t="s">
        <v>764</v>
      </c>
      <c r="C1123" s="3" t="s">
        <v>57</v>
      </c>
    </row>
    <row r="1124" spans="1:3" x14ac:dyDescent="0.2">
      <c r="A1124" s="3" t="s">
        <v>752</v>
      </c>
      <c r="B1124" s="3" t="s">
        <v>765</v>
      </c>
      <c r="C1124" s="3" t="s">
        <v>57</v>
      </c>
    </row>
    <row r="1125" spans="1:3" x14ac:dyDescent="0.2">
      <c r="A1125" s="3" t="s">
        <v>752</v>
      </c>
      <c r="B1125" s="3" t="s">
        <v>766</v>
      </c>
      <c r="C1125" s="3" t="s">
        <v>57</v>
      </c>
    </row>
    <row r="1126" spans="1:3" x14ac:dyDescent="0.2">
      <c r="A1126" s="3" t="s">
        <v>752</v>
      </c>
      <c r="B1126" s="3" t="s">
        <v>767</v>
      </c>
      <c r="C1126" s="3" t="s">
        <v>57</v>
      </c>
    </row>
    <row r="1127" spans="1:3" x14ac:dyDescent="0.2">
      <c r="A1127" s="3" t="s">
        <v>752</v>
      </c>
      <c r="B1127" s="3" t="s">
        <v>768</v>
      </c>
      <c r="C1127" s="3" t="s">
        <v>57</v>
      </c>
    </row>
    <row r="1128" spans="1:3" x14ac:dyDescent="0.2">
      <c r="A1128" s="3" t="s">
        <v>752</v>
      </c>
      <c r="B1128" s="3" t="s">
        <v>769</v>
      </c>
      <c r="C1128" s="3" t="s">
        <v>57</v>
      </c>
    </row>
    <row r="1129" spans="1:3" x14ac:dyDescent="0.2">
      <c r="A1129" s="3" t="s">
        <v>752</v>
      </c>
      <c r="B1129" s="3" t="s">
        <v>770</v>
      </c>
      <c r="C1129" s="3" t="s">
        <v>57</v>
      </c>
    </row>
    <row r="1130" spans="1:3" x14ac:dyDescent="0.2">
      <c r="A1130" s="3" t="s">
        <v>752</v>
      </c>
      <c r="B1130" s="3" t="s">
        <v>771</v>
      </c>
      <c r="C1130" s="3" t="s">
        <v>57</v>
      </c>
    </row>
    <row r="1131" spans="1:3" x14ac:dyDescent="0.2">
      <c r="A1131" s="3" t="s">
        <v>752</v>
      </c>
      <c r="B1131" s="3" t="s">
        <v>772</v>
      </c>
      <c r="C1131" s="3" t="s">
        <v>169</v>
      </c>
    </row>
    <row r="1132" spans="1:3" x14ac:dyDescent="0.2">
      <c r="A1132" s="3" t="s">
        <v>752</v>
      </c>
      <c r="B1132" s="3" t="s">
        <v>773</v>
      </c>
      <c r="C1132" s="3" t="s">
        <v>169</v>
      </c>
    </row>
    <row r="1133" spans="1:3" x14ac:dyDescent="0.2">
      <c r="A1133" s="3" t="s">
        <v>774</v>
      </c>
      <c r="B1133" s="3" t="s">
        <v>775</v>
      </c>
      <c r="C1133" s="3" t="s">
        <v>53</v>
      </c>
    </row>
    <row r="1134" spans="1:3" x14ac:dyDescent="0.2">
      <c r="A1134" s="3" t="s">
        <v>774</v>
      </c>
      <c r="B1134" s="3" t="s">
        <v>775</v>
      </c>
      <c r="C1134" s="3" t="s">
        <v>54</v>
      </c>
    </row>
    <row r="1135" spans="1:3" x14ac:dyDescent="0.2">
      <c r="A1135" s="3" t="s">
        <v>774</v>
      </c>
      <c r="B1135" s="3" t="s">
        <v>776</v>
      </c>
      <c r="C1135" s="3" t="s">
        <v>169</v>
      </c>
    </row>
    <row r="1136" spans="1:3" x14ac:dyDescent="0.2">
      <c r="A1136" s="3" t="s">
        <v>774</v>
      </c>
      <c r="B1136" s="3" t="s">
        <v>777</v>
      </c>
      <c r="C1136" s="3" t="s">
        <v>169</v>
      </c>
    </row>
    <row r="1137" spans="1:3" x14ac:dyDescent="0.2">
      <c r="A1137" s="3" t="s">
        <v>778</v>
      </c>
      <c r="B1137" s="3" t="s">
        <v>757</v>
      </c>
      <c r="C1137" s="3" t="s">
        <v>53</v>
      </c>
    </row>
    <row r="1138" spans="1:3" x14ac:dyDescent="0.2">
      <c r="A1138" s="3" t="s">
        <v>778</v>
      </c>
      <c r="B1138" s="3" t="s">
        <v>779</v>
      </c>
      <c r="C1138" s="3" t="s">
        <v>53</v>
      </c>
    </row>
    <row r="1139" spans="1:3" x14ac:dyDescent="0.2">
      <c r="A1139" s="3" t="s">
        <v>778</v>
      </c>
      <c r="B1139" s="3" t="s">
        <v>758</v>
      </c>
      <c r="C1139" s="3" t="s">
        <v>53</v>
      </c>
    </row>
    <row r="1140" spans="1:3" x14ac:dyDescent="0.2">
      <c r="A1140" s="3" t="s">
        <v>778</v>
      </c>
      <c r="B1140" s="3" t="s">
        <v>760</v>
      </c>
      <c r="C1140" s="3" t="s">
        <v>53</v>
      </c>
    </row>
    <row r="1141" spans="1:3" x14ac:dyDescent="0.2">
      <c r="A1141" s="3" t="s">
        <v>778</v>
      </c>
      <c r="B1141" s="3" t="s">
        <v>757</v>
      </c>
      <c r="C1141" s="3" t="s">
        <v>54</v>
      </c>
    </row>
    <row r="1142" spans="1:3" x14ac:dyDescent="0.2">
      <c r="A1142" s="3" t="s">
        <v>778</v>
      </c>
      <c r="B1142" s="3" t="s">
        <v>779</v>
      </c>
      <c r="C1142" s="3" t="s">
        <v>54</v>
      </c>
    </row>
    <row r="1143" spans="1:3" x14ac:dyDescent="0.2">
      <c r="A1143" s="3" t="s">
        <v>778</v>
      </c>
      <c r="B1143" s="3" t="s">
        <v>758</v>
      </c>
      <c r="C1143" s="3" t="s">
        <v>54</v>
      </c>
    </row>
    <row r="1144" spans="1:3" x14ac:dyDescent="0.2">
      <c r="A1144" s="3" t="s">
        <v>778</v>
      </c>
      <c r="B1144" s="3" t="s">
        <v>760</v>
      </c>
      <c r="C1144" s="3" t="s">
        <v>54</v>
      </c>
    </row>
    <row r="1145" spans="1:3" x14ac:dyDescent="0.2">
      <c r="A1145" s="3" t="s">
        <v>778</v>
      </c>
      <c r="B1145" s="3" t="s">
        <v>757</v>
      </c>
      <c r="C1145" s="3" t="s">
        <v>55</v>
      </c>
    </row>
    <row r="1146" spans="1:3" x14ac:dyDescent="0.2">
      <c r="A1146" s="3" t="s">
        <v>778</v>
      </c>
      <c r="B1146" s="3" t="s">
        <v>779</v>
      </c>
      <c r="C1146" s="3" t="s">
        <v>55</v>
      </c>
    </row>
    <row r="1147" spans="1:3" x14ac:dyDescent="0.2">
      <c r="A1147" s="3" t="s">
        <v>778</v>
      </c>
      <c r="B1147" s="3" t="s">
        <v>758</v>
      </c>
      <c r="C1147" s="3" t="s">
        <v>55</v>
      </c>
    </row>
    <row r="1148" spans="1:3" x14ac:dyDescent="0.2">
      <c r="A1148" s="3" t="s">
        <v>778</v>
      </c>
      <c r="B1148" s="3" t="s">
        <v>760</v>
      </c>
      <c r="C1148" s="3" t="s">
        <v>55</v>
      </c>
    </row>
    <row r="1149" spans="1:3" x14ac:dyDescent="0.2">
      <c r="A1149" s="3" t="s">
        <v>778</v>
      </c>
      <c r="B1149" s="3" t="s">
        <v>757</v>
      </c>
      <c r="C1149" s="3" t="s">
        <v>56</v>
      </c>
    </row>
    <row r="1150" spans="1:3" x14ac:dyDescent="0.2">
      <c r="A1150" s="3" t="s">
        <v>778</v>
      </c>
      <c r="B1150" s="3" t="s">
        <v>779</v>
      </c>
      <c r="C1150" s="3" t="s">
        <v>56</v>
      </c>
    </row>
    <row r="1151" spans="1:3" x14ac:dyDescent="0.2">
      <c r="A1151" s="3" t="s">
        <v>778</v>
      </c>
      <c r="B1151" s="3" t="s">
        <v>758</v>
      </c>
      <c r="C1151" s="3" t="s">
        <v>56</v>
      </c>
    </row>
    <row r="1152" spans="1:3" x14ac:dyDescent="0.2">
      <c r="A1152" s="3" t="s">
        <v>778</v>
      </c>
      <c r="B1152" s="3" t="s">
        <v>760</v>
      </c>
      <c r="C1152" s="3" t="s">
        <v>56</v>
      </c>
    </row>
    <row r="1153" spans="1:3" x14ac:dyDescent="0.2">
      <c r="A1153" s="3" t="s">
        <v>778</v>
      </c>
      <c r="B1153" s="3" t="s">
        <v>757</v>
      </c>
      <c r="C1153" s="3" t="s">
        <v>57</v>
      </c>
    </row>
    <row r="1154" spans="1:3" x14ac:dyDescent="0.2">
      <c r="A1154" s="3" t="s">
        <v>778</v>
      </c>
      <c r="B1154" s="3" t="s">
        <v>779</v>
      </c>
      <c r="C1154" s="3" t="s">
        <v>57</v>
      </c>
    </row>
    <row r="1155" spans="1:3" x14ac:dyDescent="0.2">
      <c r="A1155" s="3" t="s">
        <v>778</v>
      </c>
      <c r="B1155" s="3" t="s">
        <v>758</v>
      </c>
      <c r="C1155" s="3" t="s">
        <v>57</v>
      </c>
    </row>
    <row r="1156" spans="1:3" x14ac:dyDescent="0.2">
      <c r="A1156" s="3" t="s">
        <v>778</v>
      </c>
      <c r="B1156" s="3" t="s">
        <v>760</v>
      </c>
      <c r="C1156" s="3" t="s">
        <v>57</v>
      </c>
    </row>
    <row r="1157" spans="1:3" x14ac:dyDescent="0.2">
      <c r="A1157" s="3" t="s">
        <v>778</v>
      </c>
      <c r="B1157" s="3" t="s">
        <v>780</v>
      </c>
      <c r="C1157" s="3" t="s">
        <v>169</v>
      </c>
    </row>
    <row r="1158" spans="1:3" x14ac:dyDescent="0.2">
      <c r="A1158" s="3" t="s">
        <v>778</v>
      </c>
      <c r="B1158" s="3" t="s">
        <v>781</v>
      </c>
      <c r="C1158" s="3" t="s">
        <v>169</v>
      </c>
    </row>
    <row r="1159" spans="1:3" x14ac:dyDescent="0.2">
      <c r="A1159" s="3" t="s">
        <v>778</v>
      </c>
      <c r="B1159" s="3" t="s">
        <v>782</v>
      </c>
      <c r="C1159" s="3" t="s">
        <v>169</v>
      </c>
    </row>
    <row r="1160" spans="1:3" x14ac:dyDescent="0.2">
      <c r="A1160" s="3" t="s">
        <v>778</v>
      </c>
      <c r="B1160" s="3" t="s">
        <v>783</v>
      </c>
      <c r="C1160" s="3" t="s">
        <v>169</v>
      </c>
    </row>
    <row r="1161" spans="1:3" x14ac:dyDescent="0.2">
      <c r="A1161" s="3" t="s">
        <v>778</v>
      </c>
      <c r="B1161" s="3" t="s">
        <v>784</v>
      </c>
      <c r="C1161" s="3" t="s">
        <v>169</v>
      </c>
    </row>
    <row r="1162" spans="1:3" x14ac:dyDescent="0.2">
      <c r="A1162" s="3" t="s">
        <v>778</v>
      </c>
      <c r="B1162" s="3" t="s">
        <v>785</v>
      </c>
      <c r="C1162" s="3" t="s">
        <v>169</v>
      </c>
    </row>
    <row r="1163" spans="1:3" x14ac:dyDescent="0.2">
      <c r="A1163" s="3" t="s">
        <v>778</v>
      </c>
      <c r="B1163" s="3" t="s">
        <v>786</v>
      </c>
      <c r="C1163" s="3" t="s">
        <v>169</v>
      </c>
    </row>
    <row r="1164" spans="1:3" x14ac:dyDescent="0.2">
      <c r="A1164" s="3" t="s">
        <v>778</v>
      </c>
      <c r="B1164" s="3" t="s">
        <v>787</v>
      </c>
      <c r="C1164" s="3" t="s">
        <v>169</v>
      </c>
    </row>
    <row r="1165" spans="1:3" x14ac:dyDescent="0.2">
      <c r="A1165" s="3" t="s">
        <v>778</v>
      </c>
      <c r="B1165" s="3" t="s">
        <v>788</v>
      </c>
      <c r="C1165" s="3" t="s">
        <v>169</v>
      </c>
    </row>
    <row r="1166" spans="1:3" x14ac:dyDescent="0.2">
      <c r="A1166" s="3" t="s">
        <v>778</v>
      </c>
      <c r="B1166" s="3" t="s">
        <v>789</v>
      </c>
      <c r="C1166" s="3" t="s">
        <v>169</v>
      </c>
    </row>
    <row r="1167" spans="1:3" x14ac:dyDescent="0.2">
      <c r="A1167" s="3" t="s">
        <v>778</v>
      </c>
      <c r="B1167" s="3" t="s">
        <v>790</v>
      </c>
      <c r="C1167" s="3" t="s">
        <v>169</v>
      </c>
    </row>
    <row r="1168" spans="1:3" x14ac:dyDescent="0.2">
      <c r="A1168" s="3" t="s">
        <v>778</v>
      </c>
      <c r="B1168" s="3" t="s">
        <v>791</v>
      </c>
      <c r="C1168" s="3" t="s">
        <v>169</v>
      </c>
    </row>
    <row r="1169" spans="1:3" x14ac:dyDescent="0.2">
      <c r="A1169" s="3" t="s">
        <v>792</v>
      </c>
      <c r="B1169" s="3" t="s">
        <v>758</v>
      </c>
      <c r="C1169" s="3" t="s">
        <v>53</v>
      </c>
    </row>
    <row r="1170" spans="1:3" x14ac:dyDescent="0.2">
      <c r="A1170" s="3" t="s">
        <v>792</v>
      </c>
      <c r="B1170" s="3" t="s">
        <v>758</v>
      </c>
      <c r="C1170" s="3" t="s">
        <v>54</v>
      </c>
    </row>
    <row r="1171" spans="1:3" x14ac:dyDescent="0.2">
      <c r="A1171" s="3" t="s">
        <v>792</v>
      </c>
      <c r="B1171" s="3" t="s">
        <v>758</v>
      </c>
      <c r="C1171" s="3" t="s">
        <v>55</v>
      </c>
    </row>
    <row r="1172" spans="1:3" x14ac:dyDescent="0.2">
      <c r="A1172" s="3" t="s">
        <v>792</v>
      </c>
      <c r="B1172" s="3" t="s">
        <v>758</v>
      </c>
      <c r="C1172" s="3" t="s">
        <v>56</v>
      </c>
    </row>
    <row r="1173" spans="1:3" x14ac:dyDescent="0.2">
      <c r="A1173" s="3" t="s">
        <v>792</v>
      </c>
      <c r="B1173" s="3" t="s">
        <v>758</v>
      </c>
      <c r="C1173" s="3" t="s">
        <v>57</v>
      </c>
    </row>
    <row r="1174" spans="1:3" x14ac:dyDescent="0.2">
      <c r="A1174" s="3" t="s">
        <v>793</v>
      </c>
      <c r="B1174" s="3" t="s">
        <v>794</v>
      </c>
      <c r="C1174" s="3" t="s">
        <v>169</v>
      </c>
    </row>
    <row r="1175" spans="1:3" x14ac:dyDescent="0.2">
      <c r="A1175" s="3" t="s">
        <v>795</v>
      </c>
      <c r="B1175" s="3" t="s">
        <v>761</v>
      </c>
      <c r="C1175" s="3" t="s">
        <v>53</v>
      </c>
    </row>
    <row r="1176" spans="1:3" x14ac:dyDescent="0.2">
      <c r="A1176" s="3" t="s">
        <v>795</v>
      </c>
      <c r="B1176" s="3" t="s">
        <v>762</v>
      </c>
      <c r="C1176" s="3" t="s">
        <v>53</v>
      </c>
    </row>
    <row r="1177" spans="1:3" x14ac:dyDescent="0.2">
      <c r="A1177" s="3" t="s">
        <v>795</v>
      </c>
      <c r="B1177" s="3" t="s">
        <v>765</v>
      </c>
      <c r="C1177" s="3" t="s">
        <v>53</v>
      </c>
    </row>
    <row r="1178" spans="1:3" x14ac:dyDescent="0.2">
      <c r="A1178" s="3" t="s">
        <v>795</v>
      </c>
      <c r="B1178" s="3" t="s">
        <v>761</v>
      </c>
      <c r="C1178" s="3" t="s">
        <v>54</v>
      </c>
    </row>
    <row r="1179" spans="1:3" x14ac:dyDescent="0.2">
      <c r="A1179" s="3" t="s">
        <v>795</v>
      </c>
      <c r="B1179" s="3" t="s">
        <v>762</v>
      </c>
      <c r="C1179" s="3" t="s">
        <v>54</v>
      </c>
    </row>
    <row r="1180" spans="1:3" x14ac:dyDescent="0.2">
      <c r="A1180" s="3" t="s">
        <v>795</v>
      </c>
      <c r="B1180" s="3" t="s">
        <v>765</v>
      </c>
      <c r="C1180" s="3" t="s">
        <v>54</v>
      </c>
    </row>
    <row r="1181" spans="1:3" x14ac:dyDescent="0.2">
      <c r="A1181" s="3" t="s">
        <v>795</v>
      </c>
      <c r="B1181" s="3" t="s">
        <v>761</v>
      </c>
      <c r="C1181" s="3" t="s">
        <v>55</v>
      </c>
    </row>
    <row r="1182" spans="1:3" x14ac:dyDescent="0.2">
      <c r="A1182" s="3" t="s">
        <v>795</v>
      </c>
      <c r="B1182" s="3" t="s">
        <v>762</v>
      </c>
      <c r="C1182" s="3" t="s">
        <v>55</v>
      </c>
    </row>
    <row r="1183" spans="1:3" x14ac:dyDescent="0.2">
      <c r="A1183" s="3" t="s">
        <v>795</v>
      </c>
      <c r="B1183" s="3" t="s">
        <v>765</v>
      </c>
      <c r="C1183" s="3" t="s">
        <v>55</v>
      </c>
    </row>
    <row r="1184" spans="1:3" x14ac:dyDescent="0.2">
      <c r="A1184" s="3" t="s">
        <v>795</v>
      </c>
      <c r="B1184" s="3" t="s">
        <v>761</v>
      </c>
      <c r="C1184" s="3" t="s">
        <v>56</v>
      </c>
    </row>
    <row r="1185" spans="1:3" x14ac:dyDescent="0.2">
      <c r="A1185" s="3" t="s">
        <v>795</v>
      </c>
      <c r="B1185" s="3" t="s">
        <v>762</v>
      </c>
      <c r="C1185" s="3" t="s">
        <v>56</v>
      </c>
    </row>
    <row r="1186" spans="1:3" x14ac:dyDescent="0.2">
      <c r="A1186" s="3" t="s">
        <v>795</v>
      </c>
      <c r="B1186" s="3" t="s">
        <v>765</v>
      </c>
      <c r="C1186" s="3" t="s">
        <v>56</v>
      </c>
    </row>
    <row r="1187" spans="1:3" x14ac:dyDescent="0.2">
      <c r="A1187" s="3" t="s">
        <v>795</v>
      </c>
      <c r="B1187" s="3" t="s">
        <v>761</v>
      </c>
      <c r="C1187" s="3" t="s">
        <v>57</v>
      </c>
    </row>
    <row r="1188" spans="1:3" x14ac:dyDescent="0.2">
      <c r="A1188" s="3" t="s">
        <v>795</v>
      </c>
      <c r="B1188" s="3" t="s">
        <v>762</v>
      </c>
      <c r="C1188" s="3" t="s">
        <v>57</v>
      </c>
    </row>
    <row r="1189" spans="1:3" x14ac:dyDescent="0.2">
      <c r="A1189" s="3" t="s">
        <v>795</v>
      </c>
      <c r="B1189" s="3" t="s">
        <v>765</v>
      </c>
      <c r="C1189" s="3" t="s">
        <v>57</v>
      </c>
    </row>
    <row r="1190" spans="1:3" x14ac:dyDescent="0.2">
      <c r="A1190" s="3" t="s">
        <v>795</v>
      </c>
      <c r="B1190" s="3" t="s">
        <v>772</v>
      </c>
      <c r="C1190" s="3" t="s">
        <v>169</v>
      </c>
    </row>
    <row r="1191" spans="1:3" x14ac:dyDescent="0.2">
      <c r="A1191" s="3" t="s">
        <v>795</v>
      </c>
      <c r="B1191" s="3" t="s">
        <v>796</v>
      </c>
      <c r="C1191" s="3" t="s">
        <v>169</v>
      </c>
    </row>
    <row r="1192" spans="1:3" x14ac:dyDescent="0.2">
      <c r="A1192" s="3" t="s">
        <v>795</v>
      </c>
      <c r="B1192" s="3" t="s">
        <v>797</v>
      </c>
      <c r="C1192" s="3" t="s">
        <v>169</v>
      </c>
    </row>
    <row r="1193" spans="1:3" x14ac:dyDescent="0.2">
      <c r="A1193" s="3" t="s">
        <v>795</v>
      </c>
      <c r="B1193" s="3" t="s">
        <v>798</v>
      </c>
      <c r="C1193" s="3" t="s">
        <v>169</v>
      </c>
    </row>
    <row r="1194" spans="1:3" x14ac:dyDescent="0.2">
      <c r="A1194" s="3" t="s">
        <v>795</v>
      </c>
      <c r="B1194" s="3" t="s">
        <v>799</v>
      </c>
      <c r="C1194" s="3" t="s">
        <v>169</v>
      </c>
    </row>
    <row r="1195" spans="1:3" x14ac:dyDescent="0.2">
      <c r="A1195" s="3" t="s">
        <v>795</v>
      </c>
      <c r="B1195" s="3" t="s">
        <v>800</v>
      </c>
      <c r="C1195" s="3" t="s">
        <v>169</v>
      </c>
    </row>
    <row r="1196" spans="1:3" x14ac:dyDescent="0.2">
      <c r="A1196" s="3" t="s">
        <v>795</v>
      </c>
      <c r="B1196" s="3" t="s">
        <v>801</v>
      </c>
      <c r="C1196" s="3" t="s">
        <v>169</v>
      </c>
    </row>
    <row r="1197" spans="1:3" x14ac:dyDescent="0.2">
      <c r="A1197" s="3" t="s">
        <v>2251</v>
      </c>
      <c r="B1197" s="3" t="s">
        <v>758</v>
      </c>
      <c r="C1197" s="3" t="s">
        <v>53</v>
      </c>
    </row>
    <row r="1198" spans="1:3" x14ac:dyDescent="0.2">
      <c r="A1198" s="3" t="s">
        <v>2251</v>
      </c>
      <c r="B1198" s="3" t="s">
        <v>758</v>
      </c>
      <c r="C1198" s="3" t="s">
        <v>54</v>
      </c>
    </row>
    <row r="1199" spans="1:3" x14ac:dyDescent="0.2">
      <c r="A1199" s="3" t="s">
        <v>2251</v>
      </c>
      <c r="B1199" s="3" t="s">
        <v>758</v>
      </c>
      <c r="C1199" s="3" t="s">
        <v>55</v>
      </c>
    </row>
    <row r="1200" spans="1:3" x14ac:dyDescent="0.2">
      <c r="A1200" s="3" t="s">
        <v>2251</v>
      </c>
      <c r="B1200" s="3" t="s">
        <v>758</v>
      </c>
      <c r="C1200" s="3" t="s">
        <v>56</v>
      </c>
    </row>
    <row r="1201" spans="1:3" x14ac:dyDescent="0.2">
      <c r="A1201" s="3" t="s">
        <v>2251</v>
      </c>
      <c r="B1201" s="3" t="s">
        <v>758</v>
      </c>
      <c r="C1201" s="3" t="s">
        <v>57</v>
      </c>
    </row>
    <row r="1202" spans="1:3" x14ac:dyDescent="0.2">
      <c r="A1202" s="3" t="s">
        <v>852</v>
      </c>
      <c r="B1202" s="3" t="s">
        <v>760</v>
      </c>
      <c r="C1202" s="3" t="s">
        <v>53</v>
      </c>
    </row>
    <row r="1203" spans="1:3" x14ac:dyDescent="0.2">
      <c r="A1203" s="3" t="s">
        <v>852</v>
      </c>
      <c r="B1203" s="3" t="s">
        <v>760</v>
      </c>
      <c r="C1203" s="3" t="s">
        <v>54</v>
      </c>
    </row>
    <row r="1204" spans="1:3" x14ac:dyDescent="0.2">
      <c r="A1204" s="3" t="s">
        <v>852</v>
      </c>
      <c r="B1204" s="3" t="s">
        <v>760</v>
      </c>
      <c r="C1204" s="3" t="s">
        <v>55</v>
      </c>
    </row>
    <row r="1205" spans="1:3" x14ac:dyDescent="0.2">
      <c r="A1205" s="3" t="s">
        <v>852</v>
      </c>
      <c r="B1205" s="3" t="s">
        <v>760</v>
      </c>
      <c r="C1205" s="3" t="s">
        <v>56</v>
      </c>
    </row>
    <row r="1206" spans="1:3" x14ac:dyDescent="0.2">
      <c r="A1206" s="3" t="s">
        <v>852</v>
      </c>
      <c r="B1206" s="3" t="s">
        <v>760</v>
      </c>
      <c r="C1206" s="3" t="s">
        <v>57</v>
      </c>
    </row>
    <row r="1207" spans="1:3" x14ac:dyDescent="0.2">
      <c r="A1207" s="3" t="s">
        <v>852</v>
      </c>
      <c r="B1207" s="3" t="s">
        <v>776</v>
      </c>
      <c r="C1207" s="3" t="s">
        <v>169</v>
      </c>
    </row>
    <row r="1208" spans="1:3" x14ac:dyDescent="0.2">
      <c r="A1208" s="3" t="s">
        <v>852</v>
      </c>
      <c r="B1208" s="3" t="s">
        <v>810</v>
      </c>
      <c r="C1208" s="3" t="s">
        <v>169</v>
      </c>
    </row>
    <row r="1209" spans="1:3" x14ac:dyDescent="0.2">
      <c r="A1209" s="3" t="s">
        <v>852</v>
      </c>
      <c r="B1209" s="3" t="s">
        <v>811</v>
      </c>
      <c r="C1209" s="3" t="s">
        <v>169</v>
      </c>
    </row>
    <row r="1210" spans="1:3" x14ac:dyDescent="0.2">
      <c r="A1210" s="3" t="s">
        <v>852</v>
      </c>
      <c r="B1210" s="3" t="s">
        <v>853</v>
      </c>
      <c r="C1210" s="3" t="s">
        <v>169</v>
      </c>
    </row>
    <row r="1211" spans="1:3" x14ac:dyDescent="0.2">
      <c r="A1211" s="3" t="s">
        <v>852</v>
      </c>
      <c r="B1211" s="3" t="s">
        <v>854</v>
      </c>
      <c r="C1211" s="3" t="s">
        <v>169</v>
      </c>
    </row>
    <row r="1212" spans="1:3" x14ac:dyDescent="0.2">
      <c r="A1212" s="3" t="s">
        <v>855</v>
      </c>
      <c r="B1212" s="3" t="s">
        <v>856</v>
      </c>
      <c r="C1212" s="3" t="s">
        <v>169</v>
      </c>
    </row>
    <row r="1213" spans="1:3" x14ac:dyDescent="0.2">
      <c r="A1213" s="3" t="s">
        <v>855</v>
      </c>
      <c r="B1213" s="3" t="s">
        <v>853</v>
      </c>
      <c r="C1213" s="3" t="s">
        <v>169</v>
      </c>
    </row>
    <row r="1214" spans="1:3" x14ac:dyDescent="0.2">
      <c r="A1214" s="3" t="s">
        <v>855</v>
      </c>
      <c r="B1214" s="3" t="s">
        <v>857</v>
      </c>
      <c r="C1214" s="3" t="s">
        <v>169</v>
      </c>
    </row>
    <row r="1215" spans="1:3" x14ac:dyDescent="0.2">
      <c r="A1215" s="3" t="s">
        <v>858</v>
      </c>
      <c r="B1215" s="3" t="s">
        <v>760</v>
      </c>
      <c r="C1215" s="3" t="s">
        <v>53</v>
      </c>
    </row>
    <row r="1216" spans="1:3" x14ac:dyDescent="0.2">
      <c r="A1216" s="3" t="s">
        <v>858</v>
      </c>
      <c r="B1216" s="3" t="s">
        <v>760</v>
      </c>
      <c r="C1216" s="3" t="s">
        <v>54</v>
      </c>
    </row>
    <row r="1217" spans="1:3" x14ac:dyDescent="0.2">
      <c r="A1217" s="3" t="s">
        <v>858</v>
      </c>
      <c r="B1217" s="3" t="s">
        <v>760</v>
      </c>
      <c r="C1217" s="3" t="s">
        <v>55</v>
      </c>
    </row>
    <row r="1218" spans="1:3" x14ac:dyDescent="0.2">
      <c r="A1218" s="3" t="s">
        <v>858</v>
      </c>
      <c r="B1218" s="3" t="s">
        <v>760</v>
      </c>
      <c r="C1218" s="3" t="s">
        <v>56</v>
      </c>
    </row>
    <row r="1219" spans="1:3" x14ac:dyDescent="0.2">
      <c r="A1219" s="3" t="s">
        <v>858</v>
      </c>
      <c r="B1219" s="3" t="s">
        <v>760</v>
      </c>
      <c r="C1219" s="3" t="s">
        <v>57</v>
      </c>
    </row>
    <row r="1220" spans="1:3" x14ac:dyDescent="0.2">
      <c r="A1220" s="3" t="s">
        <v>858</v>
      </c>
      <c r="B1220" s="3" t="s">
        <v>859</v>
      </c>
      <c r="C1220" s="3" t="s">
        <v>169</v>
      </c>
    </row>
    <row r="1221" spans="1:3" x14ac:dyDescent="0.2">
      <c r="A1221" s="3" t="s">
        <v>858</v>
      </c>
      <c r="B1221" s="3" t="s">
        <v>860</v>
      </c>
      <c r="C1221" s="3" t="s">
        <v>169</v>
      </c>
    </row>
    <row r="1222" spans="1:3" x14ac:dyDescent="0.2">
      <c r="A1222" s="3" t="s">
        <v>858</v>
      </c>
      <c r="B1222" s="3" t="s">
        <v>861</v>
      </c>
      <c r="C1222" s="3" t="s">
        <v>169</v>
      </c>
    </row>
    <row r="1223" spans="1:3" x14ac:dyDescent="0.2">
      <c r="A1223" s="3" t="s">
        <v>858</v>
      </c>
      <c r="B1223" s="3" t="s">
        <v>862</v>
      </c>
      <c r="C1223" s="3" t="s">
        <v>169</v>
      </c>
    </row>
    <row r="1224" spans="1:3" x14ac:dyDescent="0.2">
      <c r="A1224" s="3" t="s">
        <v>858</v>
      </c>
      <c r="B1224" s="3" t="s">
        <v>798</v>
      </c>
      <c r="C1224" s="3" t="s">
        <v>169</v>
      </c>
    </row>
    <row r="1225" spans="1:3" x14ac:dyDescent="0.2">
      <c r="A1225" s="3" t="s">
        <v>2252</v>
      </c>
      <c r="B1225" s="3" t="s">
        <v>2253</v>
      </c>
      <c r="C1225" s="3" t="s">
        <v>169</v>
      </c>
    </row>
    <row r="1226" spans="1:3" x14ac:dyDescent="0.2">
      <c r="A1226" s="3" t="s">
        <v>873</v>
      </c>
      <c r="B1226" s="3" t="s">
        <v>874</v>
      </c>
      <c r="C1226" s="3" t="s">
        <v>53</v>
      </c>
    </row>
    <row r="1227" spans="1:3" x14ac:dyDescent="0.2">
      <c r="A1227" s="3" t="s">
        <v>873</v>
      </c>
      <c r="B1227" s="3" t="s">
        <v>875</v>
      </c>
      <c r="C1227" s="3" t="s">
        <v>53</v>
      </c>
    </row>
    <row r="1228" spans="1:3" x14ac:dyDescent="0.2">
      <c r="A1228" s="3" t="s">
        <v>873</v>
      </c>
      <c r="B1228" s="3" t="s">
        <v>876</v>
      </c>
      <c r="C1228" s="3" t="s">
        <v>53</v>
      </c>
    </row>
    <row r="1229" spans="1:3" x14ac:dyDescent="0.2">
      <c r="A1229" s="3" t="s">
        <v>873</v>
      </c>
      <c r="B1229" s="3" t="s">
        <v>874</v>
      </c>
      <c r="C1229" s="3" t="s">
        <v>54</v>
      </c>
    </row>
    <row r="1230" spans="1:3" x14ac:dyDescent="0.2">
      <c r="A1230" s="3" t="s">
        <v>873</v>
      </c>
      <c r="B1230" s="3" t="s">
        <v>875</v>
      </c>
      <c r="C1230" s="3" t="s">
        <v>54</v>
      </c>
    </row>
    <row r="1231" spans="1:3" x14ac:dyDescent="0.2">
      <c r="A1231" s="3" t="s">
        <v>873</v>
      </c>
      <c r="B1231" s="3" t="s">
        <v>876</v>
      </c>
      <c r="C1231" s="3" t="s">
        <v>54</v>
      </c>
    </row>
    <row r="1232" spans="1:3" x14ac:dyDescent="0.2">
      <c r="A1232" s="3" t="s">
        <v>873</v>
      </c>
      <c r="B1232" s="3" t="s">
        <v>874</v>
      </c>
      <c r="C1232" s="3" t="s">
        <v>55</v>
      </c>
    </row>
    <row r="1233" spans="1:3" x14ac:dyDescent="0.2">
      <c r="A1233" s="3" t="s">
        <v>873</v>
      </c>
      <c r="B1233" s="3" t="s">
        <v>875</v>
      </c>
      <c r="C1233" s="3" t="s">
        <v>55</v>
      </c>
    </row>
    <row r="1234" spans="1:3" x14ac:dyDescent="0.2">
      <c r="A1234" s="3" t="s">
        <v>873</v>
      </c>
      <c r="B1234" s="3" t="s">
        <v>876</v>
      </c>
      <c r="C1234" s="3" t="s">
        <v>55</v>
      </c>
    </row>
    <row r="1235" spans="1:3" x14ac:dyDescent="0.2">
      <c r="A1235" s="3" t="s">
        <v>873</v>
      </c>
      <c r="B1235" s="3" t="s">
        <v>874</v>
      </c>
      <c r="C1235" s="3" t="s">
        <v>56</v>
      </c>
    </row>
    <row r="1236" spans="1:3" x14ac:dyDescent="0.2">
      <c r="A1236" s="3" t="s">
        <v>873</v>
      </c>
      <c r="B1236" s="3" t="s">
        <v>875</v>
      </c>
      <c r="C1236" s="3" t="s">
        <v>56</v>
      </c>
    </row>
    <row r="1237" spans="1:3" x14ac:dyDescent="0.2">
      <c r="A1237" s="3" t="s">
        <v>873</v>
      </c>
      <c r="B1237" s="3" t="s">
        <v>876</v>
      </c>
      <c r="C1237" s="3" t="s">
        <v>56</v>
      </c>
    </row>
    <row r="1238" spans="1:3" x14ac:dyDescent="0.2">
      <c r="A1238" s="3" t="s">
        <v>873</v>
      </c>
      <c r="B1238" s="3" t="s">
        <v>874</v>
      </c>
      <c r="C1238" s="3" t="s">
        <v>57</v>
      </c>
    </row>
    <row r="1239" spans="1:3" x14ac:dyDescent="0.2">
      <c r="A1239" s="3" t="s">
        <v>873</v>
      </c>
      <c r="B1239" s="3" t="s">
        <v>875</v>
      </c>
      <c r="C1239" s="3" t="s">
        <v>57</v>
      </c>
    </row>
    <row r="1240" spans="1:3" x14ac:dyDescent="0.2">
      <c r="A1240" s="3" t="s">
        <v>873</v>
      </c>
      <c r="B1240" s="3" t="s">
        <v>876</v>
      </c>
      <c r="C1240" s="3" t="s">
        <v>57</v>
      </c>
    </row>
    <row r="1241" spans="1:3" x14ac:dyDescent="0.2">
      <c r="A1241" s="3" t="s">
        <v>873</v>
      </c>
      <c r="B1241" s="3" t="s">
        <v>877</v>
      </c>
      <c r="C1241" s="3" t="s">
        <v>169</v>
      </c>
    </row>
    <row r="1242" spans="1:3" x14ac:dyDescent="0.2">
      <c r="A1242" s="3" t="s">
        <v>873</v>
      </c>
      <c r="B1242" s="3" t="s">
        <v>878</v>
      </c>
      <c r="C1242" s="3" t="s">
        <v>169</v>
      </c>
    </row>
    <row r="1243" spans="1:3" x14ac:dyDescent="0.2">
      <c r="A1243" s="3" t="s">
        <v>885</v>
      </c>
      <c r="B1243" s="3" t="s">
        <v>886</v>
      </c>
      <c r="C1243" s="3" t="s">
        <v>53</v>
      </c>
    </row>
    <row r="1244" spans="1:3" x14ac:dyDescent="0.2">
      <c r="A1244" s="3" t="s">
        <v>885</v>
      </c>
      <c r="B1244" s="3" t="s">
        <v>887</v>
      </c>
      <c r="C1244" s="3" t="s">
        <v>53</v>
      </c>
    </row>
    <row r="1245" spans="1:3" x14ac:dyDescent="0.2">
      <c r="A1245" s="3" t="s">
        <v>885</v>
      </c>
      <c r="B1245" s="3" t="s">
        <v>888</v>
      </c>
      <c r="C1245" s="3" t="s">
        <v>53</v>
      </c>
    </row>
    <row r="1246" spans="1:3" x14ac:dyDescent="0.2">
      <c r="A1246" s="3" t="s">
        <v>885</v>
      </c>
      <c r="B1246" s="3" t="s">
        <v>871</v>
      </c>
      <c r="C1246" s="3" t="s">
        <v>53</v>
      </c>
    </row>
    <row r="1247" spans="1:3" x14ac:dyDescent="0.2">
      <c r="A1247" s="3" t="s">
        <v>885</v>
      </c>
      <c r="B1247" s="3" t="s">
        <v>889</v>
      </c>
      <c r="C1247" s="3" t="s">
        <v>53</v>
      </c>
    </row>
    <row r="1248" spans="1:3" x14ac:dyDescent="0.2">
      <c r="A1248" s="3" t="s">
        <v>885</v>
      </c>
      <c r="B1248" s="3" t="s">
        <v>890</v>
      </c>
      <c r="C1248" s="3" t="s">
        <v>53</v>
      </c>
    </row>
    <row r="1249" spans="1:3" x14ac:dyDescent="0.2">
      <c r="A1249" s="3" t="s">
        <v>885</v>
      </c>
      <c r="B1249" s="3" t="s">
        <v>886</v>
      </c>
      <c r="C1249" s="3" t="s">
        <v>54</v>
      </c>
    </row>
    <row r="1250" spans="1:3" x14ac:dyDescent="0.2">
      <c r="A1250" s="3" t="s">
        <v>885</v>
      </c>
      <c r="B1250" s="3" t="s">
        <v>887</v>
      </c>
      <c r="C1250" s="3" t="s">
        <v>54</v>
      </c>
    </row>
    <row r="1251" spans="1:3" x14ac:dyDescent="0.2">
      <c r="A1251" s="3" t="s">
        <v>885</v>
      </c>
      <c r="B1251" s="3" t="s">
        <v>888</v>
      </c>
      <c r="C1251" s="3" t="s">
        <v>54</v>
      </c>
    </row>
    <row r="1252" spans="1:3" x14ac:dyDescent="0.2">
      <c r="A1252" s="3" t="s">
        <v>885</v>
      </c>
      <c r="B1252" s="3" t="s">
        <v>871</v>
      </c>
      <c r="C1252" s="3" t="s">
        <v>54</v>
      </c>
    </row>
    <row r="1253" spans="1:3" x14ac:dyDescent="0.2">
      <c r="A1253" s="3" t="s">
        <v>885</v>
      </c>
      <c r="B1253" s="3" t="s">
        <v>889</v>
      </c>
      <c r="C1253" s="3" t="s">
        <v>54</v>
      </c>
    </row>
    <row r="1254" spans="1:3" x14ac:dyDescent="0.2">
      <c r="A1254" s="3" t="s">
        <v>885</v>
      </c>
      <c r="B1254" s="3" t="s">
        <v>890</v>
      </c>
      <c r="C1254" s="3" t="s">
        <v>54</v>
      </c>
    </row>
    <row r="1255" spans="1:3" x14ac:dyDescent="0.2">
      <c r="A1255" s="3" t="s">
        <v>885</v>
      </c>
      <c r="B1255" s="3" t="s">
        <v>886</v>
      </c>
      <c r="C1255" s="3" t="s">
        <v>55</v>
      </c>
    </row>
    <row r="1256" spans="1:3" x14ac:dyDescent="0.2">
      <c r="A1256" s="3" t="s">
        <v>885</v>
      </c>
      <c r="B1256" s="3" t="s">
        <v>887</v>
      </c>
      <c r="C1256" s="3" t="s">
        <v>55</v>
      </c>
    </row>
    <row r="1257" spans="1:3" x14ac:dyDescent="0.2">
      <c r="A1257" s="3" t="s">
        <v>885</v>
      </c>
      <c r="B1257" s="3" t="s">
        <v>888</v>
      </c>
      <c r="C1257" s="3" t="s">
        <v>55</v>
      </c>
    </row>
    <row r="1258" spans="1:3" x14ac:dyDescent="0.2">
      <c r="A1258" s="3" t="s">
        <v>885</v>
      </c>
      <c r="B1258" s="3" t="s">
        <v>871</v>
      </c>
      <c r="C1258" s="3" t="s">
        <v>55</v>
      </c>
    </row>
    <row r="1259" spans="1:3" x14ac:dyDescent="0.2">
      <c r="A1259" s="3" t="s">
        <v>885</v>
      </c>
      <c r="B1259" s="3" t="s">
        <v>889</v>
      </c>
      <c r="C1259" s="3" t="s">
        <v>55</v>
      </c>
    </row>
    <row r="1260" spans="1:3" x14ac:dyDescent="0.2">
      <c r="A1260" s="3" t="s">
        <v>885</v>
      </c>
      <c r="B1260" s="3" t="s">
        <v>890</v>
      </c>
      <c r="C1260" s="3" t="s">
        <v>55</v>
      </c>
    </row>
    <row r="1261" spans="1:3" x14ac:dyDescent="0.2">
      <c r="A1261" s="3" t="s">
        <v>885</v>
      </c>
      <c r="B1261" s="3" t="s">
        <v>886</v>
      </c>
      <c r="C1261" s="3" t="s">
        <v>56</v>
      </c>
    </row>
    <row r="1262" spans="1:3" x14ac:dyDescent="0.2">
      <c r="A1262" s="3" t="s">
        <v>885</v>
      </c>
      <c r="B1262" s="3" t="s">
        <v>887</v>
      </c>
      <c r="C1262" s="3" t="s">
        <v>56</v>
      </c>
    </row>
    <row r="1263" spans="1:3" x14ac:dyDescent="0.2">
      <c r="A1263" s="3" t="s">
        <v>885</v>
      </c>
      <c r="B1263" s="3" t="s">
        <v>888</v>
      </c>
      <c r="C1263" s="3" t="s">
        <v>56</v>
      </c>
    </row>
    <row r="1264" spans="1:3" x14ac:dyDescent="0.2">
      <c r="A1264" s="3" t="s">
        <v>885</v>
      </c>
      <c r="B1264" s="3" t="s">
        <v>871</v>
      </c>
      <c r="C1264" s="3" t="s">
        <v>56</v>
      </c>
    </row>
    <row r="1265" spans="1:3" x14ac:dyDescent="0.2">
      <c r="A1265" s="3" t="s">
        <v>885</v>
      </c>
      <c r="B1265" s="3" t="s">
        <v>889</v>
      </c>
      <c r="C1265" s="3" t="s">
        <v>56</v>
      </c>
    </row>
    <row r="1266" spans="1:3" x14ac:dyDescent="0.2">
      <c r="A1266" s="3" t="s">
        <v>885</v>
      </c>
      <c r="B1266" s="3" t="s">
        <v>890</v>
      </c>
      <c r="C1266" s="3" t="s">
        <v>56</v>
      </c>
    </row>
    <row r="1267" spans="1:3" x14ac:dyDescent="0.2">
      <c r="A1267" s="3" t="s">
        <v>885</v>
      </c>
      <c r="B1267" s="3" t="s">
        <v>886</v>
      </c>
      <c r="C1267" s="3" t="s">
        <v>57</v>
      </c>
    </row>
    <row r="1268" spans="1:3" x14ac:dyDescent="0.2">
      <c r="A1268" s="3" t="s">
        <v>885</v>
      </c>
      <c r="B1268" s="3" t="s">
        <v>887</v>
      </c>
      <c r="C1268" s="3" t="s">
        <v>57</v>
      </c>
    </row>
    <row r="1269" spans="1:3" x14ac:dyDescent="0.2">
      <c r="A1269" s="3" t="s">
        <v>885</v>
      </c>
      <c r="B1269" s="3" t="s">
        <v>888</v>
      </c>
      <c r="C1269" s="3" t="s">
        <v>57</v>
      </c>
    </row>
    <row r="1270" spans="1:3" x14ac:dyDescent="0.2">
      <c r="A1270" s="3" t="s">
        <v>885</v>
      </c>
      <c r="B1270" s="3" t="s">
        <v>871</v>
      </c>
      <c r="C1270" s="3" t="s">
        <v>57</v>
      </c>
    </row>
    <row r="1271" spans="1:3" x14ac:dyDescent="0.2">
      <c r="A1271" s="3" t="s">
        <v>885</v>
      </c>
      <c r="B1271" s="3" t="s">
        <v>889</v>
      </c>
      <c r="C1271" s="3" t="s">
        <v>57</v>
      </c>
    </row>
    <row r="1272" spans="1:3" x14ac:dyDescent="0.2">
      <c r="A1272" s="3" t="s">
        <v>885</v>
      </c>
      <c r="B1272" s="3" t="s">
        <v>890</v>
      </c>
      <c r="C1272" s="3" t="s">
        <v>57</v>
      </c>
    </row>
    <row r="1273" spans="1:3" x14ac:dyDescent="0.2">
      <c r="A1273" s="3" t="s">
        <v>885</v>
      </c>
      <c r="B1273" s="3" t="s">
        <v>891</v>
      </c>
      <c r="C1273" s="3" t="s">
        <v>169</v>
      </c>
    </row>
    <row r="1274" spans="1:3" x14ac:dyDescent="0.2">
      <c r="A1274" s="3" t="s">
        <v>943</v>
      </c>
      <c r="B1274" s="3" t="s">
        <v>923</v>
      </c>
      <c r="C1274" s="3" t="s">
        <v>53</v>
      </c>
    </row>
    <row r="1275" spans="1:3" x14ac:dyDescent="0.2">
      <c r="A1275" s="3" t="s">
        <v>943</v>
      </c>
      <c r="B1275" s="3" t="s">
        <v>924</v>
      </c>
      <c r="C1275" s="3" t="s">
        <v>53</v>
      </c>
    </row>
    <row r="1276" spans="1:3" x14ac:dyDescent="0.2">
      <c r="A1276" s="3" t="s">
        <v>943</v>
      </c>
      <c r="B1276" s="3" t="s">
        <v>925</v>
      </c>
      <c r="C1276" s="3" t="s">
        <v>53</v>
      </c>
    </row>
    <row r="1277" spans="1:3" x14ac:dyDescent="0.2">
      <c r="A1277" s="3" t="s">
        <v>943</v>
      </c>
      <c r="B1277" s="3" t="s">
        <v>926</v>
      </c>
      <c r="C1277" s="3" t="s">
        <v>53</v>
      </c>
    </row>
    <row r="1278" spans="1:3" x14ac:dyDescent="0.2">
      <c r="A1278" s="3" t="s">
        <v>943</v>
      </c>
      <c r="B1278" s="3" t="s">
        <v>944</v>
      </c>
      <c r="C1278" s="3" t="s">
        <v>53</v>
      </c>
    </row>
    <row r="1279" spans="1:3" x14ac:dyDescent="0.2">
      <c r="A1279" s="3" t="s">
        <v>943</v>
      </c>
      <c r="B1279" s="3" t="s">
        <v>945</v>
      </c>
      <c r="C1279" s="3" t="s">
        <v>53</v>
      </c>
    </row>
    <row r="1280" spans="1:3" x14ac:dyDescent="0.2">
      <c r="A1280" s="3" t="s">
        <v>943</v>
      </c>
      <c r="B1280" s="3" t="s">
        <v>927</v>
      </c>
      <c r="C1280" s="3" t="s">
        <v>53</v>
      </c>
    </row>
    <row r="1281" spans="1:3" x14ac:dyDescent="0.2">
      <c r="A1281" s="3" t="s">
        <v>943</v>
      </c>
      <c r="B1281" s="3" t="s">
        <v>929</v>
      </c>
      <c r="C1281" s="3" t="s">
        <v>53</v>
      </c>
    </row>
    <row r="1282" spans="1:3" x14ac:dyDescent="0.2">
      <c r="A1282" s="3" t="s">
        <v>943</v>
      </c>
      <c r="B1282" s="3" t="s">
        <v>946</v>
      </c>
      <c r="C1282" s="3" t="s">
        <v>53</v>
      </c>
    </row>
    <row r="1283" spans="1:3" x14ac:dyDescent="0.2">
      <c r="A1283" s="3" t="s">
        <v>943</v>
      </c>
      <c r="B1283" s="3" t="s">
        <v>947</v>
      </c>
      <c r="C1283" s="3" t="s">
        <v>53</v>
      </c>
    </row>
    <row r="1284" spans="1:3" x14ac:dyDescent="0.2">
      <c r="A1284" s="3" t="s">
        <v>943</v>
      </c>
      <c r="B1284" s="3" t="s">
        <v>948</v>
      </c>
      <c r="C1284" s="3" t="s">
        <v>53</v>
      </c>
    </row>
    <row r="1285" spans="1:3" x14ac:dyDescent="0.2">
      <c r="A1285" s="3" t="s">
        <v>943</v>
      </c>
      <c r="B1285" s="3" t="s">
        <v>949</v>
      </c>
      <c r="C1285" s="3" t="s">
        <v>53</v>
      </c>
    </row>
    <row r="1286" spans="1:3" x14ac:dyDescent="0.2">
      <c r="A1286" s="3" t="s">
        <v>943</v>
      </c>
      <c r="B1286" s="3" t="s">
        <v>950</v>
      </c>
      <c r="C1286" s="3" t="s">
        <v>53</v>
      </c>
    </row>
    <row r="1287" spans="1:3" x14ac:dyDescent="0.2">
      <c r="A1287" s="3" t="s">
        <v>943</v>
      </c>
      <c r="B1287" s="3" t="s">
        <v>923</v>
      </c>
      <c r="C1287" s="3" t="s">
        <v>54</v>
      </c>
    </row>
    <row r="1288" spans="1:3" x14ac:dyDescent="0.2">
      <c r="A1288" s="3" t="s">
        <v>943</v>
      </c>
      <c r="B1288" s="3" t="s">
        <v>924</v>
      </c>
      <c r="C1288" s="3" t="s">
        <v>54</v>
      </c>
    </row>
    <row r="1289" spans="1:3" x14ac:dyDescent="0.2">
      <c r="A1289" s="3" t="s">
        <v>943</v>
      </c>
      <c r="B1289" s="3" t="s">
        <v>925</v>
      </c>
      <c r="C1289" s="3" t="s">
        <v>54</v>
      </c>
    </row>
    <row r="1290" spans="1:3" x14ac:dyDescent="0.2">
      <c r="A1290" s="3" t="s">
        <v>943</v>
      </c>
      <c r="B1290" s="3" t="s">
        <v>926</v>
      </c>
      <c r="C1290" s="3" t="s">
        <v>54</v>
      </c>
    </row>
    <row r="1291" spans="1:3" x14ac:dyDescent="0.2">
      <c r="A1291" s="3" t="s">
        <v>943</v>
      </c>
      <c r="B1291" s="3" t="s">
        <v>944</v>
      </c>
      <c r="C1291" s="3" t="s">
        <v>54</v>
      </c>
    </row>
    <row r="1292" spans="1:3" x14ac:dyDescent="0.2">
      <c r="A1292" s="3" t="s">
        <v>943</v>
      </c>
      <c r="B1292" s="3" t="s">
        <v>945</v>
      </c>
      <c r="C1292" s="3" t="s">
        <v>54</v>
      </c>
    </row>
    <row r="1293" spans="1:3" x14ac:dyDescent="0.2">
      <c r="A1293" s="3" t="s">
        <v>943</v>
      </c>
      <c r="B1293" s="3" t="s">
        <v>927</v>
      </c>
      <c r="C1293" s="3" t="s">
        <v>54</v>
      </c>
    </row>
    <row r="1294" spans="1:3" x14ac:dyDescent="0.2">
      <c r="A1294" s="3" t="s">
        <v>943</v>
      </c>
      <c r="B1294" s="3" t="s">
        <v>929</v>
      </c>
      <c r="C1294" s="3" t="s">
        <v>54</v>
      </c>
    </row>
    <row r="1295" spans="1:3" x14ac:dyDescent="0.2">
      <c r="A1295" s="3" t="s">
        <v>943</v>
      </c>
      <c r="B1295" s="3" t="s">
        <v>946</v>
      </c>
      <c r="C1295" s="3" t="s">
        <v>54</v>
      </c>
    </row>
    <row r="1296" spans="1:3" x14ac:dyDescent="0.2">
      <c r="A1296" s="3" t="s">
        <v>943</v>
      </c>
      <c r="B1296" s="3" t="s">
        <v>947</v>
      </c>
      <c r="C1296" s="3" t="s">
        <v>54</v>
      </c>
    </row>
    <row r="1297" spans="1:3" x14ac:dyDescent="0.2">
      <c r="A1297" s="3" t="s">
        <v>943</v>
      </c>
      <c r="B1297" s="3" t="s">
        <v>948</v>
      </c>
      <c r="C1297" s="3" t="s">
        <v>54</v>
      </c>
    </row>
    <row r="1298" spans="1:3" x14ac:dyDescent="0.2">
      <c r="A1298" s="3" t="s">
        <v>943</v>
      </c>
      <c r="B1298" s="3" t="s">
        <v>949</v>
      </c>
      <c r="C1298" s="3" t="s">
        <v>54</v>
      </c>
    </row>
    <row r="1299" spans="1:3" x14ac:dyDescent="0.2">
      <c r="A1299" s="3" t="s">
        <v>943</v>
      </c>
      <c r="B1299" s="3" t="s">
        <v>950</v>
      </c>
      <c r="C1299" s="3" t="s">
        <v>54</v>
      </c>
    </row>
    <row r="1300" spans="1:3" x14ac:dyDescent="0.2">
      <c r="A1300" s="3" t="s">
        <v>943</v>
      </c>
      <c r="B1300" s="3" t="s">
        <v>923</v>
      </c>
      <c r="C1300" s="3" t="s">
        <v>55</v>
      </c>
    </row>
    <row r="1301" spans="1:3" x14ac:dyDescent="0.2">
      <c r="A1301" s="3" t="s">
        <v>943</v>
      </c>
      <c r="B1301" s="3" t="s">
        <v>924</v>
      </c>
      <c r="C1301" s="3" t="s">
        <v>55</v>
      </c>
    </row>
    <row r="1302" spans="1:3" x14ac:dyDescent="0.2">
      <c r="A1302" s="3" t="s">
        <v>943</v>
      </c>
      <c r="B1302" s="3" t="s">
        <v>925</v>
      </c>
      <c r="C1302" s="3" t="s">
        <v>55</v>
      </c>
    </row>
    <row r="1303" spans="1:3" x14ac:dyDescent="0.2">
      <c r="A1303" s="3" t="s">
        <v>943</v>
      </c>
      <c r="B1303" s="3" t="s">
        <v>926</v>
      </c>
      <c r="C1303" s="3" t="s">
        <v>55</v>
      </c>
    </row>
    <row r="1304" spans="1:3" x14ac:dyDescent="0.2">
      <c r="A1304" s="3" t="s">
        <v>943</v>
      </c>
      <c r="B1304" s="3" t="s">
        <v>944</v>
      </c>
      <c r="C1304" s="3" t="s">
        <v>55</v>
      </c>
    </row>
    <row r="1305" spans="1:3" x14ac:dyDescent="0.2">
      <c r="A1305" s="3" t="s">
        <v>943</v>
      </c>
      <c r="B1305" s="3" t="s">
        <v>945</v>
      </c>
      <c r="C1305" s="3" t="s">
        <v>55</v>
      </c>
    </row>
    <row r="1306" spans="1:3" x14ac:dyDescent="0.2">
      <c r="A1306" s="3" t="s">
        <v>943</v>
      </c>
      <c r="B1306" s="3" t="s">
        <v>927</v>
      </c>
      <c r="C1306" s="3" t="s">
        <v>55</v>
      </c>
    </row>
    <row r="1307" spans="1:3" x14ac:dyDescent="0.2">
      <c r="A1307" s="3" t="s">
        <v>943</v>
      </c>
      <c r="B1307" s="3" t="s">
        <v>929</v>
      </c>
      <c r="C1307" s="3" t="s">
        <v>55</v>
      </c>
    </row>
    <row r="1308" spans="1:3" x14ac:dyDescent="0.2">
      <c r="A1308" s="3" t="s">
        <v>943</v>
      </c>
      <c r="B1308" s="3" t="s">
        <v>946</v>
      </c>
      <c r="C1308" s="3" t="s">
        <v>55</v>
      </c>
    </row>
    <row r="1309" spans="1:3" x14ac:dyDescent="0.2">
      <c r="A1309" s="3" t="s">
        <v>943</v>
      </c>
      <c r="B1309" s="3" t="s">
        <v>947</v>
      </c>
      <c r="C1309" s="3" t="s">
        <v>55</v>
      </c>
    </row>
    <row r="1310" spans="1:3" x14ac:dyDescent="0.2">
      <c r="A1310" s="3" t="s">
        <v>943</v>
      </c>
      <c r="B1310" s="3" t="s">
        <v>948</v>
      </c>
      <c r="C1310" s="3" t="s">
        <v>55</v>
      </c>
    </row>
    <row r="1311" spans="1:3" x14ac:dyDescent="0.2">
      <c r="A1311" s="3" t="s">
        <v>943</v>
      </c>
      <c r="B1311" s="3" t="s">
        <v>949</v>
      </c>
      <c r="C1311" s="3" t="s">
        <v>55</v>
      </c>
    </row>
    <row r="1312" spans="1:3" x14ac:dyDescent="0.2">
      <c r="A1312" s="3" t="s">
        <v>943</v>
      </c>
      <c r="B1312" s="3" t="s">
        <v>950</v>
      </c>
      <c r="C1312" s="3" t="s">
        <v>55</v>
      </c>
    </row>
    <row r="1313" spans="1:3" x14ac:dyDescent="0.2">
      <c r="A1313" s="3" t="s">
        <v>943</v>
      </c>
      <c r="B1313" s="3" t="s">
        <v>923</v>
      </c>
      <c r="C1313" s="3" t="s">
        <v>56</v>
      </c>
    </row>
    <row r="1314" spans="1:3" x14ac:dyDescent="0.2">
      <c r="A1314" s="3" t="s">
        <v>943</v>
      </c>
      <c r="B1314" s="3" t="s">
        <v>924</v>
      </c>
      <c r="C1314" s="3" t="s">
        <v>56</v>
      </c>
    </row>
    <row r="1315" spans="1:3" x14ac:dyDescent="0.2">
      <c r="A1315" s="3" t="s">
        <v>943</v>
      </c>
      <c r="B1315" s="3" t="s">
        <v>925</v>
      </c>
      <c r="C1315" s="3" t="s">
        <v>56</v>
      </c>
    </row>
    <row r="1316" spans="1:3" x14ac:dyDescent="0.2">
      <c r="A1316" s="3" t="s">
        <v>943</v>
      </c>
      <c r="B1316" s="3" t="s">
        <v>926</v>
      </c>
      <c r="C1316" s="3" t="s">
        <v>56</v>
      </c>
    </row>
    <row r="1317" spans="1:3" x14ac:dyDescent="0.2">
      <c r="A1317" s="3" t="s">
        <v>943</v>
      </c>
      <c r="B1317" s="3" t="s">
        <v>944</v>
      </c>
      <c r="C1317" s="3" t="s">
        <v>56</v>
      </c>
    </row>
    <row r="1318" spans="1:3" x14ac:dyDescent="0.2">
      <c r="A1318" s="3" t="s">
        <v>943</v>
      </c>
      <c r="B1318" s="3" t="s">
        <v>945</v>
      </c>
      <c r="C1318" s="3" t="s">
        <v>56</v>
      </c>
    </row>
    <row r="1319" spans="1:3" x14ac:dyDescent="0.2">
      <c r="A1319" s="3" t="s">
        <v>943</v>
      </c>
      <c r="B1319" s="3" t="s">
        <v>927</v>
      </c>
      <c r="C1319" s="3" t="s">
        <v>56</v>
      </c>
    </row>
    <row r="1320" spans="1:3" x14ac:dyDescent="0.2">
      <c r="A1320" s="3" t="s">
        <v>943</v>
      </c>
      <c r="B1320" s="3" t="s">
        <v>929</v>
      </c>
      <c r="C1320" s="3" t="s">
        <v>56</v>
      </c>
    </row>
    <row r="1321" spans="1:3" x14ac:dyDescent="0.2">
      <c r="A1321" s="3" t="s">
        <v>943</v>
      </c>
      <c r="B1321" s="3" t="s">
        <v>946</v>
      </c>
      <c r="C1321" s="3" t="s">
        <v>56</v>
      </c>
    </row>
    <row r="1322" spans="1:3" x14ac:dyDescent="0.2">
      <c r="A1322" s="3" t="s">
        <v>943</v>
      </c>
      <c r="B1322" s="3" t="s">
        <v>947</v>
      </c>
      <c r="C1322" s="3" t="s">
        <v>56</v>
      </c>
    </row>
    <row r="1323" spans="1:3" x14ac:dyDescent="0.2">
      <c r="A1323" s="3" t="s">
        <v>943</v>
      </c>
      <c r="B1323" s="3" t="s">
        <v>948</v>
      </c>
      <c r="C1323" s="3" t="s">
        <v>56</v>
      </c>
    </row>
    <row r="1324" spans="1:3" x14ac:dyDescent="0.2">
      <c r="A1324" s="3" t="s">
        <v>943</v>
      </c>
      <c r="B1324" s="3" t="s">
        <v>949</v>
      </c>
      <c r="C1324" s="3" t="s">
        <v>56</v>
      </c>
    </row>
    <row r="1325" spans="1:3" x14ac:dyDescent="0.2">
      <c r="A1325" s="3" t="s">
        <v>943</v>
      </c>
      <c r="B1325" s="3" t="s">
        <v>950</v>
      </c>
      <c r="C1325" s="3" t="s">
        <v>56</v>
      </c>
    </row>
    <row r="1326" spans="1:3" x14ac:dyDescent="0.2">
      <c r="A1326" s="3" t="s">
        <v>943</v>
      </c>
      <c r="B1326" s="3" t="s">
        <v>923</v>
      </c>
      <c r="C1326" s="3" t="s">
        <v>57</v>
      </c>
    </row>
    <row r="1327" spans="1:3" x14ac:dyDescent="0.2">
      <c r="A1327" s="3" t="s">
        <v>943</v>
      </c>
      <c r="B1327" s="3" t="s">
        <v>924</v>
      </c>
      <c r="C1327" s="3" t="s">
        <v>57</v>
      </c>
    </row>
    <row r="1328" spans="1:3" x14ac:dyDescent="0.2">
      <c r="A1328" s="3" t="s">
        <v>943</v>
      </c>
      <c r="B1328" s="3" t="s">
        <v>925</v>
      </c>
      <c r="C1328" s="3" t="s">
        <v>57</v>
      </c>
    </row>
    <row r="1329" spans="1:3" x14ac:dyDescent="0.2">
      <c r="A1329" s="3" t="s">
        <v>943</v>
      </c>
      <c r="B1329" s="3" t="s">
        <v>926</v>
      </c>
      <c r="C1329" s="3" t="s">
        <v>57</v>
      </c>
    </row>
    <row r="1330" spans="1:3" x14ac:dyDescent="0.2">
      <c r="A1330" s="3" t="s">
        <v>943</v>
      </c>
      <c r="B1330" s="3" t="s">
        <v>944</v>
      </c>
      <c r="C1330" s="3" t="s">
        <v>57</v>
      </c>
    </row>
    <row r="1331" spans="1:3" x14ac:dyDescent="0.2">
      <c r="A1331" s="3" t="s">
        <v>943</v>
      </c>
      <c r="B1331" s="3" t="s">
        <v>945</v>
      </c>
      <c r="C1331" s="3" t="s">
        <v>57</v>
      </c>
    </row>
    <row r="1332" spans="1:3" x14ac:dyDescent="0.2">
      <c r="A1332" s="3" t="s">
        <v>943</v>
      </c>
      <c r="B1332" s="3" t="s">
        <v>927</v>
      </c>
      <c r="C1332" s="3" t="s">
        <v>57</v>
      </c>
    </row>
    <row r="1333" spans="1:3" x14ac:dyDescent="0.2">
      <c r="A1333" s="3" t="s">
        <v>943</v>
      </c>
      <c r="B1333" s="3" t="s">
        <v>929</v>
      </c>
      <c r="C1333" s="3" t="s">
        <v>57</v>
      </c>
    </row>
    <row r="1334" spans="1:3" x14ac:dyDescent="0.2">
      <c r="A1334" s="3" t="s">
        <v>943</v>
      </c>
      <c r="B1334" s="3" t="s">
        <v>946</v>
      </c>
      <c r="C1334" s="3" t="s">
        <v>57</v>
      </c>
    </row>
    <row r="1335" spans="1:3" x14ac:dyDescent="0.2">
      <c r="A1335" s="3" t="s">
        <v>943</v>
      </c>
      <c r="B1335" s="3" t="s">
        <v>947</v>
      </c>
      <c r="C1335" s="3" t="s">
        <v>57</v>
      </c>
    </row>
    <row r="1336" spans="1:3" x14ac:dyDescent="0.2">
      <c r="A1336" s="3" t="s">
        <v>943</v>
      </c>
      <c r="B1336" s="3" t="s">
        <v>948</v>
      </c>
      <c r="C1336" s="3" t="s">
        <v>57</v>
      </c>
    </row>
    <row r="1337" spans="1:3" x14ac:dyDescent="0.2">
      <c r="A1337" s="3" t="s">
        <v>943</v>
      </c>
      <c r="B1337" s="3" t="s">
        <v>949</v>
      </c>
      <c r="C1337" s="3" t="s">
        <v>57</v>
      </c>
    </row>
    <row r="1338" spans="1:3" x14ac:dyDescent="0.2">
      <c r="A1338" s="3" t="s">
        <v>943</v>
      </c>
      <c r="B1338" s="3" t="s">
        <v>950</v>
      </c>
      <c r="C1338" s="3" t="s">
        <v>57</v>
      </c>
    </row>
    <row r="1339" spans="1:3" x14ac:dyDescent="0.2">
      <c r="A1339" s="3" t="s">
        <v>943</v>
      </c>
      <c r="B1339" s="3" t="s">
        <v>951</v>
      </c>
      <c r="C1339" s="3" t="s">
        <v>169</v>
      </c>
    </row>
    <row r="1340" spans="1:3" x14ac:dyDescent="0.2">
      <c r="A1340" s="3" t="s">
        <v>943</v>
      </c>
      <c r="B1340" s="3" t="s">
        <v>952</v>
      </c>
      <c r="C1340" s="3" t="s">
        <v>169</v>
      </c>
    </row>
    <row r="1341" spans="1:3" x14ac:dyDescent="0.2">
      <c r="A1341" s="3" t="s">
        <v>943</v>
      </c>
      <c r="B1341" s="3" t="s">
        <v>953</v>
      </c>
      <c r="C1341" s="3" t="s">
        <v>169</v>
      </c>
    </row>
    <row r="1342" spans="1:3" x14ac:dyDescent="0.2">
      <c r="A1342" s="3" t="s">
        <v>943</v>
      </c>
      <c r="B1342" s="3" t="s">
        <v>954</v>
      </c>
      <c r="C1342" s="3" t="s">
        <v>169</v>
      </c>
    </row>
    <row r="1343" spans="1:3" x14ac:dyDescent="0.2">
      <c r="A1343" s="3" t="s">
        <v>943</v>
      </c>
      <c r="B1343" s="3" t="s">
        <v>955</v>
      </c>
      <c r="C1343" s="3" t="s">
        <v>169</v>
      </c>
    </row>
    <row r="1344" spans="1:3" x14ac:dyDescent="0.2">
      <c r="A1344" s="3" t="s">
        <v>943</v>
      </c>
      <c r="B1344" s="3" t="s">
        <v>956</v>
      </c>
      <c r="C1344" s="3" t="s">
        <v>169</v>
      </c>
    </row>
    <row r="1345" spans="1:3" x14ac:dyDescent="0.2">
      <c r="A1345" s="3" t="s">
        <v>943</v>
      </c>
      <c r="B1345" s="3" t="s">
        <v>957</v>
      </c>
      <c r="C1345" s="3" t="s">
        <v>169</v>
      </c>
    </row>
    <row r="1346" spans="1:3" x14ac:dyDescent="0.2">
      <c r="A1346" s="3" t="s">
        <v>943</v>
      </c>
      <c r="B1346" s="3" t="s">
        <v>958</v>
      </c>
      <c r="C1346" s="3" t="s">
        <v>169</v>
      </c>
    </row>
    <row r="1347" spans="1:3" x14ac:dyDescent="0.2">
      <c r="A1347" s="3" t="s">
        <v>943</v>
      </c>
      <c r="B1347" s="3" t="s">
        <v>959</v>
      </c>
      <c r="C1347" s="3" t="s">
        <v>169</v>
      </c>
    </row>
    <row r="1348" spans="1:3" x14ac:dyDescent="0.2">
      <c r="A1348" s="3" t="s">
        <v>943</v>
      </c>
      <c r="B1348" s="3" t="s">
        <v>960</v>
      </c>
      <c r="C1348" s="3" t="s">
        <v>169</v>
      </c>
    </row>
    <row r="1349" spans="1:3" x14ac:dyDescent="0.2">
      <c r="A1349" s="3" t="s">
        <v>943</v>
      </c>
      <c r="B1349" s="3" t="s">
        <v>961</v>
      </c>
      <c r="C1349" s="3" t="s">
        <v>169</v>
      </c>
    </row>
    <row r="1350" spans="1:3" x14ac:dyDescent="0.2">
      <c r="A1350" s="3" t="s">
        <v>943</v>
      </c>
      <c r="B1350" s="3" t="s">
        <v>962</v>
      </c>
      <c r="C1350" s="3" t="s">
        <v>169</v>
      </c>
    </row>
    <row r="1351" spans="1:3" x14ac:dyDescent="0.2">
      <c r="A1351" s="3" t="s">
        <v>1065</v>
      </c>
      <c r="B1351" s="3" t="s">
        <v>1045</v>
      </c>
      <c r="C1351" s="3" t="s">
        <v>53</v>
      </c>
    </row>
    <row r="1352" spans="1:3" x14ac:dyDescent="0.2">
      <c r="A1352" s="3" t="s">
        <v>1065</v>
      </c>
      <c r="B1352" s="3" t="s">
        <v>1045</v>
      </c>
      <c r="C1352" s="3" t="s">
        <v>54</v>
      </c>
    </row>
    <row r="1353" spans="1:3" x14ac:dyDescent="0.2">
      <c r="A1353" s="3" t="s">
        <v>1065</v>
      </c>
      <c r="B1353" s="3" t="s">
        <v>1045</v>
      </c>
      <c r="C1353" s="3" t="s">
        <v>55</v>
      </c>
    </row>
    <row r="1354" spans="1:3" x14ac:dyDescent="0.2">
      <c r="A1354" s="3" t="s">
        <v>1065</v>
      </c>
      <c r="B1354" s="3" t="s">
        <v>1045</v>
      </c>
      <c r="C1354" s="3" t="s">
        <v>56</v>
      </c>
    </row>
    <row r="1355" spans="1:3" x14ac:dyDescent="0.2">
      <c r="A1355" s="3" t="s">
        <v>1065</v>
      </c>
      <c r="B1355" s="3" t="s">
        <v>1045</v>
      </c>
      <c r="C1355" s="3" t="s">
        <v>57</v>
      </c>
    </row>
    <row r="1356" spans="1:3" x14ac:dyDescent="0.2">
      <c r="A1356" s="3" t="s">
        <v>1066</v>
      </c>
      <c r="B1356" s="3" t="s">
        <v>1067</v>
      </c>
      <c r="C1356" s="3" t="s">
        <v>53</v>
      </c>
    </row>
    <row r="1357" spans="1:3" x14ac:dyDescent="0.2">
      <c r="A1357" s="3" t="s">
        <v>1066</v>
      </c>
      <c r="B1357" s="3" t="s">
        <v>1068</v>
      </c>
      <c r="C1357" s="3" t="s">
        <v>53</v>
      </c>
    </row>
    <row r="1358" spans="1:3" x14ac:dyDescent="0.2">
      <c r="A1358" s="3" t="s">
        <v>1066</v>
      </c>
      <c r="B1358" s="3" t="s">
        <v>1069</v>
      </c>
      <c r="C1358" s="3" t="s">
        <v>53</v>
      </c>
    </row>
    <row r="1359" spans="1:3" x14ac:dyDescent="0.2">
      <c r="A1359" s="3" t="s">
        <v>1066</v>
      </c>
      <c r="B1359" s="3" t="s">
        <v>1070</v>
      </c>
      <c r="C1359" s="3" t="s">
        <v>53</v>
      </c>
    </row>
    <row r="1360" spans="1:3" x14ac:dyDescent="0.2">
      <c r="A1360" s="3" t="s">
        <v>1066</v>
      </c>
      <c r="B1360" s="3" t="s">
        <v>1071</v>
      </c>
      <c r="C1360" s="3" t="s">
        <v>53</v>
      </c>
    </row>
    <row r="1361" spans="1:3" x14ac:dyDescent="0.2">
      <c r="A1361" s="3" t="s">
        <v>1066</v>
      </c>
      <c r="B1361" s="3" t="s">
        <v>1072</v>
      </c>
      <c r="C1361" s="3" t="s">
        <v>53</v>
      </c>
    </row>
    <row r="1362" spans="1:3" x14ac:dyDescent="0.2">
      <c r="A1362" s="3" t="s">
        <v>1066</v>
      </c>
      <c r="B1362" s="3" t="s">
        <v>1067</v>
      </c>
      <c r="C1362" s="3" t="s">
        <v>54</v>
      </c>
    </row>
    <row r="1363" spans="1:3" x14ac:dyDescent="0.2">
      <c r="A1363" s="3" t="s">
        <v>1066</v>
      </c>
      <c r="B1363" s="3" t="s">
        <v>1068</v>
      </c>
      <c r="C1363" s="3" t="s">
        <v>54</v>
      </c>
    </row>
    <row r="1364" spans="1:3" x14ac:dyDescent="0.2">
      <c r="A1364" s="3" t="s">
        <v>1066</v>
      </c>
      <c r="B1364" s="3" t="s">
        <v>1069</v>
      </c>
      <c r="C1364" s="3" t="s">
        <v>54</v>
      </c>
    </row>
    <row r="1365" spans="1:3" x14ac:dyDescent="0.2">
      <c r="A1365" s="3" t="s">
        <v>1066</v>
      </c>
      <c r="B1365" s="3" t="s">
        <v>1070</v>
      </c>
      <c r="C1365" s="3" t="s">
        <v>54</v>
      </c>
    </row>
    <row r="1366" spans="1:3" x14ac:dyDescent="0.2">
      <c r="A1366" s="3" t="s">
        <v>1066</v>
      </c>
      <c r="B1366" s="3" t="s">
        <v>1071</v>
      </c>
      <c r="C1366" s="3" t="s">
        <v>54</v>
      </c>
    </row>
    <row r="1367" spans="1:3" x14ac:dyDescent="0.2">
      <c r="A1367" s="3" t="s">
        <v>1066</v>
      </c>
      <c r="B1367" s="3" t="s">
        <v>1072</v>
      </c>
      <c r="C1367" s="3" t="s">
        <v>54</v>
      </c>
    </row>
    <row r="1368" spans="1:3" x14ac:dyDescent="0.2">
      <c r="A1368" s="3" t="s">
        <v>1066</v>
      </c>
      <c r="B1368" s="3" t="s">
        <v>1067</v>
      </c>
      <c r="C1368" s="3" t="s">
        <v>55</v>
      </c>
    </row>
    <row r="1369" spans="1:3" x14ac:dyDescent="0.2">
      <c r="A1369" s="3" t="s">
        <v>1066</v>
      </c>
      <c r="B1369" s="3" t="s">
        <v>1068</v>
      </c>
      <c r="C1369" s="3" t="s">
        <v>55</v>
      </c>
    </row>
    <row r="1370" spans="1:3" x14ac:dyDescent="0.2">
      <c r="A1370" s="3" t="s">
        <v>1066</v>
      </c>
      <c r="B1370" s="3" t="s">
        <v>1069</v>
      </c>
      <c r="C1370" s="3" t="s">
        <v>55</v>
      </c>
    </row>
    <row r="1371" spans="1:3" x14ac:dyDescent="0.2">
      <c r="A1371" s="3" t="s">
        <v>1066</v>
      </c>
      <c r="B1371" s="3" t="s">
        <v>1070</v>
      </c>
      <c r="C1371" s="3" t="s">
        <v>55</v>
      </c>
    </row>
    <row r="1372" spans="1:3" x14ac:dyDescent="0.2">
      <c r="A1372" s="3" t="s">
        <v>1066</v>
      </c>
      <c r="B1372" s="3" t="s">
        <v>1071</v>
      </c>
      <c r="C1372" s="3" t="s">
        <v>55</v>
      </c>
    </row>
    <row r="1373" spans="1:3" x14ac:dyDescent="0.2">
      <c r="A1373" s="3" t="s">
        <v>1066</v>
      </c>
      <c r="B1373" s="3" t="s">
        <v>1072</v>
      </c>
      <c r="C1373" s="3" t="s">
        <v>55</v>
      </c>
    </row>
    <row r="1374" spans="1:3" x14ac:dyDescent="0.2">
      <c r="A1374" s="3" t="s">
        <v>1066</v>
      </c>
      <c r="B1374" s="3" t="s">
        <v>1067</v>
      </c>
      <c r="C1374" s="3" t="s">
        <v>56</v>
      </c>
    </row>
    <row r="1375" spans="1:3" x14ac:dyDescent="0.2">
      <c r="A1375" s="3" t="s">
        <v>1066</v>
      </c>
      <c r="B1375" s="3" t="s">
        <v>1068</v>
      </c>
      <c r="C1375" s="3" t="s">
        <v>56</v>
      </c>
    </row>
    <row r="1376" spans="1:3" x14ac:dyDescent="0.2">
      <c r="A1376" s="3" t="s">
        <v>1066</v>
      </c>
      <c r="B1376" s="3" t="s">
        <v>1069</v>
      </c>
      <c r="C1376" s="3" t="s">
        <v>56</v>
      </c>
    </row>
    <row r="1377" spans="1:3" x14ac:dyDescent="0.2">
      <c r="A1377" s="3" t="s">
        <v>1066</v>
      </c>
      <c r="B1377" s="3" t="s">
        <v>1070</v>
      </c>
      <c r="C1377" s="3" t="s">
        <v>56</v>
      </c>
    </row>
    <row r="1378" spans="1:3" x14ac:dyDescent="0.2">
      <c r="A1378" s="3" t="s">
        <v>1066</v>
      </c>
      <c r="B1378" s="3" t="s">
        <v>1071</v>
      </c>
      <c r="C1378" s="3" t="s">
        <v>56</v>
      </c>
    </row>
    <row r="1379" spans="1:3" x14ac:dyDescent="0.2">
      <c r="A1379" s="3" t="s">
        <v>1066</v>
      </c>
      <c r="B1379" s="3" t="s">
        <v>1072</v>
      </c>
      <c r="C1379" s="3" t="s">
        <v>56</v>
      </c>
    </row>
    <row r="1380" spans="1:3" x14ac:dyDescent="0.2">
      <c r="A1380" s="3" t="s">
        <v>1066</v>
      </c>
      <c r="B1380" s="3" t="s">
        <v>1067</v>
      </c>
      <c r="C1380" s="3" t="s">
        <v>57</v>
      </c>
    </row>
    <row r="1381" spans="1:3" x14ac:dyDescent="0.2">
      <c r="A1381" s="3" t="s">
        <v>1066</v>
      </c>
      <c r="B1381" s="3" t="s">
        <v>1068</v>
      </c>
      <c r="C1381" s="3" t="s">
        <v>57</v>
      </c>
    </row>
    <row r="1382" spans="1:3" x14ac:dyDescent="0.2">
      <c r="A1382" s="3" t="s">
        <v>1066</v>
      </c>
      <c r="B1382" s="3" t="s">
        <v>1069</v>
      </c>
      <c r="C1382" s="3" t="s">
        <v>57</v>
      </c>
    </row>
    <row r="1383" spans="1:3" x14ac:dyDescent="0.2">
      <c r="A1383" s="3" t="s">
        <v>1066</v>
      </c>
      <c r="B1383" s="3" t="s">
        <v>1070</v>
      </c>
      <c r="C1383" s="3" t="s">
        <v>57</v>
      </c>
    </row>
    <row r="1384" spans="1:3" x14ac:dyDescent="0.2">
      <c r="A1384" s="3" t="s">
        <v>1066</v>
      </c>
      <c r="B1384" s="3" t="s">
        <v>1071</v>
      </c>
      <c r="C1384" s="3" t="s">
        <v>57</v>
      </c>
    </row>
    <row r="1385" spans="1:3" x14ac:dyDescent="0.2">
      <c r="A1385" s="3" t="s">
        <v>1066</v>
      </c>
      <c r="B1385" s="3" t="s">
        <v>1072</v>
      </c>
      <c r="C1385" s="3" t="s">
        <v>57</v>
      </c>
    </row>
    <row r="1386" spans="1:3" x14ac:dyDescent="0.2">
      <c r="A1386" s="3" t="s">
        <v>1073</v>
      </c>
      <c r="B1386" s="3" t="s">
        <v>1074</v>
      </c>
      <c r="C1386" s="3" t="s">
        <v>169</v>
      </c>
    </row>
    <row r="1387" spans="1:3" x14ac:dyDescent="0.2">
      <c r="A1387" s="3" t="s">
        <v>1073</v>
      </c>
      <c r="B1387" s="3" t="s">
        <v>1075</v>
      </c>
      <c r="C1387" s="3" t="s">
        <v>169</v>
      </c>
    </row>
    <row r="1388" spans="1:3" x14ac:dyDescent="0.2">
      <c r="A1388" s="3" t="s">
        <v>1073</v>
      </c>
      <c r="B1388" s="3" t="s">
        <v>1076</v>
      </c>
      <c r="C1388" s="3" t="s">
        <v>169</v>
      </c>
    </row>
    <row r="1389" spans="1:3" x14ac:dyDescent="0.2">
      <c r="A1389" s="3" t="s">
        <v>1073</v>
      </c>
      <c r="B1389" s="3" t="s">
        <v>1077</v>
      </c>
      <c r="C1389" s="3" t="s">
        <v>169</v>
      </c>
    </row>
    <row r="1390" spans="1:3" x14ac:dyDescent="0.2">
      <c r="A1390" s="3" t="s">
        <v>1078</v>
      </c>
      <c r="B1390" s="3" t="s">
        <v>1079</v>
      </c>
      <c r="C1390" s="3" t="s">
        <v>169</v>
      </c>
    </row>
    <row r="1391" spans="1:3" x14ac:dyDescent="0.2">
      <c r="A1391" s="3" t="s">
        <v>1078</v>
      </c>
      <c r="B1391" s="3" t="s">
        <v>1080</v>
      </c>
      <c r="C1391" s="3" t="s">
        <v>169</v>
      </c>
    </row>
    <row r="1392" spans="1:3" x14ac:dyDescent="0.2">
      <c r="A1392" s="3" t="s">
        <v>1081</v>
      </c>
      <c r="B1392" s="3" t="s">
        <v>1079</v>
      </c>
      <c r="C1392" s="3" t="s">
        <v>169</v>
      </c>
    </row>
    <row r="1393" spans="1:3" x14ac:dyDescent="0.2">
      <c r="A1393" s="3" t="s">
        <v>1081</v>
      </c>
      <c r="B1393" s="3" t="s">
        <v>1082</v>
      </c>
      <c r="C1393" s="3" t="s">
        <v>169</v>
      </c>
    </row>
    <row r="1394" spans="1:3" x14ac:dyDescent="0.2">
      <c r="A1394" s="3" t="s">
        <v>1081</v>
      </c>
      <c r="B1394" s="3" t="s">
        <v>1083</v>
      </c>
      <c r="C1394" s="3" t="s">
        <v>169</v>
      </c>
    </row>
    <row r="1395" spans="1:3" x14ac:dyDescent="0.2">
      <c r="A1395" s="3" t="s">
        <v>1081</v>
      </c>
      <c r="B1395" s="3" t="s">
        <v>1084</v>
      </c>
      <c r="C1395" s="3" t="s">
        <v>169</v>
      </c>
    </row>
    <row r="1396" spans="1:3" x14ac:dyDescent="0.2">
      <c r="A1396" s="3" t="s">
        <v>1081</v>
      </c>
      <c r="B1396" s="3" t="s">
        <v>1085</v>
      </c>
      <c r="C1396" s="3" t="s">
        <v>169</v>
      </c>
    </row>
    <row r="1397" spans="1:3" x14ac:dyDescent="0.2">
      <c r="A1397" s="3" t="s">
        <v>1081</v>
      </c>
      <c r="B1397" s="3" t="s">
        <v>1086</v>
      </c>
      <c r="C1397" s="3" t="s">
        <v>169</v>
      </c>
    </row>
    <row r="1398" spans="1:3" x14ac:dyDescent="0.2">
      <c r="A1398" s="3" t="s">
        <v>1087</v>
      </c>
      <c r="B1398" s="3" t="s">
        <v>1088</v>
      </c>
      <c r="C1398" s="3" t="s">
        <v>53</v>
      </c>
    </row>
    <row r="1399" spans="1:3" x14ac:dyDescent="0.2">
      <c r="A1399" s="3" t="s">
        <v>1087</v>
      </c>
      <c r="B1399" s="3" t="s">
        <v>1088</v>
      </c>
      <c r="C1399" s="3" t="s">
        <v>54</v>
      </c>
    </row>
    <row r="1400" spans="1:3" x14ac:dyDescent="0.2">
      <c r="A1400" s="3" t="s">
        <v>1087</v>
      </c>
      <c r="B1400" s="3" t="s">
        <v>1088</v>
      </c>
      <c r="C1400" s="3" t="s">
        <v>55</v>
      </c>
    </row>
    <row r="1401" spans="1:3" x14ac:dyDescent="0.2">
      <c r="A1401" s="3" t="s">
        <v>1087</v>
      </c>
      <c r="B1401" s="3" t="s">
        <v>1088</v>
      </c>
      <c r="C1401" s="3" t="s">
        <v>56</v>
      </c>
    </row>
    <row r="1402" spans="1:3" x14ac:dyDescent="0.2">
      <c r="A1402" s="3" t="s">
        <v>1087</v>
      </c>
      <c r="B1402" s="3" t="s">
        <v>1088</v>
      </c>
      <c r="C1402" s="3" t="s">
        <v>57</v>
      </c>
    </row>
    <row r="1403" spans="1:3" x14ac:dyDescent="0.2">
      <c r="A1403" s="3" t="s">
        <v>1087</v>
      </c>
      <c r="B1403" s="3" t="s">
        <v>1089</v>
      </c>
      <c r="C1403" s="3" t="s">
        <v>169</v>
      </c>
    </row>
    <row r="1404" spans="1:3" x14ac:dyDescent="0.2">
      <c r="A1404" s="3" t="s">
        <v>1090</v>
      </c>
      <c r="B1404" s="3" t="s">
        <v>1091</v>
      </c>
      <c r="C1404" s="3" t="s">
        <v>169</v>
      </c>
    </row>
    <row r="1405" spans="1:3" x14ac:dyDescent="0.2">
      <c r="A1405" s="3" t="s">
        <v>1090</v>
      </c>
      <c r="B1405" s="3" t="s">
        <v>1092</v>
      </c>
      <c r="C1405" s="3" t="s">
        <v>169</v>
      </c>
    </row>
    <row r="1406" spans="1:3" x14ac:dyDescent="0.2">
      <c r="A1406" s="3" t="s">
        <v>1093</v>
      </c>
      <c r="B1406" s="3" t="s">
        <v>1094</v>
      </c>
      <c r="C1406" s="3" t="s">
        <v>53</v>
      </c>
    </row>
    <row r="1407" spans="1:3" x14ac:dyDescent="0.2">
      <c r="A1407" s="3" t="s">
        <v>1093</v>
      </c>
      <c r="B1407" s="3" t="s">
        <v>1095</v>
      </c>
      <c r="C1407" s="3" t="s">
        <v>53</v>
      </c>
    </row>
    <row r="1408" spans="1:3" x14ac:dyDescent="0.2">
      <c r="A1408" s="3" t="s">
        <v>1093</v>
      </c>
      <c r="B1408" s="3" t="s">
        <v>1096</v>
      </c>
      <c r="C1408" s="3" t="s">
        <v>53</v>
      </c>
    </row>
    <row r="1409" spans="1:3" x14ac:dyDescent="0.2">
      <c r="A1409" s="3" t="s">
        <v>1093</v>
      </c>
      <c r="B1409" s="3" t="s">
        <v>1097</v>
      </c>
      <c r="C1409" s="3" t="s">
        <v>53</v>
      </c>
    </row>
    <row r="1410" spans="1:3" x14ac:dyDescent="0.2">
      <c r="A1410" s="3" t="s">
        <v>1093</v>
      </c>
      <c r="B1410" s="3" t="s">
        <v>1098</v>
      </c>
      <c r="C1410" s="3" t="s">
        <v>53</v>
      </c>
    </row>
    <row r="1411" spans="1:3" x14ac:dyDescent="0.2">
      <c r="A1411" s="3" t="s">
        <v>1093</v>
      </c>
      <c r="B1411" s="3" t="s">
        <v>1094</v>
      </c>
      <c r="C1411" s="3" t="s">
        <v>54</v>
      </c>
    </row>
    <row r="1412" spans="1:3" x14ac:dyDescent="0.2">
      <c r="A1412" s="3" t="s">
        <v>1093</v>
      </c>
      <c r="B1412" s="3" t="s">
        <v>1095</v>
      </c>
      <c r="C1412" s="3" t="s">
        <v>54</v>
      </c>
    </row>
    <row r="1413" spans="1:3" x14ac:dyDescent="0.2">
      <c r="A1413" s="3" t="s">
        <v>1093</v>
      </c>
      <c r="B1413" s="3" t="s">
        <v>1096</v>
      </c>
      <c r="C1413" s="3" t="s">
        <v>54</v>
      </c>
    </row>
    <row r="1414" spans="1:3" x14ac:dyDescent="0.2">
      <c r="A1414" s="3" t="s">
        <v>1093</v>
      </c>
      <c r="B1414" s="3" t="s">
        <v>1097</v>
      </c>
      <c r="C1414" s="3" t="s">
        <v>54</v>
      </c>
    </row>
    <row r="1415" spans="1:3" x14ac:dyDescent="0.2">
      <c r="A1415" s="3" t="s">
        <v>1093</v>
      </c>
      <c r="B1415" s="3" t="s">
        <v>1098</v>
      </c>
      <c r="C1415" s="3" t="s">
        <v>54</v>
      </c>
    </row>
    <row r="1416" spans="1:3" x14ac:dyDescent="0.2">
      <c r="A1416" s="3" t="s">
        <v>1093</v>
      </c>
      <c r="B1416" s="3" t="s">
        <v>1094</v>
      </c>
      <c r="C1416" s="3" t="s">
        <v>55</v>
      </c>
    </row>
    <row r="1417" spans="1:3" x14ac:dyDescent="0.2">
      <c r="A1417" s="3" t="s">
        <v>1093</v>
      </c>
      <c r="B1417" s="3" t="s">
        <v>1095</v>
      </c>
      <c r="C1417" s="3" t="s">
        <v>55</v>
      </c>
    </row>
    <row r="1418" spans="1:3" x14ac:dyDescent="0.2">
      <c r="A1418" s="3" t="s">
        <v>1093</v>
      </c>
      <c r="B1418" s="3" t="s">
        <v>1096</v>
      </c>
      <c r="C1418" s="3" t="s">
        <v>55</v>
      </c>
    </row>
    <row r="1419" spans="1:3" x14ac:dyDescent="0.2">
      <c r="A1419" s="3" t="s">
        <v>1093</v>
      </c>
      <c r="B1419" s="3" t="s">
        <v>1097</v>
      </c>
      <c r="C1419" s="3" t="s">
        <v>55</v>
      </c>
    </row>
    <row r="1420" spans="1:3" x14ac:dyDescent="0.2">
      <c r="A1420" s="3" t="s">
        <v>1093</v>
      </c>
      <c r="B1420" s="3" t="s">
        <v>1098</v>
      </c>
      <c r="C1420" s="3" t="s">
        <v>55</v>
      </c>
    </row>
    <row r="1421" spans="1:3" x14ac:dyDescent="0.2">
      <c r="A1421" s="3" t="s">
        <v>1093</v>
      </c>
      <c r="B1421" s="3" t="s">
        <v>1094</v>
      </c>
      <c r="C1421" s="3" t="s">
        <v>56</v>
      </c>
    </row>
    <row r="1422" spans="1:3" x14ac:dyDescent="0.2">
      <c r="A1422" s="3" t="s">
        <v>1093</v>
      </c>
      <c r="B1422" s="3" t="s">
        <v>1095</v>
      </c>
      <c r="C1422" s="3" t="s">
        <v>56</v>
      </c>
    </row>
    <row r="1423" spans="1:3" x14ac:dyDescent="0.2">
      <c r="A1423" s="3" t="s">
        <v>1093</v>
      </c>
      <c r="B1423" s="3" t="s">
        <v>1096</v>
      </c>
      <c r="C1423" s="3" t="s">
        <v>56</v>
      </c>
    </row>
    <row r="1424" spans="1:3" x14ac:dyDescent="0.2">
      <c r="A1424" s="3" t="s">
        <v>1093</v>
      </c>
      <c r="B1424" s="3" t="s">
        <v>1097</v>
      </c>
      <c r="C1424" s="3" t="s">
        <v>56</v>
      </c>
    </row>
    <row r="1425" spans="1:3" x14ac:dyDescent="0.2">
      <c r="A1425" s="3" t="s">
        <v>1093</v>
      </c>
      <c r="B1425" s="3" t="s">
        <v>1098</v>
      </c>
      <c r="C1425" s="3" t="s">
        <v>56</v>
      </c>
    </row>
    <row r="1426" spans="1:3" x14ac:dyDescent="0.2">
      <c r="A1426" s="3" t="s">
        <v>1093</v>
      </c>
      <c r="B1426" s="3" t="s">
        <v>1094</v>
      </c>
      <c r="C1426" s="3" t="s">
        <v>57</v>
      </c>
    </row>
    <row r="1427" spans="1:3" x14ac:dyDescent="0.2">
      <c r="A1427" s="3" t="s">
        <v>1093</v>
      </c>
      <c r="B1427" s="3" t="s">
        <v>1095</v>
      </c>
      <c r="C1427" s="3" t="s">
        <v>57</v>
      </c>
    </row>
    <row r="1428" spans="1:3" x14ac:dyDescent="0.2">
      <c r="A1428" s="3" t="s">
        <v>1093</v>
      </c>
      <c r="B1428" s="3" t="s">
        <v>1096</v>
      </c>
      <c r="C1428" s="3" t="s">
        <v>57</v>
      </c>
    </row>
    <row r="1429" spans="1:3" x14ac:dyDescent="0.2">
      <c r="A1429" s="3" t="s">
        <v>1093</v>
      </c>
      <c r="B1429" s="3" t="s">
        <v>1097</v>
      </c>
      <c r="C1429" s="3" t="s">
        <v>57</v>
      </c>
    </row>
    <row r="1430" spans="1:3" x14ac:dyDescent="0.2">
      <c r="A1430" s="3" t="s">
        <v>1093</v>
      </c>
      <c r="B1430" s="3" t="s">
        <v>1098</v>
      </c>
      <c r="C1430" s="3" t="s">
        <v>57</v>
      </c>
    </row>
    <row r="1431" spans="1:3" x14ac:dyDescent="0.2">
      <c r="A1431" s="3" t="s">
        <v>1093</v>
      </c>
      <c r="B1431" s="3" t="s">
        <v>1082</v>
      </c>
      <c r="C1431" s="3" t="s">
        <v>169</v>
      </c>
    </row>
    <row r="1432" spans="1:3" x14ac:dyDescent="0.2">
      <c r="A1432" s="3" t="s">
        <v>1093</v>
      </c>
      <c r="B1432" s="3" t="s">
        <v>1083</v>
      </c>
      <c r="C1432" s="3" t="s">
        <v>169</v>
      </c>
    </row>
    <row r="1433" spans="1:3" x14ac:dyDescent="0.2">
      <c r="A1433" s="3" t="s">
        <v>1093</v>
      </c>
      <c r="B1433" s="3" t="s">
        <v>1084</v>
      </c>
      <c r="C1433" s="3" t="s">
        <v>169</v>
      </c>
    </row>
    <row r="1434" spans="1:3" x14ac:dyDescent="0.2">
      <c r="A1434" s="3" t="s">
        <v>1093</v>
      </c>
      <c r="B1434" s="3" t="s">
        <v>1085</v>
      </c>
      <c r="C1434" s="3" t="s">
        <v>169</v>
      </c>
    </row>
    <row r="1435" spans="1:3" x14ac:dyDescent="0.2">
      <c r="A1435" s="3" t="s">
        <v>1093</v>
      </c>
      <c r="B1435" s="3" t="s">
        <v>1086</v>
      </c>
      <c r="C1435" s="3" t="s">
        <v>169</v>
      </c>
    </row>
    <row r="1436" spans="1:3" x14ac:dyDescent="0.2">
      <c r="A1436" s="3" t="s">
        <v>1093</v>
      </c>
      <c r="B1436" s="3" t="s">
        <v>1099</v>
      </c>
      <c r="C1436" s="3" t="s">
        <v>169</v>
      </c>
    </row>
    <row r="1437" spans="1:3" x14ac:dyDescent="0.2">
      <c r="A1437" s="3" t="s">
        <v>1093</v>
      </c>
      <c r="B1437" s="3" t="s">
        <v>1100</v>
      </c>
      <c r="C1437" s="3" t="s">
        <v>169</v>
      </c>
    </row>
    <row r="1438" spans="1:3" x14ac:dyDescent="0.2">
      <c r="A1438" s="3" t="s">
        <v>1093</v>
      </c>
      <c r="B1438" s="3" t="s">
        <v>1101</v>
      </c>
      <c r="C1438" s="3" t="s">
        <v>169</v>
      </c>
    </row>
    <row r="1439" spans="1:3" x14ac:dyDescent="0.2">
      <c r="A1439" s="3" t="s">
        <v>1093</v>
      </c>
      <c r="B1439" s="3" t="s">
        <v>1102</v>
      </c>
      <c r="C1439" s="3" t="s">
        <v>169</v>
      </c>
    </row>
    <row r="1440" spans="1:3" x14ac:dyDescent="0.2">
      <c r="A1440" s="3" t="s">
        <v>1103</v>
      </c>
      <c r="B1440" s="3" t="s">
        <v>972</v>
      </c>
      <c r="C1440" s="3" t="s">
        <v>53</v>
      </c>
    </row>
    <row r="1441" spans="1:3" x14ac:dyDescent="0.2">
      <c r="A1441" s="3" t="s">
        <v>1103</v>
      </c>
      <c r="B1441" s="3" t="s">
        <v>973</v>
      </c>
      <c r="C1441" s="3" t="s">
        <v>53</v>
      </c>
    </row>
    <row r="1442" spans="1:3" x14ac:dyDescent="0.2">
      <c r="A1442" s="3" t="s">
        <v>1103</v>
      </c>
      <c r="B1442" s="3" t="s">
        <v>1104</v>
      </c>
      <c r="C1442" s="3" t="s">
        <v>53</v>
      </c>
    </row>
    <row r="1443" spans="1:3" x14ac:dyDescent="0.2">
      <c r="A1443" s="3" t="s">
        <v>1103</v>
      </c>
      <c r="B1443" s="3" t="s">
        <v>299</v>
      </c>
      <c r="C1443" s="3" t="s">
        <v>53</v>
      </c>
    </row>
    <row r="1444" spans="1:3" x14ac:dyDescent="0.2">
      <c r="A1444" s="3" t="s">
        <v>1103</v>
      </c>
      <c r="B1444" s="3" t="s">
        <v>300</v>
      </c>
      <c r="C1444" s="3" t="s">
        <v>53</v>
      </c>
    </row>
    <row r="1445" spans="1:3" x14ac:dyDescent="0.2">
      <c r="A1445" s="3" t="s">
        <v>1103</v>
      </c>
      <c r="B1445" s="3" t="s">
        <v>1105</v>
      </c>
      <c r="C1445" s="3" t="s">
        <v>53</v>
      </c>
    </row>
    <row r="1446" spans="1:3" x14ac:dyDescent="0.2">
      <c r="A1446" s="3" t="s">
        <v>1103</v>
      </c>
      <c r="B1446" s="3" t="s">
        <v>1106</v>
      </c>
      <c r="C1446" s="3" t="s">
        <v>53</v>
      </c>
    </row>
    <row r="1447" spans="1:3" x14ac:dyDescent="0.2">
      <c r="A1447" s="3" t="s">
        <v>1103</v>
      </c>
      <c r="B1447" s="3" t="s">
        <v>1107</v>
      </c>
      <c r="C1447" s="3" t="s">
        <v>53</v>
      </c>
    </row>
    <row r="1448" spans="1:3" x14ac:dyDescent="0.2">
      <c r="A1448" s="3" t="s">
        <v>1103</v>
      </c>
      <c r="B1448" s="3" t="s">
        <v>1108</v>
      </c>
      <c r="C1448" s="3" t="s">
        <v>53</v>
      </c>
    </row>
    <row r="1449" spans="1:3" x14ac:dyDescent="0.2">
      <c r="A1449" s="3" t="s">
        <v>1103</v>
      </c>
      <c r="B1449" s="3" t="s">
        <v>1109</v>
      </c>
      <c r="C1449" s="3" t="s">
        <v>53</v>
      </c>
    </row>
    <row r="1450" spans="1:3" x14ac:dyDescent="0.2">
      <c r="A1450" s="3" t="s">
        <v>1103</v>
      </c>
      <c r="B1450" s="3" t="s">
        <v>1110</v>
      </c>
      <c r="C1450" s="3" t="s">
        <v>53</v>
      </c>
    </row>
    <row r="1451" spans="1:3" x14ac:dyDescent="0.2">
      <c r="A1451" s="3" t="s">
        <v>1103</v>
      </c>
      <c r="B1451" s="3" t="s">
        <v>1111</v>
      </c>
      <c r="C1451" s="3" t="s">
        <v>53</v>
      </c>
    </row>
    <row r="1452" spans="1:3" x14ac:dyDescent="0.2">
      <c r="A1452" s="3" t="s">
        <v>1103</v>
      </c>
      <c r="B1452" s="3" t="s">
        <v>1112</v>
      </c>
      <c r="C1452" s="3" t="s">
        <v>53</v>
      </c>
    </row>
    <row r="1453" spans="1:3" x14ac:dyDescent="0.2">
      <c r="A1453" s="3" t="s">
        <v>1103</v>
      </c>
      <c r="B1453" s="3" t="s">
        <v>1113</v>
      </c>
      <c r="C1453" s="3" t="s">
        <v>53</v>
      </c>
    </row>
    <row r="1454" spans="1:3" x14ac:dyDescent="0.2">
      <c r="A1454" s="3" t="s">
        <v>1103</v>
      </c>
      <c r="B1454" s="3" t="s">
        <v>1114</v>
      </c>
      <c r="C1454" s="3" t="s">
        <v>53</v>
      </c>
    </row>
    <row r="1455" spans="1:3" x14ac:dyDescent="0.2">
      <c r="A1455" s="3" t="s">
        <v>1103</v>
      </c>
      <c r="B1455" s="3" t="s">
        <v>1115</v>
      </c>
      <c r="C1455" s="3" t="s">
        <v>53</v>
      </c>
    </row>
    <row r="1456" spans="1:3" x14ac:dyDescent="0.2">
      <c r="A1456" s="3" t="s">
        <v>1103</v>
      </c>
      <c r="B1456" s="3" t="s">
        <v>1116</v>
      </c>
      <c r="C1456" s="3" t="s">
        <v>53</v>
      </c>
    </row>
    <row r="1457" spans="1:3" x14ac:dyDescent="0.2">
      <c r="A1457" s="3" t="s">
        <v>1103</v>
      </c>
      <c r="B1457" s="3" t="s">
        <v>1117</v>
      </c>
      <c r="C1457" s="3" t="s">
        <v>53</v>
      </c>
    </row>
    <row r="1458" spans="1:3" x14ac:dyDescent="0.2">
      <c r="A1458" s="3" t="s">
        <v>1103</v>
      </c>
      <c r="B1458" s="3" t="s">
        <v>1118</v>
      </c>
      <c r="C1458" s="3" t="s">
        <v>53</v>
      </c>
    </row>
    <row r="1459" spans="1:3" x14ac:dyDescent="0.2">
      <c r="A1459" s="3" t="s">
        <v>1103</v>
      </c>
      <c r="B1459" s="3" t="s">
        <v>1119</v>
      </c>
      <c r="C1459" s="3" t="s">
        <v>53</v>
      </c>
    </row>
    <row r="1460" spans="1:3" x14ac:dyDescent="0.2">
      <c r="A1460" s="3" t="s">
        <v>1103</v>
      </c>
      <c r="B1460" s="3" t="s">
        <v>1120</v>
      </c>
      <c r="C1460" s="3" t="s">
        <v>53</v>
      </c>
    </row>
    <row r="1461" spans="1:3" x14ac:dyDescent="0.2">
      <c r="A1461" s="3" t="s">
        <v>1103</v>
      </c>
      <c r="B1461" s="3" t="s">
        <v>1121</v>
      </c>
      <c r="C1461" s="3" t="s">
        <v>53</v>
      </c>
    </row>
    <row r="1462" spans="1:3" x14ac:dyDescent="0.2">
      <c r="A1462" s="3" t="s">
        <v>1103</v>
      </c>
      <c r="B1462" s="3" t="s">
        <v>1122</v>
      </c>
      <c r="C1462" s="3" t="s">
        <v>53</v>
      </c>
    </row>
    <row r="1463" spans="1:3" x14ac:dyDescent="0.2">
      <c r="A1463" s="3" t="s">
        <v>1103</v>
      </c>
      <c r="B1463" s="3" t="s">
        <v>1123</v>
      </c>
      <c r="C1463" s="3" t="s">
        <v>53</v>
      </c>
    </row>
    <row r="1464" spans="1:3" x14ac:dyDescent="0.2">
      <c r="A1464" s="3" t="s">
        <v>1103</v>
      </c>
      <c r="B1464" s="3" t="s">
        <v>1124</v>
      </c>
      <c r="C1464" s="3" t="s">
        <v>53</v>
      </c>
    </row>
    <row r="1465" spans="1:3" x14ac:dyDescent="0.2">
      <c r="A1465" s="3" t="s">
        <v>1103</v>
      </c>
      <c r="B1465" s="3" t="s">
        <v>1125</v>
      </c>
      <c r="C1465" s="3" t="s">
        <v>53</v>
      </c>
    </row>
    <row r="1466" spans="1:3" x14ac:dyDescent="0.2">
      <c r="A1466" s="3" t="s">
        <v>1103</v>
      </c>
      <c r="B1466" s="3" t="s">
        <v>972</v>
      </c>
      <c r="C1466" s="3" t="s">
        <v>54</v>
      </c>
    </row>
    <row r="1467" spans="1:3" x14ac:dyDescent="0.2">
      <c r="A1467" s="3" t="s">
        <v>1103</v>
      </c>
      <c r="B1467" s="3" t="s">
        <v>973</v>
      </c>
      <c r="C1467" s="3" t="s">
        <v>54</v>
      </c>
    </row>
    <row r="1468" spans="1:3" x14ac:dyDescent="0.2">
      <c r="A1468" s="3" t="s">
        <v>1103</v>
      </c>
      <c r="B1468" s="3" t="s">
        <v>1104</v>
      </c>
      <c r="C1468" s="3" t="s">
        <v>54</v>
      </c>
    </row>
    <row r="1469" spans="1:3" x14ac:dyDescent="0.2">
      <c r="A1469" s="3" t="s">
        <v>1103</v>
      </c>
      <c r="B1469" s="3" t="s">
        <v>299</v>
      </c>
      <c r="C1469" s="3" t="s">
        <v>54</v>
      </c>
    </row>
    <row r="1470" spans="1:3" x14ac:dyDescent="0.2">
      <c r="A1470" s="3" t="s">
        <v>1103</v>
      </c>
      <c r="B1470" s="3" t="s">
        <v>300</v>
      </c>
      <c r="C1470" s="3" t="s">
        <v>54</v>
      </c>
    </row>
    <row r="1471" spans="1:3" x14ac:dyDescent="0.2">
      <c r="A1471" s="3" t="s">
        <v>1103</v>
      </c>
      <c r="B1471" s="3" t="s">
        <v>1126</v>
      </c>
      <c r="C1471" s="3" t="s">
        <v>54</v>
      </c>
    </row>
    <row r="1472" spans="1:3" x14ac:dyDescent="0.2">
      <c r="A1472" s="3" t="s">
        <v>1103</v>
      </c>
      <c r="B1472" s="3" t="s">
        <v>1105</v>
      </c>
      <c r="C1472" s="3" t="s">
        <v>54</v>
      </c>
    </row>
    <row r="1473" spans="1:3" x14ac:dyDescent="0.2">
      <c r="A1473" s="3" t="s">
        <v>1103</v>
      </c>
      <c r="B1473" s="3" t="s">
        <v>1106</v>
      </c>
      <c r="C1473" s="3" t="s">
        <v>54</v>
      </c>
    </row>
    <row r="1474" spans="1:3" x14ac:dyDescent="0.2">
      <c r="A1474" s="3" t="s">
        <v>1103</v>
      </c>
      <c r="B1474" s="3" t="s">
        <v>1107</v>
      </c>
      <c r="C1474" s="3" t="s">
        <v>54</v>
      </c>
    </row>
    <row r="1475" spans="1:3" x14ac:dyDescent="0.2">
      <c r="A1475" s="3" t="s">
        <v>1103</v>
      </c>
      <c r="B1475" s="3" t="s">
        <v>1108</v>
      </c>
      <c r="C1475" s="3" t="s">
        <v>54</v>
      </c>
    </row>
    <row r="1476" spans="1:3" x14ac:dyDescent="0.2">
      <c r="A1476" s="3" t="s">
        <v>1103</v>
      </c>
      <c r="B1476" s="3" t="s">
        <v>1109</v>
      </c>
      <c r="C1476" s="3" t="s">
        <v>54</v>
      </c>
    </row>
    <row r="1477" spans="1:3" x14ac:dyDescent="0.2">
      <c r="A1477" s="3" t="s">
        <v>1103</v>
      </c>
      <c r="B1477" s="3" t="s">
        <v>1110</v>
      </c>
      <c r="C1477" s="3" t="s">
        <v>54</v>
      </c>
    </row>
    <row r="1478" spans="1:3" x14ac:dyDescent="0.2">
      <c r="A1478" s="3" t="s">
        <v>1103</v>
      </c>
      <c r="B1478" s="3" t="s">
        <v>1111</v>
      </c>
      <c r="C1478" s="3" t="s">
        <v>54</v>
      </c>
    </row>
    <row r="1479" spans="1:3" x14ac:dyDescent="0.2">
      <c r="A1479" s="3" t="s">
        <v>1103</v>
      </c>
      <c r="B1479" s="3" t="s">
        <v>1112</v>
      </c>
      <c r="C1479" s="3" t="s">
        <v>54</v>
      </c>
    </row>
    <row r="1480" spans="1:3" x14ac:dyDescent="0.2">
      <c r="A1480" s="3" t="s">
        <v>1103</v>
      </c>
      <c r="B1480" s="3" t="s">
        <v>1113</v>
      </c>
      <c r="C1480" s="3" t="s">
        <v>54</v>
      </c>
    </row>
    <row r="1481" spans="1:3" x14ac:dyDescent="0.2">
      <c r="A1481" s="3" t="s">
        <v>1103</v>
      </c>
      <c r="B1481" s="3" t="s">
        <v>1114</v>
      </c>
      <c r="C1481" s="3" t="s">
        <v>54</v>
      </c>
    </row>
    <row r="1482" spans="1:3" x14ac:dyDescent="0.2">
      <c r="A1482" s="3" t="s">
        <v>1103</v>
      </c>
      <c r="B1482" s="3" t="s">
        <v>1115</v>
      </c>
      <c r="C1482" s="3" t="s">
        <v>54</v>
      </c>
    </row>
    <row r="1483" spans="1:3" x14ac:dyDescent="0.2">
      <c r="A1483" s="3" t="s">
        <v>1103</v>
      </c>
      <c r="B1483" s="3" t="s">
        <v>1116</v>
      </c>
      <c r="C1483" s="3" t="s">
        <v>54</v>
      </c>
    </row>
    <row r="1484" spans="1:3" x14ac:dyDescent="0.2">
      <c r="A1484" s="3" t="s">
        <v>1103</v>
      </c>
      <c r="B1484" s="3" t="s">
        <v>1117</v>
      </c>
      <c r="C1484" s="3" t="s">
        <v>54</v>
      </c>
    </row>
    <row r="1485" spans="1:3" x14ac:dyDescent="0.2">
      <c r="A1485" s="3" t="s">
        <v>1103</v>
      </c>
      <c r="B1485" s="3" t="s">
        <v>1118</v>
      </c>
      <c r="C1485" s="3" t="s">
        <v>54</v>
      </c>
    </row>
    <row r="1486" spans="1:3" x14ac:dyDescent="0.2">
      <c r="A1486" s="3" t="s">
        <v>1103</v>
      </c>
      <c r="B1486" s="3" t="s">
        <v>1119</v>
      </c>
      <c r="C1486" s="3" t="s">
        <v>54</v>
      </c>
    </row>
    <row r="1487" spans="1:3" x14ac:dyDescent="0.2">
      <c r="A1487" s="3" t="s">
        <v>1103</v>
      </c>
      <c r="B1487" s="3" t="s">
        <v>1120</v>
      </c>
      <c r="C1487" s="3" t="s">
        <v>54</v>
      </c>
    </row>
    <row r="1488" spans="1:3" x14ac:dyDescent="0.2">
      <c r="A1488" s="3" t="s">
        <v>1103</v>
      </c>
      <c r="B1488" s="3" t="s">
        <v>1121</v>
      </c>
      <c r="C1488" s="3" t="s">
        <v>54</v>
      </c>
    </row>
    <row r="1489" spans="1:3" x14ac:dyDescent="0.2">
      <c r="A1489" s="3" t="s">
        <v>1103</v>
      </c>
      <c r="B1489" s="3" t="s">
        <v>1122</v>
      </c>
      <c r="C1489" s="3" t="s">
        <v>54</v>
      </c>
    </row>
    <row r="1490" spans="1:3" x14ac:dyDescent="0.2">
      <c r="A1490" s="3" t="s">
        <v>1103</v>
      </c>
      <c r="B1490" s="3" t="s">
        <v>1123</v>
      </c>
      <c r="C1490" s="3" t="s">
        <v>54</v>
      </c>
    </row>
    <row r="1491" spans="1:3" x14ac:dyDescent="0.2">
      <c r="A1491" s="3" t="s">
        <v>1103</v>
      </c>
      <c r="B1491" s="3" t="s">
        <v>1124</v>
      </c>
      <c r="C1491" s="3" t="s">
        <v>54</v>
      </c>
    </row>
    <row r="1492" spans="1:3" x14ac:dyDescent="0.2">
      <c r="A1492" s="3" t="s">
        <v>1103</v>
      </c>
      <c r="B1492" s="3" t="s">
        <v>1125</v>
      </c>
      <c r="C1492" s="3" t="s">
        <v>54</v>
      </c>
    </row>
    <row r="1493" spans="1:3" x14ac:dyDescent="0.2">
      <c r="A1493" s="3" t="s">
        <v>1103</v>
      </c>
      <c r="B1493" s="3" t="s">
        <v>1127</v>
      </c>
      <c r="C1493" s="3" t="s">
        <v>54</v>
      </c>
    </row>
    <row r="1494" spans="1:3" x14ac:dyDescent="0.2">
      <c r="A1494" s="3" t="s">
        <v>1103</v>
      </c>
      <c r="B1494" s="3" t="s">
        <v>972</v>
      </c>
      <c r="C1494" s="3" t="s">
        <v>55</v>
      </c>
    </row>
    <row r="1495" spans="1:3" x14ac:dyDescent="0.2">
      <c r="A1495" s="3" t="s">
        <v>1103</v>
      </c>
      <c r="B1495" s="3" t="s">
        <v>973</v>
      </c>
      <c r="C1495" s="3" t="s">
        <v>55</v>
      </c>
    </row>
    <row r="1496" spans="1:3" x14ac:dyDescent="0.2">
      <c r="A1496" s="3" t="s">
        <v>1103</v>
      </c>
      <c r="B1496" s="3" t="s">
        <v>1104</v>
      </c>
      <c r="C1496" s="3" t="s">
        <v>55</v>
      </c>
    </row>
    <row r="1497" spans="1:3" x14ac:dyDescent="0.2">
      <c r="A1497" s="3" t="s">
        <v>1103</v>
      </c>
      <c r="B1497" s="3" t="s">
        <v>299</v>
      </c>
      <c r="C1497" s="3" t="s">
        <v>55</v>
      </c>
    </row>
    <row r="1498" spans="1:3" x14ac:dyDescent="0.2">
      <c r="A1498" s="3" t="s">
        <v>1103</v>
      </c>
      <c r="B1498" s="3" t="s">
        <v>300</v>
      </c>
      <c r="C1498" s="3" t="s">
        <v>55</v>
      </c>
    </row>
    <row r="1499" spans="1:3" x14ac:dyDescent="0.2">
      <c r="A1499" s="3" t="s">
        <v>1103</v>
      </c>
      <c r="B1499" s="3" t="s">
        <v>1126</v>
      </c>
      <c r="C1499" s="3" t="s">
        <v>55</v>
      </c>
    </row>
    <row r="1500" spans="1:3" x14ac:dyDescent="0.2">
      <c r="A1500" s="3" t="s">
        <v>1103</v>
      </c>
      <c r="B1500" s="3" t="s">
        <v>1105</v>
      </c>
      <c r="C1500" s="3" t="s">
        <v>55</v>
      </c>
    </row>
    <row r="1501" spans="1:3" x14ac:dyDescent="0.2">
      <c r="A1501" s="3" t="s">
        <v>1103</v>
      </c>
      <c r="B1501" s="3" t="s">
        <v>1106</v>
      </c>
      <c r="C1501" s="3" t="s">
        <v>55</v>
      </c>
    </row>
    <row r="1502" spans="1:3" x14ac:dyDescent="0.2">
      <c r="A1502" s="3" t="s">
        <v>1103</v>
      </c>
      <c r="B1502" s="3" t="s">
        <v>1107</v>
      </c>
      <c r="C1502" s="3" t="s">
        <v>55</v>
      </c>
    </row>
    <row r="1503" spans="1:3" x14ac:dyDescent="0.2">
      <c r="A1503" s="3" t="s">
        <v>1103</v>
      </c>
      <c r="B1503" s="3" t="s">
        <v>1108</v>
      </c>
      <c r="C1503" s="3" t="s">
        <v>55</v>
      </c>
    </row>
    <row r="1504" spans="1:3" x14ac:dyDescent="0.2">
      <c r="A1504" s="3" t="s">
        <v>1103</v>
      </c>
      <c r="B1504" s="3" t="s">
        <v>1109</v>
      </c>
      <c r="C1504" s="3" t="s">
        <v>55</v>
      </c>
    </row>
    <row r="1505" spans="1:3" x14ac:dyDescent="0.2">
      <c r="A1505" s="3" t="s">
        <v>1103</v>
      </c>
      <c r="B1505" s="3" t="s">
        <v>1110</v>
      </c>
      <c r="C1505" s="3" t="s">
        <v>55</v>
      </c>
    </row>
    <row r="1506" spans="1:3" x14ac:dyDescent="0.2">
      <c r="A1506" s="3" t="s">
        <v>1103</v>
      </c>
      <c r="B1506" s="3" t="s">
        <v>1111</v>
      </c>
      <c r="C1506" s="3" t="s">
        <v>55</v>
      </c>
    </row>
    <row r="1507" spans="1:3" x14ac:dyDescent="0.2">
      <c r="A1507" s="3" t="s">
        <v>1103</v>
      </c>
      <c r="B1507" s="3" t="s">
        <v>1112</v>
      </c>
      <c r="C1507" s="3" t="s">
        <v>55</v>
      </c>
    </row>
    <row r="1508" spans="1:3" x14ac:dyDescent="0.2">
      <c r="A1508" s="3" t="s">
        <v>1103</v>
      </c>
      <c r="B1508" s="3" t="s">
        <v>1113</v>
      </c>
      <c r="C1508" s="3" t="s">
        <v>55</v>
      </c>
    </row>
    <row r="1509" spans="1:3" x14ac:dyDescent="0.2">
      <c r="A1509" s="3" t="s">
        <v>1103</v>
      </c>
      <c r="B1509" s="3" t="s">
        <v>1114</v>
      </c>
      <c r="C1509" s="3" t="s">
        <v>55</v>
      </c>
    </row>
    <row r="1510" spans="1:3" x14ac:dyDescent="0.2">
      <c r="A1510" s="3" t="s">
        <v>1103</v>
      </c>
      <c r="B1510" s="3" t="s">
        <v>1115</v>
      </c>
      <c r="C1510" s="3" t="s">
        <v>55</v>
      </c>
    </row>
    <row r="1511" spans="1:3" x14ac:dyDescent="0.2">
      <c r="A1511" s="3" t="s">
        <v>1103</v>
      </c>
      <c r="B1511" s="3" t="s">
        <v>1116</v>
      </c>
      <c r="C1511" s="3" t="s">
        <v>55</v>
      </c>
    </row>
    <row r="1512" spans="1:3" x14ac:dyDescent="0.2">
      <c r="A1512" s="3" t="s">
        <v>1103</v>
      </c>
      <c r="B1512" s="3" t="s">
        <v>1117</v>
      </c>
      <c r="C1512" s="3" t="s">
        <v>55</v>
      </c>
    </row>
    <row r="1513" spans="1:3" x14ac:dyDescent="0.2">
      <c r="A1513" s="3" t="s">
        <v>1103</v>
      </c>
      <c r="B1513" s="3" t="s">
        <v>1118</v>
      </c>
      <c r="C1513" s="3" t="s">
        <v>55</v>
      </c>
    </row>
    <row r="1514" spans="1:3" x14ac:dyDescent="0.2">
      <c r="A1514" s="3" t="s">
        <v>1103</v>
      </c>
      <c r="B1514" s="3" t="s">
        <v>1119</v>
      </c>
      <c r="C1514" s="3" t="s">
        <v>55</v>
      </c>
    </row>
    <row r="1515" spans="1:3" x14ac:dyDescent="0.2">
      <c r="A1515" s="3" t="s">
        <v>1103</v>
      </c>
      <c r="B1515" s="3" t="s">
        <v>1120</v>
      </c>
      <c r="C1515" s="3" t="s">
        <v>55</v>
      </c>
    </row>
    <row r="1516" spans="1:3" x14ac:dyDescent="0.2">
      <c r="A1516" s="3" t="s">
        <v>1103</v>
      </c>
      <c r="B1516" s="3" t="s">
        <v>1121</v>
      </c>
      <c r="C1516" s="3" t="s">
        <v>55</v>
      </c>
    </row>
    <row r="1517" spans="1:3" x14ac:dyDescent="0.2">
      <c r="A1517" s="3" t="s">
        <v>1103</v>
      </c>
      <c r="B1517" s="3" t="s">
        <v>1122</v>
      </c>
      <c r="C1517" s="3" t="s">
        <v>55</v>
      </c>
    </row>
    <row r="1518" spans="1:3" x14ac:dyDescent="0.2">
      <c r="A1518" s="3" t="s">
        <v>1103</v>
      </c>
      <c r="B1518" s="3" t="s">
        <v>1123</v>
      </c>
      <c r="C1518" s="3" t="s">
        <v>55</v>
      </c>
    </row>
    <row r="1519" spans="1:3" x14ac:dyDescent="0.2">
      <c r="A1519" s="3" t="s">
        <v>1103</v>
      </c>
      <c r="B1519" s="3" t="s">
        <v>1124</v>
      </c>
      <c r="C1519" s="3" t="s">
        <v>55</v>
      </c>
    </row>
    <row r="1520" spans="1:3" x14ac:dyDescent="0.2">
      <c r="A1520" s="3" t="s">
        <v>1103</v>
      </c>
      <c r="B1520" s="3" t="s">
        <v>1125</v>
      </c>
      <c r="C1520" s="3" t="s">
        <v>55</v>
      </c>
    </row>
    <row r="1521" spans="1:3" x14ac:dyDescent="0.2">
      <c r="A1521" s="3" t="s">
        <v>1103</v>
      </c>
      <c r="B1521" s="3" t="s">
        <v>1128</v>
      </c>
      <c r="C1521" s="3" t="s">
        <v>55</v>
      </c>
    </row>
    <row r="1522" spans="1:3" x14ac:dyDescent="0.2">
      <c r="A1522" s="3" t="s">
        <v>1103</v>
      </c>
      <c r="B1522" s="3" t="s">
        <v>972</v>
      </c>
      <c r="C1522" s="3" t="s">
        <v>56</v>
      </c>
    </row>
    <row r="1523" spans="1:3" x14ac:dyDescent="0.2">
      <c r="A1523" s="3" t="s">
        <v>1103</v>
      </c>
      <c r="B1523" s="3" t="s">
        <v>973</v>
      </c>
      <c r="C1523" s="3" t="s">
        <v>56</v>
      </c>
    </row>
    <row r="1524" spans="1:3" x14ac:dyDescent="0.2">
      <c r="A1524" s="3" t="s">
        <v>1103</v>
      </c>
      <c r="B1524" s="3" t="s">
        <v>1104</v>
      </c>
      <c r="C1524" s="3" t="s">
        <v>56</v>
      </c>
    </row>
    <row r="1525" spans="1:3" x14ac:dyDescent="0.2">
      <c r="A1525" s="3" t="s">
        <v>1103</v>
      </c>
      <c r="B1525" s="3" t="s">
        <v>299</v>
      </c>
      <c r="C1525" s="3" t="s">
        <v>56</v>
      </c>
    </row>
    <row r="1526" spans="1:3" x14ac:dyDescent="0.2">
      <c r="A1526" s="3" t="s">
        <v>1103</v>
      </c>
      <c r="B1526" s="3" t="s">
        <v>300</v>
      </c>
      <c r="C1526" s="3" t="s">
        <v>56</v>
      </c>
    </row>
    <row r="1527" spans="1:3" x14ac:dyDescent="0.2">
      <c r="A1527" s="3" t="s">
        <v>1103</v>
      </c>
      <c r="B1527" s="3" t="s">
        <v>1126</v>
      </c>
      <c r="C1527" s="3" t="s">
        <v>56</v>
      </c>
    </row>
    <row r="1528" spans="1:3" x14ac:dyDescent="0.2">
      <c r="A1528" s="3" t="s">
        <v>1103</v>
      </c>
      <c r="B1528" s="3" t="s">
        <v>1105</v>
      </c>
      <c r="C1528" s="3" t="s">
        <v>56</v>
      </c>
    </row>
    <row r="1529" spans="1:3" x14ac:dyDescent="0.2">
      <c r="A1529" s="3" t="s">
        <v>1103</v>
      </c>
      <c r="B1529" s="3" t="s">
        <v>1106</v>
      </c>
      <c r="C1529" s="3" t="s">
        <v>56</v>
      </c>
    </row>
    <row r="1530" spans="1:3" x14ac:dyDescent="0.2">
      <c r="A1530" s="3" t="s">
        <v>1103</v>
      </c>
      <c r="B1530" s="3" t="s">
        <v>1107</v>
      </c>
      <c r="C1530" s="3" t="s">
        <v>56</v>
      </c>
    </row>
    <row r="1531" spans="1:3" x14ac:dyDescent="0.2">
      <c r="A1531" s="3" t="s">
        <v>1103</v>
      </c>
      <c r="B1531" s="3" t="s">
        <v>1108</v>
      </c>
      <c r="C1531" s="3" t="s">
        <v>56</v>
      </c>
    </row>
    <row r="1532" spans="1:3" x14ac:dyDescent="0.2">
      <c r="A1532" s="3" t="s">
        <v>1103</v>
      </c>
      <c r="B1532" s="3" t="s">
        <v>1109</v>
      </c>
      <c r="C1532" s="3" t="s">
        <v>56</v>
      </c>
    </row>
    <row r="1533" spans="1:3" x14ac:dyDescent="0.2">
      <c r="A1533" s="3" t="s">
        <v>1103</v>
      </c>
      <c r="B1533" s="3" t="s">
        <v>1110</v>
      </c>
      <c r="C1533" s="3" t="s">
        <v>56</v>
      </c>
    </row>
    <row r="1534" spans="1:3" x14ac:dyDescent="0.2">
      <c r="A1534" s="3" t="s">
        <v>1103</v>
      </c>
      <c r="B1534" s="3" t="s">
        <v>1111</v>
      </c>
      <c r="C1534" s="3" t="s">
        <v>56</v>
      </c>
    </row>
    <row r="1535" spans="1:3" x14ac:dyDescent="0.2">
      <c r="A1535" s="3" t="s">
        <v>1103</v>
      </c>
      <c r="B1535" s="3" t="s">
        <v>1112</v>
      </c>
      <c r="C1535" s="3" t="s">
        <v>56</v>
      </c>
    </row>
    <row r="1536" spans="1:3" x14ac:dyDescent="0.2">
      <c r="A1536" s="3" t="s">
        <v>1103</v>
      </c>
      <c r="B1536" s="3" t="s">
        <v>1113</v>
      </c>
      <c r="C1536" s="3" t="s">
        <v>56</v>
      </c>
    </row>
    <row r="1537" spans="1:3" x14ac:dyDescent="0.2">
      <c r="A1537" s="3" t="s">
        <v>1103</v>
      </c>
      <c r="B1537" s="3" t="s">
        <v>1114</v>
      </c>
      <c r="C1537" s="3" t="s">
        <v>56</v>
      </c>
    </row>
    <row r="1538" spans="1:3" x14ac:dyDescent="0.2">
      <c r="A1538" s="3" t="s">
        <v>1103</v>
      </c>
      <c r="B1538" s="3" t="s">
        <v>1115</v>
      </c>
      <c r="C1538" s="3" t="s">
        <v>56</v>
      </c>
    </row>
    <row r="1539" spans="1:3" x14ac:dyDescent="0.2">
      <c r="A1539" s="3" t="s">
        <v>1103</v>
      </c>
      <c r="B1539" s="3" t="s">
        <v>1116</v>
      </c>
      <c r="C1539" s="3" t="s">
        <v>56</v>
      </c>
    </row>
    <row r="1540" spans="1:3" x14ac:dyDescent="0.2">
      <c r="A1540" s="3" t="s">
        <v>1103</v>
      </c>
      <c r="B1540" s="3" t="s">
        <v>1117</v>
      </c>
      <c r="C1540" s="3" t="s">
        <v>56</v>
      </c>
    </row>
    <row r="1541" spans="1:3" x14ac:dyDescent="0.2">
      <c r="A1541" s="3" t="s">
        <v>1103</v>
      </c>
      <c r="B1541" s="3" t="s">
        <v>1118</v>
      </c>
      <c r="C1541" s="3" t="s">
        <v>56</v>
      </c>
    </row>
    <row r="1542" spans="1:3" x14ac:dyDescent="0.2">
      <c r="A1542" s="3" t="s">
        <v>1103</v>
      </c>
      <c r="B1542" s="3" t="s">
        <v>1119</v>
      </c>
      <c r="C1542" s="3" t="s">
        <v>56</v>
      </c>
    </row>
    <row r="1543" spans="1:3" x14ac:dyDescent="0.2">
      <c r="A1543" s="3" t="s">
        <v>1103</v>
      </c>
      <c r="B1543" s="3" t="s">
        <v>1120</v>
      </c>
      <c r="C1543" s="3" t="s">
        <v>56</v>
      </c>
    </row>
    <row r="1544" spans="1:3" x14ac:dyDescent="0.2">
      <c r="A1544" s="3" t="s">
        <v>1103</v>
      </c>
      <c r="B1544" s="3" t="s">
        <v>1121</v>
      </c>
      <c r="C1544" s="3" t="s">
        <v>56</v>
      </c>
    </row>
    <row r="1545" spans="1:3" x14ac:dyDescent="0.2">
      <c r="A1545" s="3" t="s">
        <v>1103</v>
      </c>
      <c r="B1545" s="3" t="s">
        <v>1122</v>
      </c>
      <c r="C1545" s="3" t="s">
        <v>56</v>
      </c>
    </row>
    <row r="1546" spans="1:3" x14ac:dyDescent="0.2">
      <c r="A1546" s="3" t="s">
        <v>1103</v>
      </c>
      <c r="B1546" s="3" t="s">
        <v>1123</v>
      </c>
      <c r="C1546" s="3" t="s">
        <v>56</v>
      </c>
    </row>
    <row r="1547" spans="1:3" x14ac:dyDescent="0.2">
      <c r="A1547" s="3" t="s">
        <v>1103</v>
      </c>
      <c r="B1547" s="3" t="s">
        <v>1124</v>
      </c>
      <c r="C1547" s="3" t="s">
        <v>56</v>
      </c>
    </row>
    <row r="1548" spans="1:3" x14ac:dyDescent="0.2">
      <c r="A1548" s="3" t="s">
        <v>1103</v>
      </c>
      <c r="B1548" s="3" t="s">
        <v>1125</v>
      </c>
      <c r="C1548" s="3" t="s">
        <v>56</v>
      </c>
    </row>
    <row r="1549" spans="1:3" x14ac:dyDescent="0.2">
      <c r="A1549" s="3" t="s">
        <v>1103</v>
      </c>
      <c r="B1549" s="3" t="s">
        <v>1129</v>
      </c>
      <c r="C1549" s="3" t="s">
        <v>56</v>
      </c>
    </row>
    <row r="1550" spans="1:3" x14ac:dyDescent="0.2">
      <c r="A1550" s="3" t="s">
        <v>1103</v>
      </c>
      <c r="B1550" s="3" t="s">
        <v>972</v>
      </c>
      <c r="C1550" s="3" t="s">
        <v>57</v>
      </c>
    </row>
    <row r="1551" spans="1:3" x14ac:dyDescent="0.2">
      <c r="A1551" s="3" t="s">
        <v>1103</v>
      </c>
      <c r="B1551" s="3" t="s">
        <v>973</v>
      </c>
      <c r="C1551" s="3" t="s">
        <v>57</v>
      </c>
    </row>
    <row r="1552" spans="1:3" x14ac:dyDescent="0.2">
      <c r="A1552" s="3" t="s">
        <v>1103</v>
      </c>
      <c r="B1552" s="3" t="s">
        <v>1104</v>
      </c>
      <c r="C1552" s="3" t="s">
        <v>57</v>
      </c>
    </row>
    <row r="1553" spans="1:3" x14ac:dyDescent="0.2">
      <c r="A1553" s="3" t="s">
        <v>1103</v>
      </c>
      <c r="B1553" s="3" t="s">
        <v>299</v>
      </c>
      <c r="C1553" s="3" t="s">
        <v>57</v>
      </c>
    </row>
    <row r="1554" spans="1:3" x14ac:dyDescent="0.2">
      <c r="A1554" s="3" t="s">
        <v>1103</v>
      </c>
      <c r="B1554" s="3" t="s">
        <v>300</v>
      </c>
      <c r="C1554" s="3" t="s">
        <v>57</v>
      </c>
    </row>
    <row r="1555" spans="1:3" x14ac:dyDescent="0.2">
      <c r="A1555" s="3" t="s">
        <v>1103</v>
      </c>
      <c r="B1555" s="3" t="s">
        <v>1126</v>
      </c>
      <c r="C1555" s="3" t="s">
        <v>57</v>
      </c>
    </row>
    <row r="1556" spans="1:3" x14ac:dyDescent="0.2">
      <c r="A1556" s="3" t="s">
        <v>1103</v>
      </c>
      <c r="B1556" s="3" t="s">
        <v>1105</v>
      </c>
      <c r="C1556" s="3" t="s">
        <v>57</v>
      </c>
    </row>
    <row r="1557" spans="1:3" x14ac:dyDescent="0.2">
      <c r="A1557" s="3" t="s">
        <v>1103</v>
      </c>
      <c r="B1557" s="3" t="s">
        <v>1106</v>
      </c>
      <c r="C1557" s="3" t="s">
        <v>57</v>
      </c>
    </row>
    <row r="1558" spans="1:3" x14ac:dyDescent="0.2">
      <c r="A1558" s="3" t="s">
        <v>1103</v>
      </c>
      <c r="B1558" s="3" t="s">
        <v>1107</v>
      </c>
      <c r="C1558" s="3" t="s">
        <v>57</v>
      </c>
    </row>
    <row r="1559" spans="1:3" x14ac:dyDescent="0.2">
      <c r="A1559" s="3" t="s">
        <v>1103</v>
      </c>
      <c r="B1559" s="3" t="s">
        <v>1108</v>
      </c>
      <c r="C1559" s="3" t="s">
        <v>57</v>
      </c>
    </row>
    <row r="1560" spans="1:3" x14ac:dyDescent="0.2">
      <c r="A1560" s="3" t="s">
        <v>1103</v>
      </c>
      <c r="B1560" s="3" t="s">
        <v>1109</v>
      </c>
      <c r="C1560" s="3" t="s">
        <v>57</v>
      </c>
    </row>
    <row r="1561" spans="1:3" x14ac:dyDescent="0.2">
      <c r="A1561" s="3" t="s">
        <v>1103</v>
      </c>
      <c r="B1561" s="3" t="s">
        <v>1110</v>
      </c>
      <c r="C1561" s="3" t="s">
        <v>57</v>
      </c>
    </row>
    <row r="1562" spans="1:3" x14ac:dyDescent="0.2">
      <c r="A1562" s="3" t="s">
        <v>1103</v>
      </c>
      <c r="B1562" s="3" t="s">
        <v>1111</v>
      </c>
      <c r="C1562" s="3" t="s">
        <v>57</v>
      </c>
    </row>
    <row r="1563" spans="1:3" x14ac:dyDescent="0.2">
      <c r="A1563" s="3" t="s">
        <v>1103</v>
      </c>
      <c r="B1563" s="3" t="s">
        <v>1112</v>
      </c>
      <c r="C1563" s="3" t="s">
        <v>57</v>
      </c>
    </row>
    <row r="1564" spans="1:3" x14ac:dyDescent="0.2">
      <c r="A1564" s="3" t="s">
        <v>1103</v>
      </c>
      <c r="B1564" s="3" t="s">
        <v>1113</v>
      </c>
      <c r="C1564" s="3" t="s">
        <v>57</v>
      </c>
    </row>
    <row r="1565" spans="1:3" x14ac:dyDescent="0.2">
      <c r="A1565" s="3" t="s">
        <v>1103</v>
      </c>
      <c r="B1565" s="3" t="s">
        <v>1114</v>
      </c>
      <c r="C1565" s="3" t="s">
        <v>57</v>
      </c>
    </row>
    <row r="1566" spans="1:3" x14ac:dyDescent="0.2">
      <c r="A1566" s="3" t="s">
        <v>1103</v>
      </c>
      <c r="B1566" s="3" t="s">
        <v>1115</v>
      </c>
      <c r="C1566" s="3" t="s">
        <v>57</v>
      </c>
    </row>
    <row r="1567" spans="1:3" x14ac:dyDescent="0.2">
      <c r="A1567" s="3" t="s">
        <v>1103</v>
      </c>
      <c r="B1567" s="3" t="s">
        <v>1116</v>
      </c>
      <c r="C1567" s="3" t="s">
        <v>57</v>
      </c>
    </row>
    <row r="1568" spans="1:3" x14ac:dyDescent="0.2">
      <c r="A1568" s="3" t="s">
        <v>1103</v>
      </c>
      <c r="B1568" s="3" t="s">
        <v>1117</v>
      </c>
      <c r="C1568" s="3" t="s">
        <v>57</v>
      </c>
    </row>
    <row r="1569" spans="1:3" x14ac:dyDescent="0.2">
      <c r="A1569" s="3" t="s">
        <v>1103</v>
      </c>
      <c r="B1569" s="3" t="s">
        <v>1118</v>
      </c>
      <c r="C1569" s="3" t="s">
        <v>57</v>
      </c>
    </row>
    <row r="1570" spans="1:3" x14ac:dyDescent="0.2">
      <c r="A1570" s="3" t="s">
        <v>1103</v>
      </c>
      <c r="B1570" s="3" t="s">
        <v>1119</v>
      </c>
      <c r="C1570" s="3" t="s">
        <v>57</v>
      </c>
    </row>
    <row r="1571" spans="1:3" x14ac:dyDescent="0.2">
      <c r="A1571" s="3" t="s">
        <v>1103</v>
      </c>
      <c r="B1571" s="3" t="s">
        <v>1120</v>
      </c>
      <c r="C1571" s="3" t="s">
        <v>57</v>
      </c>
    </row>
    <row r="1572" spans="1:3" x14ac:dyDescent="0.2">
      <c r="A1572" s="3" t="s">
        <v>1103</v>
      </c>
      <c r="B1572" s="3" t="s">
        <v>1121</v>
      </c>
      <c r="C1572" s="3" t="s">
        <v>57</v>
      </c>
    </row>
    <row r="1573" spans="1:3" x14ac:dyDescent="0.2">
      <c r="A1573" s="3" t="s">
        <v>1103</v>
      </c>
      <c r="B1573" s="3" t="s">
        <v>1122</v>
      </c>
      <c r="C1573" s="3" t="s">
        <v>57</v>
      </c>
    </row>
    <row r="1574" spans="1:3" x14ac:dyDescent="0.2">
      <c r="A1574" s="3" t="s">
        <v>1103</v>
      </c>
      <c r="B1574" s="3" t="s">
        <v>1123</v>
      </c>
      <c r="C1574" s="3" t="s">
        <v>57</v>
      </c>
    </row>
    <row r="1575" spans="1:3" x14ac:dyDescent="0.2">
      <c r="A1575" s="3" t="s">
        <v>1103</v>
      </c>
      <c r="B1575" s="3" t="s">
        <v>1124</v>
      </c>
      <c r="C1575" s="3" t="s">
        <v>57</v>
      </c>
    </row>
    <row r="1576" spans="1:3" x14ac:dyDescent="0.2">
      <c r="A1576" s="3" t="s">
        <v>1103</v>
      </c>
      <c r="B1576" s="3" t="s">
        <v>1125</v>
      </c>
      <c r="C1576" s="3" t="s">
        <v>57</v>
      </c>
    </row>
    <row r="1577" spans="1:3" x14ac:dyDescent="0.2">
      <c r="A1577" s="3" t="s">
        <v>1103</v>
      </c>
      <c r="B1577" s="3" t="s">
        <v>1130</v>
      </c>
      <c r="C1577" s="3" t="s">
        <v>57</v>
      </c>
    </row>
    <row r="1578" spans="1:3" x14ac:dyDescent="0.2">
      <c r="A1578" s="3" t="s">
        <v>1103</v>
      </c>
      <c r="B1578" s="3" t="s">
        <v>1131</v>
      </c>
      <c r="C1578" s="3" t="s">
        <v>169</v>
      </c>
    </row>
    <row r="1579" spans="1:3" x14ac:dyDescent="0.2">
      <c r="A1579" s="3" t="s">
        <v>1103</v>
      </c>
      <c r="B1579" s="3" t="s">
        <v>1132</v>
      </c>
      <c r="C1579" s="3" t="s">
        <v>169</v>
      </c>
    </row>
    <row r="1580" spans="1:3" x14ac:dyDescent="0.2">
      <c r="A1580" s="3" t="s">
        <v>1103</v>
      </c>
      <c r="B1580" s="3" t="s">
        <v>1133</v>
      </c>
      <c r="C1580" s="3" t="s">
        <v>169</v>
      </c>
    </row>
    <row r="1581" spans="1:3" x14ac:dyDescent="0.2">
      <c r="A1581" s="3" t="s">
        <v>1103</v>
      </c>
      <c r="B1581" s="3" t="s">
        <v>1134</v>
      </c>
      <c r="C1581" s="3" t="s">
        <v>169</v>
      </c>
    </row>
    <row r="1582" spans="1:3" x14ac:dyDescent="0.2">
      <c r="A1582" s="3" t="s">
        <v>1103</v>
      </c>
      <c r="B1582" s="3" t="s">
        <v>1135</v>
      </c>
      <c r="C1582" s="3" t="s">
        <v>169</v>
      </c>
    </row>
    <row r="1583" spans="1:3" x14ac:dyDescent="0.2">
      <c r="A1583" s="3" t="s">
        <v>1103</v>
      </c>
      <c r="B1583" s="3" t="s">
        <v>1136</v>
      </c>
      <c r="C1583" s="3" t="s">
        <v>169</v>
      </c>
    </row>
    <row r="1584" spans="1:3" x14ac:dyDescent="0.2">
      <c r="A1584" s="3" t="s">
        <v>1103</v>
      </c>
      <c r="B1584" s="3" t="s">
        <v>1137</v>
      </c>
      <c r="C1584" s="3" t="s">
        <v>169</v>
      </c>
    </row>
    <row r="1585" spans="1:3" x14ac:dyDescent="0.2">
      <c r="A1585" s="3" t="s">
        <v>1103</v>
      </c>
      <c r="B1585" s="3" t="s">
        <v>1138</v>
      </c>
      <c r="C1585" s="3" t="s">
        <v>169</v>
      </c>
    </row>
    <row r="1586" spans="1:3" x14ac:dyDescent="0.2">
      <c r="A1586" s="3" t="s">
        <v>1103</v>
      </c>
      <c r="B1586" s="3" t="s">
        <v>1139</v>
      </c>
      <c r="C1586" s="3" t="s">
        <v>169</v>
      </c>
    </row>
    <row r="1587" spans="1:3" x14ac:dyDescent="0.2">
      <c r="A1587" s="3" t="s">
        <v>1103</v>
      </c>
      <c r="B1587" s="3" t="s">
        <v>1140</v>
      </c>
      <c r="C1587" s="3" t="s">
        <v>22</v>
      </c>
    </row>
    <row r="1588" spans="1:3" x14ac:dyDescent="0.2">
      <c r="A1588" s="3" t="s">
        <v>1103</v>
      </c>
      <c r="B1588" s="3" t="s">
        <v>1141</v>
      </c>
      <c r="C1588" s="3" t="s">
        <v>22</v>
      </c>
    </row>
    <row r="1589" spans="1:3" x14ac:dyDescent="0.2">
      <c r="A1589" s="3" t="s">
        <v>1103</v>
      </c>
      <c r="B1589" s="3" t="s">
        <v>1142</v>
      </c>
      <c r="C1589" s="3" t="s">
        <v>22</v>
      </c>
    </row>
    <row r="1590" spans="1:3" x14ac:dyDescent="0.2">
      <c r="A1590" s="3" t="s">
        <v>1103</v>
      </c>
      <c r="B1590" s="3" t="s">
        <v>283</v>
      </c>
      <c r="C1590" s="3" t="s">
        <v>22</v>
      </c>
    </row>
    <row r="1591" spans="1:3" x14ac:dyDescent="0.2">
      <c r="A1591" s="3" t="s">
        <v>1143</v>
      </c>
      <c r="B1591" s="3" t="s">
        <v>288</v>
      </c>
      <c r="C1591" s="3" t="s">
        <v>53</v>
      </c>
    </row>
    <row r="1592" spans="1:3" x14ac:dyDescent="0.2">
      <c r="A1592" s="3" t="s">
        <v>1143</v>
      </c>
      <c r="B1592" s="3" t="s">
        <v>1144</v>
      </c>
      <c r="C1592" s="3" t="s">
        <v>53</v>
      </c>
    </row>
    <row r="1593" spans="1:3" x14ac:dyDescent="0.2">
      <c r="A1593" s="3" t="s">
        <v>1143</v>
      </c>
      <c r="B1593" s="3" t="s">
        <v>1145</v>
      </c>
      <c r="C1593" s="3" t="s">
        <v>53</v>
      </c>
    </row>
    <row r="1594" spans="1:3" x14ac:dyDescent="0.2">
      <c r="A1594" s="3" t="s">
        <v>1143</v>
      </c>
      <c r="B1594" s="3" t="s">
        <v>1146</v>
      </c>
      <c r="C1594" s="3" t="s">
        <v>53</v>
      </c>
    </row>
    <row r="1595" spans="1:3" x14ac:dyDescent="0.2">
      <c r="A1595" s="3" t="s">
        <v>1143</v>
      </c>
      <c r="B1595" s="3" t="s">
        <v>1147</v>
      </c>
      <c r="C1595" s="3" t="s">
        <v>53</v>
      </c>
    </row>
    <row r="1596" spans="1:3" x14ac:dyDescent="0.2">
      <c r="A1596" s="3" t="s">
        <v>1143</v>
      </c>
      <c r="B1596" s="3" t="s">
        <v>1148</v>
      </c>
      <c r="C1596" s="3" t="s">
        <v>53</v>
      </c>
    </row>
    <row r="1597" spans="1:3" x14ac:dyDescent="0.2">
      <c r="A1597" s="3" t="s">
        <v>1143</v>
      </c>
      <c r="B1597" s="3" t="s">
        <v>1149</v>
      </c>
      <c r="C1597" s="3" t="s">
        <v>53</v>
      </c>
    </row>
    <row r="1598" spans="1:3" x14ac:dyDescent="0.2">
      <c r="A1598" s="3" t="s">
        <v>1143</v>
      </c>
      <c r="B1598" s="3" t="s">
        <v>288</v>
      </c>
      <c r="C1598" s="3" t="s">
        <v>54</v>
      </c>
    </row>
    <row r="1599" spans="1:3" x14ac:dyDescent="0.2">
      <c r="A1599" s="3" t="s">
        <v>1143</v>
      </c>
      <c r="B1599" s="3" t="s">
        <v>1144</v>
      </c>
      <c r="C1599" s="3" t="s">
        <v>54</v>
      </c>
    </row>
    <row r="1600" spans="1:3" x14ac:dyDescent="0.2">
      <c r="A1600" s="3" t="s">
        <v>1143</v>
      </c>
      <c r="B1600" s="3" t="s">
        <v>1145</v>
      </c>
      <c r="C1600" s="3" t="s">
        <v>54</v>
      </c>
    </row>
    <row r="1601" spans="1:3" x14ac:dyDescent="0.2">
      <c r="A1601" s="3" t="s">
        <v>1143</v>
      </c>
      <c r="B1601" s="3" t="s">
        <v>1146</v>
      </c>
      <c r="C1601" s="3" t="s">
        <v>54</v>
      </c>
    </row>
    <row r="1602" spans="1:3" x14ac:dyDescent="0.2">
      <c r="A1602" s="3" t="s">
        <v>1143</v>
      </c>
      <c r="B1602" s="3" t="s">
        <v>1147</v>
      </c>
      <c r="C1602" s="3" t="s">
        <v>54</v>
      </c>
    </row>
    <row r="1603" spans="1:3" x14ac:dyDescent="0.2">
      <c r="A1603" s="3" t="s">
        <v>1143</v>
      </c>
      <c r="B1603" s="3" t="s">
        <v>1148</v>
      </c>
      <c r="C1603" s="3" t="s">
        <v>54</v>
      </c>
    </row>
    <row r="1604" spans="1:3" x14ac:dyDescent="0.2">
      <c r="A1604" s="3" t="s">
        <v>1143</v>
      </c>
      <c r="B1604" s="3" t="s">
        <v>1149</v>
      </c>
      <c r="C1604" s="3" t="s">
        <v>54</v>
      </c>
    </row>
    <row r="1605" spans="1:3" x14ac:dyDescent="0.2">
      <c r="A1605" s="3" t="s">
        <v>1143</v>
      </c>
      <c r="B1605" s="3" t="s">
        <v>288</v>
      </c>
      <c r="C1605" s="3" t="s">
        <v>55</v>
      </c>
    </row>
    <row r="1606" spans="1:3" x14ac:dyDescent="0.2">
      <c r="A1606" s="3" t="s">
        <v>1143</v>
      </c>
      <c r="B1606" s="3" t="s">
        <v>1144</v>
      </c>
      <c r="C1606" s="3" t="s">
        <v>55</v>
      </c>
    </row>
    <row r="1607" spans="1:3" x14ac:dyDescent="0.2">
      <c r="A1607" s="3" t="s">
        <v>1143</v>
      </c>
      <c r="B1607" s="3" t="s">
        <v>1145</v>
      </c>
      <c r="C1607" s="3" t="s">
        <v>55</v>
      </c>
    </row>
    <row r="1608" spans="1:3" x14ac:dyDescent="0.2">
      <c r="A1608" s="3" t="s">
        <v>1143</v>
      </c>
      <c r="B1608" s="3" t="s">
        <v>1146</v>
      </c>
      <c r="C1608" s="3" t="s">
        <v>55</v>
      </c>
    </row>
    <row r="1609" spans="1:3" x14ac:dyDescent="0.2">
      <c r="A1609" s="3" t="s">
        <v>1143</v>
      </c>
      <c r="B1609" s="3" t="s">
        <v>1147</v>
      </c>
      <c r="C1609" s="3" t="s">
        <v>55</v>
      </c>
    </row>
    <row r="1610" spans="1:3" x14ac:dyDescent="0.2">
      <c r="A1610" s="3" t="s">
        <v>1143</v>
      </c>
      <c r="B1610" s="3" t="s">
        <v>1148</v>
      </c>
      <c r="C1610" s="3" t="s">
        <v>55</v>
      </c>
    </row>
    <row r="1611" spans="1:3" x14ac:dyDescent="0.2">
      <c r="A1611" s="3" t="s">
        <v>1143</v>
      </c>
      <c r="B1611" s="3" t="s">
        <v>1149</v>
      </c>
      <c r="C1611" s="3" t="s">
        <v>55</v>
      </c>
    </row>
    <row r="1612" spans="1:3" x14ac:dyDescent="0.2">
      <c r="A1612" s="3" t="s">
        <v>1143</v>
      </c>
      <c r="B1612" s="3" t="s">
        <v>288</v>
      </c>
      <c r="C1612" s="3" t="s">
        <v>56</v>
      </c>
    </row>
    <row r="1613" spans="1:3" x14ac:dyDescent="0.2">
      <c r="A1613" s="3" t="s">
        <v>1143</v>
      </c>
      <c r="B1613" s="3" t="s">
        <v>1144</v>
      </c>
      <c r="C1613" s="3" t="s">
        <v>56</v>
      </c>
    </row>
    <row r="1614" spans="1:3" x14ac:dyDescent="0.2">
      <c r="A1614" s="3" t="s">
        <v>1143</v>
      </c>
      <c r="B1614" s="3" t="s">
        <v>1145</v>
      </c>
      <c r="C1614" s="3" t="s">
        <v>56</v>
      </c>
    </row>
    <row r="1615" spans="1:3" x14ac:dyDescent="0.2">
      <c r="A1615" s="3" t="s">
        <v>1143</v>
      </c>
      <c r="B1615" s="3" t="s">
        <v>1146</v>
      </c>
      <c r="C1615" s="3" t="s">
        <v>56</v>
      </c>
    </row>
    <row r="1616" spans="1:3" x14ac:dyDescent="0.2">
      <c r="A1616" s="3" t="s">
        <v>1143</v>
      </c>
      <c r="B1616" s="3" t="s">
        <v>1147</v>
      </c>
      <c r="C1616" s="3" t="s">
        <v>56</v>
      </c>
    </row>
    <row r="1617" spans="1:3" x14ac:dyDescent="0.2">
      <c r="A1617" s="3" t="s">
        <v>1143</v>
      </c>
      <c r="B1617" s="3" t="s">
        <v>1148</v>
      </c>
      <c r="C1617" s="3" t="s">
        <v>56</v>
      </c>
    </row>
    <row r="1618" spans="1:3" x14ac:dyDescent="0.2">
      <c r="A1618" s="3" t="s">
        <v>1143</v>
      </c>
      <c r="B1618" s="3" t="s">
        <v>1149</v>
      </c>
      <c r="C1618" s="3" t="s">
        <v>56</v>
      </c>
    </row>
    <row r="1619" spans="1:3" x14ac:dyDescent="0.2">
      <c r="A1619" s="3" t="s">
        <v>1143</v>
      </c>
      <c r="B1619" s="3" t="s">
        <v>288</v>
      </c>
      <c r="C1619" s="3" t="s">
        <v>57</v>
      </c>
    </row>
    <row r="1620" spans="1:3" x14ac:dyDescent="0.2">
      <c r="A1620" s="3" t="s">
        <v>1143</v>
      </c>
      <c r="B1620" s="3" t="s">
        <v>1144</v>
      </c>
      <c r="C1620" s="3" t="s">
        <v>57</v>
      </c>
    </row>
    <row r="1621" spans="1:3" x14ac:dyDescent="0.2">
      <c r="A1621" s="3" t="s">
        <v>1143</v>
      </c>
      <c r="B1621" s="3" t="s">
        <v>1145</v>
      </c>
      <c r="C1621" s="3" t="s">
        <v>57</v>
      </c>
    </row>
    <row r="1622" spans="1:3" x14ac:dyDescent="0.2">
      <c r="A1622" s="3" t="s">
        <v>1143</v>
      </c>
      <c r="B1622" s="3" t="s">
        <v>1146</v>
      </c>
      <c r="C1622" s="3" t="s">
        <v>57</v>
      </c>
    </row>
    <row r="1623" spans="1:3" x14ac:dyDescent="0.2">
      <c r="A1623" s="3" t="s">
        <v>1143</v>
      </c>
      <c r="B1623" s="3" t="s">
        <v>1147</v>
      </c>
      <c r="C1623" s="3" t="s">
        <v>57</v>
      </c>
    </row>
    <row r="1624" spans="1:3" x14ac:dyDescent="0.2">
      <c r="A1624" s="3" t="s">
        <v>1143</v>
      </c>
      <c r="B1624" s="3" t="s">
        <v>1148</v>
      </c>
      <c r="C1624" s="3" t="s">
        <v>57</v>
      </c>
    </row>
    <row r="1625" spans="1:3" x14ac:dyDescent="0.2">
      <c r="A1625" s="3" t="s">
        <v>1143</v>
      </c>
      <c r="B1625" s="3" t="s">
        <v>1149</v>
      </c>
      <c r="C1625" s="3" t="s">
        <v>57</v>
      </c>
    </row>
    <row r="1626" spans="1:3" x14ac:dyDescent="0.2">
      <c r="A1626" s="3" t="s">
        <v>1143</v>
      </c>
      <c r="B1626" s="3" t="s">
        <v>303</v>
      </c>
      <c r="C1626" s="3" t="s">
        <v>169</v>
      </c>
    </row>
    <row r="1627" spans="1:3" x14ac:dyDescent="0.2">
      <c r="A1627" s="3" t="s">
        <v>1143</v>
      </c>
      <c r="B1627" s="3" t="s">
        <v>1150</v>
      </c>
      <c r="C1627" s="3" t="s">
        <v>169</v>
      </c>
    </row>
    <row r="1628" spans="1:3" x14ac:dyDescent="0.2">
      <c r="A1628" s="3" t="s">
        <v>1151</v>
      </c>
      <c r="B1628" s="3" t="s">
        <v>288</v>
      </c>
      <c r="C1628" s="3" t="s">
        <v>53</v>
      </c>
    </row>
    <row r="1629" spans="1:3" x14ac:dyDescent="0.2">
      <c r="A1629" s="3" t="s">
        <v>1151</v>
      </c>
      <c r="B1629" s="3" t="s">
        <v>1152</v>
      </c>
      <c r="C1629" s="3" t="s">
        <v>53</v>
      </c>
    </row>
    <row r="1630" spans="1:3" x14ac:dyDescent="0.2">
      <c r="A1630" s="3" t="s">
        <v>1151</v>
      </c>
      <c r="B1630" s="3" t="s">
        <v>1153</v>
      </c>
      <c r="C1630" s="3" t="s">
        <v>53</v>
      </c>
    </row>
    <row r="1631" spans="1:3" x14ac:dyDescent="0.2">
      <c r="A1631" s="3" t="s">
        <v>1151</v>
      </c>
      <c r="B1631" s="3" t="s">
        <v>1146</v>
      </c>
      <c r="C1631" s="3" t="s">
        <v>53</v>
      </c>
    </row>
    <row r="1632" spans="1:3" x14ac:dyDescent="0.2">
      <c r="A1632" s="3" t="s">
        <v>1151</v>
      </c>
      <c r="B1632" s="3" t="s">
        <v>1147</v>
      </c>
      <c r="C1632" s="3" t="s">
        <v>53</v>
      </c>
    </row>
    <row r="1633" spans="1:3" x14ac:dyDescent="0.2">
      <c r="A1633" s="3" t="s">
        <v>1151</v>
      </c>
      <c r="B1633" s="3" t="s">
        <v>288</v>
      </c>
      <c r="C1633" s="3" t="s">
        <v>54</v>
      </c>
    </row>
    <row r="1634" spans="1:3" x14ac:dyDescent="0.2">
      <c r="A1634" s="3" t="s">
        <v>1151</v>
      </c>
      <c r="B1634" s="3" t="s">
        <v>1152</v>
      </c>
      <c r="C1634" s="3" t="s">
        <v>54</v>
      </c>
    </row>
    <row r="1635" spans="1:3" x14ac:dyDescent="0.2">
      <c r="A1635" s="3" t="s">
        <v>1151</v>
      </c>
      <c r="B1635" s="3" t="s">
        <v>1153</v>
      </c>
      <c r="C1635" s="3" t="s">
        <v>54</v>
      </c>
    </row>
    <row r="1636" spans="1:3" x14ac:dyDescent="0.2">
      <c r="A1636" s="3" t="s">
        <v>1151</v>
      </c>
      <c r="B1636" s="3" t="s">
        <v>1146</v>
      </c>
      <c r="C1636" s="3" t="s">
        <v>54</v>
      </c>
    </row>
    <row r="1637" spans="1:3" x14ac:dyDescent="0.2">
      <c r="A1637" s="3" t="s">
        <v>1151</v>
      </c>
      <c r="B1637" s="3" t="s">
        <v>1147</v>
      </c>
      <c r="C1637" s="3" t="s">
        <v>54</v>
      </c>
    </row>
    <row r="1638" spans="1:3" x14ac:dyDescent="0.2">
      <c r="A1638" s="3" t="s">
        <v>1151</v>
      </c>
      <c r="B1638" s="3" t="s">
        <v>288</v>
      </c>
      <c r="C1638" s="3" t="s">
        <v>55</v>
      </c>
    </row>
    <row r="1639" spans="1:3" x14ac:dyDescent="0.2">
      <c r="A1639" s="3" t="s">
        <v>1151</v>
      </c>
      <c r="B1639" s="3" t="s">
        <v>1152</v>
      </c>
      <c r="C1639" s="3" t="s">
        <v>55</v>
      </c>
    </row>
    <row r="1640" spans="1:3" x14ac:dyDescent="0.2">
      <c r="A1640" s="3" t="s">
        <v>1151</v>
      </c>
      <c r="B1640" s="3" t="s">
        <v>1153</v>
      </c>
      <c r="C1640" s="3" t="s">
        <v>55</v>
      </c>
    </row>
    <row r="1641" spans="1:3" x14ac:dyDescent="0.2">
      <c r="A1641" s="3" t="s">
        <v>1151</v>
      </c>
      <c r="B1641" s="3" t="s">
        <v>1146</v>
      </c>
      <c r="C1641" s="3" t="s">
        <v>55</v>
      </c>
    </row>
    <row r="1642" spans="1:3" x14ac:dyDescent="0.2">
      <c r="A1642" s="3" t="s">
        <v>1151</v>
      </c>
      <c r="B1642" s="3" t="s">
        <v>1147</v>
      </c>
      <c r="C1642" s="3" t="s">
        <v>55</v>
      </c>
    </row>
    <row r="1643" spans="1:3" x14ac:dyDescent="0.2">
      <c r="A1643" s="3" t="s">
        <v>1151</v>
      </c>
      <c r="B1643" s="3" t="s">
        <v>288</v>
      </c>
      <c r="C1643" s="3" t="s">
        <v>56</v>
      </c>
    </row>
    <row r="1644" spans="1:3" x14ac:dyDescent="0.2">
      <c r="A1644" s="3" t="s">
        <v>1151</v>
      </c>
      <c r="B1644" s="3" t="s">
        <v>1152</v>
      </c>
      <c r="C1644" s="3" t="s">
        <v>56</v>
      </c>
    </row>
    <row r="1645" spans="1:3" x14ac:dyDescent="0.2">
      <c r="A1645" s="3" t="s">
        <v>1151</v>
      </c>
      <c r="B1645" s="3" t="s">
        <v>1153</v>
      </c>
      <c r="C1645" s="3" t="s">
        <v>56</v>
      </c>
    </row>
    <row r="1646" spans="1:3" x14ac:dyDescent="0.2">
      <c r="A1646" s="3" t="s">
        <v>1151</v>
      </c>
      <c r="B1646" s="3" t="s">
        <v>1146</v>
      </c>
      <c r="C1646" s="3" t="s">
        <v>56</v>
      </c>
    </row>
    <row r="1647" spans="1:3" x14ac:dyDescent="0.2">
      <c r="A1647" s="3" t="s">
        <v>1151</v>
      </c>
      <c r="B1647" s="3" t="s">
        <v>1147</v>
      </c>
      <c r="C1647" s="3" t="s">
        <v>56</v>
      </c>
    </row>
    <row r="1648" spans="1:3" x14ac:dyDescent="0.2">
      <c r="A1648" s="3" t="s">
        <v>1151</v>
      </c>
      <c r="B1648" s="3" t="s">
        <v>288</v>
      </c>
      <c r="C1648" s="3" t="s">
        <v>57</v>
      </c>
    </row>
    <row r="1649" spans="1:3" x14ac:dyDescent="0.2">
      <c r="A1649" s="3" t="s">
        <v>1151</v>
      </c>
      <c r="B1649" s="3" t="s">
        <v>1152</v>
      </c>
      <c r="C1649" s="3" t="s">
        <v>57</v>
      </c>
    </row>
    <row r="1650" spans="1:3" x14ac:dyDescent="0.2">
      <c r="A1650" s="3" t="s">
        <v>1151</v>
      </c>
      <c r="B1650" s="3" t="s">
        <v>1153</v>
      </c>
      <c r="C1650" s="3" t="s">
        <v>57</v>
      </c>
    </row>
    <row r="1651" spans="1:3" x14ac:dyDescent="0.2">
      <c r="A1651" s="3" t="s">
        <v>1151</v>
      </c>
      <c r="B1651" s="3" t="s">
        <v>1146</v>
      </c>
      <c r="C1651" s="3" t="s">
        <v>57</v>
      </c>
    </row>
    <row r="1652" spans="1:3" x14ac:dyDescent="0.2">
      <c r="A1652" s="3" t="s">
        <v>1151</v>
      </c>
      <c r="B1652" s="3" t="s">
        <v>1147</v>
      </c>
      <c r="C1652" s="3" t="s">
        <v>57</v>
      </c>
    </row>
    <row r="1653" spans="1:3" x14ac:dyDescent="0.2">
      <c r="A1653" s="3" t="s">
        <v>1151</v>
      </c>
      <c r="B1653" s="3" t="s">
        <v>1154</v>
      </c>
      <c r="C1653" s="3" t="s">
        <v>169</v>
      </c>
    </row>
    <row r="1654" spans="1:3" x14ac:dyDescent="0.2">
      <c r="A1654" s="3" t="s">
        <v>1151</v>
      </c>
      <c r="B1654" s="3" t="s">
        <v>1155</v>
      </c>
      <c r="C1654" s="3" t="s">
        <v>169</v>
      </c>
    </row>
    <row r="1655" spans="1:3" x14ac:dyDescent="0.2">
      <c r="A1655" s="3" t="s">
        <v>1151</v>
      </c>
      <c r="B1655" s="3" t="s">
        <v>1156</v>
      </c>
      <c r="C1655" s="3" t="s">
        <v>169</v>
      </c>
    </row>
    <row r="1656" spans="1:3" x14ac:dyDescent="0.2">
      <c r="A1656" s="3" t="s">
        <v>1151</v>
      </c>
      <c r="B1656" s="3" t="s">
        <v>1157</v>
      </c>
      <c r="C1656" s="3" t="s">
        <v>169</v>
      </c>
    </row>
    <row r="1657" spans="1:3" x14ac:dyDescent="0.2">
      <c r="A1657" s="3" t="s">
        <v>1151</v>
      </c>
      <c r="B1657" s="3" t="s">
        <v>1158</v>
      </c>
      <c r="C1657" s="3" t="s">
        <v>169</v>
      </c>
    </row>
    <row r="1658" spans="1:3" x14ac:dyDescent="0.2">
      <c r="A1658" s="3" t="s">
        <v>1151</v>
      </c>
      <c r="B1658" s="3" t="s">
        <v>1159</v>
      </c>
      <c r="C1658" s="3" t="s">
        <v>169</v>
      </c>
    </row>
    <row r="1659" spans="1:3" x14ac:dyDescent="0.2">
      <c r="A1659" s="3" t="s">
        <v>1151</v>
      </c>
      <c r="B1659" s="3" t="s">
        <v>1160</v>
      </c>
      <c r="C1659" s="3" t="s">
        <v>169</v>
      </c>
    </row>
    <row r="1660" spans="1:3" x14ac:dyDescent="0.2">
      <c r="A1660" s="3" t="s">
        <v>1151</v>
      </c>
      <c r="B1660" s="3" t="s">
        <v>1161</v>
      </c>
      <c r="C1660" s="3" t="s">
        <v>169</v>
      </c>
    </row>
    <row r="1661" spans="1:3" x14ac:dyDescent="0.2">
      <c r="A1661" s="3" t="s">
        <v>1151</v>
      </c>
      <c r="B1661" s="3" t="s">
        <v>1162</v>
      </c>
      <c r="C1661" s="3" t="s">
        <v>169</v>
      </c>
    </row>
    <row r="1662" spans="1:3" x14ac:dyDescent="0.2">
      <c r="A1662" s="3" t="s">
        <v>1151</v>
      </c>
      <c r="B1662" s="3" t="s">
        <v>1163</v>
      </c>
      <c r="C1662" s="3" t="s">
        <v>169</v>
      </c>
    </row>
    <row r="1663" spans="1:3" x14ac:dyDescent="0.2">
      <c r="A1663" s="3" t="s">
        <v>1151</v>
      </c>
      <c r="B1663" s="3" t="s">
        <v>1164</v>
      </c>
      <c r="C1663" s="3" t="s">
        <v>169</v>
      </c>
    </row>
    <row r="1664" spans="1:3" x14ac:dyDescent="0.2">
      <c r="A1664" s="3" t="s">
        <v>1172</v>
      </c>
      <c r="B1664" s="3" t="s">
        <v>1173</v>
      </c>
      <c r="C1664" s="3" t="s">
        <v>53</v>
      </c>
    </row>
    <row r="1665" spans="1:3" x14ac:dyDescent="0.2">
      <c r="A1665" s="3" t="s">
        <v>1172</v>
      </c>
      <c r="B1665" s="3" t="s">
        <v>1174</v>
      </c>
      <c r="C1665" s="3" t="s">
        <v>53</v>
      </c>
    </row>
    <row r="1666" spans="1:3" x14ac:dyDescent="0.2">
      <c r="A1666" s="3" t="s">
        <v>1172</v>
      </c>
      <c r="B1666" s="3" t="s">
        <v>1175</v>
      </c>
      <c r="C1666" s="3" t="s">
        <v>53</v>
      </c>
    </row>
    <row r="1667" spans="1:3" x14ac:dyDescent="0.2">
      <c r="A1667" s="3" t="s">
        <v>1172</v>
      </c>
      <c r="B1667" s="3" t="s">
        <v>1176</v>
      </c>
      <c r="C1667" s="3" t="s">
        <v>53</v>
      </c>
    </row>
    <row r="1668" spans="1:3" x14ac:dyDescent="0.2">
      <c r="A1668" s="3" t="s">
        <v>1172</v>
      </c>
      <c r="B1668" s="3" t="s">
        <v>1177</v>
      </c>
      <c r="C1668" s="3" t="s">
        <v>53</v>
      </c>
    </row>
    <row r="1669" spans="1:3" x14ac:dyDescent="0.2">
      <c r="A1669" s="3" t="s">
        <v>1172</v>
      </c>
      <c r="B1669" s="3" t="s">
        <v>1178</v>
      </c>
      <c r="C1669" s="3" t="s">
        <v>53</v>
      </c>
    </row>
    <row r="1670" spans="1:3" x14ac:dyDescent="0.2">
      <c r="A1670" s="3" t="s">
        <v>1172</v>
      </c>
      <c r="B1670" s="3" t="s">
        <v>1179</v>
      </c>
      <c r="C1670" s="3" t="s">
        <v>53</v>
      </c>
    </row>
    <row r="1671" spans="1:3" x14ac:dyDescent="0.2">
      <c r="A1671" s="3" t="s">
        <v>1172</v>
      </c>
      <c r="B1671" s="3" t="s">
        <v>1173</v>
      </c>
      <c r="C1671" s="3" t="s">
        <v>54</v>
      </c>
    </row>
    <row r="1672" spans="1:3" x14ac:dyDescent="0.2">
      <c r="A1672" s="3" t="s">
        <v>1172</v>
      </c>
      <c r="B1672" s="3" t="s">
        <v>1174</v>
      </c>
      <c r="C1672" s="3" t="s">
        <v>54</v>
      </c>
    </row>
    <row r="1673" spans="1:3" x14ac:dyDescent="0.2">
      <c r="A1673" s="3" t="s">
        <v>1172</v>
      </c>
      <c r="B1673" s="3" t="s">
        <v>1175</v>
      </c>
      <c r="C1673" s="3" t="s">
        <v>54</v>
      </c>
    </row>
    <row r="1674" spans="1:3" x14ac:dyDescent="0.2">
      <c r="A1674" s="3" t="s">
        <v>1172</v>
      </c>
      <c r="B1674" s="3" t="s">
        <v>1176</v>
      </c>
      <c r="C1674" s="3" t="s">
        <v>54</v>
      </c>
    </row>
    <row r="1675" spans="1:3" x14ac:dyDescent="0.2">
      <c r="A1675" s="3" t="s">
        <v>1172</v>
      </c>
      <c r="B1675" s="3" t="s">
        <v>1177</v>
      </c>
      <c r="C1675" s="3" t="s">
        <v>54</v>
      </c>
    </row>
    <row r="1676" spans="1:3" x14ac:dyDescent="0.2">
      <c r="A1676" s="3" t="s">
        <v>1172</v>
      </c>
      <c r="B1676" s="3" t="s">
        <v>1179</v>
      </c>
      <c r="C1676" s="3" t="s">
        <v>54</v>
      </c>
    </row>
    <row r="1677" spans="1:3" x14ac:dyDescent="0.2">
      <c r="A1677" s="3" t="s">
        <v>1172</v>
      </c>
      <c r="B1677" s="3" t="s">
        <v>1173</v>
      </c>
      <c r="C1677" s="3" t="s">
        <v>55</v>
      </c>
    </row>
    <row r="1678" spans="1:3" x14ac:dyDescent="0.2">
      <c r="A1678" s="3" t="s">
        <v>1172</v>
      </c>
      <c r="B1678" s="3" t="s">
        <v>1174</v>
      </c>
      <c r="C1678" s="3" t="s">
        <v>55</v>
      </c>
    </row>
    <row r="1679" spans="1:3" x14ac:dyDescent="0.2">
      <c r="A1679" s="3" t="s">
        <v>1172</v>
      </c>
      <c r="B1679" s="3" t="s">
        <v>1175</v>
      </c>
      <c r="C1679" s="3" t="s">
        <v>55</v>
      </c>
    </row>
    <row r="1680" spans="1:3" x14ac:dyDescent="0.2">
      <c r="A1680" s="3" t="s">
        <v>1172</v>
      </c>
      <c r="B1680" s="3" t="s">
        <v>1176</v>
      </c>
      <c r="C1680" s="3" t="s">
        <v>55</v>
      </c>
    </row>
    <row r="1681" spans="1:3" x14ac:dyDescent="0.2">
      <c r="A1681" s="3" t="s">
        <v>1172</v>
      </c>
      <c r="B1681" s="3" t="s">
        <v>1177</v>
      </c>
      <c r="C1681" s="3" t="s">
        <v>55</v>
      </c>
    </row>
    <row r="1682" spans="1:3" x14ac:dyDescent="0.2">
      <c r="A1682" s="3" t="s">
        <v>1172</v>
      </c>
      <c r="B1682" s="3" t="s">
        <v>1179</v>
      </c>
      <c r="C1682" s="3" t="s">
        <v>55</v>
      </c>
    </row>
    <row r="1683" spans="1:3" x14ac:dyDescent="0.2">
      <c r="A1683" s="3" t="s">
        <v>1172</v>
      </c>
      <c r="B1683" s="3" t="s">
        <v>1173</v>
      </c>
      <c r="C1683" s="3" t="s">
        <v>56</v>
      </c>
    </row>
    <row r="1684" spans="1:3" x14ac:dyDescent="0.2">
      <c r="A1684" s="3" t="s">
        <v>1172</v>
      </c>
      <c r="B1684" s="3" t="s">
        <v>1174</v>
      </c>
      <c r="C1684" s="3" t="s">
        <v>56</v>
      </c>
    </row>
    <row r="1685" spans="1:3" x14ac:dyDescent="0.2">
      <c r="A1685" s="3" t="s">
        <v>1172</v>
      </c>
      <c r="B1685" s="3" t="s">
        <v>1175</v>
      </c>
      <c r="C1685" s="3" t="s">
        <v>56</v>
      </c>
    </row>
    <row r="1686" spans="1:3" x14ac:dyDescent="0.2">
      <c r="A1686" s="3" t="s">
        <v>1172</v>
      </c>
      <c r="B1686" s="3" t="s">
        <v>1176</v>
      </c>
      <c r="C1686" s="3" t="s">
        <v>56</v>
      </c>
    </row>
    <row r="1687" spans="1:3" x14ac:dyDescent="0.2">
      <c r="A1687" s="3" t="s">
        <v>1172</v>
      </c>
      <c r="B1687" s="3" t="s">
        <v>1177</v>
      </c>
      <c r="C1687" s="3" t="s">
        <v>56</v>
      </c>
    </row>
    <row r="1688" spans="1:3" x14ac:dyDescent="0.2">
      <c r="A1688" s="3" t="s">
        <v>1172</v>
      </c>
      <c r="B1688" s="3" t="s">
        <v>1179</v>
      </c>
      <c r="C1688" s="3" t="s">
        <v>56</v>
      </c>
    </row>
    <row r="1689" spans="1:3" x14ac:dyDescent="0.2">
      <c r="A1689" s="3" t="s">
        <v>1172</v>
      </c>
      <c r="B1689" s="3" t="s">
        <v>1173</v>
      </c>
      <c r="C1689" s="3" t="s">
        <v>57</v>
      </c>
    </row>
    <row r="1690" spans="1:3" x14ac:dyDescent="0.2">
      <c r="A1690" s="3" t="s">
        <v>1172</v>
      </c>
      <c r="B1690" s="3" t="s">
        <v>1174</v>
      </c>
      <c r="C1690" s="3" t="s">
        <v>57</v>
      </c>
    </row>
    <row r="1691" spans="1:3" x14ac:dyDescent="0.2">
      <c r="A1691" s="3" t="s">
        <v>1172</v>
      </c>
      <c r="B1691" s="3" t="s">
        <v>1175</v>
      </c>
      <c r="C1691" s="3" t="s">
        <v>57</v>
      </c>
    </row>
    <row r="1692" spans="1:3" x14ac:dyDescent="0.2">
      <c r="A1692" s="3" t="s">
        <v>1172</v>
      </c>
      <c r="B1692" s="3" t="s">
        <v>1176</v>
      </c>
      <c r="C1692" s="3" t="s">
        <v>57</v>
      </c>
    </row>
    <row r="1693" spans="1:3" x14ac:dyDescent="0.2">
      <c r="A1693" s="3" t="s">
        <v>1172</v>
      </c>
      <c r="B1693" s="3" t="s">
        <v>1177</v>
      </c>
      <c r="C1693" s="3" t="s">
        <v>57</v>
      </c>
    </row>
    <row r="1694" spans="1:3" x14ac:dyDescent="0.2">
      <c r="A1694" s="3" t="s">
        <v>1172</v>
      </c>
      <c r="B1694" s="3" t="s">
        <v>1179</v>
      </c>
      <c r="C1694" s="3" t="s">
        <v>57</v>
      </c>
    </row>
    <row r="1695" spans="1:3" x14ac:dyDescent="0.2">
      <c r="A1695" s="3" t="s">
        <v>1172</v>
      </c>
      <c r="B1695" s="3" t="s">
        <v>1180</v>
      </c>
      <c r="C1695" s="3" t="s">
        <v>169</v>
      </c>
    </row>
    <row r="1696" spans="1:3" x14ac:dyDescent="0.2">
      <c r="A1696" s="3" t="s">
        <v>1172</v>
      </c>
      <c r="B1696" s="3" t="s">
        <v>1181</v>
      </c>
      <c r="C1696" s="3" t="s">
        <v>169</v>
      </c>
    </row>
    <row r="1697" spans="1:3" x14ac:dyDescent="0.2">
      <c r="A1697" s="3" t="s">
        <v>1172</v>
      </c>
      <c r="B1697" s="3" t="s">
        <v>1182</v>
      </c>
      <c r="C1697" s="3" t="s">
        <v>169</v>
      </c>
    </row>
    <row r="1698" spans="1:3" x14ac:dyDescent="0.2">
      <c r="A1698" s="3" t="s">
        <v>1172</v>
      </c>
      <c r="B1698" s="3" t="s">
        <v>1183</v>
      </c>
      <c r="C1698" s="3" t="s">
        <v>169</v>
      </c>
    </row>
    <row r="1699" spans="1:3" x14ac:dyDescent="0.2">
      <c r="A1699" s="3" t="s">
        <v>1172</v>
      </c>
      <c r="B1699" s="3" t="s">
        <v>1184</v>
      </c>
      <c r="C1699" s="3" t="s">
        <v>169</v>
      </c>
    </row>
    <row r="1700" spans="1:3" x14ac:dyDescent="0.2">
      <c r="A1700" s="3" t="s">
        <v>1172</v>
      </c>
      <c r="B1700" s="3" t="s">
        <v>1185</v>
      </c>
      <c r="C1700" s="3" t="s">
        <v>169</v>
      </c>
    </row>
    <row r="1701" spans="1:3" x14ac:dyDescent="0.2">
      <c r="A1701" s="3" t="s">
        <v>1172</v>
      </c>
      <c r="B1701" s="3" t="s">
        <v>1186</v>
      </c>
      <c r="C1701" s="3" t="s">
        <v>169</v>
      </c>
    </row>
    <row r="1702" spans="1:3" x14ac:dyDescent="0.2">
      <c r="A1702" s="3" t="s">
        <v>1187</v>
      </c>
      <c r="B1702" s="3" t="s">
        <v>1177</v>
      </c>
      <c r="C1702" s="3" t="s">
        <v>53</v>
      </c>
    </row>
    <row r="1703" spans="1:3" x14ac:dyDescent="0.2">
      <c r="A1703" s="3" t="s">
        <v>1187</v>
      </c>
      <c r="B1703" s="3" t="s">
        <v>1177</v>
      </c>
      <c r="C1703" s="3" t="s">
        <v>54</v>
      </c>
    </row>
    <row r="1704" spans="1:3" x14ac:dyDescent="0.2">
      <c r="A1704" s="3" t="s">
        <v>1187</v>
      </c>
      <c r="B1704" s="3" t="s">
        <v>1177</v>
      </c>
      <c r="C1704" s="3" t="s">
        <v>55</v>
      </c>
    </row>
    <row r="1705" spans="1:3" x14ac:dyDescent="0.2">
      <c r="A1705" s="3" t="s">
        <v>1187</v>
      </c>
      <c r="B1705" s="3" t="s">
        <v>1177</v>
      </c>
      <c r="C1705" s="3" t="s">
        <v>56</v>
      </c>
    </row>
    <row r="1706" spans="1:3" x14ac:dyDescent="0.2">
      <c r="A1706" s="3" t="s">
        <v>1187</v>
      </c>
      <c r="B1706" s="3" t="s">
        <v>1177</v>
      </c>
      <c r="C1706" s="3" t="s">
        <v>57</v>
      </c>
    </row>
    <row r="1707" spans="1:3" x14ac:dyDescent="0.2">
      <c r="A1707" s="3" t="s">
        <v>1187</v>
      </c>
      <c r="B1707" s="3" t="s">
        <v>1188</v>
      </c>
      <c r="C1707" s="3" t="s">
        <v>169</v>
      </c>
    </row>
    <row r="1708" spans="1:3" x14ac:dyDescent="0.2">
      <c r="A1708" s="3" t="s">
        <v>1187</v>
      </c>
      <c r="B1708" s="3" t="s">
        <v>1189</v>
      </c>
      <c r="C1708" s="3" t="s">
        <v>169</v>
      </c>
    </row>
    <row r="1709" spans="1:3" x14ac:dyDescent="0.2">
      <c r="A1709" s="3" t="s">
        <v>1187</v>
      </c>
      <c r="B1709" s="3" t="s">
        <v>1190</v>
      </c>
      <c r="C1709" s="3" t="s">
        <v>169</v>
      </c>
    </row>
    <row r="1710" spans="1:3" x14ac:dyDescent="0.2">
      <c r="A1710" s="3" t="s">
        <v>1191</v>
      </c>
      <c r="B1710" s="3" t="s">
        <v>1192</v>
      </c>
      <c r="C1710" s="3" t="s">
        <v>53</v>
      </c>
    </row>
    <row r="1711" spans="1:3" x14ac:dyDescent="0.2">
      <c r="A1711" s="3" t="s">
        <v>1191</v>
      </c>
      <c r="B1711" s="3" t="s">
        <v>1177</v>
      </c>
      <c r="C1711" s="3" t="s">
        <v>53</v>
      </c>
    </row>
    <row r="1712" spans="1:3" x14ac:dyDescent="0.2">
      <c r="A1712" s="3" t="s">
        <v>1191</v>
      </c>
      <c r="B1712" s="3" t="s">
        <v>1192</v>
      </c>
      <c r="C1712" s="3" t="s">
        <v>54</v>
      </c>
    </row>
    <row r="1713" spans="1:3" x14ac:dyDescent="0.2">
      <c r="A1713" s="3" t="s">
        <v>1191</v>
      </c>
      <c r="B1713" s="3" t="s">
        <v>1177</v>
      </c>
      <c r="C1713" s="3" t="s">
        <v>54</v>
      </c>
    </row>
    <row r="1714" spans="1:3" x14ac:dyDescent="0.2">
      <c r="A1714" s="3" t="s">
        <v>1191</v>
      </c>
      <c r="B1714" s="3" t="s">
        <v>1192</v>
      </c>
      <c r="C1714" s="3" t="s">
        <v>55</v>
      </c>
    </row>
    <row r="1715" spans="1:3" x14ac:dyDescent="0.2">
      <c r="A1715" s="3" t="s">
        <v>1191</v>
      </c>
      <c r="B1715" s="3" t="s">
        <v>1177</v>
      </c>
      <c r="C1715" s="3" t="s">
        <v>55</v>
      </c>
    </row>
    <row r="1716" spans="1:3" x14ac:dyDescent="0.2">
      <c r="A1716" s="3" t="s">
        <v>1191</v>
      </c>
      <c r="B1716" s="3" t="s">
        <v>1192</v>
      </c>
      <c r="C1716" s="3" t="s">
        <v>56</v>
      </c>
    </row>
    <row r="1717" spans="1:3" x14ac:dyDescent="0.2">
      <c r="A1717" s="3" t="s">
        <v>1191</v>
      </c>
      <c r="B1717" s="3" t="s">
        <v>1177</v>
      </c>
      <c r="C1717" s="3" t="s">
        <v>56</v>
      </c>
    </row>
    <row r="1718" spans="1:3" x14ac:dyDescent="0.2">
      <c r="A1718" s="3" t="s">
        <v>1191</v>
      </c>
      <c r="B1718" s="3" t="s">
        <v>1192</v>
      </c>
      <c r="C1718" s="3" t="s">
        <v>57</v>
      </c>
    </row>
    <row r="1719" spans="1:3" x14ac:dyDescent="0.2">
      <c r="A1719" s="3" t="s">
        <v>1191</v>
      </c>
      <c r="B1719" s="3" t="s">
        <v>1177</v>
      </c>
      <c r="C1719" s="3" t="s">
        <v>57</v>
      </c>
    </row>
    <row r="1720" spans="1:3" x14ac:dyDescent="0.2">
      <c r="A1720" s="3" t="s">
        <v>1191</v>
      </c>
      <c r="B1720" s="3" t="s">
        <v>1193</v>
      </c>
      <c r="C1720" s="3" t="s">
        <v>169</v>
      </c>
    </row>
    <row r="1721" spans="1:3" x14ac:dyDescent="0.2">
      <c r="A1721" s="3" t="s">
        <v>1191</v>
      </c>
      <c r="B1721" s="3" t="s">
        <v>1194</v>
      </c>
      <c r="C1721" s="3" t="s">
        <v>169</v>
      </c>
    </row>
    <row r="1722" spans="1:3" x14ac:dyDescent="0.2">
      <c r="A1722" s="3" t="s">
        <v>1191</v>
      </c>
      <c r="B1722" s="3" t="s">
        <v>1195</v>
      </c>
      <c r="C1722" s="3" t="s">
        <v>169</v>
      </c>
    </row>
    <row r="1723" spans="1:3" x14ac:dyDescent="0.2">
      <c r="A1723" s="3" t="s">
        <v>1196</v>
      </c>
      <c r="B1723" s="3" t="s">
        <v>1197</v>
      </c>
      <c r="C1723" s="3" t="s">
        <v>53</v>
      </c>
    </row>
    <row r="1724" spans="1:3" x14ac:dyDescent="0.2">
      <c r="A1724" s="3" t="s">
        <v>1196</v>
      </c>
      <c r="B1724" s="3" t="s">
        <v>1197</v>
      </c>
      <c r="C1724" s="3" t="s">
        <v>54</v>
      </c>
    </row>
    <row r="1725" spans="1:3" x14ac:dyDescent="0.2">
      <c r="A1725" s="3" t="s">
        <v>1196</v>
      </c>
      <c r="B1725" s="3" t="s">
        <v>1197</v>
      </c>
      <c r="C1725" s="3" t="s">
        <v>55</v>
      </c>
    </row>
    <row r="1726" spans="1:3" x14ac:dyDescent="0.2">
      <c r="A1726" s="3" t="s">
        <v>1196</v>
      </c>
      <c r="B1726" s="3" t="s">
        <v>1197</v>
      </c>
      <c r="C1726" s="3" t="s">
        <v>56</v>
      </c>
    </row>
    <row r="1727" spans="1:3" x14ac:dyDescent="0.2">
      <c r="A1727" s="3" t="s">
        <v>1196</v>
      </c>
      <c r="B1727" s="3" t="s">
        <v>1197</v>
      </c>
      <c r="C1727" s="3" t="s">
        <v>57</v>
      </c>
    </row>
    <row r="1728" spans="1:3" x14ac:dyDescent="0.2">
      <c r="A1728" s="3" t="s">
        <v>1196</v>
      </c>
      <c r="B1728" s="3" t="s">
        <v>1198</v>
      </c>
      <c r="C1728" s="3" t="s">
        <v>169</v>
      </c>
    </row>
    <row r="1729" spans="1:3" x14ac:dyDescent="0.2">
      <c r="A1729" s="3" t="s">
        <v>1196</v>
      </c>
      <c r="B1729" s="3" t="s">
        <v>1199</v>
      </c>
      <c r="C1729" s="3" t="s">
        <v>169</v>
      </c>
    </row>
    <row r="1730" spans="1:3" x14ac:dyDescent="0.2">
      <c r="A1730" s="3" t="s">
        <v>1196</v>
      </c>
      <c r="B1730" s="3" t="s">
        <v>1200</v>
      </c>
      <c r="C1730" s="3" t="s">
        <v>169</v>
      </c>
    </row>
    <row r="1731" spans="1:3" x14ac:dyDescent="0.2">
      <c r="A1731" s="3" t="s">
        <v>1196</v>
      </c>
      <c r="B1731" s="3" t="s">
        <v>1201</v>
      </c>
      <c r="C1731" s="3" t="s">
        <v>169</v>
      </c>
    </row>
    <row r="1732" spans="1:3" x14ac:dyDescent="0.2">
      <c r="A1732" s="3" t="s">
        <v>1196</v>
      </c>
      <c r="B1732" s="3" t="s">
        <v>1202</v>
      </c>
      <c r="C1732" s="3" t="s">
        <v>169</v>
      </c>
    </row>
    <row r="1733" spans="1:3" x14ac:dyDescent="0.2">
      <c r="A1733" s="3" t="s">
        <v>1196</v>
      </c>
      <c r="B1733" s="3" t="s">
        <v>1203</v>
      </c>
      <c r="C1733" s="3" t="s">
        <v>169</v>
      </c>
    </row>
    <row r="1734" spans="1:3" x14ac:dyDescent="0.2">
      <c r="A1734" s="3" t="s">
        <v>1204</v>
      </c>
      <c r="B1734" s="3" t="s">
        <v>1205</v>
      </c>
      <c r="C1734" s="3" t="s">
        <v>169</v>
      </c>
    </row>
    <row r="1735" spans="1:3" x14ac:dyDescent="0.2">
      <c r="A1735" s="3" t="s">
        <v>1204</v>
      </c>
      <c r="B1735" s="3" t="s">
        <v>1206</v>
      </c>
      <c r="C1735" s="3" t="s">
        <v>169</v>
      </c>
    </row>
    <row r="1736" spans="1:3" x14ac:dyDescent="0.2">
      <c r="A1736" s="3" t="s">
        <v>1204</v>
      </c>
      <c r="B1736" s="3" t="s">
        <v>1207</v>
      </c>
      <c r="C1736" s="3" t="s">
        <v>169</v>
      </c>
    </row>
    <row r="1737" spans="1:3" x14ac:dyDescent="0.2">
      <c r="A1737" s="3" t="s">
        <v>1204</v>
      </c>
      <c r="B1737" s="3" t="s">
        <v>1208</v>
      </c>
      <c r="C1737" s="3" t="s">
        <v>169</v>
      </c>
    </row>
    <row r="1738" spans="1:3" x14ac:dyDescent="0.2">
      <c r="A1738" s="3" t="s">
        <v>1204</v>
      </c>
      <c r="B1738" s="3" t="s">
        <v>1209</v>
      </c>
      <c r="C1738" s="3" t="s">
        <v>169</v>
      </c>
    </row>
    <row r="1739" spans="1:3" x14ac:dyDescent="0.2">
      <c r="A1739" s="3" t="s">
        <v>1204</v>
      </c>
      <c r="B1739" s="3" t="s">
        <v>1210</v>
      </c>
      <c r="C1739" s="3" t="s">
        <v>169</v>
      </c>
    </row>
    <row r="1740" spans="1:3" x14ac:dyDescent="0.2">
      <c r="A1740" s="3" t="s">
        <v>1204</v>
      </c>
      <c r="B1740" s="3" t="s">
        <v>1211</v>
      </c>
      <c r="C1740" s="3" t="s">
        <v>169</v>
      </c>
    </row>
    <row r="1741" spans="1:3" x14ac:dyDescent="0.2">
      <c r="A1741" s="3" t="s">
        <v>1204</v>
      </c>
      <c r="B1741" s="3" t="s">
        <v>1212</v>
      </c>
      <c r="C1741" s="3" t="s">
        <v>169</v>
      </c>
    </row>
    <row r="1742" spans="1:3" x14ac:dyDescent="0.2">
      <c r="A1742" s="3" t="s">
        <v>1213</v>
      </c>
      <c r="B1742" s="3" t="s">
        <v>1214</v>
      </c>
      <c r="C1742" s="3" t="s">
        <v>169</v>
      </c>
    </row>
    <row r="1743" spans="1:3" x14ac:dyDescent="0.2">
      <c r="A1743" s="3" t="s">
        <v>1213</v>
      </c>
      <c r="B1743" s="3" t="s">
        <v>1215</v>
      </c>
      <c r="C1743" s="3" t="s">
        <v>169</v>
      </c>
    </row>
    <row r="1744" spans="1:3" x14ac:dyDescent="0.2">
      <c r="A1744" s="3" t="s">
        <v>1213</v>
      </c>
      <c r="B1744" s="3" t="s">
        <v>1216</v>
      </c>
      <c r="C1744" s="3" t="s">
        <v>169</v>
      </c>
    </row>
    <row r="1745" spans="1:3" x14ac:dyDescent="0.2">
      <c r="A1745" s="3" t="s">
        <v>1213</v>
      </c>
      <c r="B1745" s="3" t="s">
        <v>1217</v>
      </c>
      <c r="C1745" s="3" t="s">
        <v>169</v>
      </c>
    </row>
    <row r="1746" spans="1:3" x14ac:dyDescent="0.2">
      <c r="A1746" s="3" t="s">
        <v>1213</v>
      </c>
      <c r="B1746" s="3" t="s">
        <v>1208</v>
      </c>
      <c r="C1746" s="3" t="s">
        <v>169</v>
      </c>
    </row>
    <row r="1747" spans="1:3" x14ac:dyDescent="0.2">
      <c r="A1747" s="3" t="s">
        <v>1213</v>
      </c>
      <c r="B1747" s="3" t="s">
        <v>1218</v>
      </c>
      <c r="C1747" s="3" t="s">
        <v>169</v>
      </c>
    </row>
    <row r="1748" spans="1:3" x14ac:dyDescent="0.2">
      <c r="A1748" s="3" t="s">
        <v>1219</v>
      </c>
      <c r="B1748" s="3" t="s">
        <v>1220</v>
      </c>
      <c r="C1748" s="3" t="s">
        <v>53</v>
      </c>
    </row>
    <row r="1749" spans="1:3" x14ac:dyDescent="0.2">
      <c r="A1749" s="3" t="s">
        <v>1219</v>
      </c>
      <c r="B1749" s="3" t="s">
        <v>1221</v>
      </c>
      <c r="C1749" s="3" t="s">
        <v>53</v>
      </c>
    </row>
    <row r="1750" spans="1:3" x14ac:dyDescent="0.2">
      <c r="A1750" s="3" t="s">
        <v>1219</v>
      </c>
      <c r="B1750" s="3" t="s">
        <v>1222</v>
      </c>
      <c r="C1750" s="3" t="s">
        <v>53</v>
      </c>
    </row>
    <row r="1751" spans="1:3" x14ac:dyDescent="0.2">
      <c r="A1751" s="3" t="s">
        <v>1219</v>
      </c>
      <c r="B1751" s="3" t="s">
        <v>1220</v>
      </c>
      <c r="C1751" s="3" t="s">
        <v>54</v>
      </c>
    </row>
    <row r="1752" spans="1:3" x14ac:dyDescent="0.2">
      <c r="A1752" s="3" t="s">
        <v>1219</v>
      </c>
      <c r="B1752" s="3" t="s">
        <v>1221</v>
      </c>
      <c r="C1752" s="3" t="s">
        <v>54</v>
      </c>
    </row>
    <row r="1753" spans="1:3" x14ac:dyDescent="0.2">
      <c r="A1753" s="3" t="s">
        <v>1219</v>
      </c>
      <c r="B1753" s="3" t="s">
        <v>1222</v>
      </c>
      <c r="C1753" s="3" t="s">
        <v>54</v>
      </c>
    </row>
    <row r="1754" spans="1:3" x14ac:dyDescent="0.2">
      <c r="A1754" s="3" t="s">
        <v>1219</v>
      </c>
      <c r="B1754" s="3" t="s">
        <v>1220</v>
      </c>
      <c r="C1754" s="3" t="s">
        <v>55</v>
      </c>
    </row>
    <row r="1755" spans="1:3" x14ac:dyDescent="0.2">
      <c r="A1755" s="3" t="s">
        <v>1219</v>
      </c>
      <c r="B1755" s="3" t="s">
        <v>1221</v>
      </c>
      <c r="C1755" s="3" t="s">
        <v>55</v>
      </c>
    </row>
    <row r="1756" spans="1:3" x14ac:dyDescent="0.2">
      <c r="A1756" s="3" t="s">
        <v>1219</v>
      </c>
      <c r="B1756" s="3" t="s">
        <v>1222</v>
      </c>
      <c r="C1756" s="3" t="s">
        <v>55</v>
      </c>
    </row>
    <row r="1757" spans="1:3" x14ac:dyDescent="0.2">
      <c r="A1757" s="3" t="s">
        <v>1219</v>
      </c>
      <c r="B1757" s="3" t="s">
        <v>1220</v>
      </c>
      <c r="C1757" s="3" t="s">
        <v>56</v>
      </c>
    </row>
    <row r="1758" spans="1:3" x14ac:dyDescent="0.2">
      <c r="A1758" s="3" t="s">
        <v>1219</v>
      </c>
      <c r="B1758" s="3" t="s">
        <v>1221</v>
      </c>
      <c r="C1758" s="3" t="s">
        <v>56</v>
      </c>
    </row>
    <row r="1759" spans="1:3" x14ac:dyDescent="0.2">
      <c r="A1759" s="3" t="s">
        <v>1219</v>
      </c>
      <c r="B1759" s="3" t="s">
        <v>1222</v>
      </c>
      <c r="C1759" s="3" t="s">
        <v>56</v>
      </c>
    </row>
    <row r="1760" spans="1:3" x14ac:dyDescent="0.2">
      <c r="A1760" s="3" t="s">
        <v>1219</v>
      </c>
      <c r="B1760" s="3" t="s">
        <v>1220</v>
      </c>
      <c r="C1760" s="3" t="s">
        <v>57</v>
      </c>
    </row>
    <row r="1761" spans="1:3" x14ac:dyDescent="0.2">
      <c r="A1761" s="3" t="s">
        <v>1219</v>
      </c>
      <c r="B1761" s="3" t="s">
        <v>1221</v>
      </c>
      <c r="C1761" s="3" t="s">
        <v>57</v>
      </c>
    </row>
    <row r="1762" spans="1:3" x14ac:dyDescent="0.2">
      <c r="A1762" s="3" t="s">
        <v>1219</v>
      </c>
      <c r="B1762" s="3" t="s">
        <v>1222</v>
      </c>
      <c r="C1762" s="3" t="s">
        <v>57</v>
      </c>
    </row>
    <row r="1763" spans="1:3" x14ac:dyDescent="0.2">
      <c r="A1763" s="3" t="s">
        <v>1219</v>
      </c>
      <c r="B1763" s="3" t="s">
        <v>1223</v>
      </c>
      <c r="C1763" s="3" t="s">
        <v>169</v>
      </c>
    </row>
    <row r="1764" spans="1:3" x14ac:dyDescent="0.2">
      <c r="A1764" s="3" t="s">
        <v>1219</v>
      </c>
      <c r="B1764" s="3" t="s">
        <v>1224</v>
      </c>
      <c r="C1764" s="3" t="s">
        <v>169</v>
      </c>
    </row>
    <row r="1765" spans="1:3" x14ac:dyDescent="0.2">
      <c r="A1765" s="3" t="s">
        <v>1219</v>
      </c>
      <c r="B1765" s="3" t="s">
        <v>1225</v>
      </c>
      <c r="C1765" s="3" t="s">
        <v>169</v>
      </c>
    </row>
    <row r="1766" spans="1:3" x14ac:dyDescent="0.2">
      <c r="A1766" s="3" t="s">
        <v>1219</v>
      </c>
      <c r="B1766" s="3" t="s">
        <v>1226</v>
      </c>
      <c r="C1766" s="3" t="s">
        <v>169</v>
      </c>
    </row>
    <row r="1767" spans="1:3" x14ac:dyDescent="0.2">
      <c r="A1767" s="3" t="s">
        <v>1219</v>
      </c>
      <c r="B1767" s="3" t="s">
        <v>1227</v>
      </c>
      <c r="C1767" s="3" t="s">
        <v>169</v>
      </c>
    </row>
    <row r="1768" spans="1:3" x14ac:dyDescent="0.2">
      <c r="A1768" s="3" t="s">
        <v>1228</v>
      </c>
      <c r="B1768" s="3" t="s">
        <v>1229</v>
      </c>
      <c r="C1768" s="3" t="s">
        <v>169</v>
      </c>
    </row>
    <row r="1769" spans="1:3" x14ac:dyDescent="0.2">
      <c r="A1769" s="3" t="s">
        <v>1228</v>
      </c>
      <c r="B1769" s="3" t="s">
        <v>1230</v>
      </c>
      <c r="C1769" s="3" t="s">
        <v>169</v>
      </c>
    </row>
    <row r="1770" spans="1:3" x14ac:dyDescent="0.2">
      <c r="A1770" s="3" t="s">
        <v>1228</v>
      </c>
      <c r="B1770" s="3" t="s">
        <v>1231</v>
      </c>
      <c r="C1770" s="3" t="s">
        <v>169</v>
      </c>
    </row>
    <row r="1771" spans="1:3" x14ac:dyDescent="0.2">
      <c r="A1771" s="3" t="s">
        <v>2254</v>
      </c>
      <c r="B1771" s="3" t="s">
        <v>2255</v>
      </c>
      <c r="C1771" s="3" t="s">
        <v>53</v>
      </c>
    </row>
    <row r="1772" spans="1:3" x14ac:dyDescent="0.2">
      <c r="A1772" s="3" t="s">
        <v>2254</v>
      </c>
      <c r="B1772" s="3" t="s">
        <v>2256</v>
      </c>
      <c r="C1772" s="3" t="s">
        <v>53</v>
      </c>
    </row>
    <row r="1773" spans="1:3" x14ac:dyDescent="0.2">
      <c r="A1773" s="3" t="s">
        <v>2254</v>
      </c>
      <c r="B1773" s="3" t="s">
        <v>2257</v>
      </c>
      <c r="C1773" s="3" t="s">
        <v>53</v>
      </c>
    </row>
    <row r="1774" spans="1:3" x14ac:dyDescent="0.2">
      <c r="A1774" s="3" t="s">
        <v>2254</v>
      </c>
      <c r="B1774" s="3" t="s">
        <v>2258</v>
      </c>
      <c r="C1774" s="3" t="s">
        <v>53</v>
      </c>
    </row>
    <row r="1775" spans="1:3" x14ac:dyDescent="0.2">
      <c r="A1775" s="3" t="s">
        <v>2254</v>
      </c>
      <c r="B1775" s="3" t="s">
        <v>2259</v>
      </c>
      <c r="C1775" s="3" t="s">
        <v>53</v>
      </c>
    </row>
    <row r="1776" spans="1:3" x14ac:dyDescent="0.2">
      <c r="A1776" s="3" t="s">
        <v>2254</v>
      </c>
      <c r="B1776" s="3" t="s">
        <v>2260</v>
      </c>
      <c r="C1776" s="3" t="s">
        <v>53</v>
      </c>
    </row>
    <row r="1777" spans="1:3" x14ac:dyDescent="0.2">
      <c r="A1777" s="3" t="s">
        <v>2254</v>
      </c>
      <c r="B1777" s="3" t="s">
        <v>2255</v>
      </c>
      <c r="C1777" s="3" t="s">
        <v>54</v>
      </c>
    </row>
    <row r="1778" spans="1:3" x14ac:dyDescent="0.2">
      <c r="A1778" s="3" t="s">
        <v>2254</v>
      </c>
      <c r="B1778" s="3" t="s">
        <v>2256</v>
      </c>
      <c r="C1778" s="3" t="s">
        <v>54</v>
      </c>
    </row>
    <row r="1779" spans="1:3" x14ac:dyDescent="0.2">
      <c r="A1779" s="3" t="s">
        <v>2254</v>
      </c>
      <c r="B1779" s="3" t="s">
        <v>2257</v>
      </c>
      <c r="C1779" s="3" t="s">
        <v>54</v>
      </c>
    </row>
    <row r="1780" spans="1:3" x14ac:dyDescent="0.2">
      <c r="A1780" s="3" t="s">
        <v>2254</v>
      </c>
      <c r="B1780" s="3" t="s">
        <v>2258</v>
      </c>
      <c r="C1780" s="3" t="s">
        <v>54</v>
      </c>
    </row>
    <row r="1781" spans="1:3" x14ac:dyDescent="0.2">
      <c r="A1781" s="3" t="s">
        <v>2254</v>
      </c>
      <c r="B1781" s="3" t="s">
        <v>2259</v>
      </c>
      <c r="C1781" s="3" t="s">
        <v>54</v>
      </c>
    </row>
    <row r="1782" spans="1:3" x14ac:dyDescent="0.2">
      <c r="A1782" s="3" t="s">
        <v>2254</v>
      </c>
      <c r="B1782" s="3" t="s">
        <v>2260</v>
      </c>
      <c r="C1782" s="3" t="s">
        <v>54</v>
      </c>
    </row>
    <row r="1783" spans="1:3" x14ac:dyDescent="0.2">
      <c r="A1783" s="3" t="s">
        <v>2254</v>
      </c>
      <c r="B1783" s="3" t="s">
        <v>2261</v>
      </c>
      <c r="C1783" s="3" t="s">
        <v>169</v>
      </c>
    </row>
    <row r="1784" spans="1:3" x14ac:dyDescent="0.2">
      <c r="A1784" s="3" t="s">
        <v>2254</v>
      </c>
      <c r="B1784" s="3" t="s">
        <v>2262</v>
      </c>
      <c r="C1784" s="3" t="s">
        <v>169</v>
      </c>
    </row>
    <row r="1785" spans="1:3" x14ac:dyDescent="0.2">
      <c r="A1785" s="3" t="s">
        <v>2263</v>
      </c>
      <c r="B1785" s="3" t="s">
        <v>2264</v>
      </c>
      <c r="C1785" s="3" t="s">
        <v>53</v>
      </c>
    </row>
    <row r="1786" spans="1:3" x14ac:dyDescent="0.2">
      <c r="A1786" s="3" t="s">
        <v>2263</v>
      </c>
      <c r="B1786" s="3" t="s">
        <v>2265</v>
      </c>
      <c r="C1786" s="3" t="s">
        <v>53</v>
      </c>
    </row>
    <row r="1787" spans="1:3" x14ac:dyDescent="0.2">
      <c r="A1787" s="3" t="s">
        <v>2263</v>
      </c>
      <c r="B1787" s="3" t="s">
        <v>2256</v>
      </c>
      <c r="C1787" s="3" t="s">
        <v>53</v>
      </c>
    </row>
    <row r="1788" spans="1:3" x14ac:dyDescent="0.2">
      <c r="A1788" s="3" t="s">
        <v>2263</v>
      </c>
      <c r="B1788" s="3" t="s">
        <v>2266</v>
      </c>
      <c r="C1788" s="3" t="s">
        <v>53</v>
      </c>
    </row>
    <row r="1789" spans="1:3" x14ac:dyDescent="0.2">
      <c r="A1789" s="3" t="s">
        <v>2263</v>
      </c>
      <c r="B1789" s="3" t="s">
        <v>2267</v>
      </c>
      <c r="C1789" s="3" t="s">
        <v>53</v>
      </c>
    </row>
    <row r="1790" spans="1:3" x14ac:dyDescent="0.2">
      <c r="A1790" s="3" t="s">
        <v>2263</v>
      </c>
      <c r="B1790" s="3" t="s">
        <v>2264</v>
      </c>
      <c r="C1790" s="3" t="s">
        <v>54</v>
      </c>
    </row>
    <row r="1791" spans="1:3" x14ac:dyDescent="0.2">
      <c r="A1791" s="3" t="s">
        <v>2263</v>
      </c>
      <c r="B1791" s="3" t="s">
        <v>2265</v>
      </c>
      <c r="C1791" s="3" t="s">
        <v>54</v>
      </c>
    </row>
    <row r="1792" spans="1:3" x14ac:dyDescent="0.2">
      <c r="A1792" s="3" t="s">
        <v>2263</v>
      </c>
      <c r="B1792" s="3" t="s">
        <v>2256</v>
      </c>
      <c r="C1792" s="3" t="s">
        <v>54</v>
      </c>
    </row>
    <row r="1793" spans="1:3" x14ac:dyDescent="0.2">
      <c r="A1793" s="3" t="s">
        <v>2263</v>
      </c>
      <c r="B1793" s="3" t="s">
        <v>2266</v>
      </c>
      <c r="C1793" s="3" t="s">
        <v>54</v>
      </c>
    </row>
    <row r="1794" spans="1:3" x14ac:dyDescent="0.2">
      <c r="A1794" s="3" t="s">
        <v>2263</v>
      </c>
      <c r="B1794" s="3" t="s">
        <v>2267</v>
      </c>
      <c r="C1794" s="3" t="s">
        <v>54</v>
      </c>
    </row>
    <row r="1795" spans="1:3" x14ac:dyDescent="0.2">
      <c r="A1795" s="3" t="s">
        <v>2263</v>
      </c>
      <c r="B1795" s="3" t="s">
        <v>2268</v>
      </c>
      <c r="C1795" s="3" t="s">
        <v>169</v>
      </c>
    </row>
    <row r="1796" spans="1:3" x14ac:dyDescent="0.2">
      <c r="A1796" s="3" t="s">
        <v>2263</v>
      </c>
      <c r="B1796" s="3" t="s">
        <v>2269</v>
      </c>
      <c r="C1796" s="3" t="s">
        <v>169</v>
      </c>
    </row>
    <row r="1797" spans="1:3" x14ac:dyDescent="0.2">
      <c r="A1797" s="3" t="s">
        <v>2263</v>
      </c>
      <c r="B1797" s="3" t="s">
        <v>2270</v>
      </c>
      <c r="C1797" s="3" t="s">
        <v>169</v>
      </c>
    </row>
    <row r="1798" spans="1:3" x14ac:dyDescent="0.2">
      <c r="A1798" s="3" t="s">
        <v>2263</v>
      </c>
      <c r="B1798" s="3" t="s">
        <v>2271</v>
      </c>
      <c r="C1798" s="3" t="s">
        <v>169</v>
      </c>
    </row>
    <row r="1799" spans="1:3" x14ac:dyDescent="0.2">
      <c r="A1799" s="3" t="s">
        <v>2272</v>
      </c>
      <c r="B1799" s="3" t="s">
        <v>2273</v>
      </c>
      <c r="C1799" s="3" t="s">
        <v>169</v>
      </c>
    </row>
    <row r="1800" spans="1:3" x14ac:dyDescent="0.2">
      <c r="A1800" s="3" t="s">
        <v>2274</v>
      </c>
      <c r="B1800" s="3" t="s">
        <v>2275</v>
      </c>
      <c r="C1800" s="3" t="s">
        <v>53</v>
      </c>
    </row>
    <row r="1801" spans="1:3" x14ac:dyDescent="0.2">
      <c r="A1801" s="3" t="s">
        <v>2274</v>
      </c>
      <c r="B1801" s="3" t="s">
        <v>2276</v>
      </c>
      <c r="C1801" s="3" t="s">
        <v>53</v>
      </c>
    </row>
    <row r="1802" spans="1:3" x14ac:dyDescent="0.2">
      <c r="A1802" s="3" t="s">
        <v>2274</v>
      </c>
      <c r="B1802" s="3" t="s">
        <v>2275</v>
      </c>
      <c r="C1802" s="3" t="s">
        <v>54</v>
      </c>
    </row>
    <row r="1803" spans="1:3" x14ac:dyDescent="0.2">
      <c r="A1803" s="3" t="s">
        <v>2274</v>
      </c>
      <c r="B1803" s="3" t="s">
        <v>2276</v>
      </c>
      <c r="C1803" s="3" t="s">
        <v>54</v>
      </c>
    </row>
    <row r="1804" spans="1:3" x14ac:dyDescent="0.2">
      <c r="A1804" s="3" t="s">
        <v>2274</v>
      </c>
      <c r="B1804" s="3" t="s">
        <v>2277</v>
      </c>
      <c r="C1804" s="3" t="s">
        <v>169</v>
      </c>
    </row>
    <row r="1805" spans="1:3" x14ac:dyDescent="0.2">
      <c r="A1805" s="3" t="s">
        <v>2278</v>
      </c>
      <c r="B1805" s="3" t="s">
        <v>2279</v>
      </c>
      <c r="C1805" s="3" t="s">
        <v>53</v>
      </c>
    </row>
    <row r="1806" spans="1:3" x14ac:dyDescent="0.2">
      <c r="A1806" s="3" t="s">
        <v>2278</v>
      </c>
      <c r="B1806" s="3" t="s">
        <v>2280</v>
      </c>
      <c r="C1806" s="3" t="s">
        <v>53</v>
      </c>
    </row>
    <row r="1807" spans="1:3" x14ac:dyDescent="0.2">
      <c r="A1807" s="3" t="s">
        <v>2278</v>
      </c>
      <c r="B1807" s="3" t="s">
        <v>2281</v>
      </c>
      <c r="C1807" s="3" t="s">
        <v>53</v>
      </c>
    </row>
    <row r="1808" spans="1:3" x14ac:dyDescent="0.2">
      <c r="A1808" s="3" t="s">
        <v>2278</v>
      </c>
      <c r="B1808" s="3" t="s">
        <v>2049</v>
      </c>
      <c r="C1808" s="3" t="s">
        <v>53</v>
      </c>
    </row>
    <row r="1809" spans="1:3" x14ac:dyDescent="0.2">
      <c r="A1809" s="3" t="s">
        <v>2278</v>
      </c>
      <c r="B1809" s="3" t="s">
        <v>2279</v>
      </c>
      <c r="C1809" s="3" t="s">
        <v>54</v>
      </c>
    </row>
    <row r="1810" spans="1:3" x14ac:dyDescent="0.2">
      <c r="A1810" s="3" t="s">
        <v>2278</v>
      </c>
      <c r="B1810" s="3" t="s">
        <v>2280</v>
      </c>
      <c r="C1810" s="3" t="s">
        <v>54</v>
      </c>
    </row>
    <row r="1811" spans="1:3" x14ac:dyDescent="0.2">
      <c r="A1811" s="3" t="s">
        <v>2278</v>
      </c>
      <c r="B1811" s="3" t="s">
        <v>2281</v>
      </c>
      <c r="C1811" s="3" t="s">
        <v>54</v>
      </c>
    </row>
    <row r="1812" spans="1:3" x14ac:dyDescent="0.2">
      <c r="A1812" s="3" t="s">
        <v>2278</v>
      </c>
      <c r="B1812" s="3" t="s">
        <v>2049</v>
      </c>
      <c r="C1812" s="3" t="s">
        <v>54</v>
      </c>
    </row>
    <row r="1813" spans="1:3" x14ac:dyDescent="0.2">
      <c r="A1813" s="3" t="s">
        <v>2278</v>
      </c>
      <c r="B1813" s="3" t="s">
        <v>2282</v>
      </c>
      <c r="C1813" s="3" t="s">
        <v>169</v>
      </c>
    </row>
    <row r="1814" spans="1:3" x14ac:dyDescent="0.2">
      <c r="A1814" s="3" t="s">
        <v>2278</v>
      </c>
      <c r="B1814" s="3" t="s">
        <v>2283</v>
      </c>
      <c r="C1814" s="3" t="s">
        <v>169</v>
      </c>
    </row>
    <row r="1815" spans="1:3" x14ac:dyDescent="0.2">
      <c r="A1815" s="3" t="s">
        <v>2278</v>
      </c>
      <c r="B1815" s="3" t="s">
        <v>741</v>
      </c>
      <c r="C1815" s="3" t="s">
        <v>22</v>
      </c>
    </row>
    <row r="1816" spans="1:3" x14ac:dyDescent="0.2">
      <c r="A1816" s="3" t="s">
        <v>1443</v>
      </c>
      <c r="B1816" s="3" t="s">
        <v>1444</v>
      </c>
      <c r="C1816" s="3" t="s">
        <v>53</v>
      </c>
    </row>
    <row r="1817" spans="1:3" x14ac:dyDescent="0.2">
      <c r="A1817" s="3" t="s">
        <v>1443</v>
      </c>
      <c r="B1817" s="3" t="s">
        <v>1445</v>
      </c>
      <c r="C1817" s="3" t="s">
        <v>53</v>
      </c>
    </row>
    <row r="1818" spans="1:3" x14ac:dyDescent="0.2">
      <c r="A1818" s="3" t="s">
        <v>1443</v>
      </c>
      <c r="B1818" s="3" t="s">
        <v>1446</v>
      </c>
      <c r="C1818" s="3" t="s">
        <v>53</v>
      </c>
    </row>
    <row r="1819" spans="1:3" x14ac:dyDescent="0.2">
      <c r="A1819" s="3" t="s">
        <v>1443</v>
      </c>
      <c r="B1819" s="3" t="s">
        <v>1444</v>
      </c>
      <c r="C1819" s="3" t="s">
        <v>54</v>
      </c>
    </row>
    <row r="1820" spans="1:3" x14ac:dyDescent="0.2">
      <c r="A1820" s="3" t="s">
        <v>1443</v>
      </c>
      <c r="B1820" s="3" t="s">
        <v>1445</v>
      </c>
      <c r="C1820" s="3" t="s">
        <v>54</v>
      </c>
    </row>
    <row r="1821" spans="1:3" x14ac:dyDescent="0.2">
      <c r="A1821" s="3" t="s">
        <v>1443</v>
      </c>
      <c r="B1821" s="3" t="s">
        <v>1446</v>
      </c>
      <c r="C1821" s="3" t="s">
        <v>54</v>
      </c>
    </row>
    <row r="1822" spans="1:3" x14ac:dyDescent="0.2">
      <c r="A1822" s="3" t="s">
        <v>1463</v>
      </c>
      <c r="B1822" s="3" t="s">
        <v>565</v>
      </c>
      <c r="C1822" s="3" t="s">
        <v>53</v>
      </c>
    </row>
    <row r="1823" spans="1:3" x14ac:dyDescent="0.2">
      <c r="A1823" s="3" t="s">
        <v>1463</v>
      </c>
      <c r="B1823" s="3" t="s">
        <v>597</v>
      </c>
      <c r="C1823" s="3" t="s">
        <v>53</v>
      </c>
    </row>
    <row r="1824" spans="1:3" x14ac:dyDescent="0.2">
      <c r="A1824" s="3" t="s">
        <v>1463</v>
      </c>
      <c r="B1824" s="3" t="s">
        <v>566</v>
      </c>
      <c r="C1824" s="3" t="s">
        <v>53</v>
      </c>
    </row>
    <row r="1825" spans="1:3" x14ac:dyDescent="0.2">
      <c r="A1825" s="3" t="s">
        <v>1463</v>
      </c>
      <c r="B1825" s="3" t="s">
        <v>531</v>
      </c>
      <c r="C1825" s="3" t="s">
        <v>53</v>
      </c>
    </row>
    <row r="1826" spans="1:3" x14ac:dyDescent="0.2">
      <c r="A1826" s="3" t="s">
        <v>1463</v>
      </c>
      <c r="B1826" s="3" t="s">
        <v>567</v>
      </c>
      <c r="C1826" s="3" t="s">
        <v>53</v>
      </c>
    </row>
    <row r="1827" spans="1:3" x14ac:dyDescent="0.2">
      <c r="A1827" s="3" t="s">
        <v>1463</v>
      </c>
      <c r="B1827" s="3" t="s">
        <v>598</v>
      </c>
      <c r="C1827" s="3" t="s">
        <v>53</v>
      </c>
    </row>
    <row r="1828" spans="1:3" x14ac:dyDescent="0.2">
      <c r="A1828" s="3" t="s">
        <v>1463</v>
      </c>
      <c r="B1828" s="3" t="s">
        <v>547</v>
      </c>
      <c r="C1828" s="3" t="s">
        <v>53</v>
      </c>
    </row>
    <row r="1829" spans="1:3" x14ac:dyDescent="0.2">
      <c r="A1829" s="3" t="s">
        <v>1463</v>
      </c>
      <c r="B1829" s="3" t="s">
        <v>1464</v>
      </c>
      <c r="C1829" s="3" t="s">
        <v>53</v>
      </c>
    </row>
    <row r="1830" spans="1:3" x14ac:dyDescent="0.2">
      <c r="A1830" s="3" t="s">
        <v>1463</v>
      </c>
      <c r="B1830" s="3" t="s">
        <v>1465</v>
      </c>
      <c r="C1830" s="3" t="s">
        <v>53</v>
      </c>
    </row>
    <row r="1831" spans="1:3" x14ac:dyDescent="0.2">
      <c r="A1831" s="3" t="s">
        <v>1463</v>
      </c>
      <c r="B1831" s="3" t="s">
        <v>565</v>
      </c>
      <c r="C1831" s="3" t="s">
        <v>54</v>
      </c>
    </row>
    <row r="1832" spans="1:3" x14ac:dyDescent="0.2">
      <c r="A1832" s="3" t="s">
        <v>1463</v>
      </c>
      <c r="B1832" s="3" t="s">
        <v>597</v>
      </c>
      <c r="C1832" s="3" t="s">
        <v>54</v>
      </c>
    </row>
    <row r="1833" spans="1:3" x14ac:dyDescent="0.2">
      <c r="A1833" s="3" t="s">
        <v>1463</v>
      </c>
      <c r="B1833" s="3" t="s">
        <v>566</v>
      </c>
      <c r="C1833" s="3" t="s">
        <v>54</v>
      </c>
    </row>
    <row r="1834" spans="1:3" x14ac:dyDescent="0.2">
      <c r="A1834" s="3" t="s">
        <v>1463</v>
      </c>
      <c r="B1834" s="3" t="s">
        <v>531</v>
      </c>
      <c r="C1834" s="3" t="s">
        <v>54</v>
      </c>
    </row>
    <row r="1835" spans="1:3" x14ac:dyDescent="0.2">
      <c r="A1835" s="3" t="s">
        <v>1463</v>
      </c>
      <c r="B1835" s="3" t="s">
        <v>567</v>
      </c>
      <c r="C1835" s="3" t="s">
        <v>54</v>
      </c>
    </row>
    <row r="1836" spans="1:3" x14ac:dyDescent="0.2">
      <c r="A1836" s="3" t="s">
        <v>1463</v>
      </c>
      <c r="B1836" s="3" t="s">
        <v>598</v>
      </c>
      <c r="C1836" s="3" t="s">
        <v>54</v>
      </c>
    </row>
    <row r="1837" spans="1:3" x14ac:dyDescent="0.2">
      <c r="A1837" s="3" t="s">
        <v>1463</v>
      </c>
      <c r="B1837" s="3" t="s">
        <v>547</v>
      </c>
      <c r="C1837" s="3" t="s">
        <v>54</v>
      </c>
    </row>
    <row r="1838" spans="1:3" x14ac:dyDescent="0.2">
      <c r="A1838" s="3" t="s">
        <v>1463</v>
      </c>
      <c r="B1838" s="3" t="s">
        <v>1464</v>
      </c>
      <c r="C1838" s="3" t="s">
        <v>54</v>
      </c>
    </row>
    <row r="1839" spans="1:3" x14ac:dyDescent="0.2">
      <c r="A1839" s="3" t="s">
        <v>1463</v>
      </c>
      <c r="B1839" s="3" t="s">
        <v>1465</v>
      </c>
      <c r="C1839" s="3" t="s">
        <v>54</v>
      </c>
    </row>
    <row r="1840" spans="1:3" x14ac:dyDescent="0.2">
      <c r="A1840" s="3" t="s">
        <v>1463</v>
      </c>
      <c r="B1840" s="3" t="s">
        <v>565</v>
      </c>
      <c r="C1840" s="3" t="s">
        <v>55</v>
      </c>
    </row>
    <row r="1841" spans="1:3" x14ac:dyDescent="0.2">
      <c r="A1841" s="3" t="s">
        <v>1463</v>
      </c>
      <c r="B1841" s="3" t="s">
        <v>597</v>
      </c>
      <c r="C1841" s="3" t="s">
        <v>55</v>
      </c>
    </row>
    <row r="1842" spans="1:3" x14ac:dyDescent="0.2">
      <c r="A1842" s="3" t="s">
        <v>1463</v>
      </c>
      <c r="B1842" s="3" t="s">
        <v>566</v>
      </c>
      <c r="C1842" s="3" t="s">
        <v>55</v>
      </c>
    </row>
    <row r="1843" spans="1:3" x14ac:dyDescent="0.2">
      <c r="A1843" s="3" t="s">
        <v>1463</v>
      </c>
      <c r="B1843" s="3" t="s">
        <v>531</v>
      </c>
      <c r="C1843" s="3" t="s">
        <v>55</v>
      </c>
    </row>
    <row r="1844" spans="1:3" x14ac:dyDescent="0.2">
      <c r="A1844" s="3" t="s">
        <v>1463</v>
      </c>
      <c r="B1844" s="3" t="s">
        <v>567</v>
      </c>
      <c r="C1844" s="3" t="s">
        <v>55</v>
      </c>
    </row>
    <row r="1845" spans="1:3" x14ac:dyDescent="0.2">
      <c r="A1845" s="3" t="s">
        <v>1463</v>
      </c>
      <c r="B1845" s="3" t="s">
        <v>598</v>
      </c>
      <c r="C1845" s="3" t="s">
        <v>55</v>
      </c>
    </row>
    <row r="1846" spans="1:3" x14ac:dyDescent="0.2">
      <c r="A1846" s="3" t="s">
        <v>1463</v>
      </c>
      <c r="B1846" s="3" t="s">
        <v>547</v>
      </c>
      <c r="C1846" s="3" t="s">
        <v>55</v>
      </c>
    </row>
    <row r="1847" spans="1:3" x14ac:dyDescent="0.2">
      <c r="A1847" s="3" t="s">
        <v>1463</v>
      </c>
      <c r="B1847" s="3" t="s">
        <v>1464</v>
      </c>
      <c r="C1847" s="3" t="s">
        <v>55</v>
      </c>
    </row>
    <row r="1848" spans="1:3" x14ac:dyDescent="0.2">
      <c r="A1848" s="3" t="s">
        <v>1463</v>
      </c>
      <c r="B1848" s="3" t="s">
        <v>1465</v>
      </c>
      <c r="C1848" s="3" t="s">
        <v>55</v>
      </c>
    </row>
    <row r="1849" spans="1:3" x14ac:dyDescent="0.2">
      <c r="A1849" s="3" t="s">
        <v>1463</v>
      </c>
      <c r="B1849" s="3" t="s">
        <v>565</v>
      </c>
      <c r="C1849" s="3" t="s">
        <v>56</v>
      </c>
    </row>
    <row r="1850" spans="1:3" x14ac:dyDescent="0.2">
      <c r="A1850" s="3" t="s">
        <v>1463</v>
      </c>
      <c r="B1850" s="3" t="s">
        <v>597</v>
      </c>
      <c r="C1850" s="3" t="s">
        <v>56</v>
      </c>
    </row>
    <row r="1851" spans="1:3" x14ac:dyDescent="0.2">
      <c r="A1851" s="3" t="s">
        <v>1463</v>
      </c>
      <c r="B1851" s="3" t="s">
        <v>566</v>
      </c>
      <c r="C1851" s="3" t="s">
        <v>56</v>
      </c>
    </row>
    <row r="1852" spans="1:3" x14ac:dyDescent="0.2">
      <c r="A1852" s="3" t="s">
        <v>1463</v>
      </c>
      <c r="B1852" s="3" t="s">
        <v>531</v>
      </c>
      <c r="C1852" s="3" t="s">
        <v>56</v>
      </c>
    </row>
    <row r="1853" spans="1:3" x14ac:dyDescent="0.2">
      <c r="A1853" s="3" t="s">
        <v>1463</v>
      </c>
      <c r="B1853" s="3" t="s">
        <v>567</v>
      </c>
      <c r="C1853" s="3" t="s">
        <v>56</v>
      </c>
    </row>
    <row r="1854" spans="1:3" x14ac:dyDescent="0.2">
      <c r="A1854" s="3" t="s">
        <v>1463</v>
      </c>
      <c r="B1854" s="3" t="s">
        <v>598</v>
      </c>
      <c r="C1854" s="3" t="s">
        <v>56</v>
      </c>
    </row>
    <row r="1855" spans="1:3" x14ac:dyDescent="0.2">
      <c r="A1855" s="3" t="s">
        <v>1463</v>
      </c>
      <c r="B1855" s="3" t="s">
        <v>547</v>
      </c>
      <c r="C1855" s="3" t="s">
        <v>56</v>
      </c>
    </row>
    <row r="1856" spans="1:3" x14ac:dyDescent="0.2">
      <c r="A1856" s="3" t="s">
        <v>1463</v>
      </c>
      <c r="B1856" s="3" t="s">
        <v>1464</v>
      </c>
      <c r="C1856" s="3" t="s">
        <v>56</v>
      </c>
    </row>
    <row r="1857" spans="1:3" x14ac:dyDescent="0.2">
      <c r="A1857" s="3" t="s">
        <v>1463</v>
      </c>
      <c r="B1857" s="3" t="s">
        <v>1465</v>
      </c>
      <c r="C1857" s="3" t="s">
        <v>56</v>
      </c>
    </row>
    <row r="1858" spans="1:3" x14ac:dyDescent="0.2">
      <c r="A1858" s="3" t="s">
        <v>1463</v>
      </c>
      <c r="B1858" s="3" t="s">
        <v>565</v>
      </c>
      <c r="C1858" s="3" t="s">
        <v>57</v>
      </c>
    </row>
    <row r="1859" spans="1:3" x14ac:dyDescent="0.2">
      <c r="A1859" s="3" t="s">
        <v>1463</v>
      </c>
      <c r="B1859" s="3" t="s">
        <v>597</v>
      </c>
      <c r="C1859" s="3" t="s">
        <v>57</v>
      </c>
    </row>
    <row r="1860" spans="1:3" x14ac:dyDescent="0.2">
      <c r="A1860" s="3" t="s">
        <v>1463</v>
      </c>
      <c r="B1860" s="3" t="s">
        <v>566</v>
      </c>
      <c r="C1860" s="3" t="s">
        <v>57</v>
      </c>
    </row>
    <row r="1861" spans="1:3" x14ac:dyDescent="0.2">
      <c r="A1861" s="3" t="s">
        <v>1463</v>
      </c>
      <c r="B1861" s="3" t="s">
        <v>531</v>
      </c>
      <c r="C1861" s="3" t="s">
        <v>57</v>
      </c>
    </row>
    <row r="1862" spans="1:3" x14ac:dyDescent="0.2">
      <c r="A1862" s="3" t="s">
        <v>1463</v>
      </c>
      <c r="B1862" s="3" t="s">
        <v>567</v>
      </c>
      <c r="C1862" s="3" t="s">
        <v>57</v>
      </c>
    </row>
    <row r="1863" spans="1:3" x14ac:dyDescent="0.2">
      <c r="A1863" s="3" t="s">
        <v>1463</v>
      </c>
      <c r="B1863" s="3" t="s">
        <v>598</v>
      </c>
      <c r="C1863" s="3" t="s">
        <v>57</v>
      </c>
    </row>
    <row r="1864" spans="1:3" x14ac:dyDescent="0.2">
      <c r="A1864" s="3" t="s">
        <v>1463</v>
      </c>
      <c r="B1864" s="3" t="s">
        <v>547</v>
      </c>
      <c r="C1864" s="3" t="s">
        <v>57</v>
      </c>
    </row>
    <row r="1865" spans="1:3" x14ac:dyDescent="0.2">
      <c r="A1865" s="3" t="s">
        <v>1463</v>
      </c>
      <c r="B1865" s="3" t="s">
        <v>1464</v>
      </c>
      <c r="C1865" s="3" t="s">
        <v>57</v>
      </c>
    </row>
    <row r="1866" spans="1:3" x14ac:dyDescent="0.2">
      <c r="A1866" s="3" t="s">
        <v>1463</v>
      </c>
      <c r="B1866" s="3" t="s">
        <v>1465</v>
      </c>
      <c r="C1866" s="3" t="s">
        <v>57</v>
      </c>
    </row>
    <row r="1867" spans="1:3" x14ac:dyDescent="0.2">
      <c r="A1867" s="3" t="s">
        <v>1463</v>
      </c>
      <c r="B1867" s="3" t="s">
        <v>176</v>
      </c>
      <c r="C1867" s="3" t="s">
        <v>169</v>
      </c>
    </row>
    <row r="1868" spans="1:3" x14ac:dyDescent="0.2">
      <c r="A1868" s="3" t="s">
        <v>1463</v>
      </c>
      <c r="B1868" s="3" t="s">
        <v>593</v>
      </c>
      <c r="C1868" s="3" t="s">
        <v>169</v>
      </c>
    </row>
    <row r="1869" spans="1:3" x14ac:dyDescent="0.2">
      <c r="A1869" s="3" t="s">
        <v>1463</v>
      </c>
      <c r="B1869" s="3" t="s">
        <v>594</v>
      </c>
      <c r="C1869" s="3" t="s">
        <v>169</v>
      </c>
    </row>
    <row r="1870" spans="1:3" x14ac:dyDescent="0.2">
      <c r="A1870" s="3" t="s">
        <v>1463</v>
      </c>
      <c r="B1870" s="3" t="s">
        <v>595</v>
      </c>
      <c r="C1870" s="3" t="s">
        <v>169</v>
      </c>
    </row>
    <row r="1871" spans="1:3" x14ac:dyDescent="0.2">
      <c r="A1871" s="3" t="s">
        <v>1466</v>
      </c>
      <c r="B1871" s="3" t="s">
        <v>1467</v>
      </c>
      <c r="C1871" s="3" t="s">
        <v>169</v>
      </c>
    </row>
    <row r="1872" spans="1:3" x14ac:dyDescent="0.2">
      <c r="A1872" s="3" t="s">
        <v>1466</v>
      </c>
      <c r="B1872" s="3" t="s">
        <v>1468</v>
      </c>
      <c r="C1872" s="3" t="s">
        <v>169</v>
      </c>
    </row>
    <row r="1873" spans="1:3" x14ac:dyDescent="0.2">
      <c r="A1873" s="3" t="s">
        <v>1466</v>
      </c>
      <c r="B1873" s="3" t="s">
        <v>1469</v>
      </c>
      <c r="C1873" s="3" t="s">
        <v>169</v>
      </c>
    </row>
    <row r="1874" spans="1:3" x14ac:dyDescent="0.2">
      <c r="A1874" s="3" t="s">
        <v>1466</v>
      </c>
      <c r="B1874" s="3" t="s">
        <v>1470</v>
      </c>
      <c r="C1874" s="3" t="s">
        <v>169</v>
      </c>
    </row>
    <row r="1875" spans="1:3" x14ac:dyDescent="0.2">
      <c r="A1875" s="3" t="s">
        <v>1471</v>
      </c>
      <c r="B1875" s="3" t="s">
        <v>1472</v>
      </c>
      <c r="C1875" s="3" t="s">
        <v>169</v>
      </c>
    </row>
    <row r="1876" spans="1:3" x14ac:dyDescent="0.2">
      <c r="A1876" s="3" t="s">
        <v>1471</v>
      </c>
      <c r="B1876" s="3" t="s">
        <v>1473</v>
      </c>
      <c r="C1876" s="3" t="s">
        <v>169</v>
      </c>
    </row>
    <row r="1877" spans="1:3" x14ac:dyDescent="0.2">
      <c r="A1877" s="3" t="s">
        <v>1471</v>
      </c>
      <c r="B1877" s="3" t="s">
        <v>1474</v>
      </c>
      <c r="C1877" s="3" t="s">
        <v>169</v>
      </c>
    </row>
    <row r="1878" spans="1:3" x14ac:dyDescent="0.2">
      <c r="A1878" s="3" t="s">
        <v>1471</v>
      </c>
      <c r="B1878" s="3" t="s">
        <v>1475</v>
      </c>
      <c r="C1878" s="3" t="s">
        <v>169</v>
      </c>
    </row>
    <row r="1879" spans="1:3" x14ac:dyDescent="0.2">
      <c r="A1879" s="3" t="s">
        <v>1471</v>
      </c>
      <c r="B1879" s="3" t="s">
        <v>1476</v>
      </c>
      <c r="C1879" s="3" t="s">
        <v>169</v>
      </c>
    </row>
    <row r="1880" spans="1:3" x14ac:dyDescent="0.2">
      <c r="A1880" s="3" t="s">
        <v>1471</v>
      </c>
      <c r="B1880" s="3" t="s">
        <v>1477</v>
      </c>
      <c r="C1880" s="3" t="s">
        <v>169</v>
      </c>
    </row>
    <row r="1881" spans="1:3" x14ac:dyDescent="0.2">
      <c r="A1881" s="3" t="s">
        <v>1471</v>
      </c>
      <c r="B1881" s="3" t="s">
        <v>1478</v>
      </c>
      <c r="C1881" s="3" t="s">
        <v>169</v>
      </c>
    </row>
    <row r="1882" spans="1:3" x14ac:dyDescent="0.2">
      <c r="A1882" s="3" t="s">
        <v>1471</v>
      </c>
      <c r="B1882" s="3" t="s">
        <v>1479</v>
      </c>
      <c r="C1882" s="3" t="s">
        <v>169</v>
      </c>
    </row>
    <row r="1883" spans="1:3" x14ac:dyDescent="0.2">
      <c r="A1883" s="3" t="s">
        <v>1471</v>
      </c>
      <c r="B1883" s="3" t="s">
        <v>1480</v>
      </c>
      <c r="C1883" s="3" t="s">
        <v>169</v>
      </c>
    </row>
    <row r="1884" spans="1:3" x14ac:dyDescent="0.2">
      <c r="A1884" s="3" t="s">
        <v>1471</v>
      </c>
      <c r="B1884" s="3" t="s">
        <v>1481</v>
      </c>
      <c r="C1884" s="3" t="s">
        <v>169</v>
      </c>
    </row>
    <row r="1885" spans="1:3" x14ac:dyDescent="0.2">
      <c r="A1885" s="3" t="s">
        <v>1471</v>
      </c>
      <c r="B1885" s="3" t="s">
        <v>1482</v>
      </c>
      <c r="C1885" s="3" t="s">
        <v>169</v>
      </c>
    </row>
    <row r="1886" spans="1:3" x14ac:dyDescent="0.2">
      <c r="A1886" s="3" t="s">
        <v>1471</v>
      </c>
      <c r="B1886" s="3" t="s">
        <v>1483</v>
      </c>
      <c r="C1886" s="3" t="s">
        <v>169</v>
      </c>
    </row>
    <row r="1887" spans="1:3" x14ac:dyDescent="0.2">
      <c r="A1887" s="3" t="s">
        <v>1471</v>
      </c>
      <c r="B1887" s="3" t="s">
        <v>1484</v>
      </c>
      <c r="C1887" s="3" t="s">
        <v>169</v>
      </c>
    </row>
    <row r="1888" spans="1:3" x14ac:dyDescent="0.2">
      <c r="A1888" s="3" t="s">
        <v>1471</v>
      </c>
      <c r="B1888" s="3" t="s">
        <v>1485</v>
      </c>
      <c r="C1888" s="3" t="s">
        <v>169</v>
      </c>
    </row>
    <row r="1889" spans="1:3" x14ac:dyDescent="0.2">
      <c r="A1889" s="3" t="s">
        <v>1471</v>
      </c>
      <c r="B1889" s="3" t="s">
        <v>1486</v>
      </c>
      <c r="C1889" s="3" t="s">
        <v>169</v>
      </c>
    </row>
    <row r="1890" spans="1:3" x14ac:dyDescent="0.2">
      <c r="A1890" s="3" t="s">
        <v>1471</v>
      </c>
      <c r="B1890" s="3" t="s">
        <v>1487</v>
      </c>
      <c r="C1890" s="3" t="s">
        <v>169</v>
      </c>
    </row>
    <row r="1891" spans="1:3" x14ac:dyDescent="0.2">
      <c r="A1891" s="3" t="s">
        <v>1471</v>
      </c>
      <c r="B1891" s="3" t="s">
        <v>1488</v>
      </c>
      <c r="C1891" s="3" t="s">
        <v>169</v>
      </c>
    </row>
    <row r="1892" spans="1:3" x14ac:dyDescent="0.2">
      <c r="A1892" s="3" t="s">
        <v>1471</v>
      </c>
      <c r="B1892" s="3" t="s">
        <v>1489</v>
      </c>
      <c r="C1892" s="3" t="s">
        <v>169</v>
      </c>
    </row>
    <row r="1893" spans="1:3" x14ac:dyDescent="0.2">
      <c r="A1893" s="3" t="s">
        <v>1471</v>
      </c>
      <c r="B1893" s="3" t="s">
        <v>1490</v>
      </c>
      <c r="C1893" s="3" t="s">
        <v>169</v>
      </c>
    </row>
    <row r="1894" spans="1:3" x14ac:dyDescent="0.2">
      <c r="A1894" s="3" t="s">
        <v>1471</v>
      </c>
      <c r="B1894" s="3" t="s">
        <v>1491</v>
      </c>
      <c r="C1894" s="3" t="s">
        <v>169</v>
      </c>
    </row>
    <row r="1895" spans="1:3" x14ac:dyDescent="0.2">
      <c r="A1895" s="3" t="s">
        <v>1471</v>
      </c>
      <c r="B1895" s="3" t="s">
        <v>1492</v>
      </c>
      <c r="C1895" s="3" t="s">
        <v>169</v>
      </c>
    </row>
    <row r="1896" spans="1:3" x14ac:dyDescent="0.2">
      <c r="A1896" s="3" t="s">
        <v>1493</v>
      </c>
      <c r="B1896" s="3" t="s">
        <v>1479</v>
      </c>
      <c r="C1896" s="3" t="s">
        <v>169</v>
      </c>
    </row>
    <row r="1897" spans="1:3" x14ac:dyDescent="0.2">
      <c r="A1897" s="3" t="s">
        <v>1493</v>
      </c>
      <c r="B1897" s="3" t="s">
        <v>1494</v>
      </c>
      <c r="C1897" s="3" t="s">
        <v>169</v>
      </c>
    </row>
    <row r="1898" spans="1:3" x14ac:dyDescent="0.2">
      <c r="A1898" s="3" t="s">
        <v>1493</v>
      </c>
      <c r="B1898" s="3" t="s">
        <v>185</v>
      </c>
      <c r="C1898" s="3" t="s">
        <v>169</v>
      </c>
    </row>
    <row r="1899" spans="1:3" x14ac:dyDescent="0.2">
      <c r="A1899" s="3" t="s">
        <v>1493</v>
      </c>
      <c r="B1899" s="3" t="s">
        <v>1495</v>
      </c>
      <c r="C1899" s="3" t="s">
        <v>169</v>
      </c>
    </row>
    <row r="1900" spans="1:3" x14ac:dyDescent="0.2">
      <c r="A1900" s="3" t="s">
        <v>1493</v>
      </c>
      <c r="B1900" s="3" t="s">
        <v>1496</v>
      </c>
      <c r="C1900" s="3" t="s">
        <v>169</v>
      </c>
    </row>
    <row r="1901" spans="1:3" x14ac:dyDescent="0.2">
      <c r="A1901" s="3" t="s">
        <v>1493</v>
      </c>
      <c r="B1901" s="3" t="s">
        <v>1497</v>
      </c>
      <c r="C1901" s="3" t="s">
        <v>169</v>
      </c>
    </row>
    <row r="1902" spans="1:3" x14ac:dyDescent="0.2">
      <c r="A1902" s="3" t="s">
        <v>1493</v>
      </c>
      <c r="B1902" s="3" t="s">
        <v>1498</v>
      </c>
      <c r="C1902" s="3" t="s">
        <v>169</v>
      </c>
    </row>
    <row r="1903" spans="1:3" x14ac:dyDescent="0.2">
      <c r="A1903" s="3" t="s">
        <v>1493</v>
      </c>
      <c r="B1903" s="3" t="s">
        <v>1492</v>
      </c>
      <c r="C1903" s="3" t="s">
        <v>169</v>
      </c>
    </row>
    <row r="1904" spans="1:3" x14ac:dyDescent="0.2">
      <c r="A1904" s="3" t="s">
        <v>1499</v>
      </c>
      <c r="B1904" s="3" t="s">
        <v>1500</v>
      </c>
      <c r="C1904" s="3" t="s">
        <v>169</v>
      </c>
    </row>
    <row r="1905" spans="1:3" x14ac:dyDescent="0.2">
      <c r="A1905" s="3" t="s">
        <v>1499</v>
      </c>
      <c r="B1905" s="3" t="s">
        <v>1467</v>
      </c>
      <c r="C1905" s="3" t="s">
        <v>169</v>
      </c>
    </row>
    <row r="1906" spans="1:3" x14ac:dyDescent="0.2">
      <c r="A1906" s="3" t="s">
        <v>1499</v>
      </c>
      <c r="B1906" s="3" t="s">
        <v>1501</v>
      </c>
      <c r="C1906" s="3" t="s">
        <v>169</v>
      </c>
    </row>
    <row r="1907" spans="1:3" x14ac:dyDescent="0.2">
      <c r="A1907" s="3" t="s">
        <v>1499</v>
      </c>
      <c r="B1907" s="3" t="s">
        <v>1502</v>
      </c>
      <c r="C1907" s="3" t="s">
        <v>169</v>
      </c>
    </row>
    <row r="1908" spans="1:3" x14ac:dyDescent="0.2">
      <c r="A1908" s="3" t="s">
        <v>1499</v>
      </c>
      <c r="B1908" s="3" t="s">
        <v>1503</v>
      </c>
      <c r="C1908" s="3" t="s">
        <v>169</v>
      </c>
    </row>
    <row r="1909" spans="1:3" x14ac:dyDescent="0.2">
      <c r="A1909" s="3" t="s">
        <v>1499</v>
      </c>
      <c r="B1909" s="3" t="s">
        <v>1504</v>
      </c>
      <c r="C1909" s="3" t="s">
        <v>169</v>
      </c>
    </row>
    <row r="1910" spans="1:3" x14ac:dyDescent="0.2">
      <c r="A1910" s="3" t="s">
        <v>1499</v>
      </c>
      <c r="B1910" s="3" t="s">
        <v>1505</v>
      </c>
      <c r="C1910" s="3" t="s">
        <v>169</v>
      </c>
    </row>
    <row r="1911" spans="1:3" x14ac:dyDescent="0.2">
      <c r="A1911" s="3" t="s">
        <v>1499</v>
      </c>
      <c r="B1911" s="3" t="s">
        <v>1506</v>
      </c>
      <c r="C1911" s="3" t="s">
        <v>169</v>
      </c>
    </row>
    <row r="1912" spans="1:3" x14ac:dyDescent="0.2">
      <c r="A1912" s="3" t="s">
        <v>1499</v>
      </c>
      <c r="B1912" s="3" t="s">
        <v>1507</v>
      </c>
      <c r="C1912" s="3" t="s">
        <v>169</v>
      </c>
    </row>
    <row r="1913" spans="1:3" x14ac:dyDescent="0.2">
      <c r="A1913" s="3" t="s">
        <v>1499</v>
      </c>
      <c r="B1913" s="3" t="s">
        <v>1508</v>
      </c>
      <c r="C1913" s="3" t="s">
        <v>169</v>
      </c>
    </row>
    <row r="1914" spans="1:3" x14ac:dyDescent="0.2">
      <c r="A1914" s="3" t="s">
        <v>1499</v>
      </c>
      <c r="B1914" s="3" t="s">
        <v>1509</v>
      </c>
      <c r="C1914" s="3" t="s">
        <v>169</v>
      </c>
    </row>
    <row r="1915" spans="1:3" x14ac:dyDescent="0.2">
      <c r="A1915" s="3" t="s">
        <v>1499</v>
      </c>
      <c r="B1915" s="3" t="s">
        <v>1510</v>
      </c>
      <c r="C1915" s="3" t="s">
        <v>169</v>
      </c>
    </row>
    <row r="1916" spans="1:3" x14ac:dyDescent="0.2">
      <c r="A1916" s="3" t="s">
        <v>1499</v>
      </c>
      <c r="B1916" s="3" t="s">
        <v>1511</v>
      </c>
      <c r="C1916" s="3" t="s">
        <v>169</v>
      </c>
    </row>
    <row r="1917" spans="1:3" x14ac:dyDescent="0.2">
      <c r="A1917" s="3" t="s">
        <v>1499</v>
      </c>
      <c r="B1917" s="3" t="s">
        <v>1512</v>
      </c>
      <c r="C1917" s="3" t="s">
        <v>169</v>
      </c>
    </row>
    <row r="1918" spans="1:3" x14ac:dyDescent="0.2">
      <c r="A1918" s="3" t="s">
        <v>1499</v>
      </c>
      <c r="B1918" s="3" t="s">
        <v>1513</v>
      </c>
      <c r="C1918" s="3" t="s">
        <v>169</v>
      </c>
    </row>
    <row r="1919" spans="1:3" x14ac:dyDescent="0.2">
      <c r="A1919" s="3" t="s">
        <v>1499</v>
      </c>
      <c r="B1919" s="3" t="s">
        <v>1514</v>
      </c>
      <c r="C1919" s="3" t="s">
        <v>169</v>
      </c>
    </row>
    <row r="1920" spans="1:3" x14ac:dyDescent="0.2">
      <c r="A1920" s="3" t="s">
        <v>1499</v>
      </c>
      <c r="B1920" s="3" t="s">
        <v>1515</v>
      </c>
      <c r="C1920" s="3" t="s">
        <v>169</v>
      </c>
    </row>
    <row r="1921" spans="1:3" x14ac:dyDescent="0.2">
      <c r="A1921" s="3" t="s">
        <v>1499</v>
      </c>
      <c r="B1921" s="3" t="s">
        <v>1516</v>
      </c>
      <c r="C1921" s="3" t="s">
        <v>169</v>
      </c>
    </row>
    <row r="1922" spans="1:3" x14ac:dyDescent="0.2">
      <c r="A1922" s="3" t="s">
        <v>1499</v>
      </c>
      <c r="B1922" s="3" t="s">
        <v>1517</v>
      </c>
      <c r="C1922" s="3" t="s">
        <v>169</v>
      </c>
    </row>
    <row r="1923" spans="1:3" x14ac:dyDescent="0.2">
      <c r="A1923" s="3" t="s">
        <v>1499</v>
      </c>
      <c r="B1923" s="3" t="s">
        <v>1518</v>
      </c>
      <c r="C1923" s="3" t="s">
        <v>169</v>
      </c>
    </row>
    <row r="1924" spans="1:3" x14ac:dyDescent="0.2">
      <c r="A1924" s="3" t="s">
        <v>1499</v>
      </c>
      <c r="B1924" s="3" t="s">
        <v>1519</v>
      </c>
      <c r="C1924" s="3" t="s">
        <v>169</v>
      </c>
    </row>
    <row r="1925" spans="1:3" x14ac:dyDescent="0.2">
      <c r="A1925" s="3" t="s">
        <v>1499</v>
      </c>
      <c r="B1925" s="3" t="s">
        <v>1520</v>
      </c>
      <c r="C1925" s="3" t="s">
        <v>169</v>
      </c>
    </row>
    <row r="1926" spans="1:3" x14ac:dyDescent="0.2">
      <c r="A1926" s="3" t="s">
        <v>1499</v>
      </c>
      <c r="B1926" s="3" t="s">
        <v>1521</v>
      </c>
      <c r="C1926" s="3" t="s">
        <v>169</v>
      </c>
    </row>
    <row r="1927" spans="1:3" x14ac:dyDescent="0.2">
      <c r="A1927" s="3" t="s">
        <v>1499</v>
      </c>
      <c r="B1927" s="3" t="s">
        <v>1522</v>
      </c>
      <c r="C1927" s="3" t="s">
        <v>169</v>
      </c>
    </row>
    <row r="1928" spans="1:3" x14ac:dyDescent="0.2">
      <c r="A1928" s="3" t="s">
        <v>1499</v>
      </c>
      <c r="B1928" s="3" t="s">
        <v>1523</v>
      </c>
      <c r="C1928" s="3" t="s">
        <v>169</v>
      </c>
    </row>
    <row r="1929" spans="1:3" x14ac:dyDescent="0.2">
      <c r="A1929" s="3" t="s">
        <v>1499</v>
      </c>
      <c r="B1929" s="3" t="s">
        <v>1524</v>
      </c>
      <c r="C1929" s="3" t="s">
        <v>169</v>
      </c>
    </row>
    <row r="1930" spans="1:3" x14ac:dyDescent="0.2">
      <c r="A1930" s="3" t="s">
        <v>1499</v>
      </c>
      <c r="B1930" s="3" t="s">
        <v>1525</v>
      </c>
      <c r="C1930" s="3" t="s">
        <v>169</v>
      </c>
    </row>
    <row r="1931" spans="1:3" x14ac:dyDescent="0.2">
      <c r="A1931" s="3" t="s">
        <v>1499</v>
      </c>
      <c r="B1931" s="3" t="s">
        <v>1526</v>
      </c>
      <c r="C1931" s="3" t="s">
        <v>169</v>
      </c>
    </row>
    <row r="1932" spans="1:3" x14ac:dyDescent="0.2">
      <c r="A1932" s="3" t="s">
        <v>1499</v>
      </c>
      <c r="B1932" s="3" t="s">
        <v>1527</v>
      </c>
      <c r="C1932" s="3" t="s">
        <v>169</v>
      </c>
    </row>
    <row r="1933" spans="1:3" x14ac:dyDescent="0.2">
      <c r="A1933" s="3" t="s">
        <v>1499</v>
      </c>
      <c r="B1933" s="3" t="s">
        <v>1528</v>
      </c>
      <c r="C1933" s="3" t="s">
        <v>169</v>
      </c>
    </row>
    <row r="1934" spans="1:3" x14ac:dyDescent="0.2">
      <c r="A1934" s="3" t="s">
        <v>1499</v>
      </c>
      <c r="B1934" s="3" t="s">
        <v>1529</v>
      </c>
      <c r="C1934" s="3" t="s">
        <v>169</v>
      </c>
    </row>
    <row r="1935" spans="1:3" x14ac:dyDescent="0.2">
      <c r="A1935" s="3" t="s">
        <v>1499</v>
      </c>
      <c r="B1935" s="3" t="s">
        <v>1530</v>
      </c>
      <c r="C1935" s="3" t="s">
        <v>169</v>
      </c>
    </row>
    <row r="1936" spans="1:3" x14ac:dyDescent="0.2">
      <c r="A1936" s="3" t="s">
        <v>1499</v>
      </c>
      <c r="B1936" s="3" t="s">
        <v>1531</v>
      </c>
      <c r="C1936" s="3" t="s">
        <v>169</v>
      </c>
    </row>
    <row r="1937" spans="1:3" x14ac:dyDescent="0.2">
      <c r="A1937" s="3" t="s">
        <v>1499</v>
      </c>
      <c r="B1937" s="3" t="s">
        <v>1532</v>
      </c>
      <c r="C1937" s="3" t="s">
        <v>169</v>
      </c>
    </row>
    <row r="1938" spans="1:3" x14ac:dyDescent="0.2">
      <c r="A1938" s="3" t="s">
        <v>1499</v>
      </c>
      <c r="B1938" s="3" t="s">
        <v>1487</v>
      </c>
      <c r="C1938" s="3" t="s">
        <v>169</v>
      </c>
    </row>
    <row r="1939" spans="1:3" x14ac:dyDescent="0.2">
      <c r="A1939" s="3" t="s">
        <v>1499</v>
      </c>
      <c r="B1939" s="3" t="s">
        <v>1488</v>
      </c>
      <c r="C1939" s="3" t="s">
        <v>169</v>
      </c>
    </row>
    <row r="1940" spans="1:3" x14ac:dyDescent="0.2">
      <c r="A1940" s="3" t="s">
        <v>1499</v>
      </c>
      <c r="B1940" s="3" t="s">
        <v>1469</v>
      </c>
      <c r="C1940" s="3" t="s">
        <v>169</v>
      </c>
    </row>
    <row r="1941" spans="1:3" x14ac:dyDescent="0.2">
      <c r="A1941" s="3" t="s">
        <v>1499</v>
      </c>
      <c r="B1941" s="3" t="s">
        <v>1533</v>
      </c>
      <c r="C1941" s="3" t="s">
        <v>169</v>
      </c>
    </row>
    <row r="1942" spans="1:3" x14ac:dyDescent="0.2">
      <c r="A1942" s="3" t="s">
        <v>1499</v>
      </c>
      <c r="B1942" s="3" t="s">
        <v>1534</v>
      </c>
      <c r="C1942" s="3" t="s">
        <v>169</v>
      </c>
    </row>
    <row r="1943" spans="1:3" x14ac:dyDescent="0.2">
      <c r="A1943" s="3" t="s">
        <v>1499</v>
      </c>
      <c r="B1943" s="3" t="s">
        <v>1535</v>
      </c>
      <c r="C1943" s="3" t="s">
        <v>169</v>
      </c>
    </row>
    <row r="1944" spans="1:3" x14ac:dyDescent="0.2">
      <c r="A1944" s="3" t="s">
        <v>1499</v>
      </c>
      <c r="B1944" s="3" t="s">
        <v>1489</v>
      </c>
      <c r="C1944" s="3" t="s">
        <v>169</v>
      </c>
    </row>
    <row r="1945" spans="1:3" x14ac:dyDescent="0.2">
      <c r="A1945" s="3" t="s">
        <v>1499</v>
      </c>
      <c r="B1945" s="3" t="s">
        <v>1490</v>
      </c>
      <c r="C1945" s="3" t="s">
        <v>169</v>
      </c>
    </row>
    <row r="1946" spans="1:3" x14ac:dyDescent="0.2">
      <c r="A1946" s="3" t="s">
        <v>1499</v>
      </c>
      <c r="B1946" s="3" t="s">
        <v>1470</v>
      </c>
      <c r="C1946" s="3" t="s">
        <v>169</v>
      </c>
    </row>
    <row r="1947" spans="1:3" x14ac:dyDescent="0.2">
      <c r="A1947" s="3" t="s">
        <v>1499</v>
      </c>
      <c r="B1947" s="3" t="s">
        <v>1491</v>
      </c>
      <c r="C1947" s="3" t="s">
        <v>169</v>
      </c>
    </row>
    <row r="1948" spans="1:3" x14ac:dyDescent="0.2">
      <c r="A1948" s="3" t="s">
        <v>1536</v>
      </c>
      <c r="B1948" s="3" t="s">
        <v>1537</v>
      </c>
      <c r="C1948" s="3" t="s">
        <v>169</v>
      </c>
    </row>
    <row r="1949" spans="1:3" x14ac:dyDescent="0.2">
      <c r="A1949" s="3" t="s">
        <v>1536</v>
      </c>
      <c r="B1949" s="3" t="s">
        <v>1538</v>
      </c>
      <c r="C1949" s="3" t="s">
        <v>169</v>
      </c>
    </row>
    <row r="1950" spans="1:3" x14ac:dyDescent="0.2">
      <c r="A1950" s="3" t="s">
        <v>1536</v>
      </c>
      <c r="B1950" s="3" t="s">
        <v>1539</v>
      </c>
      <c r="C1950" s="3" t="s">
        <v>169</v>
      </c>
    </row>
    <row r="1951" spans="1:3" x14ac:dyDescent="0.2">
      <c r="A1951" s="3" t="s">
        <v>1536</v>
      </c>
      <c r="B1951" s="3" t="s">
        <v>1522</v>
      </c>
      <c r="C1951" s="3" t="s">
        <v>169</v>
      </c>
    </row>
    <row r="1952" spans="1:3" x14ac:dyDescent="0.2">
      <c r="A1952" s="3" t="s">
        <v>1536</v>
      </c>
      <c r="B1952" s="3" t="s">
        <v>1524</v>
      </c>
      <c r="C1952" s="3" t="s">
        <v>169</v>
      </c>
    </row>
    <row r="1953" spans="1:3" x14ac:dyDescent="0.2">
      <c r="A1953" s="3" t="s">
        <v>1536</v>
      </c>
      <c r="B1953" s="3" t="s">
        <v>1533</v>
      </c>
      <c r="C1953" s="3" t="s">
        <v>169</v>
      </c>
    </row>
    <row r="1954" spans="1:3" x14ac:dyDescent="0.2">
      <c r="A1954" s="3" t="s">
        <v>1540</v>
      </c>
      <c r="B1954" s="3" t="s">
        <v>1541</v>
      </c>
      <c r="C1954" s="3" t="s">
        <v>169</v>
      </c>
    </row>
    <row r="1955" spans="1:3" x14ac:dyDescent="0.2">
      <c r="A1955" s="3" t="s">
        <v>1540</v>
      </c>
      <c r="B1955" s="3" t="s">
        <v>1524</v>
      </c>
      <c r="C1955" s="3" t="s">
        <v>169</v>
      </c>
    </row>
    <row r="1956" spans="1:3" x14ac:dyDescent="0.2">
      <c r="A1956" s="3" t="s">
        <v>1540</v>
      </c>
      <c r="B1956" s="3" t="s">
        <v>1487</v>
      </c>
      <c r="C1956" s="3" t="s">
        <v>169</v>
      </c>
    </row>
    <row r="1957" spans="1:3" x14ac:dyDescent="0.2">
      <c r="A1957" s="3" t="s">
        <v>1540</v>
      </c>
      <c r="B1957" s="3" t="s">
        <v>1469</v>
      </c>
      <c r="C1957" s="3" t="s">
        <v>169</v>
      </c>
    </row>
    <row r="1958" spans="1:3" x14ac:dyDescent="0.2">
      <c r="A1958" s="3" t="s">
        <v>1540</v>
      </c>
      <c r="B1958" s="3" t="s">
        <v>1533</v>
      </c>
      <c r="C1958" s="3" t="s">
        <v>169</v>
      </c>
    </row>
    <row r="1959" spans="1:3" x14ac:dyDescent="0.2">
      <c r="A1959" s="3" t="s">
        <v>1540</v>
      </c>
      <c r="B1959" s="3" t="s">
        <v>1489</v>
      </c>
      <c r="C1959" s="3" t="s">
        <v>169</v>
      </c>
    </row>
    <row r="1960" spans="1:3" x14ac:dyDescent="0.2">
      <c r="A1960" s="3" t="s">
        <v>1540</v>
      </c>
      <c r="B1960" s="3" t="s">
        <v>1470</v>
      </c>
      <c r="C1960" s="3" t="s">
        <v>169</v>
      </c>
    </row>
    <row r="1961" spans="1:3" x14ac:dyDescent="0.2">
      <c r="A1961" s="3" t="s">
        <v>1540</v>
      </c>
      <c r="B1961" s="3" t="s">
        <v>1491</v>
      </c>
      <c r="C1961" s="3" t="s">
        <v>169</v>
      </c>
    </row>
    <row r="1962" spans="1:3" x14ac:dyDescent="0.2">
      <c r="A1962" s="3" t="s">
        <v>1542</v>
      </c>
      <c r="B1962" s="3" t="s">
        <v>1502</v>
      </c>
      <c r="C1962" s="3" t="s">
        <v>169</v>
      </c>
    </row>
    <row r="1963" spans="1:3" x14ac:dyDescent="0.2">
      <c r="A1963" s="3" t="s">
        <v>1542</v>
      </c>
      <c r="B1963" s="3" t="s">
        <v>1505</v>
      </c>
      <c r="C1963" s="3" t="s">
        <v>169</v>
      </c>
    </row>
    <row r="1964" spans="1:3" x14ac:dyDescent="0.2">
      <c r="A1964" s="3" t="s">
        <v>1542</v>
      </c>
      <c r="B1964" s="3" t="s">
        <v>1506</v>
      </c>
      <c r="C1964" s="3" t="s">
        <v>169</v>
      </c>
    </row>
    <row r="1965" spans="1:3" x14ac:dyDescent="0.2">
      <c r="A1965" s="3" t="s">
        <v>1542</v>
      </c>
      <c r="B1965" s="3" t="s">
        <v>1507</v>
      </c>
      <c r="C1965" s="3" t="s">
        <v>169</v>
      </c>
    </row>
    <row r="1966" spans="1:3" x14ac:dyDescent="0.2">
      <c r="A1966" s="3" t="s">
        <v>1542</v>
      </c>
      <c r="B1966" s="3" t="s">
        <v>1508</v>
      </c>
      <c r="C1966" s="3" t="s">
        <v>169</v>
      </c>
    </row>
    <row r="1967" spans="1:3" x14ac:dyDescent="0.2">
      <c r="A1967" s="3" t="s">
        <v>1542</v>
      </c>
      <c r="B1967" s="3" t="s">
        <v>1513</v>
      </c>
      <c r="C1967" s="3" t="s">
        <v>169</v>
      </c>
    </row>
    <row r="1968" spans="1:3" x14ac:dyDescent="0.2">
      <c r="A1968" s="3" t="s">
        <v>1542</v>
      </c>
      <c r="B1968" s="3" t="s">
        <v>1517</v>
      </c>
      <c r="C1968" s="3" t="s">
        <v>169</v>
      </c>
    </row>
    <row r="1969" spans="1:3" x14ac:dyDescent="0.2">
      <c r="A1969" s="3" t="s">
        <v>1542</v>
      </c>
      <c r="B1969" s="3" t="s">
        <v>1539</v>
      </c>
      <c r="C1969" s="3" t="s">
        <v>169</v>
      </c>
    </row>
    <row r="1970" spans="1:3" x14ac:dyDescent="0.2">
      <c r="A1970" s="3" t="s">
        <v>1542</v>
      </c>
      <c r="B1970" s="3" t="s">
        <v>1541</v>
      </c>
      <c r="C1970" s="3" t="s">
        <v>169</v>
      </c>
    </row>
    <row r="1971" spans="1:3" x14ac:dyDescent="0.2">
      <c r="A1971" s="3" t="s">
        <v>1542</v>
      </c>
      <c r="B1971" s="3" t="s">
        <v>1523</v>
      </c>
      <c r="C1971" s="3" t="s">
        <v>169</v>
      </c>
    </row>
    <row r="1972" spans="1:3" x14ac:dyDescent="0.2">
      <c r="A1972" s="3" t="s">
        <v>1542</v>
      </c>
      <c r="B1972" s="3" t="s">
        <v>1527</v>
      </c>
      <c r="C1972" s="3" t="s">
        <v>169</v>
      </c>
    </row>
    <row r="1973" spans="1:3" x14ac:dyDescent="0.2">
      <c r="A1973" s="3" t="s">
        <v>1542</v>
      </c>
      <c r="B1973" s="3" t="s">
        <v>1529</v>
      </c>
      <c r="C1973" s="3" t="s">
        <v>169</v>
      </c>
    </row>
    <row r="1974" spans="1:3" x14ac:dyDescent="0.2">
      <c r="A1974" s="3" t="s">
        <v>1542</v>
      </c>
      <c r="B1974" s="3" t="s">
        <v>1488</v>
      </c>
      <c r="C1974" s="3" t="s">
        <v>169</v>
      </c>
    </row>
    <row r="1975" spans="1:3" x14ac:dyDescent="0.2">
      <c r="A1975" s="3" t="s">
        <v>1542</v>
      </c>
      <c r="B1975" s="3" t="s">
        <v>1469</v>
      </c>
      <c r="C1975" s="3" t="s">
        <v>169</v>
      </c>
    </row>
    <row r="1976" spans="1:3" x14ac:dyDescent="0.2">
      <c r="A1976" s="3" t="s">
        <v>1542</v>
      </c>
      <c r="B1976" s="3" t="s">
        <v>1533</v>
      </c>
      <c r="C1976" s="3" t="s">
        <v>169</v>
      </c>
    </row>
    <row r="1977" spans="1:3" x14ac:dyDescent="0.2">
      <c r="A1977" s="3" t="s">
        <v>1542</v>
      </c>
      <c r="B1977" s="3" t="s">
        <v>1534</v>
      </c>
      <c r="C1977" s="3" t="s">
        <v>169</v>
      </c>
    </row>
    <row r="1978" spans="1:3" x14ac:dyDescent="0.2">
      <c r="A1978" s="3" t="s">
        <v>1542</v>
      </c>
      <c r="B1978" s="3" t="s">
        <v>1535</v>
      </c>
      <c r="C1978" s="3" t="s">
        <v>169</v>
      </c>
    </row>
    <row r="1979" spans="1:3" x14ac:dyDescent="0.2">
      <c r="A1979" s="3" t="s">
        <v>1542</v>
      </c>
      <c r="B1979" s="3" t="s">
        <v>1490</v>
      </c>
      <c r="C1979" s="3" t="s">
        <v>169</v>
      </c>
    </row>
    <row r="1980" spans="1:3" x14ac:dyDescent="0.2">
      <c r="A1980" s="3" t="s">
        <v>1542</v>
      </c>
      <c r="B1980" s="3" t="s">
        <v>1470</v>
      </c>
      <c r="C1980" s="3" t="s">
        <v>169</v>
      </c>
    </row>
    <row r="1981" spans="1:3" x14ac:dyDescent="0.2">
      <c r="A1981" s="3" t="s">
        <v>1542</v>
      </c>
      <c r="B1981" s="3" t="s">
        <v>1491</v>
      </c>
      <c r="C1981" s="3" t="s">
        <v>169</v>
      </c>
    </row>
    <row r="1982" spans="1:3" x14ac:dyDescent="0.2">
      <c r="A1982" s="3" t="s">
        <v>1543</v>
      </c>
      <c r="B1982" s="3" t="s">
        <v>1505</v>
      </c>
      <c r="C1982" s="3" t="s">
        <v>169</v>
      </c>
    </row>
    <row r="1983" spans="1:3" x14ac:dyDescent="0.2">
      <c r="A1983" s="3" t="s">
        <v>1543</v>
      </c>
      <c r="B1983" s="3" t="s">
        <v>1506</v>
      </c>
      <c r="C1983" s="3" t="s">
        <v>169</v>
      </c>
    </row>
    <row r="1984" spans="1:3" x14ac:dyDescent="0.2">
      <c r="A1984" s="3" t="s">
        <v>1543</v>
      </c>
      <c r="B1984" s="3" t="s">
        <v>1510</v>
      </c>
      <c r="C1984" s="3" t="s">
        <v>169</v>
      </c>
    </row>
    <row r="1985" spans="1:3" x14ac:dyDescent="0.2">
      <c r="A1985" s="3" t="s">
        <v>1543</v>
      </c>
      <c r="B1985" s="3" t="s">
        <v>1518</v>
      </c>
      <c r="C1985" s="3" t="s">
        <v>169</v>
      </c>
    </row>
    <row r="1986" spans="1:3" x14ac:dyDescent="0.2">
      <c r="A1986" s="3" t="s">
        <v>1543</v>
      </c>
      <c r="B1986" s="3" t="s">
        <v>1519</v>
      </c>
      <c r="C1986" s="3" t="s">
        <v>169</v>
      </c>
    </row>
    <row r="1987" spans="1:3" x14ac:dyDescent="0.2">
      <c r="A1987" s="3" t="s">
        <v>1543</v>
      </c>
      <c r="B1987" s="3" t="s">
        <v>1539</v>
      </c>
      <c r="C1987" s="3" t="s">
        <v>169</v>
      </c>
    </row>
    <row r="1988" spans="1:3" x14ac:dyDescent="0.2">
      <c r="A1988" s="3" t="s">
        <v>1543</v>
      </c>
      <c r="B1988" s="3" t="s">
        <v>1541</v>
      </c>
      <c r="C1988" s="3" t="s">
        <v>169</v>
      </c>
    </row>
    <row r="1989" spans="1:3" x14ac:dyDescent="0.2">
      <c r="A1989" s="3" t="s">
        <v>1543</v>
      </c>
      <c r="B1989" s="3" t="s">
        <v>1523</v>
      </c>
      <c r="C1989" s="3" t="s">
        <v>169</v>
      </c>
    </row>
    <row r="1990" spans="1:3" x14ac:dyDescent="0.2">
      <c r="A1990" s="3" t="s">
        <v>1543</v>
      </c>
      <c r="B1990" s="3" t="s">
        <v>1527</v>
      </c>
      <c r="C1990" s="3" t="s">
        <v>169</v>
      </c>
    </row>
    <row r="1991" spans="1:3" x14ac:dyDescent="0.2">
      <c r="A1991" s="3" t="s">
        <v>1543</v>
      </c>
      <c r="B1991" s="3" t="s">
        <v>1529</v>
      </c>
      <c r="C1991" s="3" t="s">
        <v>169</v>
      </c>
    </row>
    <row r="1992" spans="1:3" x14ac:dyDescent="0.2">
      <c r="A1992" s="3" t="s">
        <v>1543</v>
      </c>
      <c r="B1992" s="3" t="s">
        <v>1488</v>
      </c>
      <c r="C1992" s="3" t="s">
        <v>169</v>
      </c>
    </row>
    <row r="1993" spans="1:3" x14ac:dyDescent="0.2">
      <c r="A1993" s="3" t="s">
        <v>1543</v>
      </c>
      <c r="B1993" s="3" t="s">
        <v>1469</v>
      </c>
      <c r="C1993" s="3" t="s">
        <v>169</v>
      </c>
    </row>
    <row r="1994" spans="1:3" x14ac:dyDescent="0.2">
      <c r="A1994" s="3" t="s">
        <v>1543</v>
      </c>
      <c r="B1994" s="3" t="s">
        <v>1533</v>
      </c>
      <c r="C1994" s="3" t="s">
        <v>169</v>
      </c>
    </row>
    <row r="1995" spans="1:3" x14ac:dyDescent="0.2">
      <c r="A1995" s="3" t="s">
        <v>1543</v>
      </c>
      <c r="B1995" s="3" t="s">
        <v>1534</v>
      </c>
      <c r="C1995" s="3" t="s">
        <v>169</v>
      </c>
    </row>
    <row r="1996" spans="1:3" x14ac:dyDescent="0.2">
      <c r="A1996" s="3" t="s">
        <v>1543</v>
      </c>
      <c r="B1996" s="3" t="s">
        <v>1535</v>
      </c>
      <c r="C1996" s="3" t="s">
        <v>169</v>
      </c>
    </row>
    <row r="1997" spans="1:3" x14ac:dyDescent="0.2">
      <c r="A1997" s="3" t="s">
        <v>1543</v>
      </c>
      <c r="B1997" s="3" t="s">
        <v>1490</v>
      </c>
      <c r="C1997" s="3" t="s">
        <v>169</v>
      </c>
    </row>
    <row r="1998" spans="1:3" x14ac:dyDescent="0.2">
      <c r="A1998" s="3" t="s">
        <v>1543</v>
      </c>
      <c r="B1998" s="3" t="s">
        <v>1470</v>
      </c>
      <c r="C1998" s="3" t="s">
        <v>169</v>
      </c>
    </row>
    <row r="1999" spans="1:3" x14ac:dyDescent="0.2">
      <c r="A1999" s="3" t="s">
        <v>1543</v>
      </c>
      <c r="B1999" s="3" t="s">
        <v>1491</v>
      </c>
      <c r="C1999" s="3" t="s">
        <v>169</v>
      </c>
    </row>
    <row r="2000" spans="1:3" x14ac:dyDescent="0.2">
      <c r="A2000" s="3" t="s">
        <v>1544</v>
      </c>
      <c r="B2000" s="3" t="s">
        <v>1500</v>
      </c>
      <c r="C2000" s="3" t="s">
        <v>169</v>
      </c>
    </row>
    <row r="2001" spans="1:3" x14ac:dyDescent="0.2">
      <c r="A2001" s="3" t="s">
        <v>1544</v>
      </c>
      <c r="B2001" s="3" t="s">
        <v>1505</v>
      </c>
      <c r="C2001" s="3" t="s">
        <v>169</v>
      </c>
    </row>
    <row r="2002" spans="1:3" x14ac:dyDescent="0.2">
      <c r="A2002" s="3" t="s">
        <v>1544</v>
      </c>
      <c r="B2002" s="3" t="s">
        <v>1506</v>
      </c>
      <c r="C2002" s="3" t="s">
        <v>169</v>
      </c>
    </row>
    <row r="2003" spans="1:3" x14ac:dyDescent="0.2">
      <c r="A2003" s="3" t="s">
        <v>1544</v>
      </c>
      <c r="B2003" s="3" t="s">
        <v>1541</v>
      </c>
      <c r="C2003" s="3" t="s">
        <v>169</v>
      </c>
    </row>
    <row r="2004" spans="1:3" x14ac:dyDescent="0.2">
      <c r="A2004" s="3" t="s">
        <v>1544</v>
      </c>
      <c r="B2004" s="3" t="s">
        <v>1523</v>
      </c>
      <c r="C2004" s="3" t="s">
        <v>169</v>
      </c>
    </row>
    <row r="2005" spans="1:3" x14ac:dyDescent="0.2">
      <c r="A2005" s="3" t="s">
        <v>1544</v>
      </c>
      <c r="B2005" s="3" t="s">
        <v>1527</v>
      </c>
      <c r="C2005" s="3" t="s">
        <v>169</v>
      </c>
    </row>
    <row r="2006" spans="1:3" x14ac:dyDescent="0.2">
      <c r="A2006" s="3" t="s">
        <v>1544</v>
      </c>
      <c r="B2006" s="3" t="s">
        <v>1529</v>
      </c>
      <c r="C2006" s="3" t="s">
        <v>169</v>
      </c>
    </row>
    <row r="2007" spans="1:3" x14ac:dyDescent="0.2">
      <c r="A2007" s="3" t="s">
        <v>1544</v>
      </c>
      <c r="B2007" s="3" t="s">
        <v>1488</v>
      </c>
      <c r="C2007" s="3" t="s">
        <v>169</v>
      </c>
    </row>
    <row r="2008" spans="1:3" x14ac:dyDescent="0.2">
      <c r="A2008" s="3" t="s">
        <v>1544</v>
      </c>
      <c r="B2008" s="3" t="s">
        <v>1469</v>
      </c>
      <c r="C2008" s="3" t="s">
        <v>169</v>
      </c>
    </row>
    <row r="2009" spans="1:3" x14ac:dyDescent="0.2">
      <c r="A2009" s="3" t="s">
        <v>1544</v>
      </c>
      <c r="B2009" s="3" t="s">
        <v>1533</v>
      </c>
      <c r="C2009" s="3" t="s">
        <v>169</v>
      </c>
    </row>
    <row r="2010" spans="1:3" x14ac:dyDescent="0.2">
      <c r="A2010" s="3" t="s">
        <v>1544</v>
      </c>
      <c r="B2010" s="3" t="s">
        <v>1534</v>
      </c>
      <c r="C2010" s="3" t="s">
        <v>169</v>
      </c>
    </row>
    <row r="2011" spans="1:3" x14ac:dyDescent="0.2">
      <c r="A2011" s="3" t="s">
        <v>1544</v>
      </c>
      <c r="B2011" s="3" t="s">
        <v>1535</v>
      </c>
      <c r="C2011" s="3" t="s">
        <v>169</v>
      </c>
    </row>
    <row r="2012" spans="1:3" x14ac:dyDescent="0.2">
      <c r="A2012" s="3" t="s">
        <v>1544</v>
      </c>
      <c r="B2012" s="3" t="s">
        <v>1490</v>
      </c>
      <c r="C2012" s="3" t="s">
        <v>169</v>
      </c>
    </row>
    <row r="2013" spans="1:3" x14ac:dyDescent="0.2">
      <c r="A2013" s="3" t="s">
        <v>1544</v>
      </c>
      <c r="B2013" s="3" t="s">
        <v>1470</v>
      </c>
      <c r="C2013" s="3" t="s">
        <v>169</v>
      </c>
    </row>
    <row r="2014" spans="1:3" x14ac:dyDescent="0.2">
      <c r="A2014" s="3" t="s">
        <v>1544</v>
      </c>
      <c r="B2014" s="3" t="s">
        <v>1491</v>
      </c>
      <c r="C2014" s="3" t="s">
        <v>169</v>
      </c>
    </row>
    <row r="2015" spans="1:3" x14ac:dyDescent="0.2">
      <c r="A2015" s="3" t="s">
        <v>1545</v>
      </c>
      <c r="B2015" s="3" t="s">
        <v>1504</v>
      </c>
      <c r="C2015" s="3" t="s">
        <v>169</v>
      </c>
    </row>
    <row r="2016" spans="1:3" x14ac:dyDescent="0.2">
      <c r="A2016" s="3" t="s">
        <v>1545</v>
      </c>
      <c r="B2016" s="3" t="s">
        <v>1505</v>
      </c>
      <c r="C2016" s="3" t="s">
        <v>169</v>
      </c>
    </row>
    <row r="2017" spans="1:3" x14ac:dyDescent="0.2">
      <c r="A2017" s="3" t="s">
        <v>1545</v>
      </c>
      <c r="B2017" s="3" t="s">
        <v>1511</v>
      </c>
      <c r="C2017" s="3" t="s">
        <v>169</v>
      </c>
    </row>
    <row r="2018" spans="1:3" x14ac:dyDescent="0.2">
      <c r="A2018" s="3" t="s">
        <v>1545</v>
      </c>
      <c r="B2018" s="3" t="s">
        <v>1538</v>
      </c>
      <c r="C2018" s="3" t="s">
        <v>169</v>
      </c>
    </row>
    <row r="2019" spans="1:3" x14ac:dyDescent="0.2">
      <c r="A2019" s="3" t="s">
        <v>1545</v>
      </c>
      <c r="B2019" s="3" t="s">
        <v>1546</v>
      </c>
      <c r="C2019" s="3" t="s">
        <v>169</v>
      </c>
    </row>
    <row r="2020" spans="1:3" x14ac:dyDescent="0.2">
      <c r="A2020" s="3" t="s">
        <v>1545</v>
      </c>
      <c r="B2020" s="3" t="s">
        <v>1522</v>
      </c>
      <c r="C2020" s="3" t="s">
        <v>169</v>
      </c>
    </row>
    <row r="2021" spans="1:3" x14ac:dyDescent="0.2">
      <c r="A2021" s="3" t="s">
        <v>1545</v>
      </c>
      <c r="B2021" s="3" t="s">
        <v>1530</v>
      </c>
      <c r="C2021" s="3" t="s">
        <v>169</v>
      </c>
    </row>
    <row r="2022" spans="1:3" x14ac:dyDescent="0.2">
      <c r="A2022" s="3" t="s">
        <v>1545</v>
      </c>
      <c r="B2022" s="3" t="s">
        <v>1531</v>
      </c>
      <c r="C2022" s="3" t="s">
        <v>169</v>
      </c>
    </row>
    <row r="2023" spans="1:3" x14ac:dyDescent="0.2">
      <c r="A2023" s="3" t="s">
        <v>1545</v>
      </c>
      <c r="B2023" s="3" t="s">
        <v>1532</v>
      </c>
      <c r="C2023" s="3" t="s">
        <v>169</v>
      </c>
    </row>
    <row r="2024" spans="1:3" x14ac:dyDescent="0.2">
      <c r="A2024" s="3" t="s">
        <v>1545</v>
      </c>
      <c r="B2024" s="3" t="s">
        <v>1533</v>
      </c>
      <c r="C2024" s="3" t="s">
        <v>169</v>
      </c>
    </row>
    <row r="2025" spans="1:3" x14ac:dyDescent="0.2">
      <c r="A2025" s="3" t="s">
        <v>1573</v>
      </c>
      <c r="B2025" s="3" t="s">
        <v>1411</v>
      </c>
      <c r="C2025" s="3" t="s">
        <v>53</v>
      </c>
    </row>
    <row r="2026" spans="1:3" x14ac:dyDescent="0.2">
      <c r="A2026" s="3" t="s">
        <v>1573</v>
      </c>
      <c r="B2026" s="3" t="s">
        <v>1412</v>
      </c>
      <c r="C2026" s="3" t="s">
        <v>53</v>
      </c>
    </row>
    <row r="2027" spans="1:3" x14ac:dyDescent="0.2">
      <c r="A2027" s="3" t="s">
        <v>1573</v>
      </c>
      <c r="B2027" s="3" t="s">
        <v>1574</v>
      </c>
      <c r="C2027" s="3" t="s">
        <v>53</v>
      </c>
    </row>
    <row r="2028" spans="1:3" x14ac:dyDescent="0.2">
      <c r="A2028" s="3" t="s">
        <v>1573</v>
      </c>
      <c r="B2028" s="3" t="s">
        <v>1413</v>
      </c>
      <c r="C2028" s="3" t="s">
        <v>53</v>
      </c>
    </row>
    <row r="2029" spans="1:3" x14ac:dyDescent="0.2">
      <c r="A2029" s="3" t="s">
        <v>1573</v>
      </c>
      <c r="B2029" s="3" t="s">
        <v>254</v>
      </c>
      <c r="C2029" s="3" t="s">
        <v>53</v>
      </c>
    </row>
    <row r="2030" spans="1:3" x14ac:dyDescent="0.2">
      <c r="A2030" s="3" t="s">
        <v>1573</v>
      </c>
      <c r="B2030" s="3" t="s">
        <v>255</v>
      </c>
      <c r="C2030" s="3" t="s">
        <v>53</v>
      </c>
    </row>
    <row r="2031" spans="1:3" x14ac:dyDescent="0.2">
      <c r="A2031" s="3" t="s">
        <v>1573</v>
      </c>
      <c r="B2031" s="3" t="s">
        <v>1575</v>
      </c>
      <c r="C2031" s="3" t="s">
        <v>53</v>
      </c>
    </row>
    <row r="2032" spans="1:3" x14ac:dyDescent="0.2">
      <c r="A2032" s="3" t="s">
        <v>1573</v>
      </c>
      <c r="B2032" s="3" t="s">
        <v>1411</v>
      </c>
      <c r="C2032" s="3" t="s">
        <v>54</v>
      </c>
    </row>
    <row r="2033" spans="1:3" x14ac:dyDescent="0.2">
      <c r="A2033" s="3" t="s">
        <v>1573</v>
      </c>
      <c r="B2033" s="3" t="s">
        <v>1412</v>
      </c>
      <c r="C2033" s="3" t="s">
        <v>54</v>
      </c>
    </row>
    <row r="2034" spans="1:3" x14ac:dyDescent="0.2">
      <c r="A2034" s="3" t="s">
        <v>1573</v>
      </c>
      <c r="B2034" s="3" t="s">
        <v>1574</v>
      </c>
      <c r="C2034" s="3" t="s">
        <v>54</v>
      </c>
    </row>
    <row r="2035" spans="1:3" x14ac:dyDescent="0.2">
      <c r="A2035" s="3" t="s">
        <v>1573</v>
      </c>
      <c r="B2035" s="3" t="s">
        <v>1413</v>
      </c>
      <c r="C2035" s="3" t="s">
        <v>54</v>
      </c>
    </row>
    <row r="2036" spans="1:3" x14ac:dyDescent="0.2">
      <c r="A2036" s="3" t="s">
        <v>1573</v>
      </c>
      <c r="B2036" s="3" t="s">
        <v>254</v>
      </c>
      <c r="C2036" s="3" t="s">
        <v>54</v>
      </c>
    </row>
    <row r="2037" spans="1:3" x14ac:dyDescent="0.2">
      <c r="A2037" s="3" t="s">
        <v>1573</v>
      </c>
      <c r="B2037" s="3" t="s">
        <v>255</v>
      </c>
      <c r="C2037" s="3" t="s">
        <v>54</v>
      </c>
    </row>
    <row r="2038" spans="1:3" x14ac:dyDescent="0.2">
      <c r="A2038" s="3" t="s">
        <v>1573</v>
      </c>
      <c r="B2038" s="3" t="s">
        <v>1575</v>
      </c>
      <c r="C2038" s="3" t="s">
        <v>54</v>
      </c>
    </row>
    <row r="2039" spans="1:3" x14ac:dyDescent="0.2">
      <c r="A2039" s="3" t="s">
        <v>1573</v>
      </c>
      <c r="B2039" s="3" t="s">
        <v>1411</v>
      </c>
      <c r="C2039" s="3" t="s">
        <v>55</v>
      </c>
    </row>
    <row r="2040" spans="1:3" x14ac:dyDescent="0.2">
      <c r="A2040" s="3" t="s">
        <v>1573</v>
      </c>
      <c r="B2040" s="3" t="s">
        <v>1412</v>
      </c>
      <c r="C2040" s="3" t="s">
        <v>55</v>
      </c>
    </row>
    <row r="2041" spans="1:3" x14ac:dyDescent="0.2">
      <c r="A2041" s="3" t="s">
        <v>1573</v>
      </c>
      <c r="B2041" s="3" t="s">
        <v>1574</v>
      </c>
      <c r="C2041" s="3" t="s">
        <v>55</v>
      </c>
    </row>
    <row r="2042" spans="1:3" x14ac:dyDescent="0.2">
      <c r="A2042" s="3" t="s">
        <v>1573</v>
      </c>
      <c r="B2042" s="3" t="s">
        <v>1413</v>
      </c>
      <c r="C2042" s="3" t="s">
        <v>55</v>
      </c>
    </row>
    <row r="2043" spans="1:3" x14ac:dyDescent="0.2">
      <c r="A2043" s="3" t="s">
        <v>1573</v>
      </c>
      <c r="B2043" s="3" t="s">
        <v>254</v>
      </c>
      <c r="C2043" s="3" t="s">
        <v>55</v>
      </c>
    </row>
    <row r="2044" spans="1:3" x14ac:dyDescent="0.2">
      <c r="A2044" s="3" t="s">
        <v>1573</v>
      </c>
      <c r="B2044" s="3" t="s">
        <v>1575</v>
      </c>
      <c r="C2044" s="3" t="s">
        <v>55</v>
      </c>
    </row>
    <row r="2045" spans="1:3" x14ac:dyDescent="0.2">
      <c r="A2045" s="3" t="s">
        <v>1573</v>
      </c>
      <c r="B2045" s="3" t="s">
        <v>1411</v>
      </c>
      <c r="C2045" s="3" t="s">
        <v>56</v>
      </c>
    </row>
    <row r="2046" spans="1:3" x14ac:dyDescent="0.2">
      <c r="A2046" s="3" t="s">
        <v>1573</v>
      </c>
      <c r="B2046" s="3" t="s">
        <v>1412</v>
      </c>
      <c r="C2046" s="3" t="s">
        <v>56</v>
      </c>
    </row>
    <row r="2047" spans="1:3" x14ac:dyDescent="0.2">
      <c r="A2047" s="3" t="s">
        <v>1573</v>
      </c>
      <c r="B2047" s="3" t="s">
        <v>1574</v>
      </c>
      <c r="C2047" s="3" t="s">
        <v>56</v>
      </c>
    </row>
    <row r="2048" spans="1:3" x14ac:dyDescent="0.2">
      <c r="A2048" s="3" t="s">
        <v>1573</v>
      </c>
      <c r="B2048" s="3" t="s">
        <v>1413</v>
      </c>
      <c r="C2048" s="3" t="s">
        <v>56</v>
      </c>
    </row>
    <row r="2049" spans="1:3" x14ac:dyDescent="0.2">
      <c r="A2049" s="3" t="s">
        <v>1573</v>
      </c>
      <c r="B2049" s="3" t="s">
        <v>254</v>
      </c>
      <c r="C2049" s="3" t="s">
        <v>56</v>
      </c>
    </row>
    <row r="2050" spans="1:3" x14ac:dyDescent="0.2">
      <c r="A2050" s="3" t="s">
        <v>1573</v>
      </c>
      <c r="B2050" s="3" t="s">
        <v>1575</v>
      </c>
      <c r="C2050" s="3" t="s">
        <v>56</v>
      </c>
    </row>
    <row r="2051" spans="1:3" x14ac:dyDescent="0.2">
      <c r="A2051" s="3" t="s">
        <v>1573</v>
      </c>
      <c r="B2051" s="3" t="s">
        <v>1411</v>
      </c>
      <c r="C2051" s="3" t="s">
        <v>57</v>
      </c>
    </row>
    <row r="2052" spans="1:3" x14ac:dyDescent="0.2">
      <c r="A2052" s="3" t="s">
        <v>1573</v>
      </c>
      <c r="B2052" s="3" t="s">
        <v>1412</v>
      </c>
      <c r="C2052" s="3" t="s">
        <v>57</v>
      </c>
    </row>
    <row r="2053" spans="1:3" x14ac:dyDescent="0.2">
      <c r="A2053" s="3" t="s">
        <v>1573</v>
      </c>
      <c r="B2053" s="3" t="s">
        <v>1574</v>
      </c>
      <c r="C2053" s="3" t="s">
        <v>57</v>
      </c>
    </row>
    <row r="2054" spans="1:3" x14ac:dyDescent="0.2">
      <c r="A2054" s="3" t="s">
        <v>1573</v>
      </c>
      <c r="B2054" s="3" t="s">
        <v>1413</v>
      </c>
      <c r="C2054" s="3" t="s">
        <v>57</v>
      </c>
    </row>
    <row r="2055" spans="1:3" x14ac:dyDescent="0.2">
      <c r="A2055" s="3" t="s">
        <v>1573</v>
      </c>
      <c r="B2055" s="3" t="s">
        <v>254</v>
      </c>
      <c r="C2055" s="3" t="s">
        <v>57</v>
      </c>
    </row>
    <row r="2056" spans="1:3" x14ac:dyDescent="0.2">
      <c r="A2056" s="3" t="s">
        <v>1573</v>
      </c>
      <c r="B2056" s="3" t="s">
        <v>255</v>
      </c>
      <c r="C2056" s="3" t="s">
        <v>57</v>
      </c>
    </row>
    <row r="2057" spans="1:3" x14ac:dyDescent="0.2">
      <c r="A2057" s="3" t="s">
        <v>1573</v>
      </c>
      <c r="B2057" s="3" t="s">
        <v>1575</v>
      </c>
      <c r="C2057" s="3" t="s">
        <v>57</v>
      </c>
    </row>
    <row r="2058" spans="1:3" x14ac:dyDescent="0.2">
      <c r="A2058" s="3" t="s">
        <v>1573</v>
      </c>
      <c r="B2058" s="3" t="s">
        <v>1576</v>
      </c>
      <c r="C2058" s="3" t="s">
        <v>169</v>
      </c>
    </row>
    <row r="2059" spans="1:3" x14ac:dyDescent="0.2">
      <c r="A2059" s="3" t="s">
        <v>1573</v>
      </c>
      <c r="B2059" s="3" t="s">
        <v>243</v>
      </c>
      <c r="C2059" s="3" t="s">
        <v>169</v>
      </c>
    </row>
    <row r="2060" spans="1:3" x14ac:dyDescent="0.2">
      <c r="A2060" s="3" t="s">
        <v>1573</v>
      </c>
      <c r="B2060" s="3" t="s">
        <v>246</v>
      </c>
      <c r="C2060" s="3" t="s">
        <v>169</v>
      </c>
    </row>
    <row r="2061" spans="1:3" x14ac:dyDescent="0.2">
      <c r="A2061" s="3" t="s">
        <v>1573</v>
      </c>
      <c r="B2061" s="3" t="s">
        <v>1577</v>
      </c>
      <c r="C2061" s="3" t="s">
        <v>22</v>
      </c>
    </row>
    <row r="2062" spans="1:3" x14ac:dyDescent="0.2">
      <c r="A2062" s="3" t="s">
        <v>1573</v>
      </c>
      <c r="B2062" s="3" t="s">
        <v>1578</v>
      </c>
      <c r="C2062" s="3" t="s">
        <v>22</v>
      </c>
    </row>
    <row r="2063" spans="1:3" x14ac:dyDescent="0.2">
      <c r="A2063" s="3" t="s">
        <v>1573</v>
      </c>
      <c r="B2063" s="3" t="s">
        <v>1579</v>
      </c>
      <c r="C2063" s="3" t="s">
        <v>22</v>
      </c>
    </row>
    <row r="2064" spans="1:3" x14ac:dyDescent="0.2">
      <c r="A2064" s="3" t="s">
        <v>1573</v>
      </c>
      <c r="B2064" s="3" t="s">
        <v>1580</v>
      </c>
      <c r="C2064" s="3" t="s">
        <v>22</v>
      </c>
    </row>
    <row r="2065" spans="1:3" x14ac:dyDescent="0.2">
      <c r="A2065" s="3" t="s">
        <v>1605</v>
      </c>
      <c r="B2065" s="3" t="s">
        <v>1601</v>
      </c>
      <c r="C2065" s="3" t="s">
        <v>53</v>
      </c>
    </row>
    <row r="2066" spans="1:3" x14ac:dyDescent="0.2">
      <c r="A2066" s="3" t="s">
        <v>1605</v>
      </c>
      <c r="B2066" s="3" t="s">
        <v>1602</v>
      </c>
      <c r="C2066" s="3" t="s">
        <v>53</v>
      </c>
    </row>
    <row r="2067" spans="1:3" x14ac:dyDescent="0.2">
      <c r="A2067" s="3" t="s">
        <v>1605</v>
      </c>
      <c r="B2067" s="3" t="s">
        <v>994</v>
      </c>
      <c r="C2067" s="3" t="s">
        <v>53</v>
      </c>
    </row>
    <row r="2068" spans="1:3" x14ac:dyDescent="0.2">
      <c r="A2068" s="3" t="s">
        <v>1605</v>
      </c>
      <c r="B2068" s="3" t="s">
        <v>926</v>
      </c>
      <c r="C2068" s="3" t="s">
        <v>53</v>
      </c>
    </row>
    <row r="2069" spans="1:3" x14ac:dyDescent="0.2">
      <c r="A2069" s="3" t="s">
        <v>1605</v>
      </c>
      <c r="B2069" s="3" t="s">
        <v>944</v>
      </c>
      <c r="C2069" s="3" t="s">
        <v>53</v>
      </c>
    </row>
    <row r="2070" spans="1:3" x14ac:dyDescent="0.2">
      <c r="A2070" s="3" t="s">
        <v>1605</v>
      </c>
      <c r="B2070" s="3" t="s">
        <v>974</v>
      </c>
      <c r="C2070" s="3" t="s">
        <v>53</v>
      </c>
    </row>
    <row r="2071" spans="1:3" x14ac:dyDescent="0.2">
      <c r="A2071" s="3" t="s">
        <v>1605</v>
      </c>
      <c r="B2071" s="3" t="s">
        <v>945</v>
      </c>
      <c r="C2071" s="3" t="s">
        <v>53</v>
      </c>
    </row>
    <row r="2072" spans="1:3" x14ac:dyDescent="0.2">
      <c r="A2072" s="3" t="s">
        <v>1605</v>
      </c>
      <c r="B2072" s="3" t="s">
        <v>946</v>
      </c>
      <c r="C2072" s="3" t="s">
        <v>53</v>
      </c>
    </row>
    <row r="2073" spans="1:3" x14ac:dyDescent="0.2">
      <c r="A2073" s="3" t="s">
        <v>1605</v>
      </c>
      <c r="B2073" s="3" t="s">
        <v>947</v>
      </c>
      <c r="C2073" s="3" t="s">
        <v>53</v>
      </c>
    </row>
    <row r="2074" spans="1:3" x14ac:dyDescent="0.2">
      <c r="A2074" s="3" t="s">
        <v>1605</v>
      </c>
      <c r="B2074" s="3" t="s">
        <v>1601</v>
      </c>
      <c r="C2074" s="3" t="s">
        <v>54</v>
      </c>
    </row>
    <row r="2075" spans="1:3" x14ac:dyDescent="0.2">
      <c r="A2075" s="3" t="s">
        <v>1605</v>
      </c>
      <c r="B2075" s="3" t="s">
        <v>1602</v>
      </c>
      <c r="C2075" s="3" t="s">
        <v>54</v>
      </c>
    </row>
    <row r="2076" spans="1:3" x14ac:dyDescent="0.2">
      <c r="A2076" s="3" t="s">
        <v>1605</v>
      </c>
      <c r="B2076" s="3" t="s">
        <v>994</v>
      </c>
      <c r="C2076" s="3" t="s">
        <v>54</v>
      </c>
    </row>
    <row r="2077" spans="1:3" x14ac:dyDescent="0.2">
      <c r="A2077" s="3" t="s">
        <v>1605</v>
      </c>
      <c r="B2077" s="3" t="s">
        <v>926</v>
      </c>
      <c r="C2077" s="3" t="s">
        <v>54</v>
      </c>
    </row>
    <row r="2078" spans="1:3" x14ac:dyDescent="0.2">
      <c r="A2078" s="3" t="s">
        <v>1605</v>
      </c>
      <c r="B2078" s="3" t="s">
        <v>944</v>
      </c>
      <c r="C2078" s="3" t="s">
        <v>54</v>
      </c>
    </row>
    <row r="2079" spans="1:3" x14ac:dyDescent="0.2">
      <c r="A2079" s="3" t="s">
        <v>1605</v>
      </c>
      <c r="B2079" s="3" t="s">
        <v>974</v>
      </c>
      <c r="C2079" s="3" t="s">
        <v>54</v>
      </c>
    </row>
    <row r="2080" spans="1:3" x14ac:dyDescent="0.2">
      <c r="A2080" s="3" t="s">
        <v>1605</v>
      </c>
      <c r="B2080" s="3" t="s">
        <v>945</v>
      </c>
      <c r="C2080" s="3" t="s">
        <v>54</v>
      </c>
    </row>
    <row r="2081" spans="1:3" x14ac:dyDescent="0.2">
      <c r="A2081" s="3" t="s">
        <v>1605</v>
      </c>
      <c r="B2081" s="3" t="s">
        <v>946</v>
      </c>
      <c r="C2081" s="3" t="s">
        <v>54</v>
      </c>
    </row>
    <row r="2082" spans="1:3" x14ac:dyDescent="0.2">
      <c r="A2082" s="3" t="s">
        <v>1605</v>
      </c>
      <c r="B2082" s="3" t="s">
        <v>947</v>
      </c>
      <c r="C2082" s="3" t="s">
        <v>54</v>
      </c>
    </row>
    <row r="2083" spans="1:3" x14ac:dyDescent="0.2">
      <c r="A2083" s="3" t="s">
        <v>1605</v>
      </c>
      <c r="B2083" s="3" t="s">
        <v>1601</v>
      </c>
      <c r="C2083" s="3" t="s">
        <v>55</v>
      </c>
    </row>
    <row r="2084" spans="1:3" x14ac:dyDescent="0.2">
      <c r="A2084" s="3" t="s">
        <v>1605</v>
      </c>
      <c r="B2084" s="3" t="s">
        <v>1602</v>
      </c>
      <c r="C2084" s="3" t="s">
        <v>55</v>
      </c>
    </row>
    <row r="2085" spans="1:3" x14ac:dyDescent="0.2">
      <c r="A2085" s="3" t="s">
        <v>1605</v>
      </c>
      <c r="B2085" s="3" t="s">
        <v>994</v>
      </c>
      <c r="C2085" s="3" t="s">
        <v>55</v>
      </c>
    </row>
    <row r="2086" spans="1:3" x14ac:dyDescent="0.2">
      <c r="A2086" s="3" t="s">
        <v>1605</v>
      </c>
      <c r="B2086" s="3" t="s">
        <v>926</v>
      </c>
      <c r="C2086" s="3" t="s">
        <v>55</v>
      </c>
    </row>
    <row r="2087" spans="1:3" x14ac:dyDescent="0.2">
      <c r="A2087" s="3" t="s">
        <v>1605</v>
      </c>
      <c r="B2087" s="3" t="s">
        <v>944</v>
      </c>
      <c r="C2087" s="3" t="s">
        <v>55</v>
      </c>
    </row>
    <row r="2088" spans="1:3" x14ac:dyDescent="0.2">
      <c r="A2088" s="3" t="s">
        <v>1605</v>
      </c>
      <c r="B2088" s="3" t="s">
        <v>974</v>
      </c>
      <c r="C2088" s="3" t="s">
        <v>55</v>
      </c>
    </row>
    <row r="2089" spans="1:3" x14ac:dyDescent="0.2">
      <c r="A2089" s="3" t="s">
        <v>1605</v>
      </c>
      <c r="B2089" s="3" t="s">
        <v>945</v>
      </c>
      <c r="C2089" s="3" t="s">
        <v>55</v>
      </c>
    </row>
    <row r="2090" spans="1:3" x14ac:dyDescent="0.2">
      <c r="A2090" s="3" t="s">
        <v>1605</v>
      </c>
      <c r="B2090" s="3" t="s">
        <v>946</v>
      </c>
      <c r="C2090" s="3" t="s">
        <v>55</v>
      </c>
    </row>
    <row r="2091" spans="1:3" x14ac:dyDescent="0.2">
      <c r="A2091" s="3" t="s">
        <v>1605</v>
      </c>
      <c r="B2091" s="3" t="s">
        <v>947</v>
      </c>
      <c r="C2091" s="3" t="s">
        <v>55</v>
      </c>
    </row>
    <row r="2092" spans="1:3" x14ac:dyDescent="0.2">
      <c r="A2092" s="3" t="s">
        <v>1605</v>
      </c>
      <c r="B2092" s="3" t="s">
        <v>1601</v>
      </c>
      <c r="C2092" s="3" t="s">
        <v>56</v>
      </c>
    </row>
    <row r="2093" spans="1:3" x14ac:dyDescent="0.2">
      <c r="A2093" s="3" t="s">
        <v>1605</v>
      </c>
      <c r="B2093" s="3" t="s">
        <v>1602</v>
      </c>
      <c r="C2093" s="3" t="s">
        <v>56</v>
      </c>
    </row>
    <row r="2094" spans="1:3" x14ac:dyDescent="0.2">
      <c r="A2094" s="3" t="s">
        <v>1605</v>
      </c>
      <c r="B2094" s="3" t="s">
        <v>994</v>
      </c>
      <c r="C2094" s="3" t="s">
        <v>56</v>
      </c>
    </row>
    <row r="2095" spans="1:3" x14ac:dyDescent="0.2">
      <c r="A2095" s="3" t="s">
        <v>1605</v>
      </c>
      <c r="B2095" s="3" t="s">
        <v>926</v>
      </c>
      <c r="C2095" s="3" t="s">
        <v>56</v>
      </c>
    </row>
    <row r="2096" spans="1:3" x14ac:dyDescent="0.2">
      <c r="A2096" s="3" t="s">
        <v>1605</v>
      </c>
      <c r="B2096" s="3" t="s">
        <v>944</v>
      </c>
      <c r="C2096" s="3" t="s">
        <v>56</v>
      </c>
    </row>
    <row r="2097" spans="1:3" x14ac:dyDescent="0.2">
      <c r="A2097" s="3" t="s">
        <v>1605</v>
      </c>
      <c r="B2097" s="3" t="s">
        <v>974</v>
      </c>
      <c r="C2097" s="3" t="s">
        <v>56</v>
      </c>
    </row>
    <row r="2098" spans="1:3" x14ac:dyDescent="0.2">
      <c r="A2098" s="3" t="s">
        <v>1605</v>
      </c>
      <c r="B2098" s="3" t="s">
        <v>945</v>
      </c>
      <c r="C2098" s="3" t="s">
        <v>56</v>
      </c>
    </row>
    <row r="2099" spans="1:3" x14ac:dyDescent="0.2">
      <c r="A2099" s="3" t="s">
        <v>1605</v>
      </c>
      <c r="B2099" s="3" t="s">
        <v>946</v>
      </c>
      <c r="C2099" s="3" t="s">
        <v>56</v>
      </c>
    </row>
    <row r="2100" spans="1:3" x14ac:dyDescent="0.2">
      <c r="A2100" s="3" t="s">
        <v>1605</v>
      </c>
      <c r="B2100" s="3" t="s">
        <v>947</v>
      </c>
      <c r="C2100" s="3" t="s">
        <v>56</v>
      </c>
    </row>
    <row r="2101" spans="1:3" x14ac:dyDescent="0.2">
      <c r="A2101" s="3" t="s">
        <v>1605</v>
      </c>
      <c r="B2101" s="3" t="s">
        <v>1601</v>
      </c>
      <c r="C2101" s="3" t="s">
        <v>57</v>
      </c>
    </row>
    <row r="2102" spans="1:3" x14ac:dyDescent="0.2">
      <c r="A2102" s="3" t="s">
        <v>1605</v>
      </c>
      <c r="B2102" s="3" t="s">
        <v>1602</v>
      </c>
      <c r="C2102" s="3" t="s">
        <v>57</v>
      </c>
    </row>
    <row r="2103" spans="1:3" x14ac:dyDescent="0.2">
      <c r="A2103" s="3" t="s">
        <v>1605</v>
      </c>
      <c r="B2103" s="3" t="s">
        <v>994</v>
      </c>
      <c r="C2103" s="3" t="s">
        <v>57</v>
      </c>
    </row>
    <row r="2104" spans="1:3" x14ac:dyDescent="0.2">
      <c r="A2104" s="3" t="s">
        <v>1605</v>
      </c>
      <c r="B2104" s="3" t="s">
        <v>926</v>
      </c>
      <c r="C2104" s="3" t="s">
        <v>57</v>
      </c>
    </row>
    <row r="2105" spans="1:3" x14ac:dyDescent="0.2">
      <c r="A2105" s="3" t="s">
        <v>1605</v>
      </c>
      <c r="B2105" s="3" t="s">
        <v>944</v>
      </c>
      <c r="C2105" s="3" t="s">
        <v>57</v>
      </c>
    </row>
    <row r="2106" spans="1:3" x14ac:dyDescent="0.2">
      <c r="A2106" s="3" t="s">
        <v>1605</v>
      </c>
      <c r="B2106" s="3" t="s">
        <v>974</v>
      </c>
      <c r="C2106" s="3" t="s">
        <v>57</v>
      </c>
    </row>
    <row r="2107" spans="1:3" x14ac:dyDescent="0.2">
      <c r="A2107" s="3" t="s">
        <v>1605</v>
      </c>
      <c r="B2107" s="3" t="s">
        <v>945</v>
      </c>
      <c r="C2107" s="3" t="s">
        <v>57</v>
      </c>
    </row>
    <row r="2108" spans="1:3" x14ac:dyDescent="0.2">
      <c r="A2108" s="3" t="s">
        <v>1605</v>
      </c>
      <c r="B2108" s="3" t="s">
        <v>946</v>
      </c>
      <c r="C2108" s="3" t="s">
        <v>57</v>
      </c>
    </row>
    <row r="2109" spans="1:3" x14ac:dyDescent="0.2">
      <c r="A2109" s="3" t="s">
        <v>1605</v>
      </c>
      <c r="B2109" s="3" t="s">
        <v>947</v>
      </c>
      <c r="C2109" s="3" t="s">
        <v>57</v>
      </c>
    </row>
    <row r="2110" spans="1:3" x14ac:dyDescent="0.2">
      <c r="A2110" s="3" t="s">
        <v>1605</v>
      </c>
      <c r="B2110" s="3" t="s">
        <v>960</v>
      </c>
      <c r="C2110" s="3" t="s">
        <v>169</v>
      </c>
    </row>
    <row r="2111" spans="1:3" x14ac:dyDescent="0.2">
      <c r="A2111" s="3" t="s">
        <v>1610</v>
      </c>
      <c r="B2111" s="3" t="s">
        <v>1601</v>
      </c>
      <c r="C2111" s="3" t="s">
        <v>53</v>
      </c>
    </row>
    <row r="2112" spans="1:3" x14ac:dyDescent="0.2">
      <c r="A2112" s="3" t="s">
        <v>1610</v>
      </c>
      <c r="B2112" s="3" t="s">
        <v>1602</v>
      </c>
      <c r="C2112" s="3" t="s">
        <v>53</v>
      </c>
    </row>
    <row r="2113" spans="1:3" x14ac:dyDescent="0.2">
      <c r="A2113" s="3" t="s">
        <v>1610</v>
      </c>
      <c r="B2113" s="3" t="s">
        <v>1611</v>
      </c>
      <c r="C2113" s="3" t="s">
        <v>53</v>
      </c>
    </row>
    <row r="2114" spans="1:3" x14ac:dyDescent="0.2">
      <c r="A2114" s="3" t="s">
        <v>1610</v>
      </c>
      <c r="B2114" s="3" t="s">
        <v>1612</v>
      </c>
      <c r="C2114" s="3" t="s">
        <v>53</v>
      </c>
    </row>
    <row r="2115" spans="1:3" x14ac:dyDescent="0.2">
      <c r="A2115" s="3" t="s">
        <v>1610</v>
      </c>
      <c r="B2115" s="3" t="s">
        <v>927</v>
      </c>
      <c r="C2115" s="3" t="s">
        <v>53</v>
      </c>
    </row>
    <row r="2116" spans="1:3" x14ac:dyDescent="0.2">
      <c r="A2116" s="3" t="s">
        <v>1610</v>
      </c>
      <c r="B2116" s="3" t="s">
        <v>928</v>
      </c>
      <c r="C2116" s="3" t="s">
        <v>53</v>
      </c>
    </row>
    <row r="2117" spans="1:3" x14ac:dyDescent="0.2">
      <c r="A2117" s="3" t="s">
        <v>1610</v>
      </c>
      <c r="B2117" s="3" t="s">
        <v>1613</v>
      </c>
      <c r="C2117" s="3" t="s">
        <v>53</v>
      </c>
    </row>
    <row r="2118" spans="1:3" x14ac:dyDescent="0.2">
      <c r="A2118" s="3" t="s">
        <v>1610</v>
      </c>
      <c r="B2118" s="3" t="s">
        <v>948</v>
      </c>
      <c r="C2118" s="3" t="s">
        <v>53</v>
      </c>
    </row>
    <row r="2119" spans="1:3" x14ac:dyDescent="0.2">
      <c r="A2119" s="3" t="s">
        <v>1610</v>
      </c>
      <c r="B2119" s="3" t="s">
        <v>949</v>
      </c>
      <c r="C2119" s="3" t="s">
        <v>53</v>
      </c>
    </row>
    <row r="2120" spans="1:3" x14ac:dyDescent="0.2">
      <c r="A2120" s="3" t="s">
        <v>1610</v>
      </c>
      <c r="B2120" s="3" t="s">
        <v>1614</v>
      </c>
      <c r="C2120" s="3" t="s">
        <v>53</v>
      </c>
    </row>
    <row r="2121" spans="1:3" x14ac:dyDescent="0.2">
      <c r="A2121" s="3" t="s">
        <v>1610</v>
      </c>
      <c r="B2121" s="3" t="s">
        <v>1615</v>
      </c>
      <c r="C2121" s="3" t="s">
        <v>53</v>
      </c>
    </row>
    <row r="2122" spans="1:3" x14ac:dyDescent="0.2">
      <c r="A2122" s="3" t="s">
        <v>1610</v>
      </c>
      <c r="B2122" s="3" t="s">
        <v>1616</v>
      </c>
      <c r="C2122" s="3" t="s">
        <v>53</v>
      </c>
    </row>
    <row r="2123" spans="1:3" x14ac:dyDescent="0.2">
      <c r="A2123" s="3" t="s">
        <v>1610</v>
      </c>
      <c r="B2123" s="3" t="s">
        <v>1617</v>
      </c>
      <c r="C2123" s="3" t="s">
        <v>53</v>
      </c>
    </row>
    <row r="2124" spans="1:3" x14ac:dyDescent="0.2">
      <c r="A2124" s="3" t="s">
        <v>1610</v>
      </c>
      <c r="B2124" s="3" t="s">
        <v>1618</v>
      </c>
      <c r="C2124" s="3" t="s">
        <v>53</v>
      </c>
    </row>
    <row r="2125" spans="1:3" x14ac:dyDescent="0.2">
      <c r="A2125" s="3" t="s">
        <v>1610</v>
      </c>
      <c r="B2125" s="3" t="s">
        <v>1619</v>
      </c>
      <c r="C2125" s="3" t="s">
        <v>53</v>
      </c>
    </row>
    <row r="2126" spans="1:3" x14ac:dyDescent="0.2">
      <c r="A2126" s="3" t="s">
        <v>1610</v>
      </c>
      <c r="B2126" s="3" t="s">
        <v>1601</v>
      </c>
      <c r="C2126" s="3" t="s">
        <v>54</v>
      </c>
    </row>
    <row r="2127" spans="1:3" x14ac:dyDescent="0.2">
      <c r="A2127" s="3" t="s">
        <v>1610</v>
      </c>
      <c r="B2127" s="3" t="s">
        <v>1602</v>
      </c>
      <c r="C2127" s="3" t="s">
        <v>54</v>
      </c>
    </row>
    <row r="2128" spans="1:3" x14ac:dyDescent="0.2">
      <c r="A2128" s="3" t="s">
        <v>1610</v>
      </c>
      <c r="B2128" s="3" t="s">
        <v>1611</v>
      </c>
      <c r="C2128" s="3" t="s">
        <v>54</v>
      </c>
    </row>
    <row r="2129" spans="1:3" x14ac:dyDescent="0.2">
      <c r="A2129" s="3" t="s">
        <v>1610</v>
      </c>
      <c r="B2129" s="3" t="s">
        <v>1612</v>
      </c>
      <c r="C2129" s="3" t="s">
        <v>54</v>
      </c>
    </row>
    <row r="2130" spans="1:3" x14ac:dyDescent="0.2">
      <c r="A2130" s="3" t="s">
        <v>1610</v>
      </c>
      <c r="B2130" s="3" t="s">
        <v>927</v>
      </c>
      <c r="C2130" s="3" t="s">
        <v>54</v>
      </c>
    </row>
    <row r="2131" spans="1:3" x14ac:dyDescent="0.2">
      <c r="A2131" s="3" t="s">
        <v>1610</v>
      </c>
      <c r="B2131" s="3" t="s">
        <v>928</v>
      </c>
      <c r="C2131" s="3" t="s">
        <v>54</v>
      </c>
    </row>
    <row r="2132" spans="1:3" x14ac:dyDescent="0.2">
      <c r="A2132" s="3" t="s">
        <v>1610</v>
      </c>
      <c r="B2132" s="3" t="s">
        <v>1613</v>
      </c>
      <c r="C2132" s="3" t="s">
        <v>54</v>
      </c>
    </row>
    <row r="2133" spans="1:3" x14ac:dyDescent="0.2">
      <c r="A2133" s="3" t="s">
        <v>1610</v>
      </c>
      <c r="B2133" s="3" t="s">
        <v>948</v>
      </c>
      <c r="C2133" s="3" t="s">
        <v>54</v>
      </c>
    </row>
    <row r="2134" spans="1:3" x14ac:dyDescent="0.2">
      <c r="A2134" s="3" t="s">
        <v>1610</v>
      </c>
      <c r="B2134" s="3" t="s">
        <v>949</v>
      </c>
      <c r="C2134" s="3" t="s">
        <v>54</v>
      </c>
    </row>
    <row r="2135" spans="1:3" x14ac:dyDescent="0.2">
      <c r="A2135" s="3" t="s">
        <v>1610</v>
      </c>
      <c r="B2135" s="3" t="s">
        <v>1614</v>
      </c>
      <c r="C2135" s="3" t="s">
        <v>54</v>
      </c>
    </row>
    <row r="2136" spans="1:3" x14ac:dyDescent="0.2">
      <c r="A2136" s="3" t="s">
        <v>1610</v>
      </c>
      <c r="B2136" s="3" t="s">
        <v>1615</v>
      </c>
      <c r="C2136" s="3" t="s">
        <v>54</v>
      </c>
    </row>
    <row r="2137" spans="1:3" x14ac:dyDescent="0.2">
      <c r="A2137" s="3" t="s">
        <v>1610</v>
      </c>
      <c r="B2137" s="3" t="s">
        <v>1616</v>
      </c>
      <c r="C2137" s="3" t="s">
        <v>54</v>
      </c>
    </row>
    <row r="2138" spans="1:3" x14ac:dyDescent="0.2">
      <c r="A2138" s="3" t="s">
        <v>1610</v>
      </c>
      <c r="B2138" s="3" t="s">
        <v>1617</v>
      </c>
      <c r="C2138" s="3" t="s">
        <v>54</v>
      </c>
    </row>
    <row r="2139" spans="1:3" x14ac:dyDescent="0.2">
      <c r="A2139" s="3" t="s">
        <v>1610</v>
      </c>
      <c r="B2139" s="3" t="s">
        <v>1618</v>
      </c>
      <c r="C2139" s="3" t="s">
        <v>54</v>
      </c>
    </row>
    <row r="2140" spans="1:3" x14ac:dyDescent="0.2">
      <c r="A2140" s="3" t="s">
        <v>1610</v>
      </c>
      <c r="B2140" s="3" t="s">
        <v>1619</v>
      </c>
      <c r="C2140" s="3" t="s">
        <v>54</v>
      </c>
    </row>
    <row r="2141" spans="1:3" x14ac:dyDescent="0.2">
      <c r="A2141" s="3" t="s">
        <v>1610</v>
      </c>
      <c r="B2141" s="3" t="s">
        <v>1601</v>
      </c>
      <c r="C2141" s="3" t="s">
        <v>55</v>
      </c>
    </row>
    <row r="2142" spans="1:3" x14ac:dyDescent="0.2">
      <c r="A2142" s="3" t="s">
        <v>1610</v>
      </c>
      <c r="B2142" s="3" t="s">
        <v>1602</v>
      </c>
      <c r="C2142" s="3" t="s">
        <v>55</v>
      </c>
    </row>
    <row r="2143" spans="1:3" x14ac:dyDescent="0.2">
      <c r="A2143" s="3" t="s">
        <v>1610</v>
      </c>
      <c r="B2143" s="3" t="s">
        <v>1611</v>
      </c>
      <c r="C2143" s="3" t="s">
        <v>55</v>
      </c>
    </row>
    <row r="2144" spans="1:3" x14ac:dyDescent="0.2">
      <c r="A2144" s="3" t="s">
        <v>1610</v>
      </c>
      <c r="B2144" s="3" t="s">
        <v>1612</v>
      </c>
      <c r="C2144" s="3" t="s">
        <v>55</v>
      </c>
    </row>
    <row r="2145" spans="1:3" x14ac:dyDescent="0.2">
      <c r="A2145" s="3" t="s">
        <v>1610</v>
      </c>
      <c r="B2145" s="3" t="s">
        <v>927</v>
      </c>
      <c r="C2145" s="3" t="s">
        <v>55</v>
      </c>
    </row>
    <row r="2146" spans="1:3" x14ac:dyDescent="0.2">
      <c r="A2146" s="3" t="s">
        <v>1610</v>
      </c>
      <c r="B2146" s="3" t="s">
        <v>928</v>
      </c>
      <c r="C2146" s="3" t="s">
        <v>55</v>
      </c>
    </row>
    <row r="2147" spans="1:3" x14ac:dyDescent="0.2">
      <c r="A2147" s="3" t="s">
        <v>1610</v>
      </c>
      <c r="B2147" s="3" t="s">
        <v>1613</v>
      </c>
      <c r="C2147" s="3" t="s">
        <v>55</v>
      </c>
    </row>
    <row r="2148" spans="1:3" x14ac:dyDescent="0.2">
      <c r="A2148" s="3" t="s">
        <v>1610</v>
      </c>
      <c r="B2148" s="3" t="s">
        <v>948</v>
      </c>
      <c r="C2148" s="3" t="s">
        <v>55</v>
      </c>
    </row>
    <row r="2149" spans="1:3" x14ac:dyDescent="0.2">
      <c r="A2149" s="3" t="s">
        <v>1610</v>
      </c>
      <c r="B2149" s="3" t="s">
        <v>949</v>
      </c>
      <c r="C2149" s="3" t="s">
        <v>55</v>
      </c>
    </row>
    <row r="2150" spans="1:3" x14ac:dyDescent="0.2">
      <c r="A2150" s="3" t="s">
        <v>1610</v>
      </c>
      <c r="B2150" s="3" t="s">
        <v>1614</v>
      </c>
      <c r="C2150" s="3" t="s">
        <v>55</v>
      </c>
    </row>
    <row r="2151" spans="1:3" x14ac:dyDescent="0.2">
      <c r="A2151" s="3" t="s">
        <v>1610</v>
      </c>
      <c r="B2151" s="3" t="s">
        <v>1615</v>
      </c>
      <c r="C2151" s="3" t="s">
        <v>55</v>
      </c>
    </row>
    <row r="2152" spans="1:3" x14ac:dyDescent="0.2">
      <c r="A2152" s="3" t="s">
        <v>1610</v>
      </c>
      <c r="B2152" s="3" t="s">
        <v>1616</v>
      </c>
      <c r="C2152" s="3" t="s">
        <v>55</v>
      </c>
    </row>
    <row r="2153" spans="1:3" x14ac:dyDescent="0.2">
      <c r="A2153" s="3" t="s">
        <v>1610</v>
      </c>
      <c r="B2153" s="3" t="s">
        <v>1617</v>
      </c>
      <c r="C2153" s="3" t="s">
        <v>55</v>
      </c>
    </row>
    <row r="2154" spans="1:3" x14ac:dyDescent="0.2">
      <c r="A2154" s="3" t="s">
        <v>1610</v>
      </c>
      <c r="B2154" s="3" t="s">
        <v>1618</v>
      </c>
      <c r="C2154" s="3" t="s">
        <v>55</v>
      </c>
    </row>
    <row r="2155" spans="1:3" x14ac:dyDescent="0.2">
      <c r="A2155" s="3" t="s">
        <v>1610</v>
      </c>
      <c r="B2155" s="3" t="s">
        <v>1619</v>
      </c>
      <c r="C2155" s="3" t="s">
        <v>55</v>
      </c>
    </row>
    <row r="2156" spans="1:3" x14ac:dyDescent="0.2">
      <c r="A2156" s="3" t="s">
        <v>1610</v>
      </c>
      <c r="B2156" s="3" t="s">
        <v>1601</v>
      </c>
      <c r="C2156" s="3" t="s">
        <v>56</v>
      </c>
    </row>
    <row r="2157" spans="1:3" x14ac:dyDescent="0.2">
      <c r="A2157" s="3" t="s">
        <v>1610</v>
      </c>
      <c r="B2157" s="3" t="s">
        <v>1602</v>
      </c>
      <c r="C2157" s="3" t="s">
        <v>56</v>
      </c>
    </row>
    <row r="2158" spans="1:3" x14ac:dyDescent="0.2">
      <c r="A2158" s="3" t="s">
        <v>1610</v>
      </c>
      <c r="B2158" s="3" t="s">
        <v>1611</v>
      </c>
      <c r="C2158" s="3" t="s">
        <v>56</v>
      </c>
    </row>
    <row r="2159" spans="1:3" x14ac:dyDescent="0.2">
      <c r="A2159" s="3" t="s">
        <v>1610</v>
      </c>
      <c r="B2159" s="3" t="s">
        <v>1612</v>
      </c>
      <c r="C2159" s="3" t="s">
        <v>56</v>
      </c>
    </row>
    <row r="2160" spans="1:3" x14ac:dyDescent="0.2">
      <c r="A2160" s="3" t="s">
        <v>1610</v>
      </c>
      <c r="B2160" s="3" t="s">
        <v>927</v>
      </c>
      <c r="C2160" s="3" t="s">
        <v>56</v>
      </c>
    </row>
    <row r="2161" spans="1:3" x14ac:dyDescent="0.2">
      <c r="A2161" s="3" t="s">
        <v>1610</v>
      </c>
      <c r="B2161" s="3" t="s">
        <v>928</v>
      </c>
      <c r="C2161" s="3" t="s">
        <v>56</v>
      </c>
    </row>
    <row r="2162" spans="1:3" x14ac:dyDescent="0.2">
      <c r="A2162" s="3" t="s">
        <v>1610</v>
      </c>
      <c r="B2162" s="3" t="s">
        <v>1613</v>
      </c>
      <c r="C2162" s="3" t="s">
        <v>56</v>
      </c>
    </row>
    <row r="2163" spans="1:3" x14ac:dyDescent="0.2">
      <c r="A2163" s="3" t="s">
        <v>1610</v>
      </c>
      <c r="B2163" s="3" t="s">
        <v>948</v>
      </c>
      <c r="C2163" s="3" t="s">
        <v>56</v>
      </c>
    </row>
    <row r="2164" spans="1:3" x14ac:dyDescent="0.2">
      <c r="A2164" s="3" t="s">
        <v>1610</v>
      </c>
      <c r="B2164" s="3" t="s">
        <v>949</v>
      </c>
      <c r="C2164" s="3" t="s">
        <v>56</v>
      </c>
    </row>
    <row r="2165" spans="1:3" x14ac:dyDescent="0.2">
      <c r="A2165" s="3" t="s">
        <v>1610</v>
      </c>
      <c r="B2165" s="3" t="s">
        <v>1614</v>
      </c>
      <c r="C2165" s="3" t="s">
        <v>56</v>
      </c>
    </row>
    <row r="2166" spans="1:3" x14ac:dyDescent="0.2">
      <c r="A2166" s="3" t="s">
        <v>1610</v>
      </c>
      <c r="B2166" s="3" t="s">
        <v>1615</v>
      </c>
      <c r="C2166" s="3" t="s">
        <v>56</v>
      </c>
    </row>
    <row r="2167" spans="1:3" x14ac:dyDescent="0.2">
      <c r="A2167" s="3" t="s">
        <v>1610</v>
      </c>
      <c r="B2167" s="3" t="s">
        <v>1616</v>
      </c>
      <c r="C2167" s="3" t="s">
        <v>56</v>
      </c>
    </row>
    <row r="2168" spans="1:3" x14ac:dyDescent="0.2">
      <c r="A2168" s="3" t="s">
        <v>1610</v>
      </c>
      <c r="B2168" s="3" t="s">
        <v>1617</v>
      </c>
      <c r="C2168" s="3" t="s">
        <v>56</v>
      </c>
    </row>
    <row r="2169" spans="1:3" x14ac:dyDescent="0.2">
      <c r="A2169" s="3" t="s">
        <v>1610</v>
      </c>
      <c r="B2169" s="3" t="s">
        <v>1618</v>
      </c>
      <c r="C2169" s="3" t="s">
        <v>56</v>
      </c>
    </row>
    <row r="2170" spans="1:3" x14ac:dyDescent="0.2">
      <c r="A2170" s="3" t="s">
        <v>1610</v>
      </c>
      <c r="B2170" s="3" t="s">
        <v>1619</v>
      </c>
      <c r="C2170" s="3" t="s">
        <v>56</v>
      </c>
    </row>
    <row r="2171" spans="1:3" x14ac:dyDescent="0.2">
      <c r="A2171" s="3" t="s">
        <v>1610</v>
      </c>
      <c r="B2171" s="3" t="s">
        <v>1601</v>
      </c>
      <c r="C2171" s="3" t="s">
        <v>57</v>
      </c>
    </row>
    <row r="2172" spans="1:3" x14ac:dyDescent="0.2">
      <c r="A2172" s="3" t="s">
        <v>1610</v>
      </c>
      <c r="B2172" s="3" t="s">
        <v>1602</v>
      </c>
      <c r="C2172" s="3" t="s">
        <v>57</v>
      </c>
    </row>
    <row r="2173" spans="1:3" x14ac:dyDescent="0.2">
      <c r="A2173" s="3" t="s">
        <v>1610</v>
      </c>
      <c r="B2173" s="3" t="s">
        <v>1611</v>
      </c>
      <c r="C2173" s="3" t="s">
        <v>57</v>
      </c>
    </row>
    <row r="2174" spans="1:3" x14ac:dyDescent="0.2">
      <c r="A2174" s="3" t="s">
        <v>1610</v>
      </c>
      <c r="B2174" s="3" t="s">
        <v>1612</v>
      </c>
      <c r="C2174" s="3" t="s">
        <v>57</v>
      </c>
    </row>
    <row r="2175" spans="1:3" x14ac:dyDescent="0.2">
      <c r="A2175" s="3" t="s">
        <v>1610</v>
      </c>
      <c r="B2175" s="3" t="s">
        <v>927</v>
      </c>
      <c r="C2175" s="3" t="s">
        <v>57</v>
      </c>
    </row>
    <row r="2176" spans="1:3" x14ac:dyDescent="0.2">
      <c r="A2176" s="3" t="s">
        <v>1610</v>
      </c>
      <c r="B2176" s="3" t="s">
        <v>928</v>
      </c>
      <c r="C2176" s="3" t="s">
        <v>57</v>
      </c>
    </row>
    <row r="2177" spans="1:3" x14ac:dyDescent="0.2">
      <c r="A2177" s="3" t="s">
        <v>1610</v>
      </c>
      <c r="B2177" s="3" t="s">
        <v>1613</v>
      </c>
      <c r="C2177" s="3" t="s">
        <v>57</v>
      </c>
    </row>
    <row r="2178" spans="1:3" x14ac:dyDescent="0.2">
      <c r="A2178" s="3" t="s">
        <v>1610</v>
      </c>
      <c r="B2178" s="3" t="s">
        <v>948</v>
      </c>
      <c r="C2178" s="3" t="s">
        <v>57</v>
      </c>
    </row>
    <row r="2179" spans="1:3" x14ac:dyDescent="0.2">
      <c r="A2179" s="3" t="s">
        <v>1610</v>
      </c>
      <c r="B2179" s="3" t="s">
        <v>949</v>
      </c>
      <c r="C2179" s="3" t="s">
        <v>57</v>
      </c>
    </row>
    <row r="2180" spans="1:3" x14ac:dyDescent="0.2">
      <c r="A2180" s="3" t="s">
        <v>1610</v>
      </c>
      <c r="B2180" s="3" t="s">
        <v>1614</v>
      </c>
      <c r="C2180" s="3" t="s">
        <v>57</v>
      </c>
    </row>
    <row r="2181" spans="1:3" x14ac:dyDescent="0.2">
      <c r="A2181" s="3" t="s">
        <v>1610</v>
      </c>
      <c r="B2181" s="3" t="s">
        <v>1615</v>
      </c>
      <c r="C2181" s="3" t="s">
        <v>57</v>
      </c>
    </row>
    <row r="2182" spans="1:3" x14ac:dyDescent="0.2">
      <c r="A2182" s="3" t="s">
        <v>1610</v>
      </c>
      <c r="B2182" s="3" t="s">
        <v>1616</v>
      </c>
      <c r="C2182" s="3" t="s">
        <v>57</v>
      </c>
    </row>
    <row r="2183" spans="1:3" x14ac:dyDescent="0.2">
      <c r="A2183" s="3" t="s">
        <v>1610</v>
      </c>
      <c r="B2183" s="3" t="s">
        <v>1617</v>
      </c>
      <c r="C2183" s="3" t="s">
        <v>57</v>
      </c>
    </row>
    <row r="2184" spans="1:3" x14ac:dyDescent="0.2">
      <c r="A2184" s="3" t="s">
        <v>1610</v>
      </c>
      <c r="B2184" s="3" t="s">
        <v>1618</v>
      </c>
      <c r="C2184" s="3" t="s">
        <v>57</v>
      </c>
    </row>
    <row r="2185" spans="1:3" x14ac:dyDescent="0.2">
      <c r="A2185" s="3" t="s">
        <v>1610</v>
      </c>
      <c r="B2185" s="3" t="s">
        <v>1619</v>
      </c>
      <c r="C2185" s="3" t="s">
        <v>57</v>
      </c>
    </row>
    <row r="2186" spans="1:3" x14ac:dyDescent="0.2">
      <c r="A2186" s="3" t="s">
        <v>1610</v>
      </c>
      <c r="B2186" s="3" t="s">
        <v>960</v>
      </c>
      <c r="C2186" s="3" t="s">
        <v>169</v>
      </c>
    </row>
    <row r="2187" spans="1:3" x14ac:dyDescent="0.2">
      <c r="A2187" s="3" t="s">
        <v>1622</v>
      </c>
      <c r="B2187" s="3" t="s">
        <v>1601</v>
      </c>
      <c r="C2187" s="3" t="s">
        <v>53</v>
      </c>
    </row>
    <row r="2188" spans="1:3" x14ac:dyDescent="0.2">
      <c r="A2188" s="3" t="s">
        <v>1622</v>
      </c>
      <c r="B2188" s="3" t="s">
        <v>1602</v>
      </c>
      <c r="C2188" s="3" t="s">
        <v>53</v>
      </c>
    </row>
    <row r="2189" spans="1:3" x14ac:dyDescent="0.2">
      <c r="A2189" s="3" t="s">
        <v>1622</v>
      </c>
      <c r="B2189" s="3" t="s">
        <v>1623</v>
      </c>
      <c r="C2189" s="3" t="s">
        <v>53</v>
      </c>
    </row>
    <row r="2190" spans="1:3" x14ac:dyDescent="0.2">
      <c r="A2190" s="3" t="s">
        <v>1622</v>
      </c>
      <c r="B2190" s="3" t="s">
        <v>1624</v>
      </c>
      <c r="C2190" s="3" t="s">
        <v>53</v>
      </c>
    </row>
    <row r="2191" spans="1:3" x14ac:dyDescent="0.2">
      <c r="A2191" s="3" t="s">
        <v>1622</v>
      </c>
      <c r="B2191" s="3" t="s">
        <v>929</v>
      </c>
      <c r="C2191" s="3" t="s">
        <v>53</v>
      </c>
    </row>
    <row r="2192" spans="1:3" x14ac:dyDescent="0.2">
      <c r="A2192" s="3" t="s">
        <v>1622</v>
      </c>
      <c r="B2192" s="3" t="s">
        <v>930</v>
      </c>
      <c r="C2192" s="3" t="s">
        <v>53</v>
      </c>
    </row>
    <row r="2193" spans="1:3" x14ac:dyDescent="0.2">
      <c r="A2193" s="3" t="s">
        <v>1622</v>
      </c>
      <c r="B2193" s="3" t="s">
        <v>1625</v>
      </c>
      <c r="C2193" s="3" t="s">
        <v>53</v>
      </c>
    </row>
    <row r="2194" spans="1:3" x14ac:dyDescent="0.2">
      <c r="A2194" s="3" t="s">
        <v>1622</v>
      </c>
      <c r="B2194" s="3" t="s">
        <v>1601</v>
      </c>
      <c r="C2194" s="3" t="s">
        <v>54</v>
      </c>
    </row>
    <row r="2195" spans="1:3" x14ac:dyDescent="0.2">
      <c r="A2195" s="3" t="s">
        <v>1622</v>
      </c>
      <c r="B2195" s="3" t="s">
        <v>1602</v>
      </c>
      <c r="C2195" s="3" t="s">
        <v>54</v>
      </c>
    </row>
    <row r="2196" spans="1:3" x14ac:dyDescent="0.2">
      <c r="A2196" s="3" t="s">
        <v>1622</v>
      </c>
      <c r="B2196" s="3" t="s">
        <v>1623</v>
      </c>
      <c r="C2196" s="3" t="s">
        <v>54</v>
      </c>
    </row>
    <row r="2197" spans="1:3" x14ac:dyDescent="0.2">
      <c r="A2197" s="3" t="s">
        <v>1622</v>
      </c>
      <c r="B2197" s="3" t="s">
        <v>1624</v>
      </c>
      <c r="C2197" s="3" t="s">
        <v>54</v>
      </c>
    </row>
    <row r="2198" spans="1:3" x14ac:dyDescent="0.2">
      <c r="A2198" s="3" t="s">
        <v>1622</v>
      </c>
      <c r="B2198" s="3" t="s">
        <v>929</v>
      </c>
      <c r="C2198" s="3" t="s">
        <v>54</v>
      </c>
    </row>
    <row r="2199" spans="1:3" x14ac:dyDescent="0.2">
      <c r="A2199" s="3" t="s">
        <v>1622</v>
      </c>
      <c r="B2199" s="3" t="s">
        <v>930</v>
      </c>
      <c r="C2199" s="3" t="s">
        <v>54</v>
      </c>
    </row>
    <row r="2200" spans="1:3" x14ac:dyDescent="0.2">
      <c r="A2200" s="3" t="s">
        <v>1622</v>
      </c>
      <c r="B2200" s="3" t="s">
        <v>1625</v>
      </c>
      <c r="C2200" s="3" t="s">
        <v>54</v>
      </c>
    </row>
    <row r="2201" spans="1:3" x14ac:dyDescent="0.2">
      <c r="A2201" s="3" t="s">
        <v>1622</v>
      </c>
      <c r="B2201" s="3" t="s">
        <v>1626</v>
      </c>
      <c r="C2201" s="3" t="s">
        <v>54</v>
      </c>
    </row>
    <row r="2202" spans="1:3" x14ac:dyDescent="0.2">
      <c r="A2202" s="3" t="s">
        <v>1622</v>
      </c>
      <c r="B2202" s="3" t="s">
        <v>1601</v>
      </c>
      <c r="C2202" s="3" t="s">
        <v>55</v>
      </c>
    </row>
    <row r="2203" spans="1:3" x14ac:dyDescent="0.2">
      <c r="A2203" s="3" t="s">
        <v>1622</v>
      </c>
      <c r="B2203" s="3" t="s">
        <v>1602</v>
      </c>
      <c r="C2203" s="3" t="s">
        <v>55</v>
      </c>
    </row>
    <row r="2204" spans="1:3" x14ac:dyDescent="0.2">
      <c r="A2204" s="3" t="s">
        <v>1622</v>
      </c>
      <c r="B2204" s="3" t="s">
        <v>1623</v>
      </c>
      <c r="C2204" s="3" t="s">
        <v>55</v>
      </c>
    </row>
    <row r="2205" spans="1:3" x14ac:dyDescent="0.2">
      <c r="A2205" s="3" t="s">
        <v>1622</v>
      </c>
      <c r="B2205" s="3" t="s">
        <v>1624</v>
      </c>
      <c r="C2205" s="3" t="s">
        <v>55</v>
      </c>
    </row>
    <row r="2206" spans="1:3" x14ac:dyDescent="0.2">
      <c r="A2206" s="3" t="s">
        <v>1622</v>
      </c>
      <c r="B2206" s="3" t="s">
        <v>929</v>
      </c>
      <c r="C2206" s="3" t="s">
        <v>55</v>
      </c>
    </row>
    <row r="2207" spans="1:3" x14ac:dyDescent="0.2">
      <c r="A2207" s="3" t="s">
        <v>1622</v>
      </c>
      <c r="B2207" s="3" t="s">
        <v>930</v>
      </c>
      <c r="C2207" s="3" t="s">
        <v>55</v>
      </c>
    </row>
    <row r="2208" spans="1:3" x14ac:dyDescent="0.2">
      <c r="A2208" s="3" t="s">
        <v>1622</v>
      </c>
      <c r="B2208" s="3" t="s">
        <v>1625</v>
      </c>
      <c r="C2208" s="3" t="s">
        <v>55</v>
      </c>
    </row>
    <row r="2209" spans="1:3" x14ac:dyDescent="0.2">
      <c r="A2209" s="3" t="s">
        <v>1622</v>
      </c>
      <c r="B2209" s="3" t="s">
        <v>1601</v>
      </c>
      <c r="C2209" s="3" t="s">
        <v>56</v>
      </c>
    </row>
    <row r="2210" spans="1:3" x14ac:dyDescent="0.2">
      <c r="A2210" s="3" t="s">
        <v>1622</v>
      </c>
      <c r="B2210" s="3" t="s">
        <v>1602</v>
      </c>
      <c r="C2210" s="3" t="s">
        <v>56</v>
      </c>
    </row>
    <row r="2211" spans="1:3" x14ac:dyDescent="0.2">
      <c r="A2211" s="3" t="s">
        <v>1622</v>
      </c>
      <c r="B2211" s="3" t="s">
        <v>1623</v>
      </c>
      <c r="C2211" s="3" t="s">
        <v>56</v>
      </c>
    </row>
    <row r="2212" spans="1:3" x14ac:dyDescent="0.2">
      <c r="A2212" s="3" t="s">
        <v>1622</v>
      </c>
      <c r="B2212" s="3" t="s">
        <v>1624</v>
      </c>
      <c r="C2212" s="3" t="s">
        <v>56</v>
      </c>
    </row>
    <row r="2213" spans="1:3" x14ac:dyDescent="0.2">
      <c r="A2213" s="3" t="s">
        <v>1622</v>
      </c>
      <c r="B2213" s="3" t="s">
        <v>929</v>
      </c>
      <c r="C2213" s="3" t="s">
        <v>56</v>
      </c>
    </row>
    <row r="2214" spans="1:3" x14ac:dyDescent="0.2">
      <c r="A2214" s="3" t="s">
        <v>1622</v>
      </c>
      <c r="B2214" s="3" t="s">
        <v>930</v>
      </c>
      <c r="C2214" s="3" t="s">
        <v>56</v>
      </c>
    </row>
    <row r="2215" spans="1:3" x14ac:dyDescent="0.2">
      <c r="A2215" s="3" t="s">
        <v>1622</v>
      </c>
      <c r="B2215" s="3" t="s">
        <v>1625</v>
      </c>
      <c r="C2215" s="3" t="s">
        <v>56</v>
      </c>
    </row>
    <row r="2216" spans="1:3" x14ac:dyDescent="0.2">
      <c r="A2216" s="3" t="s">
        <v>1622</v>
      </c>
      <c r="B2216" s="3" t="s">
        <v>1627</v>
      </c>
      <c r="C2216" s="3" t="s">
        <v>56</v>
      </c>
    </row>
    <row r="2217" spans="1:3" x14ac:dyDescent="0.2">
      <c r="A2217" s="3" t="s">
        <v>1622</v>
      </c>
      <c r="B2217" s="3" t="s">
        <v>1601</v>
      </c>
      <c r="C2217" s="3" t="s">
        <v>57</v>
      </c>
    </row>
    <row r="2218" spans="1:3" x14ac:dyDescent="0.2">
      <c r="A2218" s="3" t="s">
        <v>1622</v>
      </c>
      <c r="B2218" s="3" t="s">
        <v>1602</v>
      </c>
      <c r="C2218" s="3" t="s">
        <v>57</v>
      </c>
    </row>
    <row r="2219" spans="1:3" x14ac:dyDescent="0.2">
      <c r="A2219" s="3" t="s">
        <v>1622</v>
      </c>
      <c r="B2219" s="3" t="s">
        <v>1623</v>
      </c>
      <c r="C2219" s="3" t="s">
        <v>57</v>
      </c>
    </row>
    <row r="2220" spans="1:3" x14ac:dyDescent="0.2">
      <c r="A2220" s="3" t="s">
        <v>1622</v>
      </c>
      <c r="B2220" s="3" t="s">
        <v>1624</v>
      </c>
      <c r="C2220" s="3" t="s">
        <v>57</v>
      </c>
    </row>
    <row r="2221" spans="1:3" x14ac:dyDescent="0.2">
      <c r="A2221" s="3" t="s">
        <v>1622</v>
      </c>
      <c r="B2221" s="3" t="s">
        <v>929</v>
      </c>
      <c r="C2221" s="3" t="s">
        <v>57</v>
      </c>
    </row>
    <row r="2222" spans="1:3" x14ac:dyDescent="0.2">
      <c r="A2222" s="3" t="s">
        <v>1622</v>
      </c>
      <c r="B2222" s="3" t="s">
        <v>930</v>
      </c>
      <c r="C2222" s="3" t="s">
        <v>57</v>
      </c>
    </row>
    <row r="2223" spans="1:3" x14ac:dyDescent="0.2">
      <c r="A2223" s="3" t="s">
        <v>1622</v>
      </c>
      <c r="B2223" s="3" t="s">
        <v>1625</v>
      </c>
      <c r="C2223" s="3" t="s">
        <v>57</v>
      </c>
    </row>
    <row r="2224" spans="1:3" x14ac:dyDescent="0.2">
      <c r="A2224" s="3" t="s">
        <v>1622</v>
      </c>
      <c r="B2224" s="3" t="s">
        <v>1628</v>
      </c>
      <c r="C2224" s="3" t="s">
        <v>57</v>
      </c>
    </row>
    <row r="2225" spans="1:3" x14ac:dyDescent="0.2">
      <c r="A2225" s="3" t="s">
        <v>1622</v>
      </c>
      <c r="B2225" s="3" t="s">
        <v>960</v>
      </c>
      <c r="C2225" s="3" t="s">
        <v>169</v>
      </c>
    </row>
    <row r="2226" spans="1:3" x14ac:dyDescent="0.2">
      <c r="A2226" s="3" t="s">
        <v>1631</v>
      </c>
      <c r="B2226" s="3" t="s">
        <v>1601</v>
      </c>
      <c r="C2226" s="3" t="s">
        <v>53</v>
      </c>
    </row>
    <row r="2227" spans="1:3" x14ac:dyDescent="0.2">
      <c r="A2227" s="3" t="s">
        <v>1631</v>
      </c>
      <c r="B2227" s="3" t="s">
        <v>1602</v>
      </c>
      <c r="C2227" s="3" t="s">
        <v>53</v>
      </c>
    </row>
    <row r="2228" spans="1:3" x14ac:dyDescent="0.2">
      <c r="A2228" s="3" t="s">
        <v>1631</v>
      </c>
      <c r="B2228" s="3" t="s">
        <v>1632</v>
      </c>
      <c r="C2228" s="3" t="s">
        <v>53</v>
      </c>
    </row>
    <row r="2229" spans="1:3" x14ac:dyDescent="0.2">
      <c r="A2229" s="3" t="s">
        <v>1631</v>
      </c>
      <c r="B2229" s="3" t="s">
        <v>1633</v>
      </c>
      <c r="C2229" s="3" t="s">
        <v>53</v>
      </c>
    </row>
    <row r="2230" spans="1:3" x14ac:dyDescent="0.2">
      <c r="A2230" s="3" t="s">
        <v>1631</v>
      </c>
      <c r="B2230" s="3" t="s">
        <v>1634</v>
      </c>
      <c r="C2230" s="3" t="s">
        <v>53</v>
      </c>
    </row>
    <row r="2231" spans="1:3" x14ac:dyDescent="0.2">
      <c r="A2231" s="3" t="s">
        <v>1631</v>
      </c>
      <c r="B2231" s="3" t="s">
        <v>1635</v>
      </c>
      <c r="C2231" s="3" t="s">
        <v>53</v>
      </c>
    </row>
    <row r="2232" spans="1:3" x14ac:dyDescent="0.2">
      <c r="A2232" s="3" t="s">
        <v>1631</v>
      </c>
      <c r="B2232" s="3" t="s">
        <v>1636</v>
      </c>
      <c r="C2232" s="3" t="s">
        <v>53</v>
      </c>
    </row>
    <row r="2233" spans="1:3" x14ac:dyDescent="0.2">
      <c r="A2233" s="3" t="s">
        <v>1631</v>
      </c>
      <c r="B2233" s="3" t="s">
        <v>1637</v>
      </c>
      <c r="C2233" s="3" t="s">
        <v>53</v>
      </c>
    </row>
    <row r="2234" spans="1:3" x14ac:dyDescent="0.2">
      <c r="A2234" s="3" t="s">
        <v>1631</v>
      </c>
      <c r="B2234" s="3" t="s">
        <v>1601</v>
      </c>
      <c r="C2234" s="3" t="s">
        <v>54</v>
      </c>
    </row>
    <row r="2235" spans="1:3" x14ac:dyDescent="0.2">
      <c r="A2235" s="3" t="s">
        <v>1631</v>
      </c>
      <c r="B2235" s="3" t="s">
        <v>1602</v>
      </c>
      <c r="C2235" s="3" t="s">
        <v>54</v>
      </c>
    </row>
    <row r="2236" spans="1:3" x14ac:dyDescent="0.2">
      <c r="A2236" s="3" t="s">
        <v>1631</v>
      </c>
      <c r="B2236" s="3" t="s">
        <v>1632</v>
      </c>
      <c r="C2236" s="3" t="s">
        <v>54</v>
      </c>
    </row>
    <row r="2237" spans="1:3" x14ac:dyDescent="0.2">
      <c r="A2237" s="3" t="s">
        <v>1631</v>
      </c>
      <c r="B2237" s="3" t="s">
        <v>1633</v>
      </c>
      <c r="C2237" s="3" t="s">
        <v>54</v>
      </c>
    </row>
    <row r="2238" spans="1:3" x14ac:dyDescent="0.2">
      <c r="A2238" s="3" t="s">
        <v>1631</v>
      </c>
      <c r="B2238" s="3" t="s">
        <v>1634</v>
      </c>
      <c r="C2238" s="3" t="s">
        <v>54</v>
      </c>
    </row>
    <row r="2239" spans="1:3" x14ac:dyDescent="0.2">
      <c r="A2239" s="3" t="s">
        <v>1631</v>
      </c>
      <c r="B2239" s="3" t="s">
        <v>1635</v>
      </c>
      <c r="C2239" s="3" t="s">
        <v>54</v>
      </c>
    </row>
    <row r="2240" spans="1:3" x14ac:dyDescent="0.2">
      <c r="A2240" s="3" t="s">
        <v>1631</v>
      </c>
      <c r="B2240" s="3" t="s">
        <v>1636</v>
      </c>
      <c r="C2240" s="3" t="s">
        <v>54</v>
      </c>
    </row>
    <row r="2241" spans="1:3" x14ac:dyDescent="0.2">
      <c r="A2241" s="3" t="s">
        <v>1631</v>
      </c>
      <c r="B2241" s="3" t="s">
        <v>1637</v>
      </c>
      <c r="C2241" s="3" t="s">
        <v>54</v>
      </c>
    </row>
    <row r="2242" spans="1:3" x14ac:dyDescent="0.2">
      <c r="A2242" s="3" t="s">
        <v>1631</v>
      </c>
      <c r="B2242" s="3" t="s">
        <v>1601</v>
      </c>
      <c r="C2242" s="3" t="s">
        <v>55</v>
      </c>
    </row>
    <row r="2243" spans="1:3" x14ac:dyDescent="0.2">
      <c r="A2243" s="3" t="s">
        <v>1631</v>
      </c>
      <c r="B2243" s="3" t="s">
        <v>1602</v>
      </c>
      <c r="C2243" s="3" t="s">
        <v>55</v>
      </c>
    </row>
    <row r="2244" spans="1:3" x14ac:dyDescent="0.2">
      <c r="A2244" s="3" t="s">
        <v>1631</v>
      </c>
      <c r="B2244" s="3" t="s">
        <v>1632</v>
      </c>
      <c r="C2244" s="3" t="s">
        <v>55</v>
      </c>
    </row>
    <row r="2245" spans="1:3" x14ac:dyDescent="0.2">
      <c r="A2245" s="3" t="s">
        <v>1631</v>
      </c>
      <c r="B2245" s="3" t="s">
        <v>1633</v>
      </c>
      <c r="C2245" s="3" t="s">
        <v>55</v>
      </c>
    </row>
    <row r="2246" spans="1:3" x14ac:dyDescent="0.2">
      <c r="A2246" s="3" t="s">
        <v>1631</v>
      </c>
      <c r="B2246" s="3" t="s">
        <v>1634</v>
      </c>
      <c r="C2246" s="3" t="s">
        <v>55</v>
      </c>
    </row>
    <row r="2247" spans="1:3" x14ac:dyDescent="0.2">
      <c r="A2247" s="3" t="s">
        <v>1631</v>
      </c>
      <c r="B2247" s="3" t="s">
        <v>1635</v>
      </c>
      <c r="C2247" s="3" t="s">
        <v>55</v>
      </c>
    </row>
    <row r="2248" spans="1:3" x14ac:dyDescent="0.2">
      <c r="A2248" s="3" t="s">
        <v>1631</v>
      </c>
      <c r="B2248" s="3" t="s">
        <v>1636</v>
      </c>
      <c r="C2248" s="3" t="s">
        <v>55</v>
      </c>
    </row>
    <row r="2249" spans="1:3" x14ac:dyDescent="0.2">
      <c r="A2249" s="3" t="s">
        <v>1631</v>
      </c>
      <c r="B2249" s="3" t="s">
        <v>1637</v>
      </c>
      <c r="C2249" s="3" t="s">
        <v>55</v>
      </c>
    </row>
    <row r="2250" spans="1:3" x14ac:dyDescent="0.2">
      <c r="A2250" s="3" t="s">
        <v>1631</v>
      </c>
      <c r="B2250" s="3" t="s">
        <v>1601</v>
      </c>
      <c r="C2250" s="3" t="s">
        <v>56</v>
      </c>
    </row>
    <row r="2251" spans="1:3" x14ac:dyDescent="0.2">
      <c r="A2251" s="3" t="s">
        <v>1631</v>
      </c>
      <c r="B2251" s="3" t="s">
        <v>1602</v>
      </c>
      <c r="C2251" s="3" t="s">
        <v>56</v>
      </c>
    </row>
    <row r="2252" spans="1:3" x14ac:dyDescent="0.2">
      <c r="A2252" s="3" t="s">
        <v>1631</v>
      </c>
      <c r="B2252" s="3" t="s">
        <v>1632</v>
      </c>
      <c r="C2252" s="3" t="s">
        <v>56</v>
      </c>
    </row>
    <row r="2253" spans="1:3" x14ac:dyDescent="0.2">
      <c r="A2253" s="3" t="s">
        <v>1631</v>
      </c>
      <c r="B2253" s="3" t="s">
        <v>1633</v>
      </c>
      <c r="C2253" s="3" t="s">
        <v>56</v>
      </c>
    </row>
    <row r="2254" spans="1:3" x14ac:dyDescent="0.2">
      <c r="A2254" s="3" t="s">
        <v>1631</v>
      </c>
      <c r="B2254" s="3" t="s">
        <v>1634</v>
      </c>
      <c r="C2254" s="3" t="s">
        <v>56</v>
      </c>
    </row>
    <row r="2255" spans="1:3" x14ac:dyDescent="0.2">
      <c r="A2255" s="3" t="s">
        <v>1631</v>
      </c>
      <c r="B2255" s="3" t="s">
        <v>1635</v>
      </c>
      <c r="C2255" s="3" t="s">
        <v>56</v>
      </c>
    </row>
    <row r="2256" spans="1:3" x14ac:dyDescent="0.2">
      <c r="A2256" s="3" t="s">
        <v>1631</v>
      </c>
      <c r="B2256" s="3" t="s">
        <v>1636</v>
      </c>
      <c r="C2256" s="3" t="s">
        <v>56</v>
      </c>
    </row>
    <row r="2257" spans="1:3" x14ac:dyDescent="0.2">
      <c r="A2257" s="3" t="s">
        <v>1631</v>
      </c>
      <c r="B2257" s="3" t="s">
        <v>1637</v>
      </c>
      <c r="C2257" s="3" t="s">
        <v>56</v>
      </c>
    </row>
    <row r="2258" spans="1:3" x14ac:dyDescent="0.2">
      <c r="A2258" s="3" t="s">
        <v>1631</v>
      </c>
      <c r="B2258" s="3" t="s">
        <v>1601</v>
      </c>
      <c r="C2258" s="3" t="s">
        <v>57</v>
      </c>
    </row>
    <row r="2259" spans="1:3" x14ac:dyDescent="0.2">
      <c r="A2259" s="3" t="s">
        <v>1631</v>
      </c>
      <c r="B2259" s="3" t="s">
        <v>1602</v>
      </c>
      <c r="C2259" s="3" t="s">
        <v>57</v>
      </c>
    </row>
    <row r="2260" spans="1:3" x14ac:dyDescent="0.2">
      <c r="A2260" s="3" t="s">
        <v>1631</v>
      </c>
      <c r="B2260" s="3" t="s">
        <v>1632</v>
      </c>
      <c r="C2260" s="3" t="s">
        <v>57</v>
      </c>
    </row>
    <row r="2261" spans="1:3" x14ac:dyDescent="0.2">
      <c r="A2261" s="3" t="s">
        <v>1631</v>
      </c>
      <c r="B2261" s="3" t="s">
        <v>1633</v>
      </c>
      <c r="C2261" s="3" t="s">
        <v>57</v>
      </c>
    </row>
    <row r="2262" spans="1:3" x14ac:dyDescent="0.2">
      <c r="A2262" s="3" t="s">
        <v>1631</v>
      </c>
      <c r="B2262" s="3" t="s">
        <v>1634</v>
      </c>
      <c r="C2262" s="3" t="s">
        <v>57</v>
      </c>
    </row>
    <row r="2263" spans="1:3" x14ac:dyDescent="0.2">
      <c r="A2263" s="3" t="s">
        <v>1631</v>
      </c>
      <c r="B2263" s="3" t="s">
        <v>1635</v>
      </c>
      <c r="C2263" s="3" t="s">
        <v>57</v>
      </c>
    </row>
    <row r="2264" spans="1:3" x14ac:dyDescent="0.2">
      <c r="A2264" s="3" t="s">
        <v>1631</v>
      </c>
      <c r="B2264" s="3" t="s">
        <v>1636</v>
      </c>
      <c r="C2264" s="3" t="s">
        <v>57</v>
      </c>
    </row>
    <row r="2265" spans="1:3" x14ac:dyDescent="0.2">
      <c r="A2265" s="3" t="s">
        <v>1631</v>
      </c>
      <c r="B2265" s="3" t="s">
        <v>1637</v>
      </c>
      <c r="C2265" s="3" t="s">
        <v>57</v>
      </c>
    </row>
    <row r="2266" spans="1:3" x14ac:dyDescent="0.2">
      <c r="A2266" s="3" t="s">
        <v>1631</v>
      </c>
      <c r="B2266" s="3" t="s">
        <v>960</v>
      </c>
      <c r="C2266" s="3" t="s">
        <v>169</v>
      </c>
    </row>
    <row r="2267" spans="1:3" x14ac:dyDescent="0.2">
      <c r="A2267" s="3" t="s">
        <v>1667</v>
      </c>
      <c r="B2267" s="3" t="s">
        <v>766</v>
      </c>
      <c r="C2267" s="3" t="s">
        <v>53</v>
      </c>
    </row>
    <row r="2268" spans="1:3" x14ac:dyDescent="0.2">
      <c r="A2268" s="3" t="s">
        <v>1667</v>
      </c>
      <c r="B2268" s="3" t="s">
        <v>766</v>
      </c>
      <c r="C2268" s="3" t="s">
        <v>54</v>
      </c>
    </row>
    <row r="2269" spans="1:3" x14ac:dyDescent="0.2">
      <c r="A2269" s="3" t="s">
        <v>1667</v>
      </c>
      <c r="B2269" s="3" t="s">
        <v>766</v>
      </c>
      <c r="C2269" s="3" t="s">
        <v>55</v>
      </c>
    </row>
    <row r="2270" spans="1:3" x14ac:dyDescent="0.2">
      <c r="A2270" s="3" t="s">
        <v>1667</v>
      </c>
      <c r="B2270" s="3" t="s">
        <v>766</v>
      </c>
      <c r="C2270" s="3" t="s">
        <v>56</v>
      </c>
    </row>
    <row r="2271" spans="1:3" x14ac:dyDescent="0.2">
      <c r="A2271" s="3" t="s">
        <v>1667</v>
      </c>
      <c r="B2271" s="3" t="s">
        <v>766</v>
      </c>
      <c r="C2271" s="3" t="s">
        <v>57</v>
      </c>
    </row>
    <row r="2272" spans="1:3" x14ac:dyDescent="0.2">
      <c r="A2272" s="3" t="s">
        <v>1708</v>
      </c>
      <c r="B2272" s="3" t="s">
        <v>199</v>
      </c>
      <c r="C2272" s="3" t="s">
        <v>53</v>
      </c>
    </row>
    <row r="2273" spans="1:3" x14ac:dyDescent="0.2">
      <c r="A2273" s="3" t="s">
        <v>1708</v>
      </c>
      <c r="B2273" s="3" t="s">
        <v>221</v>
      </c>
      <c r="C2273" s="3" t="s">
        <v>54</v>
      </c>
    </row>
    <row r="2274" spans="1:3" x14ac:dyDescent="0.2">
      <c r="A2274" s="3" t="s">
        <v>1708</v>
      </c>
      <c r="B2274" s="3" t="s">
        <v>199</v>
      </c>
      <c r="C2274" s="3" t="s">
        <v>54</v>
      </c>
    </row>
    <row r="2275" spans="1:3" x14ac:dyDescent="0.2">
      <c r="A2275" s="3" t="s">
        <v>1708</v>
      </c>
      <c r="B2275" s="3" t="s">
        <v>221</v>
      </c>
      <c r="C2275" s="3" t="s">
        <v>55</v>
      </c>
    </row>
    <row r="2276" spans="1:3" x14ac:dyDescent="0.2">
      <c r="A2276" s="3" t="s">
        <v>1708</v>
      </c>
      <c r="B2276" s="3" t="s">
        <v>221</v>
      </c>
      <c r="C2276" s="3" t="s">
        <v>56</v>
      </c>
    </row>
    <row r="2277" spans="1:3" x14ac:dyDescent="0.2">
      <c r="A2277" s="3" t="s">
        <v>1708</v>
      </c>
      <c r="B2277" s="3" t="s">
        <v>199</v>
      </c>
      <c r="C2277" s="3" t="s">
        <v>56</v>
      </c>
    </row>
    <row r="2278" spans="1:3" x14ac:dyDescent="0.2">
      <c r="A2278" s="3" t="s">
        <v>1708</v>
      </c>
      <c r="B2278" s="3" t="s">
        <v>221</v>
      </c>
      <c r="C2278" s="3" t="s">
        <v>57</v>
      </c>
    </row>
    <row r="2279" spans="1:3" x14ac:dyDescent="0.2">
      <c r="A2279" s="3" t="s">
        <v>1708</v>
      </c>
      <c r="B2279" s="3" t="s">
        <v>199</v>
      </c>
      <c r="C2279" s="3" t="s">
        <v>57</v>
      </c>
    </row>
    <row r="2280" spans="1:3" x14ac:dyDescent="0.2">
      <c r="A2280" s="3" t="s">
        <v>1708</v>
      </c>
      <c r="B2280" s="3" t="s">
        <v>1709</v>
      </c>
      <c r="C2280" s="3" t="s">
        <v>169</v>
      </c>
    </row>
    <row r="2281" spans="1:3" x14ac:dyDescent="0.2">
      <c r="A2281" s="3" t="s">
        <v>1708</v>
      </c>
      <c r="B2281" s="3" t="s">
        <v>1710</v>
      </c>
      <c r="C2281" s="3" t="s">
        <v>169</v>
      </c>
    </row>
    <row r="2282" spans="1:3" x14ac:dyDescent="0.2">
      <c r="A2282" s="3" t="s">
        <v>1732</v>
      </c>
      <c r="B2282" s="3" t="s">
        <v>1669</v>
      </c>
      <c r="C2282" s="3" t="s">
        <v>53</v>
      </c>
    </row>
    <row r="2283" spans="1:3" x14ac:dyDescent="0.2">
      <c r="A2283" s="3" t="s">
        <v>1732</v>
      </c>
      <c r="B2283" s="3" t="s">
        <v>1670</v>
      </c>
      <c r="C2283" s="3" t="s">
        <v>53</v>
      </c>
    </row>
    <row r="2284" spans="1:3" x14ac:dyDescent="0.2">
      <c r="A2284" s="3" t="s">
        <v>1732</v>
      </c>
      <c r="B2284" s="3" t="s">
        <v>1671</v>
      </c>
      <c r="C2284" s="3" t="s">
        <v>53</v>
      </c>
    </row>
    <row r="2285" spans="1:3" x14ac:dyDescent="0.2">
      <c r="A2285" s="3" t="s">
        <v>1732</v>
      </c>
      <c r="B2285" s="3" t="s">
        <v>1706</v>
      </c>
      <c r="C2285" s="3" t="s">
        <v>53</v>
      </c>
    </row>
    <row r="2286" spans="1:3" x14ac:dyDescent="0.2">
      <c r="A2286" s="3" t="s">
        <v>1732</v>
      </c>
      <c r="B2286" s="3" t="s">
        <v>1669</v>
      </c>
      <c r="C2286" s="3" t="s">
        <v>54</v>
      </c>
    </row>
    <row r="2287" spans="1:3" x14ac:dyDescent="0.2">
      <c r="A2287" s="3" t="s">
        <v>1732</v>
      </c>
      <c r="B2287" s="3" t="s">
        <v>1670</v>
      </c>
      <c r="C2287" s="3" t="s">
        <v>54</v>
      </c>
    </row>
    <row r="2288" spans="1:3" x14ac:dyDescent="0.2">
      <c r="A2288" s="3" t="s">
        <v>1732</v>
      </c>
      <c r="B2288" s="3" t="s">
        <v>1671</v>
      </c>
      <c r="C2288" s="3" t="s">
        <v>54</v>
      </c>
    </row>
    <row r="2289" spans="1:3" x14ac:dyDescent="0.2">
      <c r="A2289" s="3" t="s">
        <v>1732</v>
      </c>
      <c r="B2289" s="3" t="s">
        <v>1706</v>
      </c>
      <c r="C2289" s="3" t="s">
        <v>54</v>
      </c>
    </row>
    <row r="2290" spans="1:3" x14ac:dyDescent="0.2">
      <c r="A2290" s="3" t="s">
        <v>1732</v>
      </c>
      <c r="B2290" s="3" t="s">
        <v>1669</v>
      </c>
      <c r="C2290" s="3" t="s">
        <v>55</v>
      </c>
    </row>
    <row r="2291" spans="1:3" x14ac:dyDescent="0.2">
      <c r="A2291" s="3" t="s">
        <v>1732</v>
      </c>
      <c r="B2291" s="3" t="s">
        <v>1670</v>
      </c>
      <c r="C2291" s="3" t="s">
        <v>55</v>
      </c>
    </row>
    <row r="2292" spans="1:3" x14ac:dyDescent="0.2">
      <c r="A2292" s="3" t="s">
        <v>1732</v>
      </c>
      <c r="B2292" s="3" t="s">
        <v>1669</v>
      </c>
      <c r="C2292" s="3" t="s">
        <v>56</v>
      </c>
    </row>
    <row r="2293" spans="1:3" x14ac:dyDescent="0.2">
      <c r="A2293" s="3" t="s">
        <v>1732</v>
      </c>
      <c r="B2293" s="3" t="s">
        <v>1670</v>
      </c>
      <c r="C2293" s="3" t="s">
        <v>56</v>
      </c>
    </row>
    <row r="2294" spans="1:3" x14ac:dyDescent="0.2">
      <c r="A2294" s="3" t="s">
        <v>1732</v>
      </c>
      <c r="B2294" s="3" t="s">
        <v>1669</v>
      </c>
      <c r="C2294" s="3" t="s">
        <v>57</v>
      </c>
    </row>
    <row r="2295" spans="1:3" x14ac:dyDescent="0.2">
      <c r="A2295" s="3" t="s">
        <v>1732</v>
      </c>
      <c r="B2295" s="3" t="s">
        <v>1670</v>
      </c>
      <c r="C2295" s="3" t="s">
        <v>57</v>
      </c>
    </row>
    <row r="2296" spans="1:3" x14ac:dyDescent="0.2">
      <c r="A2296" s="3" t="s">
        <v>1732</v>
      </c>
      <c r="B2296" s="3" t="s">
        <v>1733</v>
      </c>
      <c r="C2296" s="3" t="s">
        <v>169</v>
      </c>
    </row>
    <row r="2297" spans="1:3" x14ac:dyDescent="0.2">
      <c r="A2297" s="3" t="s">
        <v>1732</v>
      </c>
      <c r="B2297" s="3" t="s">
        <v>1734</v>
      </c>
      <c r="C2297" s="3" t="s">
        <v>169</v>
      </c>
    </row>
    <row r="2298" spans="1:3" x14ac:dyDescent="0.2">
      <c r="A2298" s="3" t="s">
        <v>1735</v>
      </c>
      <c r="B2298" s="3" t="s">
        <v>1736</v>
      </c>
      <c r="C2298" s="3" t="s">
        <v>53</v>
      </c>
    </row>
    <row r="2299" spans="1:3" x14ac:dyDescent="0.2">
      <c r="A2299" s="3" t="s">
        <v>1735</v>
      </c>
      <c r="B2299" s="3" t="s">
        <v>1736</v>
      </c>
      <c r="C2299" s="3" t="s">
        <v>54</v>
      </c>
    </row>
    <row r="2300" spans="1:3" x14ac:dyDescent="0.2">
      <c r="A2300" s="3" t="s">
        <v>1735</v>
      </c>
      <c r="B2300" s="3" t="s">
        <v>1736</v>
      </c>
      <c r="C2300" s="3" t="s">
        <v>55</v>
      </c>
    </row>
    <row r="2301" spans="1:3" x14ac:dyDescent="0.2">
      <c r="A2301" s="3" t="s">
        <v>1735</v>
      </c>
      <c r="B2301" s="3" t="s">
        <v>1736</v>
      </c>
      <c r="C2301" s="3" t="s">
        <v>56</v>
      </c>
    </row>
    <row r="2302" spans="1:3" x14ac:dyDescent="0.2">
      <c r="A2302" s="3" t="s">
        <v>1735</v>
      </c>
      <c r="B2302" s="3" t="s">
        <v>1736</v>
      </c>
      <c r="C2302" s="3" t="s">
        <v>57</v>
      </c>
    </row>
    <row r="2303" spans="1:3" x14ac:dyDescent="0.2">
      <c r="A2303" s="3" t="s">
        <v>1735</v>
      </c>
      <c r="B2303" s="3" t="s">
        <v>1737</v>
      </c>
      <c r="C2303" s="3" t="s">
        <v>169</v>
      </c>
    </row>
    <row r="2304" spans="1:3" x14ac:dyDescent="0.2">
      <c r="A2304" s="3" t="s">
        <v>1735</v>
      </c>
      <c r="B2304" s="3" t="s">
        <v>1738</v>
      </c>
      <c r="C2304" s="3" t="s">
        <v>169</v>
      </c>
    </row>
    <row r="2305" spans="1:3" x14ac:dyDescent="0.2">
      <c r="A2305" s="3" t="s">
        <v>1735</v>
      </c>
      <c r="B2305" s="3" t="s">
        <v>1739</v>
      </c>
      <c r="C2305" s="3" t="s">
        <v>169</v>
      </c>
    </row>
    <row r="2306" spans="1:3" x14ac:dyDescent="0.2">
      <c r="A2306" s="3" t="s">
        <v>1735</v>
      </c>
      <c r="B2306" s="3" t="s">
        <v>1727</v>
      </c>
      <c r="C2306" s="3" t="s">
        <v>22</v>
      </c>
    </row>
    <row r="2307" spans="1:3" x14ac:dyDescent="0.2">
      <c r="A2307" s="3" t="s">
        <v>2284</v>
      </c>
      <c r="B2307" s="3" t="s">
        <v>1445</v>
      </c>
      <c r="C2307" s="3" t="s">
        <v>53</v>
      </c>
    </row>
    <row r="2308" spans="1:3" x14ac:dyDescent="0.2">
      <c r="A2308" s="3" t="s">
        <v>2284</v>
      </c>
      <c r="B2308" s="3" t="s">
        <v>1445</v>
      </c>
      <c r="C2308" s="3" t="s">
        <v>54</v>
      </c>
    </row>
    <row r="2309" spans="1:3" x14ac:dyDescent="0.2">
      <c r="A2309" s="3" t="s">
        <v>1909</v>
      </c>
      <c r="B2309" s="3" t="s">
        <v>1910</v>
      </c>
      <c r="C2309" s="3" t="s">
        <v>53</v>
      </c>
    </row>
    <row r="2310" spans="1:3" x14ac:dyDescent="0.2">
      <c r="A2310" s="3" t="s">
        <v>1909</v>
      </c>
      <c r="B2310" s="3" t="s">
        <v>1464</v>
      </c>
      <c r="C2310" s="3" t="s">
        <v>53</v>
      </c>
    </row>
    <row r="2311" spans="1:3" x14ac:dyDescent="0.2">
      <c r="A2311" s="3" t="s">
        <v>1909</v>
      </c>
      <c r="B2311" s="3" t="s">
        <v>1465</v>
      </c>
      <c r="C2311" s="3" t="s">
        <v>53</v>
      </c>
    </row>
    <row r="2312" spans="1:3" x14ac:dyDescent="0.2">
      <c r="A2312" s="3" t="s">
        <v>1909</v>
      </c>
      <c r="B2312" s="3" t="s">
        <v>1911</v>
      </c>
      <c r="C2312" s="3" t="s">
        <v>53</v>
      </c>
    </row>
    <row r="2313" spans="1:3" x14ac:dyDescent="0.2">
      <c r="A2313" s="3" t="s">
        <v>1909</v>
      </c>
      <c r="B2313" s="3" t="s">
        <v>1912</v>
      </c>
      <c r="C2313" s="3" t="s">
        <v>53</v>
      </c>
    </row>
    <row r="2314" spans="1:3" x14ac:dyDescent="0.2">
      <c r="A2314" s="3" t="s">
        <v>1909</v>
      </c>
      <c r="B2314" s="3" t="s">
        <v>1913</v>
      </c>
      <c r="C2314" s="3" t="s">
        <v>53</v>
      </c>
    </row>
    <row r="2315" spans="1:3" x14ac:dyDescent="0.2">
      <c r="A2315" s="3" t="s">
        <v>1909</v>
      </c>
      <c r="B2315" s="3" t="s">
        <v>1914</v>
      </c>
      <c r="C2315" s="3" t="s">
        <v>53</v>
      </c>
    </row>
    <row r="2316" spans="1:3" x14ac:dyDescent="0.2">
      <c r="A2316" s="3" t="s">
        <v>1909</v>
      </c>
      <c r="B2316" s="3" t="s">
        <v>1910</v>
      </c>
      <c r="C2316" s="3" t="s">
        <v>54</v>
      </c>
    </row>
    <row r="2317" spans="1:3" x14ac:dyDescent="0.2">
      <c r="A2317" s="3" t="s">
        <v>1909</v>
      </c>
      <c r="B2317" s="3" t="s">
        <v>1464</v>
      </c>
      <c r="C2317" s="3" t="s">
        <v>54</v>
      </c>
    </row>
    <row r="2318" spans="1:3" x14ac:dyDescent="0.2">
      <c r="A2318" s="3" t="s">
        <v>1909</v>
      </c>
      <c r="B2318" s="3" t="s">
        <v>1465</v>
      </c>
      <c r="C2318" s="3" t="s">
        <v>54</v>
      </c>
    </row>
    <row r="2319" spans="1:3" x14ac:dyDescent="0.2">
      <c r="A2319" s="3" t="s">
        <v>1909</v>
      </c>
      <c r="B2319" s="3" t="s">
        <v>1911</v>
      </c>
      <c r="C2319" s="3" t="s">
        <v>54</v>
      </c>
    </row>
    <row r="2320" spans="1:3" x14ac:dyDescent="0.2">
      <c r="A2320" s="3" t="s">
        <v>1909</v>
      </c>
      <c r="B2320" s="3" t="s">
        <v>1912</v>
      </c>
      <c r="C2320" s="3" t="s">
        <v>54</v>
      </c>
    </row>
    <row r="2321" spans="1:3" x14ac:dyDescent="0.2">
      <c r="A2321" s="3" t="s">
        <v>1909</v>
      </c>
      <c r="B2321" s="3" t="s">
        <v>1913</v>
      </c>
      <c r="C2321" s="3" t="s">
        <v>54</v>
      </c>
    </row>
    <row r="2322" spans="1:3" x14ac:dyDescent="0.2">
      <c r="A2322" s="3" t="s">
        <v>1909</v>
      </c>
      <c r="B2322" s="3" t="s">
        <v>1914</v>
      </c>
      <c r="C2322" s="3" t="s">
        <v>54</v>
      </c>
    </row>
    <row r="2323" spans="1:3" x14ac:dyDescent="0.2">
      <c r="A2323" s="3" t="s">
        <v>1909</v>
      </c>
      <c r="B2323" s="3" t="s">
        <v>1910</v>
      </c>
      <c r="C2323" s="3" t="s">
        <v>55</v>
      </c>
    </row>
    <row r="2324" spans="1:3" x14ac:dyDescent="0.2">
      <c r="A2324" s="3" t="s">
        <v>1909</v>
      </c>
      <c r="B2324" s="3" t="s">
        <v>1464</v>
      </c>
      <c r="C2324" s="3" t="s">
        <v>55</v>
      </c>
    </row>
    <row r="2325" spans="1:3" x14ac:dyDescent="0.2">
      <c r="A2325" s="3" t="s">
        <v>1909</v>
      </c>
      <c r="B2325" s="3" t="s">
        <v>1465</v>
      </c>
      <c r="C2325" s="3" t="s">
        <v>55</v>
      </c>
    </row>
    <row r="2326" spans="1:3" x14ac:dyDescent="0.2">
      <c r="A2326" s="3" t="s">
        <v>1909</v>
      </c>
      <c r="B2326" s="3" t="s">
        <v>1911</v>
      </c>
      <c r="C2326" s="3" t="s">
        <v>55</v>
      </c>
    </row>
    <row r="2327" spans="1:3" x14ac:dyDescent="0.2">
      <c r="A2327" s="3" t="s">
        <v>1909</v>
      </c>
      <c r="B2327" s="3" t="s">
        <v>1912</v>
      </c>
      <c r="C2327" s="3" t="s">
        <v>55</v>
      </c>
    </row>
    <row r="2328" spans="1:3" x14ac:dyDescent="0.2">
      <c r="A2328" s="3" t="s">
        <v>1909</v>
      </c>
      <c r="B2328" s="3" t="s">
        <v>1913</v>
      </c>
      <c r="C2328" s="3" t="s">
        <v>55</v>
      </c>
    </row>
    <row r="2329" spans="1:3" x14ac:dyDescent="0.2">
      <c r="A2329" s="3" t="s">
        <v>1909</v>
      </c>
      <c r="B2329" s="3" t="s">
        <v>1914</v>
      </c>
      <c r="C2329" s="3" t="s">
        <v>55</v>
      </c>
    </row>
    <row r="2330" spans="1:3" x14ac:dyDescent="0.2">
      <c r="A2330" s="3" t="s">
        <v>1909</v>
      </c>
      <c r="B2330" s="3" t="s">
        <v>1910</v>
      </c>
      <c r="C2330" s="3" t="s">
        <v>56</v>
      </c>
    </row>
    <row r="2331" spans="1:3" x14ac:dyDescent="0.2">
      <c r="A2331" s="3" t="s">
        <v>1909</v>
      </c>
      <c r="B2331" s="3" t="s">
        <v>1464</v>
      </c>
      <c r="C2331" s="3" t="s">
        <v>56</v>
      </c>
    </row>
    <row r="2332" spans="1:3" x14ac:dyDescent="0.2">
      <c r="A2332" s="3" t="s">
        <v>1909</v>
      </c>
      <c r="B2332" s="3" t="s">
        <v>1465</v>
      </c>
      <c r="C2332" s="3" t="s">
        <v>56</v>
      </c>
    </row>
    <row r="2333" spans="1:3" x14ac:dyDescent="0.2">
      <c r="A2333" s="3" t="s">
        <v>1909</v>
      </c>
      <c r="B2333" s="3" t="s">
        <v>1911</v>
      </c>
      <c r="C2333" s="3" t="s">
        <v>56</v>
      </c>
    </row>
    <row r="2334" spans="1:3" x14ac:dyDescent="0.2">
      <c r="A2334" s="3" t="s">
        <v>1909</v>
      </c>
      <c r="B2334" s="3" t="s">
        <v>1912</v>
      </c>
      <c r="C2334" s="3" t="s">
        <v>56</v>
      </c>
    </row>
    <row r="2335" spans="1:3" x14ac:dyDescent="0.2">
      <c r="A2335" s="3" t="s">
        <v>1909</v>
      </c>
      <c r="B2335" s="3" t="s">
        <v>1913</v>
      </c>
      <c r="C2335" s="3" t="s">
        <v>56</v>
      </c>
    </row>
    <row r="2336" spans="1:3" x14ac:dyDescent="0.2">
      <c r="A2336" s="3" t="s">
        <v>1909</v>
      </c>
      <c r="B2336" s="3" t="s">
        <v>1914</v>
      </c>
      <c r="C2336" s="3" t="s">
        <v>56</v>
      </c>
    </row>
    <row r="2337" spans="1:3" x14ac:dyDescent="0.2">
      <c r="A2337" s="3" t="s">
        <v>1909</v>
      </c>
      <c r="B2337" s="3" t="s">
        <v>1910</v>
      </c>
      <c r="C2337" s="3" t="s">
        <v>57</v>
      </c>
    </row>
    <row r="2338" spans="1:3" x14ac:dyDescent="0.2">
      <c r="A2338" s="3" t="s">
        <v>1909</v>
      </c>
      <c r="B2338" s="3" t="s">
        <v>1464</v>
      </c>
      <c r="C2338" s="3" t="s">
        <v>57</v>
      </c>
    </row>
    <row r="2339" spans="1:3" x14ac:dyDescent="0.2">
      <c r="A2339" s="3" t="s">
        <v>1909</v>
      </c>
      <c r="B2339" s="3" t="s">
        <v>1465</v>
      </c>
      <c r="C2339" s="3" t="s">
        <v>57</v>
      </c>
    </row>
    <row r="2340" spans="1:3" x14ac:dyDescent="0.2">
      <c r="A2340" s="3" t="s">
        <v>1909</v>
      </c>
      <c r="B2340" s="3" t="s">
        <v>1911</v>
      </c>
      <c r="C2340" s="3" t="s">
        <v>57</v>
      </c>
    </row>
    <row r="2341" spans="1:3" x14ac:dyDescent="0.2">
      <c r="A2341" s="3" t="s">
        <v>1909</v>
      </c>
      <c r="B2341" s="3" t="s">
        <v>1912</v>
      </c>
      <c r="C2341" s="3" t="s">
        <v>57</v>
      </c>
    </row>
    <row r="2342" spans="1:3" x14ac:dyDescent="0.2">
      <c r="A2342" s="3" t="s">
        <v>1909</v>
      </c>
      <c r="B2342" s="3" t="s">
        <v>1913</v>
      </c>
      <c r="C2342" s="3" t="s">
        <v>57</v>
      </c>
    </row>
    <row r="2343" spans="1:3" x14ac:dyDescent="0.2">
      <c r="A2343" s="3" t="s">
        <v>1909</v>
      </c>
      <c r="B2343" s="3" t="s">
        <v>1914</v>
      </c>
      <c r="C2343" s="3" t="s">
        <v>57</v>
      </c>
    </row>
    <row r="2344" spans="1:3" x14ac:dyDescent="0.2">
      <c r="A2344" s="3" t="s">
        <v>1909</v>
      </c>
      <c r="B2344" s="3" t="s">
        <v>1915</v>
      </c>
      <c r="C2344" s="3" t="s">
        <v>169</v>
      </c>
    </row>
    <row r="2345" spans="1:3" x14ac:dyDescent="0.2">
      <c r="A2345" s="3" t="s">
        <v>1909</v>
      </c>
      <c r="B2345" s="3" t="s">
        <v>1916</v>
      </c>
      <c r="C2345" s="3" t="s">
        <v>169</v>
      </c>
    </row>
    <row r="2346" spans="1:3" x14ac:dyDescent="0.2">
      <c r="A2346" s="3" t="s">
        <v>1909</v>
      </c>
      <c r="B2346" s="3" t="s">
        <v>1917</v>
      </c>
      <c r="C2346" s="3" t="s">
        <v>169</v>
      </c>
    </row>
    <row r="2347" spans="1:3" x14ac:dyDescent="0.2">
      <c r="A2347" s="3" t="s">
        <v>1909</v>
      </c>
      <c r="B2347" s="3" t="s">
        <v>1918</v>
      </c>
      <c r="C2347" s="3" t="s">
        <v>169</v>
      </c>
    </row>
    <row r="2348" spans="1:3" x14ac:dyDescent="0.2">
      <c r="A2348" s="3" t="s">
        <v>1909</v>
      </c>
      <c r="B2348" s="3" t="s">
        <v>1919</v>
      </c>
      <c r="C2348" s="3" t="s">
        <v>169</v>
      </c>
    </row>
    <row r="2349" spans="1:3" x14ac:dyDescent="0.2">
      <c r="A2349" s="3" t="s">
        <v>1909</v>
      </c>
      <c r="B2349" s="3" t="s">
        <v>1920</v>
      </c>
      <c r="C2349" s="3" t="s">
        <v>169</v>
      </c>
    </row>
    <row r="2350" spans="1:3" x14ac:dyDescent="0.2">
      <c r="A2350" s="3" t="s">
        <v>1909</v>
      </c>
      <c r="B2350" s="3" t="s">
        <v>1921</v>
      </c>
      <c r="C2350" s="3" t="s">
        <v>169</v>
      </c>
    </row>
    <row r="2351" spans="1:3" x14ac:dyDescent="0.2">
      <c r="A2351" s="3" t="s">
        <v>1943</v>
      </c>
      <c r="B2351" s="3" t="s">
        <v>1923</v>
      </c>
      <c r="C2351" s="3" t="s">
        <v>53</v>
      </c>
    </row>
    <row r="2352" spans="1:3" x14ac:dyDescent="0.2">
      <c r="A2352" s="3" t="s">
        <v>1943</v>
      </c>
      <c r="B2352" s="3" t="s">
        <v>1924</v>
      </c>
      <c r="C2352" s="3" t="s">
        <v>53</v>
      </c>
    </row>
    <row r="2353" spans="1:3" x14ac:dyDescent="0.2">
      <c r="A2353" s="3" t="s">
        <v>1943</v>
      </c>
      <c r="B2353" s="3" t="s">
        <v>1925</v>
      </c>
      <c r="C2353" s="3" t="s">
        <v>53</v>
      </c>
    </row>
    <row r="2354" spans="1:3" x14ac:dyDescent="0.2">
      <c r="A2354" s="3" t="s">
        <v>1943</v>
      </c>
      <c r="B2354" s="3" t="s">
        <v>1926</v>
      </c>
      <c r="C2354" s="3" t="s">
        <v>53</v>
      </c>
    </row>
    <row r="2355" spans="1:3" x14ac:dyDescent="0.2">
      <c r="A2355" s="3" t="s">
        <v>1943</v>
      </c>
      <c r="B2355" s="3" t="s">
        <v>1927</v>
      </c>
      <c r="C2355" s="3" t="s">
        <v>53</v>
      </c>
    </row>
    <row r="2356" spans="1:3" x14ac:dyDescent="0.2">
      <c r="A2356" s="3" t="s">
        <v>1943</v>
      </c>
      <c r="B2356" s="3" t="s">
        <v>1928</v>
      </c>
      <c r="C2356" s="3" t="s">
        <v>53</v>
      </c>
    </row>
    <row r="2357" spans="1:3" x14ac:dyDescent="0.2">
      <c r="A2357" s="3" t="s">
        <v>1943</v>
      </c>
      <c r="B2357" s="3" t="s">
        <v>1929</v>
      </c>
      <c r="C2357" s="3" t="s">
        <v>53</v>
      </c>
    </row>
    <row r="2358" spans="1:3" x14ac:dyDescent="0.2">
      <c r="A2358" s="3" t="s">
        <v>1943</v>
      </c>
      <c r="B2358" s="3" t="s">
        <v>1930</v>
      </c>
      <c r="C2358" s="3" t="s">
        <v>53</v>
      </c>
    </row>
    <row r="2359" spans="1:3" x14ac:dyDescent="0.2">
      <c r="A2359" s="3" t="s">
        <v>1943</v>
      </c>
      <c r="B2359" s="3" t="s">
        <v>1931</v>
      </c>
      <c r="C2359" s="3" t="s">
        <v>53</v>
      </c>
    </row>
    <row r="2360" spans="1:3" x14ac:dyDescent="0.2">
      <c r="A2360" s="3" t="s">
        <v>1943</v>
      </c>
      <c r="B2360" s="3" t="s">
        <v>1932</v>
      </c>
      <c r="C2360" s="3" t="s">
        <v>53</v>
      </c>
    </row>
    <row r="2361" spans="1:3" x14ac:dyDescent="0.2">
      <c r="A2361" s="3" t="s">
        <v>1943</v>
      </c>
      <c r="B2361" s="3" t="s">
        <v>1933</v>
      </c>
      <c r="C2361" s="3" t="s">
        <v>53</v>
      </c>
    </row>
    <row r="2362" spans="1:3" x14ac:dyDescent="0.2">
      <c r="A2362" s="3" t="s">
        <v>1943</v>
      </c>
      <c r="B2362" s="3" t="s">
        <v>1934</v>
      </c>
      <c r="C2362" s="3" t="s">
        <v>53</v>
      </c>
    </row>
    <row r="2363" spans="1:3" x14ac:dyDescent="0.2">
      <c r="A2363" s="3" t="s">
        <v>1943</v>
      </c>
      <c r="B2363" s="3" t="s">
        <v>1935</v>
      </c>
      <c r="C2363" s="3" t="s">
        <v>53</v>
      </c>
    </row>
    <row r="2364" spans="1:3" x14ac:dyDescent="0.2">
      <c r="A2364" s="3" t="s">
        <v>1943</v>
      </c>
      <c r="B2364" s="3" t="s">
        <v>1936</v>
      </c>
      <c r="C2364" s="3" t="s">
        <v>53</v>
      </c>
    </row>
    <row r="2365" spans="1:3" x14ac:dyDescent="0.2">
      <c r="A2365" s="3" t="s">
        <v>1943</v>
      </c>
      <c r="B2365" s="3" t="s">
        <v>1937</v>
      </c>
      <c r="C2365" s="3" t="s">
        <v>53</v>
      </c>
    </row>
    <row r="2366" spans="1:3" x14ac:dyDescent="0.2">
      <c r="A2366" s="3" t="s">
        <v>1943</v>
      </c>
      <c r="B2366" s="3" t="s">
        <v>1923</v>
      </c>
      <c r="C2366" s="3" t="s">
        <v>54</v>
      </c>
    </row>
    <row r="2367" spans="1:3" x14ac:dyDescent="0.2">
      <c r="A2367" s="3" t="s">
        <v>1943</v>
      </c>
      <c r="B2367" s="3" t="s">
        <v>1924</v>
      </c>
      <c r="C2367" s="3" t="s">
        <v>54</v>
      </c>
    </row>
    <row r="2368" spans="1:3" x14ac:dyDescent="0.2">
      <c r="A2368" s="3" t="s">
        <v>1943</v>
      </c>
      <c r="B2368" s="3" t="s">
        <v>1925</v>
      </c>
      <c r="C2368" s="3" t="s">
        <v>54</v>
      </c>
    </row>
    <row r="2369" spans="1:3" x14ac:dyDescent="0.2">
      <c r="A2369" s="3" t="s">
        <v>1943</v>
      </c>
      <c r="B2369" s="3" t="s">
        <v>1926</v>
      </c>
      <c r="C2369" s="3" t="s">
        <v>54</v>
      </c>
    </row>
    <row r="2370" spans="1:3" x14ac:dyDescent="0.2">
      <c r="A2370" s="3" t="s">
        <v>1943</v>
      </c>
      <c r="B2370" s="3" t="s">
        <v>1927</v>
      </c>
      <c r="C2370" s="3" t="s">
        <v>54</v>
      </c>
    </row>
    <row r="2371" spans="1:3" x14ac:dyDescent="0.2">
      <c r="A2371" s="3" t="s">
        <v>1943</v>
      </c>
      <c r="B2371" s="3" t="s">
        <v>1928</v>
      </c>
      <c r="C2371" s="3" t="s">
        <v>54</v>
      </c>
    </row>
    <row r="2372" spans="1:3" x14ac:dyDescent="0.2">
      <c r="A2372" s="3" t="s">
        <v>1943</v>
      </c>
      <c r="B2372" s="3" t="s">
        <v>1929</v>
      </c>
      <c r="C2372" s="3" t="s">
        <v>54</v>
      </c>
    </row>
    <row r="2373" spans="1:3" x14ac:dyDescent="0.2">
      <c r="A2373" s="3" t="s">
        <v>1943</v>
      </c>
      <c r="B2373" s="3" t="s">
        <v>1930</v>
      </c>
      <c r="C2373" s="3" t="s">
        <v>54</v>
      </c>
    </row>
    <row r="2374" spans="1:3" x14ac:dyDescent="0.2">
      <c r="A2374" s="3" t="s">
        <v>1943</v>
      </c>
      <c r="B2374" s="3" t="s">
        <v>1931</v>
      </c>
      <c r="C2374" s="3" t="s">
        <v>54</v>
      </c>
    </row>
    <row r="2375" spans="1:3" x14ac:dyDescent="0.2">
      <c r="A2375" s="3" t="s">
        <v>1943</v>
      </c>
      <c r="B2375" s="3" t="s">
        <v>1932</v>
      </c>
      <c r="C2375" s="3" t="s">
        <v>54</v>
      </c>
    </row>
    <row r="2376" spans="1:3" x14ac:dyDescent="0.2">
      <c r="A2376" s="3" t="s">
        <v>1943</v>
      </c>
      <c r="B2376" s="3" t="s">
        <v>1933</v>
      </c>
      <c r="C2376" s="3" t="s">
        <v>54</v>
      </c>
    </row>
    <row r="2377" spans="1:3" x14ac:dyDescent="0.2">
      <c r="A2377" s="3" t="s">
        <v>1943</v>
      </c>
      <c r="B2377" s="3" t="s">
        <v>1934</v>
      </c>
      <c r="C2377" s="3" t="s">
        <v>54</v>
      </c>
    </row>
    <row r="2378" spans="1:3" x14ac:dyDescent="0.2">
      <c r="A2378" s="3" t="s">
        <v>1943</v>
      </c>
      <c r="B2378" s="3" t="s">
        <v>1935</v>
      </c>
      <c r="C2378" s="3" t="s">
        <v>54</v>
      </c>
    </row>
    <row r="2379" spans="1:3" x14ac:dyDescent="0.2">
      <c r="A2379" s="3" t="s">
        <v>1943</v>
      </c>
      <c r="B2379" s="3" t="s">
        <v>1936</v>
      </c>
      <c r="C2379" s="3" t="s">
        <v>54</v>
      </c>
    </row>
    <row r="2380" spans="1:3" x14ac:dyDescent="0.2">
      <c r="A2380" s="3" t="s">
        <v>1943</v>
      </c>
      <c r="B2380" s="3" t="s">
        <v>1937</v>
      </c>
      <c r="C2380" s="3" t="s">
        <v>54</v>
      </c>
    </row>
    <row r="2381" spans="1:3" x14ac:dyDescent="0.2">
      <c r="A2381" s="3" t="s">
        <v>1943</v>
      </c>
      <c r="B2381" s="3" t="s">
        <v>1923</v>
      </c>
      <c r="C2381" s="3" t="s">
        <v>55</v>
      </c>
    </row>
    <row r="2382" spans="1:3" x14ac:dyDescent="0.2">
      <c r="A2382" s="3" t="s">
        <v>1943</v>
      </c>
      <c r="B2382" s="3" t="s">
        <v>1924</v>
      </c>
      <c r="C2382" s="3" t="s">
        <v>55</v>
      </c>
    </row>
    <row r="2383" spans="1:3" x14ac:dyDescent="0.2">
      <c r="A2383" s="3" t="s">
        <v>1943</v>
      </c>
      <c r="B2383" s="3" t="s">
        <v>1925</v>
      </c>
      <c r="C2383" s="3" t="s">
        <v>55</v>
      </c>
    </row>
    <row r="2384" spans="1:3" x14ac:dyDescent="0.2">
      <c r="A2384" s="3" t="s">
        <v>1943</v>
      </c>
      <c r="B2384" s="3" t="s">
        <v>1926</v>
      </c>
      <c r="C2384" s="3" t="s">
        <v>55</v>
      </c>
    </row>
    <row r="2385" spans="1:3" x14ac:dyDescent="0.2">
      <c r="A2385" s="3" t="s">
        <v>1943</v>
      </c>
      <c r="B2385" s="3" t="s">
        <v>1927</v>
      </c>
      <c r="C2385" s="3" t="s">
        <v>55</v>
      </c>
    </row>
    <row r="2386" spans="1:3" x14ac:dyDescent="0.2">
      <c r="A2386" s="3" t="s">
        <v>1943</v>
      </c>
      <c r="B2386" s="3" t="s">
        <v>1928</v>
      </c>
      <c r="C2386" s="3" t="s">
        <v>55</v>
      </c>
    </row>
    <row r="2387" spans="1:3" x14ac:dyDescent="0.2">
      <c r="A2387" s="3" t="s">
        <v>1943</v>
      </c>
      <c r="B2387" s="3" t="s">
        <v>1929</v>
      </c>
      <c r="C2387" s="3" t="s">
        <v>55</v>
      </c>
    </row>
    <row r="2388" spans="1:3" x14ac:dyDescent="0.2">
      <c r="A2388" s="3" t="s">
        <v>1943</v>
      </c>
      <c r="B2388" s="3" t="s">
        <v>1930</v>
      </c>
      <c r="C2388" s="3" t="s">
        <v>55</v>
      </c>
    </row>
    <row r="2389" spans="1:3" x14ac:dyDescent="0.2">
      <c r="A2389" s="3" t="s">
        <v>1943</v>
      </c>
      <c r="B2389" s="3" t="s">
        <v>1931</v>
      </c>
      <c r="C2389" s="3" t="s">
        <v>55</v>
      </c>
    </row>
    <row r="2390" spans="1:3" x14ac:dyDescent="0.2">
      <c r="A2390" s="3" t="s">
        <v>1943</v>
      </c>
      <c r="B2390" s="3" t="s">
        <v>1932</v>
      </c>
      <c r="C2390" s="3" t="s">
        <v>55</v>
      </c>
    </row>
    <row r="2391" spans="1:3" x14ac:dyDescent="0.2">
      <c r="A2391" s="3" t="s">
        <v>1943</v>
      </c>
      <c r="B2391" s="3" t="s">
        <v>1933</v>
      </c>
      <c r="C2391" s="3" t="s">
        <v>55</v>
      </c>
    </row>
    <row r="2392" spans="1:3" x14ac:dyDescent="0.2">
      <c r="A2392" s="3" t="s">
        <v>1943</v>
      </c>
      <c r="B2392" s="3" t="s">
        <v>1934</v>
      </c>
      <c r="C2392" s="3" t="s">
        <v>55</v>
      </c>
    </row>
    <row r="2393" spans="1:3" x14ac:dyDescent="0.2">
      <c r="A2393" s="3" t="s">
        <v>1943</v>
      </c>
      <c r="B2393" s="3" t="s">
        <v>1935</v>
      </c>
      <c r="C2393" s="3" t="s">
        <v>55</v>
      </c>
    </row>
    <row r="2394" spans="1:3" x14ac:dyDescent="0.2">
      <c r="A2394" s="3" t="s">
        <v>1943</v>
      </c>
      <c r="B2394" s="3" t="s">
        <v>1936</v>
      </c>
      <c r="C2394" s="3" t="s">
        <v>55</v>
      </c>
    </row>
    <row r="2395" spans="1:3" x14ac:dyDescent="0.2">
      <c r="A2395" s="3" t="s">
        <v>1943</v>
      </c>
      <c r="B2395" s="3" t="s">
        <v>1937</v>
      </c>
      <c r="C2395" s="3" t="s">
        <v>55</v>
      </c>
    </row>
    <row r="2396" spans="1:3" x14ac:dyDescent="0.2">
      <c r="A2396" s="3" t="s">
        <v>1943</v>
      </c>
      <c r="B2396" s="3" t="s">
        <v>1923</v>
      </c>
      <c r="C2396" s="3" t="s">
        <v>56</v>
      </c>
    </row>
    <row r="2397" spans="1:3" x14ac:dyDescent="0.2">
      <c r="A2397" s="3" t="s">
        <v>1943</v>
      </c>
      <c r="B2397" s="3" t="s">
        <v>1924</v>
      </c>
      <c r="C2397" s="3" t="s">
        <v>56</v>
      </c>
    </row>
    <row r="2398" spans="1:3" x14ac:dyDescent="0.2">
      <c r="A2398" s="3" t="s">
        <v>1943</v>
      </c>
      <c r="B2398" s="3" t="s">
        <v>1925</v>
      </c>
      <c r="C2398" s="3" t="s">
        <v>56</v>
      </c>
    </row>
    <row r="2399" spans="1:3" x14ac:dyDescent="0.2">
      <c r="A2399" s="3" t="s">
        <v>1943</v>
      </c>
      <c r="B2399" s="3" t="s">
        <v>1926</v>
      </c>
      <c r="C2399" s="3" t="s">
        <v>56</v>
      </c>
    </row>
    <row r="2400" spans="1:3" x14ac:dyDescent="0.2">
      <c r="A2400" s="3" t="s">
        <v>1943</v>
      </c>
      <c r="B2400" s="3" t="s">
        <v>1927</v>
      </c>
      <c r="C2400" s="3" t="s">
        <v>56</v>
      </c>
    </row>
    <row r="2401" spans="1:3" x14ac:dyDescent="0.2">
      <c r="A2401" s="3" t="s">
        <v>1943</v>
      </c>
      <c r="B2401" s="3" t="s">
        <v>1928</v>
      </c>
      <c r="C2401" s="3" t="s">
        <v>56</v>
      </c>
    </row>
    <row r="2402" spans="1:3" x14ac:dyDescent="0.2">
      <c r="A2402" s="3" t="s">
        <v>1943</v>
      </c>
      <c r="B2402" s="3" t="s">
        <v>1929</v>
      </c>
      <c r="C2402" s="3" t="s">
        <v>56</v>
      </c>
    </row>
    <row r="2403" spans="1:3" x14ac:dyDescent="0.2">
      <c r="A2403" s="3" t="s">
        <v>1943</v>
      </c>
      <c r="B2403" s="3" t="s">
        <v>1930</v>
      </c>
      <c r="C2403" s="3" t="s">
        <v>56</v>
      </c>
    </row>
    <row r="2404" spans="1:3" x14ac:dyDescent="0.2">
      <c r="A2404" s="3" t="s">
        <v>1943</v>
      </c>
      <c r="B2404" s="3" t="s">
        <v>1931</v>
      </c>
      <c r="C2404" s="3" t="s">
        <v>56</v>
      </c>
    </row>
    <row r="2405" spans="1:3" x14ac:dyDescent="0.2">
      <c r="A2405" s="3" t="s">
        <v>1943</v>
      </c>
      <c r="B2405" s="3" t="s">
        <v>1932</v>
      </c>
      <c r="C2405" s="3" t="s">
        <v>56</v>
      </c>
    </row>
    <row r="2406" spans="1:3" x14ac:dyDescent="0.2">
      <c r="A2406" s="3" t="s">
        <v>1943</v>
      </c>
      <c r="B2406" s="3" t="s">
        <v>1933</v>
      </c>
      <c r="C2406" s="3" t="s">
        <v>56</v>
      </c>
    </row>
    <row r="2407" spans="1:3" x14ac:dyDescent="0.2">
      <c r="A2407" s="3" t="s">
        <v>1943</v>
      </c>
      <c r="B2407" s="3" t="s">
        <v>1934</v>
      </c>
      <c r="C2407" s="3" t="s">
        <v>56</v>
      </c>
    </row>
    <row r="2408" spans="1:3" x14ac:dyDescent="0.2">
      <c r="A2408" s="3" t="s">
        <v>1943</v>
      </c>
      <c r="B2408" s="3" t="s">
        <v>1935</v>
      </c>
      <c r="C2408" s="3" t="s">
        <v>56</v>
      </c>
    </row>
    <row r="2409" spans="1:3" x14ac:dyDescent="0.2">
      <c r="A2409" s="3" t="s">
        <v>1943</v>
      </c>
      <c r="B2409" s="3" t="s">
        <v>1936</v>
      </c>
      <c r="C2409" s="3" t="s">
        <v>56</v>
      </c>
    </row>
    <row r="2410" spans="1:3" x14ac:dyDescent="0.2">
      <c r="A2410" s="3" t="s">
        <v>1943</v>
      </c>
      <c r="B2410" s="3" t="s">
        <v>1937</v>
      </c>
      <c r="C2410" s="3" t="s">
        <v>56</v>
      </c>
    </row>
    <row r="2411" spans="1:3" x14ac:dyDescent="0.2">
      <c r="A2411" s="3" t="s">
        <v>1943</v>
      </c>
      <c r="B2411" s="3" t="s">
        <v>1923</v>
      </c>
      <c r="C2411" s="3" t="s">
        <v>57</v>
      </c>
    </row>
    <row r="2412" spans="1:3" x14ac:dyDescent="0.2">
      <c r="A2412" s="3" t="s">
        <v>1943</v>
      </c>
      <c r="B2412" s="3" t="s">
        <v>1924</v>
      </c>
      <c r="C2412" s="3" t="s">
        <v>57</v>
      </c>
    </row>
    <row r="2413" spans="1:3" x14ac:dyDescent="0.2">
      <c r="A2413" s="3" t="s">
        <v>1943</v>
      </c>
      <c r="B2413" s="3" t="s">
        <v>1925</v>
      </c>
      <c r="C2413" s="3" t="s">
        <v>57</v>
      </c>
    </row>
    <row r="2414" spans="1:3" x14ac:dyDescent="0.2">
      <c r="A2414" s="3" t="s">
        <v>1943</v>
      </c>
      <c r="B2414" s="3" t="s">
        <v>1926</v>
      </c>
      <c r="C2414" s="3" t="s">
        <v>57</v>
      </c>
    </row>
    <row r="2415" spans="1:3" x14ac:dyDescent="0.2">
      <c r="A2415" s="3" t="s">
        <v>1943</v>
      </c>
      <c r="B2415" s="3" t="s">
        <v>1927</v>
      </c>
      <c r="C2415" s="3" t="s">
        <v>57</v>
      </c>
    </row>
    <row r="2416" spans="1:3" x14ac:dyDescent="0.2">
      <c r="A2416" s="3" t="s">
        <v>1943</v>
      </c>
      <c r="B2416" s="3" t="s">
        <v>1928</v>
      </c>
      <c r="C2416" s="3" t="s">
        <v>57</v>
      </c>
    </row>
    <row r="2417" spans="1:3" x14ac:dyDescent="0.2">
      <c r="A2417" s="3" t="s">
        <v>1943</v>
      </c>
      <c r="B2417" s="3" t="s">
        <v>1929</v>
      </c>
      <c r="C2417" s="3" t="s">
        <v>57</v>
      </c>
    </row>
    <row r="2418" spans="1:3" x14ac:dyDescent="0.2">
      <c r="A2418" s="3" t="s">
        <v>1943</v>
      </c>
      <c r="B2418" s="3" t="s">
        <v>1930</v>
      </c>
      <c r="C2418" s="3" t="s">
        <v>57</v>
      </c>
    </row>
    <row r="2419" spans="1:3" x14ac:dyDescent="0.2">
      <c r="A2419" s="3" t="s">
        <v>1943</v>
      </c>
      <c r="B2419" s="3" t="s">
        <v>1931</v>
      </c>
      <c r="C2419" s="3" t="s">
        <v>57</v>
      </c>
    </row>
    <row r="2420" spans="1:3" x14ac:dyDescent="0.2">
      <c r="A2420" s="3" t="s">
        <v>1943</v>
      </c>
      <c r="B2420" s="3" t="s">
        <v>1932</v>
      </c>
      <c r="C2420" s="3" t="s">
        <v>57</v>
      </c>
    </row>
    <row r="2421" spans="1:3" x14ac:dyDescent="0.2">
      <c r="A2421" s="3" t="s">
        <v>1943</v>
      </c>
      <c r="B2421" s="3" t="s">
        <v>1933</v>
      </c>
      <c r="C2421" s="3" t="s">
        <v>57</v>
      </c>
    </row>
    <row r="2422" spans="1:3" x14ac:dyDescent="0.2">
      <c r="A2422" s="3" t="s">
        <v>1943</v>
      </c>
      <c r="B2422" s="3" t="s">
        <v>1934</v>
      </c>
      <c r="C2422" s="3" t="s">
        <v>57</v>
      </c>
    </row>
    <row r="2423" spans="1:3" x14ac:dyDescent="0.2">
      <c r="A2423" s="3" t="s">
        <v>1943</v>
      </c>
      <c r="B2423" s="3" t="s">
        <v>1935</v>
      </c>
      <c r="C2423" s="3" t="s">
        <v>57</v>
      </c>
    </row>
    <row r="2424" spans="1:3" x14ac:dyDescent="0.2">
      <c r="A2424" s="3" t="s">
        <v>1943</v>
      </c>
      <c r="B2424" s="3" t="s">
        <v>1936</v>
      </c>
      <c r="C2424" s="3" t="s">
        <v>57</v>
      </c>
    </row>
    <row r="2425" spans="1:3" x14ac:dyDescent="0.2">
      <c r="A2425" s="3" t="s">
        <v>1943</v>
      </c>
      <c r="B2425" s="3" t="s">
        <v>1937</v>
      </c>
      <c r="C2425" s="3" t="s">
        <v>57</v>
      </c>
    </row>
    <row r="2426" spans="1:3" x14ac:dyDescent="0.2">
      <c r="A2426" s="3" t="s">
        <v>1943</v>
      </c>
      <c r="B2426" s="3" t="s">
        <v>1944</v>
      </c>
      <c r="C2426" s="3" t="s">
        <v>169</v>
      </c>
    </row>
    <row r="2427" spans="1:3" x14ac:dyDescent="0.2">
      <c r="A2427" s="3" t="s">
        <v>1943</v>
      </c>
      <c r="B2427" s="3" t="s">
        <v>1945</v>
      </c>
      <c r="C2427" s="3" t="s">
        <v>169</v>
      </c>
    </row>
    <row r="2428" spans="1:3" x14ac:dyDescent="0.2">
      <c r="A2428" s="3" t="s">
        <v>1943</v>
      </c>
      <c r="B2428" s="3" t="s">
        <v>1946</v>
      </c>
      <c r="C2428" s="3" t="s">
        <v>169</v>
      </c>
    </row>
    <row r="2429" spans="1:3" x14ac:dyDescent="0.2">
      <c r="A2429" s="3" t="s">
        <v>1943</v>
      </c>
      <c r="B2429" s="3" t="s">
        <v>1947</v>
      </c>
      <c r="C2429" s="3" t="s">
        <v>169</v>
      </c>
    </row>
    <row r="2430" spans="1:3" x14ac:dyDescent="0.2">
      <c r="A2430" s="3" t="s">
        <v>1943</v>
      </c>
      <c r="B2430" s="3" t="s">
        <v>1948</v>
      </c>
      <c r="C2430" s="3" t="s">
        <v>169</v>
      </c>
    </row>
    <row r="2431" spans="1:3" x14ac:dyDescent="0.2">
      <c r="A2431" s="3" t="s">
        <v>1943</v>
      </c>
      <c r="B2431" s="3" t="s">
        <v>1949</v>
      </c>
      <c r="C2431" s="3" t="s">
        <v>169</v>
      </c>
    </row>
    <row r="2432" spans="1:3" x14ac:dyDescent="0.2">
      <c r="A2432" s="3" t="s">
        <v>1943</v>
      </c>
      <c r="B2432" s="3" t="s">
        <v>1950</v>
      </c>
      <c r="C2432" s="3" t="s">
        <v>169</v>
      </c>
    </row>
    <row r="2433" spans="1:3" x14ac:dyDescent="0.2">
      <c r="A2433" s="3" t="s">
        <v>2098</v>
      </c>
      <c r="B2433" s="3" t="s">
        <v>1929</v>
      </c>
      <c r="C2433" s="3" t="s">
        <v>53</v>
      </c>
    </row>
    <row r="2434" spans="1:3" x14ac:dyDescent="0.2">
      <c r="A2434" s="3" t="s">
        <v>2098</v>
      </c>
      <c r="B2434" s="3" t="s">
        <v>1930</v>
      </c>
      <c r="C2434" s="3" t="s">
        <v>53</v>
      </c>
    </row>
    <row r="2435" spans="1:3" x14ac:dyDescent="0.2">
      <c r="A2435" s="3" t="s">
        <v>2098</v>
      </c>
      <c r="B2435" s="3" t="s">
        <v>1929</v>
      </c>
      <c r="C2435" s="3" t="s">
        <v>54</v>
      </c>
    </row>
    <row r="2436" spans="1:3" x14ac:dyDescent="0.2">
      <c r="A2436" s="3" t="s">
        <v>2098</v>
      </c>
      <c r="B2436" s="3" t="s">
        <v>1930</v>
      </c>
      <c r="C2436" s="3" t="s">
        <v>54</v>
      </c>
    </row>
    <row r="2437" spans="1:3" x14ac:dyDescent="0.2">
      <c r="A2437" s="3" t="s">
        <v>2098</v>
      </c>
      <c r="B2437" s="3" t="s">
        <v>1929</v>
      </c>
      <c r="C2437" s="3" t="s">
        <v>55</v>
      </c>
    </row>
    <row r="2438" spans="1:3" x14ac:dyDescent="0.2">
      <c r="A2438" s="3" t="s">
        <v>2098</v>
      </c>
      <c r="B2438" s="3" t="s">
        <v>1930</v>
      </c>
      <c r="C2438" s="3" t="s">
        <v>55</v>
      </c>
    </row>
    <row r="2439" spans="1:3" x14ac:dyDescent="0.2">
      <c r="A2439" s="3" t="s">
        <v>2098</v>
      </c>
      <c r="B2439" s="3" t="s">
        <v>1929</v>
      </c>
      <c r="C2439" s="3" t="s">
        <v>56</v>
      </c>
    </row>
    <row r="2440" spans="1:3" x14ac:dyDescent="0.2">
      <c r="A2440" s="3" t="s">
        <v>2098</v>
      </c>
      <c r="B2440" s="3" t="s">
        <v>1930</v>
      </c>
      <c r="C2440" s="3" t="s">
        <v>56</v>
      </c>
    </row>
    <row r="2441" spans="1:3" x14ac:dyDescent="0.2">
      <c r="A2441" s="3" t="s">
        <v>2098</v>
      </c>
      <c r="B2441" s="3" t="s">
        <v>1929</v>
      </c>
      <c r="C2441" s="3" t="s">
        <v>57</v>
      </c>
    </row>
    <row r="2442" spans="1:3" x14ac:dyDescent="0.2">
      <c r="A2442" s="3" t="s">
        <v>2098</v>
      </c>
      <c r="B2442" s="3" t="s">
        <v>1930</v>
      </c>
      <c r="C2442" s="3" t="s">
        <v>57</v>
      </c>
    </row>
    <row r="2443" spans="1:3" x14ac:dyDescent="0.2">
      <c r="A2443" s="3" t="s">
        <v>2119</v>
      </c>
      <c r="B2443" s="3" t="s">
        <v>1323</v>
      </c>
      <c r="C2443" s="3" t="s">
        <v>53</v>
      </c>
    </row>
    <row r="2444" spans="1:3" x14ac:dyDescent="0.2">
      <c r="A2444" s="3" t="s">
        <v>2119</v>
      </c>
      <c r="B2444" s="3" t="s">
        <v>1323</v>
      </c>
      <c r="C2444" s="3" t="s">
        <v>54</v>
      </c>
    </row>
    <row r="2445" spans="1:3" x14ac:dyDescent="0.2">
      <c r="A2445" s="3" t="s">
        <v>2119</v>
      </c>
      <c r="B2445" s="3" t="s">
        <v>1323</v>
      </c>
      <c r="C2445" s="3" t="s">
        <v>55</v>
      </c>
    </row>
    <row r="2446" spans="1:3" x14ac:dyDescent="0.2">
      <c r="A2446" s="3" t="s">
        <v>2119</v>
      </c>
      <c r="B2446" s="3" t="s">
        <v>1323</v>
      </c>
      <c r="C2446" s="3" t="s">
        <v>56</v>
      </c>
    </row>
    <row r="2447" spans="1:3" x14ac:dyDescent="0.2">
      <c r="A2447" s="3" t="s">
        <v>2119</v>
      </c>
      <c r="B2447" s="3" t="s">
        <v>1323</v>
      </c>
      <c r="C2447" s="3" t="s">
        <v>57</v>
      </c>
    </row>
    <row r="2448" spans="1:3" x14ac:dyDescent="0.2">
      <c r="A2448" s="3" t="s">
        <v>2119</v>
      </c>
      <c r="B2448" s="3" t="s">
        <v>1323</v>
      </c>
      <c r="C2448" s="3" t="s">
        <v>10</v>
      </c>
    </row>
    <row r="2449" spans="1:3" x14ac:dyDescent="0.2">
      <c r="A2449" s="3" t="s">
        <v>2119</v>
      </c>
      <c r="B2449" s="3" t="s">
        <v>1323</v>
      </c>
      <c r="C2449" s="3" t="s">
        <v>11</v>
      </c>
    </row>
    <row r="2450" spans="1:3" x14ac:dyDescent="0.2">
      <c r="A2450" s="3" t="s">
        <v>2120</v>
      </c>
      <c r="B2450" s="3" t="s">
        <v>2121</v>
      </c>
      <c r="C2450" s="3" t="s">
        <v>22</v>
      </c>
    </row>
    <row r="2451" spans="1:3" x14ac:dyDescent="0.2">
      <c r="A2451" s="3" t="s">
        <v>2120</v>
      </c>
      <c r="B2451" s="3" t="s">
        <v>2122</v>
      </c>
      <c r="C2451" s="3" t="s">
        <v>22</v>
      </c>
    </row>
    <row r="2452" spans="1:3" x14ac:dyDescent="0.2">
      <c r="A2452" s="3" t="s">
        <v>2120</v>
      </c>
      <c r="B2452" s="3" t="s">
        <v>2123</v>
      </c>
      <c r="C2452" s="3" t="s">
        <v>22</v>
      </c>
    </row>
    <row r="2453" spans="1:3" x14ac:dyDescent="0.2">
      <c r="A2453" s="3" t="s">
        <v>2120</v>
      </c>
      <c r="B2453" s="3" t="s">
        <v>2124</v>
      </c>
      <c r="C2453" s="3" t="s">
        <v>22</v>
      </c>
    </row>
    <row r="2454" spans="1:3" x14ac:dyDescent="0.2">
      <c r="A2454" s="3" t="s">
        <v>2120</v>
      </c>
      <c r="B2454" s="3" t="s">
        <v>2125</v>
      </c>
      <c r="C2454" s="3" t="s">
        <v>22</v>
      </c>
    </row>
    <row r="2455" spans="1:3" x14ac:dyDescent="0.2">
      <c r="A2455" s="3" t="s">
        <v>2120</v>
      </c>
      <c r="B2455" s="3" t="s">
        <v>2126</v>
      </c>
      <c r="C2455" s="3" t="s">
        <v>22</v>
      </c>
    </row>
    <row r="2456" spans="1:3" x14ac:dyDescent="0.2">
      <c r="A2456" s="3" t="s">
        <v>2120</v>
      </c>
      <c r="B2456" s="3" t="s">
        <v>2127</v>
      </c>
      <c r="C2456" s="3" t="s">
        <v>22</v>
      </c>
    </row>
    <row r="2457" spans="1:3" x14ac:dyDescent="0.2">
      <c r="A2457" s="3" t="s">
        <v>2120</v>
      </c>
      <c r="B2457" s="3" t="s">
        <v>2128</v>
      </c>
      <c r="C2457" s="3" t="s">
        <v>22</v>
      </c>
    </row>
    <row r="2458" spans="1:3" x14ac:dyDescent="0.2">
      <c r="A2458" s="3" t="s">
        <v>2120</v>
      </c>
      <c r="B2458" s="3" t="s">
        <v>2129</v>
      </c>
      <c r="C2458" s="3" t="s">
        <v>22</v>
      </c>
    </row>
    <row r="2459" spans="1:3" x14ac:dyDescent="0.2">
      <c r="A2459" s="3" t="s">
        <v>2120</v>
      </c>
      <c r="B2459" s="3" t="s">
        <v>2130</v>
      </c>
      <c r="C2459" s="3" t="s">
        <v>22</v>
      </c>
    </row>
    <row r="2460" spans="1:3" x14ac:dyDescent="0.2">
      <c r="A2460" s="3" t="s">
        <v>2120</v>
      </c>
      <c r="B2460" s="3" t="s">
        <v>2131</v>
      </c>
      <c r="C2460" s="3" t="s">
        <v>22</v>
      </c>
    </row>
    <row r="2461" spans="1:3" x14ac:dyDescent="0.2">
      <c r="A2461" s="3" t="s">
        <v>2120</v>
      </c>
      <c r="B2461" s="3" t="s">
        <v>2132</v>
      </c>
      <c r="C2461" s="3" t="s">
        <v>22</v>
      </c>
    </row>
    <row r="2462" spans="1:3" x14ac:dyDescent="0.2">
      <c r="A2462" s="3" t="s">
        <v>2120</v>
      </c>
      <c r="B2462" s="3" t="s">
        <v>2133</v>
      </c>
      <c r="C2462" s="3" t="s">
        <v>22</v>
      </c>
    </row>
    <row r="2463" spans="1:3" x14ac:dyDescent="0.2">
      <c r="A2463" s="3" t="s">
        <v>2120</v>
      </c>
      <c r="B2463" s="3" t="s">
        <v>2134</v>
      </c>
      <c r="C2463" s="3" t="s">
        <v>22</v>
      </c>
    </row>
    <row r="2464" spans="1:3" x14ac:dyDescent="0.2">
      <c r="A2464" s="3" t="s">
        <v>2120</v>
      </c>
      <c r="B2464" s="3" t="s">
        <v>2135</v>
      </c>
      <c r="C2464" s="3" t="s">
        <v>22</v>
      </c>
    </row>
    <row r="2465" spans="1:3" x14ac:dyDescent="0.2">
      <c r="A2465" s="3" t="s">
        <v>2120</v>
      </c>
      <c r="B2465" s="3" t="s">
        <v>2136</v>
      </c>
      <c r="C2465" s="3" t="s">
        <v>22</v>
      </c>
    </row>
    <row r="2466" spans="1:3" x14ac:dyDescent="0.2">
      <c r="A2466" s="3" t="s">
        <v>2137</v>
      </c>
      <c r="B2466" s="3" t="s">
        <v>2138</v>
      </c>
      <c r="C2466" s="3" t="s">
        <v>169</v>
      </c>
    </row>
    <row r="2467" spans="1:3" x14ac:dyDescent="0.2">
      <c r="A2467" s="3" t="s">
        <v>2137</v>
      </c>
      <c r="B2467" s="3" t="s">
        <v>2139</v>
      </c>
      <c r="C2467" s="3" t="s">
        <v>169</v>
      </c>
    </row>
    <row r="2468" spans="1:3" x14ac:dyDescent="0.2">
      <c r="A2468" s="3" t="s">
        <v>2137</v>
      </c>
      <c r="B2468" s="3" t="s">
        <v>2140</v>
      </c>
      <c r="C2468" s="3" t="s">
        <v>169</v>
      </c>
    </row>
    <row r="2469" spans="1:3" x14ac:dyDescent="0.2">
      <c r="A2469" s="3" t="s">
        <v>2137</v>
      </c>
      <c r="B2469" s="3" t="s">
        <v>2141</v>
      </c>
      <c r="C2469" s="3" t="s">
        <v>169</v>
      </c>
    </row>
    <row r="2470" spans="1:3" x14ac:dyDescent="0.2">
      <c r="A2470" s="3" t="s">
        <v>2142</v>
      </c>
      <c r="B2470" s="3" t="s">
        <v>2143</v>
      </c>
      <c r="C2470" s="3" t="s">
        <v>169</v>
      </c>
    </row>
    <row r="2471" spans="1:3" x14ac:dyDescent="0.2">
      <c r="A2471" s="3" t="s">
        <v>2142</v>
      </c>
      <c r="B2471" s="3" t="s">
        <v>2144</v>
      </c>
      <c r="C2471" s="3" t="s">
        <v>169</v>
      </c>
    </row>
    <row r="2472" spans="1:3" x14ac:dyDescent="0.2">
      <c r="A2472" s="3" t="s">
        <v>2142</v>
      </c>
      <c r="B2472" s="3" t="s">
        <v>2145</v>
      </c>
      <c r="C2472" s="3" t="s">
        <v>169</v>
      </c>
    </row>
    <row r="2473" spans="1:3" x14ac:dyDescent="0.2">
      <c r="A2473" s="3" t="s">
        <v>2142</v>
      </c>
      <c r="B2473" s="3" t="s">
        <v>2146</v>
      </c>
      <c r="C2473" s="3" t="s">
        <v>169</v>
      </c>
    </row>
    <row r="2474" spans="1:3" x14ac:dyDescent="0.2">
      <c r="A2474" s="3" t="s">
        <v>2155</v>
      </c>
      <c r="B2474" s="3" t="s">
        <v>2156</v>
      </c>
      <c r="C2474" s="3" t="s">
        <v>169</v>
      </c>
    </row>
    <row r="2475" spans="1:3" x14ac:dyDescent="0.2">
      <c r="A2475" s="3" t="s">
        <v>2155</v>
      </c>
      <c r="B2475" s="3" t="s">
        <v>2157</v>
      </c>
      <c r="C2475" s="3" t="s">
        <v>169</v>
      </c>
    </row>
    <row r="2476" spans="1:3" x14ac:dyDescent="0.2">
      <c r="A2476" s="3" t="s">
        <v>2155</v>
      </c>
      <c r="B2476" s="3" t="s">
        <v>2158</v>
      </c>
      <c r="C2476" s="3" t="s">
        <v>169</v>
      </c>
    </row>
    <row r="2477" spans="1:3" x14ac:dyDescent="0.2">
      <c r="A2477" s="3" t="s">
        <v>2155</v>
      </c>
      <c r="B2477" s="3" t="s">
        <v>2159</v>
      </c>
      <c r="C2477" s="3" t="s">
        <v>169</v>
      </c>
    </row>
    <row r="2478" spans="1:3" x14ac:dyDescent="0.2">
      <c r="A2478" s="3" t="s">
        <v>2155</v>
      </c>
      <c r="B2478" s="3" t="s">
        <v>2160</v>
      </c>
      <c r="C2478" s="3" t="s">
        <v>169</v>
      </c>
    </row>
    <row r="2479" spans="1:3" x14ac:dyDescent="0.2">
      <c r="A2479" s="3" t="s">
        <v>2155</v>
      </c>
      <c r="B2479" s="3" t="s">
        <v>2161</v>
      </c>
      <c r="C2479" s="3" t="s">
        <v>169</v>
      </c>
    </row>
    <row r="2480" spans="1:3" x14ac:dyDescent="0.2">
      <c r="A2480" s="3" t="s">
        <v>2155</v>
      </c>
      <c r="B2480" s="3" t="s">
        <v>2162</v>
      </c>
      <c r="C2480" s="3" t="s">
        <v>169</v>
      </c>
    </row>
    <row r="2481" spans="1:3" x14ac:dyDescent="0.2">
      <c r="A2481" s="3" t="s">
        <v>2155</v>
      </c>
      <c r="B2481" s="3" t="s">
        <v>2163</v>
      </c>
      <c r="C2481" s="3" t="s">
        <v>169</v>
      </c>
    </row>
    <row r="2482" spans="1:3" x14ac:dyDescent="0.2">
      <c r="A2482" s="3" t="s">
        <v>2155</v>
      </c>
      <c r="B2482" s="3" t="s">
        <v>2164</v>
      </c>
      <c r="C2482" s="3" t="s">
        <v>169</v>
      </c>
    </row>
    <row r="2483" spans="1:3" x14ac:dyDescent="0.2">
      <c r="A2483" s="3" t="s">
        <v>2155</v>
      </c>
      <c r="B2483" s="3" t="s">
        <v>2165</v>
      </c>
      <c r="C2483" s="3" t="s">
        <v>169</v>
      </c>
    </row>
    <row r="2484" spans="1:3" x14ac:dyDescent="0.2">
      <c r="A2484" s="3" t="s">
        <v>2155</v>
      </c>
      <c r="B2484" s="3" t="s">
        <v>2166</v>
      </c>
      <c r="C2484" s="3" t="s">
        <v>169</v>
      </c>
    </row>
    <row r="2485" spans="1:3" x14ac:dyDescent="0.2">
      <c r="A2485" s="3" t="s">
        <v>2155</v>
      </c>
      <c r="B2485" s="3" t="s">
        <v>2167</v>
      </c>
      <c r="C2485" s="3" t="s">
        <v>169</v>
      </c>
    </row>
    <row r="2486" spans="1:3" x14ac:dyDescent="0.2">
      <c r="A2486" s="3" t="s">
        <v>2155</v>
      </c>
      <c r="B2486" s="3" t="s">
        <v>2168</v>
      </c>
      <c r="C2486" s="3" t="s">
        <v>169</v>
      </c>
    </row>
    <row r="2487" spans="1:3" x14ac:dyDescent="0.2">
      <c r="A2487" s="3" t="s">
        <v>2155</v>
      </c>
      <c r="B2487" s="3" t="s">
        <v>2169</v>
      </c>
      <c r="C2487" s="3" t="s">
        <v>169</v>
      </c>
    </row>
    <row r="2488" spans="1:3" x14ac:dyDescent="0.2">
      <c r="A2488" s="3" t="s">
        <v>2155</v>
      </c>
      <c r="B2488" s="3" t="s">
        <v>2170</v>
      </c>
      <c r="C2488" s="3" t="s">
        <v>169</v>
      </c>
    </row>
    <row r="2489" spans="1:3" x14ac:dyDescent="0.2">
      <c r="A2489" s="3" t="s">
        <v>2155</v>
      </c>
      <c r="B2489" s="3" t="s">
        <v>2171</v>
      </c>
      <c r="C2489" s="3" t="s">
        <v>169</v>
      </c>
    </row>
    <row r="2490" spans="1:3" x14ac:dyDescent="0.2">
      <c r="A2490" s="3" t="s">
        <v>2155</v>
      </c>
      <c r="B2490" s="3" t="s">
        <v>2172</v>
      </c>
      <c r="C2490" s="3" t="s">
        <v>169</v>
      </c>
    </row>
    <row r="2491" spans="1:3" x14ac:dyDescent="0.2">
      <c r="A2491" s="3" t="s">
        <v>2155</v>
      </c>
      <c r="B2491" s="3" t="s">
        <v>2173</v>
      </c>
      <c r="C2491" s="3" t="s">
        <v>169</v>
      </c>
    </row>
    <row r="2492" spans="1:3" x14ac:dyDescent="0.2">
      <c r="A2492" s="3" t="s">
        <v>2155</v>
      </c>
      <c r="B2492" s="3" t="s">
        <v>2174</v>
      </c>
      <c r="C2492" s="3" t="s">
        <v>169</v>
      </c>
    </row>
    <row r="2493" spans="1:3" x14ac:dyDescent="0.2">
      <c r="A2493" s="3" t="s">
        <v>2155</v>
      </c>
      <c r="B2493" s="3" t="s">
        <v>2175</v>
      </c>
      <c r="C2493" s="3" t="s">
        <v>169</v>
      </c>
    </row>
    <row r="2494" spans="1:3" x14ac:dyDescent="0.2">
      <c r="A2494" s="3" t="s">
        <v>2155</v>
      </c>
      <c r="B2494" s="3" t="s">
        <v>2176</v>
      </c>
      <c r="C2494" s="3" t="s">
        <v>169</v>
      </c>
    </row>
    <row r="2495" spans="1:3" x14ac:dyDescent="0.2">
      <c r="A2495" s="3" t="s">
        <v>2155</v>
      </c>
      <c r="B2495" s="3" t="s">
        <v>2177</v>
      </c>
      <c r="C2495" s="3" t="s">
        <v>169</v>
      </c>
    </row>
    <row r="2496" spans="1:3" x14ac:dyDescent="0.2">
      <c r="A2496" s="3" t="s">
        <v>2155</v>
      </c>
      <c r="B2496" s="3" t="s">
        <v>2178</v>
      </c>
      <c r="C2496" s="3" t="s">
        <v>169</v>
      </c>
    </row>
    <row r="2497" spans="1:3" x14ac:dyDescent="0.2">
      <c r="A2497" s="3" t="s">
        <v>2155</v>
      </c>
      <c r="B2497" s="3" t="s">
        <v>2179</v>
      </c>
      <c r="C2497" s="3" t="s">
        <v>169</v>
      </c>
    </row>
    <row r="2498" spans="1:3" x14ac:dyDescent="0.2">
      <c r="A2498" s="3" t="s">
        <v>2155</v>
      </c>
      <c r="B2498" s="3" t="s">
        <v>2180</v>
      </c>
      <c r="C2498" s="3" t="s">
        <v>169</v>
      </c>
    </row>
    <row r="2499" spans="1:3" x14ac:dyDescent="0.2">
      <c r="A2499" s="3" t="s">
        <v>2182</v>
      </c>
      <c r="B2499" s="3" t="s">
        <v>1835</v>
      </c>
      <c r="C2499" s="3" t="s">
        <v>169</v>
      </c>
    </row>
    <row r="2500" spans="1:3" x14ac:dyDescent="0.2">
      <c r="A2500" s="3" t="s">
        <v>2182</v>
      </c>
      <c r="B2500" s="3" t="s">
        <v>1836</v>
      </c>
      <c r="C2500" s="3" t="s">
        <v>169</v>
      </c>
    </row>
    <row r="2501" spans="1:3" x14ac:dyDescent="0.2">
      <c r="A2501" s="3" t="s">
        <v>2182</v>
      </c>
      <c r="B2501" s="3" t="s">
        <v>1838</v>
      </c>
      <c r="C2501" s="3" t="s">
        <v>169</v>
      </c>
    </row>
    <row r="2502" spans="1:3" x14ac:dyDescent="0.2">
      <c r="A2502" s="3" t="s">
        <v>2501</v>
      </c>
      <c r="B2502" s="3" t="s">
        <v>824</v>
      </c>
      <c r="C2502" s="3" t="s">
        <v>57</v>
      </c>
    </row>
    <row r="2503" spans="1:3" x14ac:dyDescent="0.2">
      <c r="A2503" s="3" t="s">
        <v>2513</v>
      </c>
      <c r="B2503" s="3" t="s">
        <v>207</v>
      </c>
      <c r="C2503" s="3" t="s">
        <v>57</v>
      </c>
    </row>
    <row r="2504" spans="1:3" x14ac:dyDescent="0.2">
      <c r="A2504" s="3" t="s">
        <v>2514</v>
      </c>
      <c r="B2504" s="3" t="s">
        <v>207</v>
      </c>
      <c r="C2504" s="3" t="s">
        <v>57</v>
      </c>
    </row>
    <row r="2505" spans="1:3" x14ac:dyDescent="0.2">
      <c r="A2505" s="3" t="s">
        <v>2515</v>
      </c>
      <c r="B2505" s="3" t="s">
        <v>207</v>
      </c>
      <c r="C2505" s="3" t="s">
        <v>57</v>
      </c>
    </row>
    <row r="2506" spans="1:3" x14ac:dyDescent="0.2">
      <c r="A2506" s="3" t="s">
        <v>2516</v>
      </c>
      <c r="B2506" s="3" t="s">
        <v>207</v>
      </c>
      <c r="C2506" s="3" t="s">
        <v>57</v>
      </c>
    </row>
    <row r="2507" spans="1:3" x14ac:dyDescent="0.2">
      <c r="A2507" s="3" t="s">
        <v>2517</v>
      </c>
      <c r="B2507" s="3" t="s">
        <v>207</v>
      </c>
      <c r="C2507" s="3" t="s">
        <v>57</v>
      </c>
    </row>
    <row r="2508" spans="1:3" x14ac:dyDescent="0.2">
      <c r="A2508" s="3" t="s">
        <v>2513</v>
      </c>
      <c r="B2508" s="3" t="s">
        <v>207</v>
      </c>
      <c r="C2508" s="3" t="s">
        <v>56</v>
      </c>
    </row>
    <row r="2509" spans="1:3" x14ac:dyDescent="0.2">
      <c r="A2509" s="3" t="s">
        <v>2514</v>
      </c>
      <c r="B2509" s="3" t="s">
        <v>207</v>
      </c>
      <c r="C2509" s="3" t="s">
        <v>56</v>
      </c>
    </row>
    <row r="2510" spans="1:3" x14ac:dyDescent="0.2">
      <c r="A2510" s="3" t="s">
        <v>2515</v>
      </c>
      <c r="B2510" s="3" t="s">
        <v>207</v>
      </c>
      <c r="C2510" s="3" t="s">
        <v>56</v>
      </c>
    </row>
    <row r="2511" spans="1:3" x14ac:dyDescent="0.2">
      <c r="A2511" s="3" t="s">
        <v>2516</v>
      </c>
      <c r="B2511" s="3" t="s">
        <v>207</v>
      </c>
      <c r="C2511" s="3" t="s">
        <v>56</v>
      </c>
    </row>
    <row r="2512" spans="1:3" x14ac:dyDescent="0.2">
      <c r="A2512" s="3" t="s">
        <v>2517</v>
      </c>
      <c r="B2512" s="3" t="s">
        <v>207</v>
      </c>
      <c r="C2512" s="3" t="s">
        <v>56</v>
      </c>
    </row>
    <row r="2513" spans="1:3" x14ac:dyDescent="0.2">
      <c r="A2513" s="3" t="s">
        <v>2513</v>
      </c>
      <c r="B2513" s="3" t="s">
        <v>207</v>
      </c>
      <c r="C2513" s="3" t="s">
        <v>55</v>
      </c>
    </row>
    <row r="2514" spans="1:3" x14ac:dyDescent="0.2">
      <c r="A2514" s="3" t="s">
        <v>2514</v>
      </c>
      <c r="B2514" s="3" t="s">
        <v>207</v>
      </c>
      <c r="C2514" s="3" t="s">
        <v>55</v>
      </c>
    </row>
    <row r="2515" spans="1:3" x14ac:dyDescent="0.2">
      <c r="A2515" s="3" t="s">
        <v>2515</v>
      </c>
      <c r="B2515" s="3" t="s">
        <v>207</v>
      </c>
      <c r="C2515" s="3" t="s">
        <v>55</v>
      </c>
    </row>
    <row r="2516" spans="1:3" x14ac:dyDescent="0.2">
      <c r="A2516" s="3" t="s">
        <v>2516</v>
      </c>
      <c r="B2516" s="3" t="s">
        <v>207</v>
      </c>
      <c r="C2516" s="3" t="s">
        <v>55</v>
      </c>
    </row>
    <row r="2517" spans="1:3" x14ac:dyDescent="0.2">
      <c r="A2517" s="3" t="s">
        <v>2517</v>
      </c>
      <c r="B2517" s="3" t="s">
        <v>207</v>
      </c>
      <c r="C2517" s="3" t="s">
        <v>55</v>
      </c>
    </row>
    <row r="2518" spans="1:3" x14ac:dyDescent="0.2">
      <c r="A2518" s="3" t="s">
        <v>2513</v>
      </c>
      <c r="B2518" s="3" t="s">
        <v>207</v>
      </c>
      <c r="C2518" s="3" t="s">
        <v>54</v>
      </c>
    </row>
    <row r="2519" spans="1:3" x14ac:dyDescent="0.2">
      <c r="A2519" s="3" t="s">
        <v>2514</v>
      </c>
      <c r="B2519" s="3" t="s">
        <v>207</v>
      </c>
      <c r="C2519" s="3" t="s">
        <v>54</v>
      </c>
    </row>
    <row r="2520" spans="1:3" x14ac:dyDescent="0.2">
      <c r="A2520" s="3" t="s">
        <v>2515</v>
      </c>
      <c r="B2520" s="3" t="s">
        <v>207</v>
      </c>
      <c r="C2520" s="3" t="s">
        <v>54</v>
      </c>
    </row>
    <row r="2521" spans="1:3" x14ac:dyDescent="0.2">
      <c r="A2521" s="3" t="s">
        <v>2516</v>
      </c>
      <c r="B2521" s="3" t="s">
        <v>207</v>
      </c>
      <c r="C2521" s="3" t="s">
        <v>54</v>
      </c>
    </row>
    <row r="2522" spans="1:3" x14ac:dyDescent="0.2">
      <c r="A2522" s="3" t="s">
        <v>2517</v>
      </c>
      <c r="B2522" s="3" t="s">
        <v>207</v>
      </c>
      <c r="C2522" s="3" t="s">
        <v>54</v>
      </c>
    </row>
    <row r="2523" spans="1:3" x14ac:dyDescent="0.2">
      <c r="A2523" s="3" t="s">
        <v>2513</v>
      </c>
      <c r="B2523" s="3" t="s">
        <v>207</v>
      </c>
      <c r="C2523" s="3" t="s">
        <v>53</v>
      </c>
    </row>
    <row r="2524" spans="1:3" x14ac:dyDescent="0.2">
      <c r="A2524" s="3" t="s">
        <v>2514</v>
      </c>
      <c r="B2524" s="3" t="s">
        <v>207</v>
      </c>
      <c r="C2524" s="3" t="s">
        <v>53</v>
      </c>
    </row>
    <row r="2525" spans="1:3" x14ac:dyDescent="0.2">
      <c r="A2525" s="3" t="s">
        <v>2515</v>
      </c>
      <c r="B2525" s="3" t="s">
        <v>207</v>
      </c>
      <c r="C2525" s="3" t="s">
        <v>53</v>
      </c>
    </row>
    <row r="2526" spans="1:3" x14ac:dyDescent="0.2">
      <c r="A2526" s="3" t="s">
        <v>2516</v>
      </c>
      <c r="B2526" s="3" t="s">
        <v>207</v>
      </c>
      <c r="C2526" s="3" t="s">
        <v>53</v>
      </c>
    </row>
    <row r="2527" spans="1:3" x14ac:dyDescent="0.2">
      <c r="A2527" s="3" t="s">
        <v>2517</v>
      </c>
      <c r="B2527" s="3" t="s">
        <v>207</v>
      </c>
      <c r="C2527" s="3" t="s">
        <v>53</v>
      </c>
    </row>
    <row r="2528" spans="1:3" x14ac:dyDescent="0.2">
      <c r="A2528" s="3" t="s">
        <v>2518</v>
      </c>
      <c r="B2528" s="3" t="s">
        <v>229</v>
      </c>
      <c r="C2528" s="3" t="s">
        <v>54</v>
      </c>
    </row>
    <row r="2529" spans="1:3" x14ac:dyDescent="0.2">
      <c r="A2529" s="3" t="s">
        <v>2518</v>
      </c>
      <c r="B2529" s="3" t="s">
        <v>229</v>
      </c>
      <c r="C2529" s="3" t="s">
        <v>53</v>
      </c>
    </row>
    <row r="2530" spans="1:3" x14ac:dyDescent="0.2">
      <c r="A2530" s="3" t="s">
        <v>2506</v>
      </c>
      <c r="B2530" s="3" t="s">
        <v>1483</v>
      </c>
      <c r="C2530" s="3" t="s">
        <v>169</v>
      </c>
    </row>
    <row r="2531" spans="1:3" x14ac:dyDescent="0.2">
      <c r="A2531" s="3" t="s">
        <v>2519</v>
      </c>
      <c r="B2531" s="3" t="s">
        <v>1533</v>
      </c>
      <c r="C2531" s="3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9F78-C66E-4940-9A3A-B03CDDB71507}">
  <sheetPr codeName="Sheet9">
    <tabColor rgb="FFFFC000"/>
  </sheetPr>
  <dimension ref="A1:D6083"/>
  <sheetViews>
    <sheetView topLeftCell="A5307" workbookViewId="0">
      <selection activeCell="I5335" sqref="I5335"/>
    </sheetView>
  </sheetViews>
  <sheetFormatPr defaultRowHeight="12.75" x14ac:dyDescent="0.2"/>
  <cols>
    <col min="1" max="1" width="13.140625" bestFit="1" customWidth="1"/>
    <col min="2" max="2" width="18.28515625" bestFit="1" customWidth="1"/>
    <col min="3" max="3" width="13.140625" bestFit="1" customWidth="1"/>
    <col min="4" max="4" width="14.28515625" bestFit="1" customWidth="1"/>
    <col min="5" max="5" width="17.28515625" bestFit="1" customWidth="1"/>
  </cols>
  <sheetData>
    <row r="1" spans="1:4" x14ac:dyDescent="0.2">
      <c r="A1" t="s">
        <v>4</v>
      </c>
      <c r="B1" t="s">
        <v>5</v>
      </c>
      <c r="C1" t="s">
        <v>6</v>
      </c>
      <c r="D1" t="s">
        <v>2489</v>
      </c>
    </row>
    <row r="2" spans="1:4" x14ac:dyDescent="0.2">
      <c r="A2" s="3" t="s">
        <v>7</v>
      </c>
      <c r="B2" t="s">
        <v>8</v>
      </c>
      <c r="C2" s="3" t="s">
        <v>9</v>
      </c>
      <c r="D2" s="3" t="s">
        <v>10</v>
      </c>
    </row>
    <row r="3" spans="1:4" x14ac:dyDescent="0.2">
      <c r="A3" s="3" t="s">
        <v>7</v>
      </c>
      <c r="B3" t="s">
        <v>8</v>
      </c>
      <c r="C3" s="3" t="s">
        <v>9</v>
      </c>
      <c r="D3" s="3" t="s">
        <v>11</v>
      </c>
    </row>
    <row r="4" spans="1:4" x14ac:dyDescent="0.2">
      <c r="A4" s="3" t="s">
        <v>12</v>
      </c>
      <c r="B4" t="s">
        <v>8</v>
      </c>
      <c r="C4" s="3" t="s">
        <v>13</v>
      </c>
      <c r="D4" s="3" t="s">
        <v>11</v>
      </c>
    </row>
    <row r="5" spans="1:4" x14ac:dyDescent="0.2">
      <c r="A5" s="3" t="s">
        <v>14</v>
      </c>
      <c r="B5" t="s">
        <v>8</v>
      </c>
      <c r="C5" s="3" t="s">
        <v>13</v>
      </c>
      <c r="D5" s="3" t="s">
        <v>11</v>
      </c>
    </row>
    <row r="6" spans="1:4" x14ac:dyDescent="0.2">
      <c r="A6" s="3" t="s">
        <v>15</v>
      </c>
      <c r="B6" t="s">
        <v>8</v>
      </c>
      <c r="C6" s="3" t="s">
        <v>16</v>
      </c>
      <c r="D6" s="3" t="s">
        <v>10</v>
      </c>
    </row>
    <row r="7" spans="1:4" x14ac:dyDescent="0.2">
      <c r="A7" s="3" t="s">
        <v>15</v>
      </c>
      <c r="B7" t="s">
        <v>8</v>
      </c>
      <c r="C7" s="3" t="s">
        <v>16</v>
      </c>
      <c r="D7" s="3" t="s">
        <v>11</v>
      </c>
    </row>
    <row r="8" spans="1:4" x14ac:dyDescent="0.2">
      <c r="A8" s="3" t="s">
        <v>17</v>
      </c>
      <c r="B8" t="s">
        <v>8</v>
      </c>
      <c r="C8" s="3" t="s">
        <v>16</v>
      </c>
      <c r="D8" s="3" t="s">
        <v>10</v>
      </c>
    </row>
    <row r="9" spans="1:4" x14ac:dyDescent="0.2">
      <c r="A9" s="3" t="s">
        <v>17</v>
      </c>
      <c r="B9" t="s">
        <v>8</v>
      </c>
      <c r="C9" s="3" t="s">
        <v>16</v>
      </c>
      <c r="D9" s="3" t="s">
        <v>11</v>
      </c>
    </row>
    <row r="10" spans="1:4" x14ac:dyDescent="0.2">
      <c r="A10" s="3" t="s">
        <v>18</v>
      </c>
      <c r="B10" t="s">
        <v>8</v>
      </c>
      <c r="C10" s="3" t="s">
        <v>19</v>
      </c>
      <c r="D10" s="3" t="s">
        <v>10</v>
      </c>
    </row>
    <row r="11" spans="1:4" x14ac:dyDescent="0.2">
      <c r="A11" s="3" t="s">
        <v>18</v>
      </c>
      <c r="B11" t="s">
        <v>8</v>
      </c>
      <c r="C11" s="3" t="s">
        <v>20</v>
      </c>
      <c r="D11" s="3" t="s">
        <v>10</v>
      </c>
    </row>
    <row r="12" spans="1:4" x14ac:dyDescent="0.2">
      <c r="A12" s="3" t="s">
        <v>18</v>
      </c>
      <c r="B12" t="s">
        <v>8</v>
      </c>
      <c r="C12" s="3" t="s">
        <v>19</v>
      </c>
      <c r="D12" s="3" t="s">
        <v>11</v>
      </c>
    </row>
    <row r="13" spans="1:4" x14ac:dyDescent="0.2">
      <c r="A13" s="3" t="s">
        <v>18</v>
      </c>
      <c r="B13" t="s">
        <v>8</v>
      </c>
      <c r="C13" s="3" t="s">
        <v>21</v>
      </c>
      <c r="D13" s="3" t="s">
        <v>22</v>
      </c>
    </row>
    <row r="14" spans="1:4" x14ac:dyDescent="0.2">
      <c r="A14" s="3" t="s">
        <v>18</v>
      </c>
      <c r="B14" t="s">
        <v>8</v>
      </c>
      <c r="C14" s="3" t="s">
        <v>23</v>
      </c>
      <c r="D14" s="3" t="s">
        <v>22</v>
      </c>
    </row>
    <row r="15" spans="1:4" x14ac:dyDescent="0.2">
      <c r="A15" s="3" t="s">
        <v>24</v>
      </c>
      <c r="B15" t="s">
        <v>8</v>
      </c>
      <c r="C15" s="3" t="s">
        <v>19</v>
      </c>
      <c r="D15" s="3" t="s">
        <v>10</v>
      </c>
    </row>
    <row r="16" spans="1:4" x14ac:dyDescent="0.2">
      <c r="A16" s="3" t="s">
        <v>24</v>
      </c>
      <c r="B16" t="s">
        <v>8</v>
      </c>
      <c r="C16" s="3" t="s">
        <v>20</v>
      </c>
      <c r="D16" s="3" t="s">
        <v>10</v>
      </c>
    </row>
    <row r="17" spans="1:4" x14ac:dyDescent="0.2">
      <c r="A17" s="3" t="s">
        <v>24</v>
      </c>
      <c r="B17" t="s">
        <v>8</v>
      </c>
      <c r="C17" s="3" t="s">
        <v>19</v>
      </c>
      <c r="D17" s="3" t="s">
        <v>11</v>
      </c>
    </row>
    <row r="18" spans="1:4" x14ac:dyDescent="0.2">
      <c r="A18" s="3" t="s">
        <v>25</v>
      </c>
      <c r="B18" t="s">
        <v>8</v>
      </c>
      <c r="C18" s="3" t="s">
        <v>26</v>
      </c>
      <c r="D18" s="3" t="s">
        <v>10</v>
      </c>
    </row>
    <row r="19" spans="1:4" x14ac:dyDescent="0.2">
      <c r="A19" s="3" t="s">
        <v>25</v>
      </c>
      <c r="B19" t="s">
        <v>8</v>
      </c>
      <c r="C19" s="3" t="s">
        <v>27</v>
      </c>
      <c r="D19" s="3" t="s">
        <v>10</v>
      </c>
    </row>
    <row r="20" spans="1:4" x14ac:dyDescent="0.2">
      <c r="A20" s="3" t="s">
        <v>25</v>
      </c>
      <c r="B20" t="s">
        <v>8</v>
      </c>
      <c r="C20" s="3" t="s">
        <v>26</v>
      </c>
      <c r="D20" s="3" t="s">
        <v>11</v>
      </c>
    </row>
    <row r="21" spans="1:4" x14ac:dyDescent="0.2">
      <c r="A21" s="3" t="s">
        <v>28</v>
      </c>
      <c r="B21" t="s">
        <v>8</v>
      </c>
      <c r="C21" s="3" t="s">
        <v>29</v>
      </c>
      <c r="D21" s="3" t="s">
        <v>10</v>
      </c>
    </row>
    <row r="22" spans="1:4" x14ac:dyDescent="0.2">
      <c r="A22" s="3" t="s">
        <v>28</v>
      </c>
      <c r="B22" t="s">
        <v>8</v>
      </c>
      <c r="C22" s="3" t="s">
        <v>29</v>
      </c>
      <c r="D22" s="3" t="s">
        <v>11</v>
      </c>
    </row>
    <row r="23" spans="1:4" x14ac:dyDescent="0.2">
      <c r="A23" s="3" t="s">
        <v>30</v>
      </c>
      <c r="B23" t="s">
        <v>8</v>
      </c>
      <c r="C23" s="3" t="s">
        <v>19</v>
      </c>
      <c r="D23" s="3" t="s">
        <v>10</v>
      </c>
    </row>
    <row r="24" spans="1:4" x14ac:dyDescent="0.2">
      <c r="A24" s="3" t="s">
        <v>30</v>
      </c>
      <c r="B24" t="s">
        <v>8</v>
      </c>
      <c r="C24" s="3" t="s">
        <v>29</v>
      </c>
      <c r="D24" s="3" t="s">
        <v>10</v>
      </c>
    </row>
    <row r="25" spans="1:4" x14ac:dyDescent="0.2">
      <c r="A25" s="3" t="s">
        <v>30</v>
      </c>
      <c r="B25" t="s">
        <v>8</v>
      </c>
      <c r="C25" s="3" t="s">
        <v>20</v>
      </c>
      <c r="D25" s="3" t="s">
        <v>10</v>
      </c>
    </row>
    <row r="26" spans="1:4" x14ac:dyDescent="0.2">
      <c r="A26" s="3" t="s">
        <v>30</v>
      </c>
      <c r="B26" t="s">
        <v>8</v>
      </c>
      <c r="C26" s="3" t="s">
        <v>19</v>
      </c>
      <c r="D26" s="3" t="s">
        <v>11</v>
      </c>
    </row>
    <row r="27" spans="1:4" x14ac:dyDescent="0.2">
      <c r="A27" s="3" t="s">
        <v>30</v>
      </c>
      <c r="B27" t="s">
        <v>8</v>
      </c>
      <c r="C27" s="3" t="s">
        <v>29</v>
      </c>
      <c r="D27" s="3" t="s">
        <v>11</v>
      </c>
    </row>
    <row r="28" spans="1:4" x14ac:dyDescent="0.2">
      <c r="A28" s="3" t="s">
        <v>31</v>
      </c>
      <c r="B28" t="s">
        <v>8</v>
      </c>
      <c r="C28" s="3" t="s">
        <v>26</v>
      </c>
      <c r="D28" s="3" t="s">
        <v>10</v>
      </c>
    </row>
    <row r="29" spans="1:4" x14ac:dyDescent="0.2">
      <c r="A29" s="3" t="s">
        <v>31</v>
      </c>
      <c r="B29" t="s">
        <v>8</v>
      </c>
      <c r="C29" s="3" t="s">
        <v>26</v>
      </c>
      <c r="D29" s="3" t="s">
        <v>11</v>
      </c>
    </row>
    <row r="30" spans="1:4" x14ac:dyDescent="0.2">
      <c r="A30" s="3" t="s">
        <v>32</v>
      </c>
      <c r="B30" t="s">
        <v>8</v>
      </c>
      <c r="C30" s="3" t="s">
        <v>33</v>
      </c>
      <c r="D30" s="3" t="s">
        <v>10</v>
      </c>
    </row>
    <row r="31" spans="1:4" x14ac:dyDescent="0.2">
      <c r="A31" s="3" t="s">
        <v>32</v>
      </c>
      <c r="B31" t="s">
        <v>8</v>
      </c>
      <c r="C31" s="3" t="s">
        <v>33</v>
      </c>
      <c r="D31" s="3" t="s">
        <v>11</v>
      </c>
    </row>
    <row r="32" spans="1:4" x14ac:dyDescent="0.2">
      <c r="A32" s="3" t="s">
        <v>34</v>
      </c>
      <c r="B32" t="s">
        <v>8</v>
      </c>
      <c r="C32" s="3" t="s">
        <v>35</v>
      </c>
      <c r="D32" s="3" t="s">
        <v>10</v>
      </c>
    </row>
    <row r="33" spans="1:4" x14ac:dyDescent="0.2">
      <c r="A33" s="3" t="s">
        <v>34</v>
      </c>
      <c r="B33" t="s">
        <v>8</v>
      </c>
      <c r="C33" s="3" t="s">
        <v>36</v>
      </c>
      <c r="D33" s="3" t="s">
        <v>10</v>
      </c>
    </row>
    <row r="34" spans="1:4" x14ac:dyDescent="0.2">
      <c r="A34" s="3" t="s">
        <v>34</v>
      </c>
      <c r="B34" t="s">
        <v>8</v>
      </c>
      <c r="C34" s="3" t="s">
        <v>37</v>
      </c>
      <c r="D34" s="3" t="s">
        <v>10</v>
      </c>
    </row>
    <row r="35" spans="1:4" x14ac:dyDescent="0.2">
      <c r="A35" s="3" t="s">
        <v>34</v>
      </c>
      <c r="B35" t="s">
        <v>8</v>
      </c>
      <c r="C35" s="3" t="s">
        <v>38</v>
      </c>
      <c r="D35" s="3" t="s">
        <v>10</v>
      </c>
    </row>
    <row r="36" spans="1:4" x14ac:dyDescent="0.2">
      <c r="A36" s="3" t="s">
        <v>34</v>
      </c>
      <c r="B36" t="s">
        <v>8</v>
      </c>
      <c r="C36" s="3" t="s">
        <v>35</v>
      </c>
      <c r="D36" s="3" t="s">
        <v>11</v>
      </c>
    </row>
    <row r="37" spans="1:4" x14ac:dyDescent="0.2">
      <c r="A37" s="3" t="s">
        <v>34</v>
      </c>
      <c r="B37" t="s">
        <v>8</v>
      </c>
      <c r="C37" s="3" t="s">
        <v>37</v>
      </c>
      <c r="D37" s="3" t="s">
        <v>11</v>
      </c>
    </row>
    <row r="38" spans="1:4" x14ac:dyDescent="0.2">
      <c r="A38" s="3" t="s">
        <v>39</v>
      </c>
      <c r="B38" t="s">
        <v>8</v>
      </c>
      <c r="C38" s="3" t="s">
        <v>40</v>
      </c>
      <c r="D38" s="3" t="s">
        <v>11</v>
      </c>
    </row>
    <row r="39" spans="1:4" x14ac:dyDescent="0.2">
      <c r="A39" s="3" t="s">
        <v>41</v>
      </c>
      <c r="B39" t="s">
        <v>8</v>
      </c>
      <c r="C39" s="3" t="s">
        <v>42</v>
      </c>
      <c r="D39" s="3" t="s">
        <v>10</v>
      </c>
    </row>
    <row r="40" spans="1:4" x14ac:dyDescent="0.2">
      <c r="A40" s="3" t="s">
        <v>41</v>
      </c>
      <c r="B40" t="s">
        <v>8</v>
      </c>
      <c r="C40" s="3" t="s">
        <v>43</v>
      </c>
      <c r="D40" s="3" t="s">
        <v>10</v>
      </c>
    </row>
    <row r="41" spans="1:4" x14ac:dyDescent="0.2">
      <c r="A41" s="3" t="s">
        <v>41</v>
      </c>
      <c r="B41" t="s">
        <v>8</v>
      </c>
      <c r="C41" s="3" t="s">
        <v>42</v>
      </c>
      <c r="D41" s="3" t="s">
        <v>11</v>
      </c>
    </row>
    <row r="42" spans="1:4" x14ac:dyDescent="0.2">
      <c r="A42" s="3" t="s">
        <v>41</v>
      </c>
      <c r="B42" t="s">
        <v>8</v>
      </c>
      <c r="C42" s="3" t="s">
        <v>44</v>
      </c>
      <c r="D42" s="3" t="s">
        <v>11</v>
      </c>
    </row>
    <row r="43" spans="1:4" x14ac:dyDescent="0.2">
      <c r="A43" s="3" t="s">
        <v>41</v>
      </c>
      <c r="B43" t="s">
        <v>8</v>
      </c>
      <c r="C43" s="3" t="s">
        <v>45</v>
      </c>
      <c r="D43" s="3" t="s">
        <v>11</v>
      </c>
    </row>
    <row r="44" spans="1:4" x14ac:dyDescent="0.2">
      <c r="A44" s="3" t="s">
        <v>46</v>
      </c>
      <c r="B44" t="s">
        <v>8</v>
      </c>
      <c r="C44" s="3" t="s">
        <v>47</v>
      </c>
      <c r="D44" s="3" t="s">
        <v>10</v>
      </c>
    </row>
    <row r="45" spans="1:4" x14ac:dyDescent="0.2">
      <c r="A45" s="3" t="s">
        <v>46</v>
      </c>
      <c r="B45" t="s">
        <v>8</v>
      </c>
      <c r="C45" s="3" t="s">
        <v>48</v>
      </c>
      <c r="D45" s="3" t="s">
        <v>10</v>
      </c>
    </row>
    <row r="46" spans="1:4" x14ac:dyDescent="0.2">
      <c r="A46" s="3" t="s">
        <v>46</v>
      </c>
      <c r="B46" t="s">
        <v>8</v>
      </c>
      <c r="C46" s="3" t="s">
        <v>49</v>
      </c>
      <c r="D46" s="3" t="s">
        <v>11</v>
      </c>
    </row>
    <row r="47" spans="1:4" x14ac:dyDescent="0.2">
      <c r="A47" s="3" t="s">
        <v>46</v>
      </c>
      <c r="B47" t="s">
        <v>8</v>
      </c>
      <c r="C47" s="3" t="s">
        <v>50</v>
      </c>
      <c r="D47" s="3" t="s">
        <v>11</v>
      </c>
    </row>
    <row r="48" spans="1:4" x14ac:dyDescent="0.2">
      <c r="A48" s="3" t="s">
        <v>51</v>
      </c>
      <c r="B48" t="s">
        <v>8</v>
      </c>
      <c r="C48" s="3" t="s">
        <v>52</v>
      </c>
      <c r="D48" s="3" t="s">
        <v>53</v>
      </c>
    </row>
    <row r="49" spans="1:4" x14ac:dyDescent="0.2">
      <c r="A49" s="3" t="s">
        <v>51</v>
      </c>
      <c r="B49" t="s">
        <v>8</v>
      </c>
      <c r="C49" s="3" t="s">
        <v>52</v>
      </c>
      <c r="D49" s="3" t="s">
        <v>54</v>
      </c>
    </row>
    <row r="50" spans="1:4" x14ac:dyDescent="0.2">
      <c r="A50" s="3" t="s">
        <v>51</v>
      </c>
      <c r="B50" t="s">
        <v>8</v>
      </c>
      <c r="C50" s="3" t="s">
        <v>52</v>
      </c>
      <c r="D50" s="3" t="s">
        <v>55</v>
      </c>
    </row>
    <row r="51" spans="1:4" x14ac:dyDescent="0.2">
      <c r="A51" s="3" t="s">
        <v>51</v>
      </c>
      <c r="B51" t="s">
        <v>8</v>
      </c>
      <c r="C51" s="3" t="s">
        <v>52</v>
      </c>
      <c r="D51" s="3" t="s">
        <v>56</v>
      </c>
    </row>
    <row r="52" spans="1:4" x14ac:dyDescent="0.2">
      <c r="A52" s="3" t="s">
        <v>51</v>
      </c>
      <c r="B52" t="s">
        <v>8</v>
      </c>
      <c r="C52" s="3" t="s">
        <v>52</v>
      </c>
      <c r="D52" s="3" t="s">
        <v>57</v>
      </c>
    </row>
    <row r="53" spans="1:4" x14ac:dyDescent="0.2">
      <c r="A53" s="3" t="s">
        <v>51</v>
      </c>
      <c r="B53" t="s">
        <v>8</v>
      </c>
      <c r="C53" s="3" t="s">
        <v>58</v>
      </c>
      <c r="D53" s="3" t="s">
        <v>10</v>
      </c>
    </row>
    <row r="54" spans="1:4" x14ac:dyDescent="0.2">
      <c r="A54" s="3" t="s">
        <v>51</v>
      </c>
      <c r="B54" t="s">
        <v>8</v>
      </c>
      <c r="C54" s="3" t="s">
        <v>59</v>
      </c>
      <c r="D54" s="3" t="s">
        <v>10</v>
      </c>
    </row>
    <row r="55" spans="1:4" x14ac:dyDescent="0.2">
      <c r="A55" s="3" t="s">
        <v>51</v>
      </c>
      <c r="B55" t="s">
        <v>8</v>
      </c>
      <c r="C55" s="3" t="s">
        <v>60</v>
      </c>
      <c r="D55" s="3" t="s">
        <v>10</v>
      </c>
    </row>
    <row r="56" spans="1:4" x14ac:dyDescent="0.2">
      <c r="A56" s="3" t="s">
        <v>51</v>
      </c>
      <c r="B56" t="s">
        <v>8</v>
      </c>
      <c r="C56" s="3" t="s">
        <v>61</v>
      </c>
      <c r="D56" s="3" t="s">
        <v>10</v>
      </c>
    </row>
    <row r="57" spans="1:4" x14ac:dyDescent="0.2">
      <c r="A57" s="3" t="s">
        <v>51</v>
      </c>
      <c r="B57" t="s">
        <v>8</v>
      </c>
      <c r="C57" s="3" t="s">
        <v>62</v>
      </c>
      <c r="D57" s="3" t="s">
        <v>10</v>
      </c>
    </row>
    <row r="58" spans="1:4" x14ac:dyDescent="0.2">
      <c r="A58" s="3" t="s">
        <v>51</v>
      </c>
      <c r="B58" t="s">
        <v>8</v>
      </c>
      <c r="C58" s="3" t="s">
        <v>63</v>
      </c>
      <c r="D58" s="3" t="s">
        <v>10</v>
      </c>
    </row>
    <row r="59" spans="1:4" x14ac:dyDescent="0.2">
      <c r="A59" s="3" t="s">
        <v>51</v>
      </c>
      <c r="B59" t="s">
        <v>8</v>
      </c>
      <c r="C59" s="3" t="s">
        <v>58</v>
      </c>
      <c r="D59" s="3" t="s">
        <v>11</v>
      </c>
    </row>
    <row r="60" spans="1:4" x14ac:dyDescent="0.2">
      <c r="A60" s="3" t="s">
        <v>51</v>
      </c>
      <c r="B60" t="s">
        <v>8</v>
      </c>
      <c r="C60" s="3" t="s">
        <v>59</v>
      </c>
      <c r="D60" s="3" t="s">
        <v>11</v>
      </c>
    </row>
    <row r="61" spans="1:4" x14ac:dyDescent="0.2">
      <c r="A61" s="3" t="s">
        <v>51</v>
      </c>
      <c r="B61" t="s">
        <v>8</v>
      </c>
      <c r="C61" s="3" t="s">
        <v>64</v>
      </c>
      <c r="D61" s="3" t="s">
        <v>11</v>
      </c>
    </row>
    <row r="62" spans="1:4" x14ac:dyDescent="0.2">
      <c r="A62" s="3" t="s">
        <v>51</v>
      </c>
      <c r="B62" t="s">
        <v>8</v>
      </c>
      <c r="C62" s="3" t="s">
        <v>65</v>
      </c>
      <c r="D62" s="3" t="s">
        <v>11</v>
      </c>
    </row>
    <row r="63" spans="1:4" x14ac:dyDescent="0.2">
      <c r="A63" s="3" t="s">
        <v>66</v>
      </c>
      <c r="B63" t="s">
        <v>8</v>
      </c>
      <c r="C63" s="3" t="s">
        <v>60</v>
      </c>
      <c r="D63" s="3" t="s">
        <v>10</v>
      </c>
    </row>
    <row r="64" spans="1:4" x14ac:dyDescent="0.2">
      <c r="A64" s="3" t="s">
        <v>66</v>
      </c>
      <c r="B64" t="s">
        <v>8</v>
      </c>
      <c r="C64" s="3" t="s">
        <v>63</v>
      </c>
      <c r="D64" s="3" t="s">
        <v>10</v>
      </c>
    </row>
    <row r="65" spans="1:4" x14ac:dyDescent="0.2">
      <c r="A65" s="3" t="s">
        <v>67</v>
      </c>
      <c r="B65" t="s">
        <v>8</v>
      </c>
      <c r="C65" s="3" t="s">
        <v>60</v>
      </c>
      <c r="D65" s="3" t="s">
        <v>10</v>
      </c>
    </row>
    <row r="66" spans="1:4" x14ac:dyDescent="0.2">
      <c r="A66" s="3" t="s">
        <v>67</v>
      </c>
      <c r="B66" t="s">
        <v>8</v>
      </c>
      <c r="C66" s="3" t="s">
        <v>68</v>
      </c>
      <c r="D66" s="3" t="s">
        <v>10</v>
      </c>
    </row>
    <row r="67" spans="1:4" x14ac:dyDescent="0.2">
      <c r="A67" s="3" t="s">
        <v>67</v>
      </c>
      <c r="B67" t="s">
        <v>8</v>
      </c>
      <c r="C67" s="3" t="s">
        <v>63</v>
      </c>
      <c r="D67" s="3" t="s">
        <v>10</v>
      </c>
    </row>
    <row r="68" spans="1:4" x14ac:dyDescent="0.2">
      <c r="A68" s="3" t="s">
        <v>69</v>
      </c>
      <c r="B68" t="s">
        <v>8</v>
      </c>
      <c r="C68" s="3" t="s">
        <v>70</v>
      </c>
      <c r="D68" s="3" t="s">
        <v>10</v>
      </c>
    </row>
    <row r="69" spans="1:4" x14ac:dyDescent="0.2">
      <c r="A69" s="3" t="s">
        <v>69</v>
      </c>
      <c r="B69" t="s">
        <v>8</v>
      </c>
      <c r="C69" s="3" t="s">
        <v>71</v>
      </c>
      <c r="D69" s="3" t="s">
        <v>10</v>
      </c>
    </row>
    <row r="70" spans="1:4" x14ac:dyDescent="0.2">
      <c r="A70" s="3" t="s">
        <v>69</v>
      </c>
      <c r="B70" t="s">
        <v>8</v>
      </c>
      <c r="C70" s="3" t="s">
        <v>72</v>
      </c>
      <c r="D70" s="3" t="s">
        <v>10</v>
      </c>
    </row>
    <row r="71" spans="1:4" x14ac:dyDescent="0.2">
      <c r="A71" s="3" t="s">
        <v>69</v>
      </c>
      <c r="B71" t="s">
        <v>8</v>
      </c>
      <c r="C71" s="3" t="s">
        <v>73</v>
      </c>
      <c r="D71" s="3" t="s">
        <v>10</v>
      </c>
    </row>
    <row r="72" spans="1:4" x14ac:dyDescent="0.2">
      <c r="A72" s="3" t="s">
        <v>74</v>
      </c>
      <c r="B72" t="s">
        <v>8</v>
      </c>
      <c r="C72" s="3" t="s">
        <v>75</v>
      </c>
      <c r="D72" s="3" t="s">
        <v>10</v>
      </c>
    </row>
    <row r="73" spans="1:4" x14ac:dyDescent="0.2">
      <c r="A73" s="3" t="s">
        <v>74</v>
      </c>
      <c r="B73" t="s">
        <v>8</v>
      </c>
      <c r="C73" s="3" t="s">
        <v>76</v>
      </c>
      <c r="D73" s="3" t="s">
        <v>10</v>
      </c>
    </row>
    <row r="74" spans="1:4" x14ac:dyDescent="0.2">
      <c r="A74" s="3" t="s">
        <v>77</v>
      </c>
      <c r="B74" t="s">
        <v>8</v>
      </c>
      <c r="C74" s="3" t="s">
        <v>78</v>
      </c>
      <c r="D74" s="3" t="s">
        <v>10</v>
      </c>
    </row>
    <row r="75" spans="1:4" x14ac:dyDescent="0.2">
      <c r="A75" s="3" t="s">
        <v>77</v>
      </c>
      <c r="B75" t="s">
        <v>8</v>
      </c>
      <c r="C75" s="3" t="s">
        <v>9</v>
      </c>
      <c r="D75" s="3" t="s">
        <v>10</v>
      </c>
    </row>
    <row r="76" spans="1:4" x14ac:dyDescent="0.2">
      <c r="A76" s="3" t="s">
        <v>77</v>
      </c>
      <c r="B76" t="s">
        <v>8</v>
      </c>
      <c r="C76" s="3" t="s">
        <v>79</v>
      </c>
      <c r="D76" s="3" t="s">
        <v>10</v>
      </c>
    </row>
    <row r="77" spans="1:4" x14ac:dyDescent="0.2">
      <c r="A77" s="3" t="s">
        <v>77</v>
      </c>
      <c r="B77" t="s">
        <v>8</v>
      </c>
      <c r="C77" s="3" t="s">
        <v>80</v>
      </c>
      <c r="D77" s="3" t="s">
        <v>10</v>
      </c>
    </row>
    <row r="78" spans="1:4" x14ac:dyDescent="0.2">
      <c r="A78" s="3" t="s">
        <v>77</v>
      </c>
      <c r="B78" t="s">
        <v>8</v>
      </c>
      <c r="C78" s="3" t="s">
        <v>78</v>
      </c>
      <c r="D78" s="3" t="s">
        <v>11</v>
      </c>
    </row>
    <row r="79" spans="1:4" x14ac:dyDescent="0.2">
      <c r="A79" s="3" t="s">
        <v>77</v>
      </c>
      <c r="B79" t="s">
        <v>8</v>
      </c>
      <c r="C79" s="3" t="s">
        <v>9</v>
      </c>
      <c r="D79" s="3" t="s">
        <v>11</v>
      </c>
    </row>
    <row r="80" spans="1:4" x14ac:dyDescent="0.2">
      <c r="A80" s="3" t="s">
        <v>81</v>
      </c>
      <c r="B80" t="s">
        <v>8</v>
      </c>
      <c r="C80" s="3" t="s">
        <v>82</v>
      </c>
      <c r="D80" s="3" t="s">
        <v>10</v>
      </c>
    </row>
    <row r="81" spans="1:4" x14ac:dyDescent="0.2">
      <c r="A81" s="3" t="s">
        <v>81</v>
      </c>
      <c r="B81" t="s">
        <v>8</v>
      </c>
      <c r="C81" s="3" t="s">
        <v>83</v>
      </c>
      <c r="D81" s="3" t="s">
        <v>10</v>
      </c>
    </row>
    <row r="82" spans="1:4" x14ac:dyDescent="0.2">
      <c r="A82" s="3" t="s">
        <v>81</v>
      </c>
      <c r="B82" t="s">
        <v>8</v>
      </c>
      <c r="C82" s="3" t="s">
        <v>84</v>
      </c>
      <c r="D82" s="3" t="s">
        <v>10</v>
      </c>
    </row>
    <row r="83" spans="1:4" x14ac:dyDescent="0.2">
      <c r="A83" s="3" t="s">
        <v>81</v>
      </c>
      <c r="B83" t="s">
        <v>8</v>
      </c>
      <c r="C83" s="3" t="s">
        <v>85</v>
      </c>
      <c r="D83" s="3" t="s">
        <v>10</v>
      </c>
    </row>
    <row r="84" spans="1:4" x14ac:dyDescent="0.2">
      <c r="A84" s="3" t="s">
        <v>81</v>
      </c>
      <c r="B84" t="s">
        <v>8</v>
      </c>
      <c r="C84" s="3" t="s">
        <v>82</v>
      </c>
      <c r="D84" s="3" t="s">
        <v>11</v>
      </c>
    </row>
    <row r="85" spans="1:4" x14ac:dyDescent="0.2">
      <c r="A85" s="3" t="s">
        <v>81</v>
      </c>
      <c r="B85" t="s">
        <v>8</v>
      </c>
      <c r="C85" s="3" t="s">
        <v>83</v>
      </c>
      <c r="D85" s="3" t="s">
        <v>11</v>
      </c>
    </row>
    <row r="86" spans="1:4" x14ac:dyDescent="0.2">
      <c r="A86" s="3" t="s">
        <v>81</v>
      </c>
      <c r="B86" t="s">
        <v>8</v>
      </c>
      <c r="C86" s="3" t="s">
        <v>86</v>
      </c>
      <c r="D86" s="3" t="s">
        <v>11</v>
      </c>
    </row>
    <row r="87" spans="1:4" x14ac:dyDescent="0.2">
      <c r="A87" s="3" t="s">
        <v>87</v>
      </c>
      <c r="B87" t="s">
        <v>8</v>
      </c>
      <c r="C87" s="3" t="s">
        <v>88</v>
      </c>
      <c r="D87" s="3" t="s">
        <v>10</v>
      </c>
    </row>
    <row r="88" spans="1:4" x14ac:dyDescent="0.2">
      <c r="A88" s="3" t="s">
        <v>87</v>
      </c>
      <c r="B88" t="s">
        <v>8</v>
      </c>
      <c r="C88" s="3" t="s">
        <v>89</v>
      </c>
      <c r="D88" s="3" t="s">
        <v>10</v>
      </c>
    </row>
    <row r="89" spans="1:4" x14ac:dyDescent="0.2">
      <c r="A89" s="3" t="s">
        <v>87</v>
      </c>
      <c r="B89" t="s">
        <v>8</v>
      </c>
      <c r="C89" s="3" t="s">
        <v>90</v>
      </c>
      <c r="D89" s="3" t="s">
        <v>10</v>
      </c>
    </row>
    <row r="90" spans="1:4" x14ac:dyDescent="0.2">
      <c r="A90" s="3" t="s">
        <v>87</v>
      </c>
      <c r="B90" t="s">
        <v>8</v>
      </c>
      <c r="C90" s="3" t="s">
        <v>91</v>
      </c>
      <c r="D90" s="3" t="s">
        <v>10</v>
      </c>
    </row>
    <row r="91" spans="1:4" x14ac:dyDescent="0.2">
      <c r="A91" s="3" t="s">
        <v>87</v>
      </c>
      <c r="B91" t="s">
        <v>8</v>
      </c>
      <c r="C91" s="3" t="s">
        <v>92</v>
      </c>
      <c r="D91" s="3" t="s">
        <v>10</v>
      </c>
    </row>
    <row r="92" spans="1:4" x14ac:dyDescent="0.2">
      <c r="A92" s="3" t="s">
        <v>87</v>
      </c>
      <c r="B92" t="s">
        <v>8</v>
      </c>
      <c r="C92" s="3" t="s">
        <v>93</v>
      </c>
      <c r="D92" s="3" t="s">
        <v>10</v>
      </c>
    </row>
    <row r="93" spans="1:4" x14ac:dyDescent="0.2">
      <c r="A93" s="3" t="s">
        <v>87</v>
      </c>
      <c r="B93" t="s">
        <v>8</v>
      </c>
      <c r="C93" s="3" t="s">
        <v>94</v>
      </c>
      <c r="D93" s="3" t="s">
        <v>10</v>
      </c>
    </row>
    <row r="94" spans="1:4" x14ac:dyDescent="0.2">
      <c r="A94" s="3" t="s">
        <v>87</v>
      </c>
      <c r="B94" t="s">
        <v>8</v>
      </c>
      <c r="C94" s="3" t="s">
        <v>95</v>
      </c>
      <c r="D94" s="3" t="s">
        <v>10</v>
      </c>
    </row>
    <row r="95" spans="1:4" x14ac:dyDescent="0.2">
      <c r="A95" s="3" t="s">
        <v>87</v>
      </c>
      <c r="B95" t="s">
        <v>8</v>
      </c>
      <c r="C95" s="3" t="s">
        <v>90</v>
      </c>
      <c r="D95" s="3" t="s">
        <v>11</v>
      </c>
    </row>
    <row r="96" spans="1:4" x14ac:dyDescent="0.2">
      <c r="A96" s="3" t="s">
        <v>87</v>
      </c>
      <c r="B96" t="s">
        <v>8</v>
      </c>
      <c r="C96" s="3" t="s">
        <v>91</v>
      </c>
      <c r="D96" s="3" t="s">
        <v>11</v>
      </c>
    </row>
    <row r="97" spans="1:4" x14ac:dyDescent="0.2">
      <c r="A97" s="3" t="s">
        <v>87</v>
      </c>
      <c r="B97" t="s">
        <v>8</v>
      </c>
      <c r="C97" s="3" t="s">
        <v>96</v>
      </c>
      <c r="D97" s="3" t="s">
        <v>11</v>
      </c>
    </row>
    <row r="98" spans="1:4" x14ac:dyDescent="0.2">
      <c r="A98" s="3" t="s">
        <v>87</v>
      </c>
      <c r="B98" t="s">
        <v>8</v>
      </c>
      <c r="C98" s="3" t="s">
        <v>97</v>
      </c>
      <c r="D98" s="3" t="s">
        <v>11</v>
      </c>
    </row>
    <row r="99" spans="1:4" x14ac:dyDescent="0.2">
      <c r="A99" s="3" t="s">
        <v>87</v>
      </c>
      <c r="B99" t="s">
        <v>8</v>
      </c>
      <c r="C99" s="3" t="s">
        <v>98</v>
      </c>
      <c r="D99" s="3" t="s">
        <v>11</v>
      </c>
    </row>
    <row r="100" spans="1:4" x14ac:dyDescent="0.2">
      <c r="A100" s="3" t="s">
        <v>99</v>
      </c>
      <c r="B100" t="s">
        <v>8</v>
      </c>
      <c r="C100" s="3" t="s">
        <v>100</v>
      </c>
      <c r="D100" s="3" t="s">
        <v>10</v>
      </c>
    </row>
    <row r="101" spans="1:4" x14ac:dyDescent="0.2">
      <c r="A101" s="3" t="s">
        <v>99</v>
      </c>
      <c r="B101" t="s">
        <v>8</v>
      </c>
      <c r="C101" s="3" t="s">
        <v>101</v>
      </c>
      <c r="D101" s="3" t="s">
        <v>10</v>
      </c>
    </row>
    <row r="102" spans="1:4" x14ac:dyDescent="0.2">
      <c r="A102" s="3" t="s">
        <v>99</v>
      </c>
      <c r="B102" t="s">
        <v>8</v>
      </c>
      <c r="C102" s="3" t="s">
        <v>102</v>
      </c>
      <c r="D102" s="3" t="s">
        <v>10</v>
      </c>
    </row>
    <row r="103" spans="1:4" x14ac:dyDescent="0.2">
      <c r="A103" s="3" t="s">
        <v>99</v>
      </c>
      <c r="B103" t="s">
        <v>8</v>
      </c>
      <c r="C103" s="3" t="s">
        <v>103</v>
      </c>
      <c r="D103" s="3" t="s">
        <v>10</v>
      </c>
    </row>
    <row r="104" spans="1:4" x14ac:dyDescent="0.2">
      <c r="A104" s="3" t="s">
        <v>99</v>
      </c>
      <c r="B104" t="s">
        <v>8</v>
      </c>
      <c r="C104" s="3" t="s">
        <v>104</v>
      </c>
      <c r="D104" s="3" t="s">
        <v>10</v>
      </c>
    </row>
    <row r="105" spans="1:4" x14ac:dyDescent="0.2">
      <c r="A105" s="3" t="s">
        <v>99</v>
      </c>
      <c r="B105" t="s">
        <v>8</v>
      </c>
      <c r="C105" s="3" t="s">
        <v>105</v>
      </c>
      <c r="D105" s="3" t="s">
        <v>10</v>
      </c>
    </row>
    <row r="106" spans="1:4" x14ac:dyDescent="0.2">
      <c r="A106" s="3" t="s">
        <v>99</v>
      </c>
      <c r="B106" t="s">
        <v>8</v>
      </c>
      <c r="C106" s="3" t="s">
        <v>106</v>
      </c>
      <c r="D106" s="3" t="s">
        <v>10</v>
      </c>
    </row>
    <row r="107" spans="1:4" x14ac:dyDescent="0.2">
      <c r="A107" s="3" t="s">
        <v>99</v>
      </c>
      <c r="B107" t="s">
        <v>8</v>
      </c>
      <c r="C107" s="3" t="s">
        <v>107</v>
      </c>
      <c r="D107" s="3" t="s">
        <v>10</v>
      </c>
    </row>
    <row r="108" spans="1:4" x14ac:dyDescent="0.2">
      <c r="A108" s="3" t="s">
        <v>99</v>
      </c>
      <c r="B108" t="s">
        <v>8</v>
      </c>
      <c r="C108" s="3" t="s">
        <v>108</v>
      </c>
      <c r="D108" s="3" t="s">
        <v>10</v>
      </c>
    </row>
    <row r="109" spans="1:4" x14ac:dyDescent="0.2">
      <c r="A109" s="3" t="s">
        <v>99</v>
      </c>
      <c r="B109" t="s">
        <v>8</v>
      </c>
      <c r="C109" s="3" t="s">
        <v>109</v>
      </c>
      <c r="D109" s="3" t="s">
        <v>10</v>
      </c>
    </row>
    <row r="110" spans="1:4" x14ac:dyDescent="0.2">
      <c r="A110" s="3" t="s">
        <v>99</v>
      </c>
      <c r="B110" t="s">
        <v>8</v>
      </c>
      <c r="C110" s="3" t="s">
        <v>110</v>
      </c>
      <c r="D110" s="3" t="s">
        <v>10</v>
      </c>
    </row>
    <row r="111" spans="1:4" x14ac:dyDescent="0.2">
      <c r="A111" s="3" t="s">
        <v>99</v>
      </c>
      <c r="B111" t="s">
        <v>8</v>
      </c>
      <c r="C111" s="3" t="s">
        <v>111</v>
      </c>
      <c r="D111" s="3" t="s">
        <v>10</v>
      </c>
    </row>
    <row r="112" spans="1:4" x14ac:dyDescent="0.2">
      <c r="A112" s="3" t="s">
        <v>99</v>
      </c>
      <c r="B112" t="s">
        <v>8</v>
      </c>
      <c r="C112" s="3" t="s">
        <v>112</v>
      </c>
      <c r="D112" s="3" t="s">
        <v>10</v>
      </c>
    </row>
    <row r="113" spans="1:4" x14ac:dyDescent="0.2">
      <c r="A113" s="3" t="s">
        <v>99</v>
      </c>
      <c r="B113" t="s">
        <v>8</v>
      </c>
      <c r="C113" s="3" t="s">
        <v>113</v>
      </c>
      <c r="D113" s="3" t="s">
        <v>10</v>
      </c>
    </row>
    <row r="114" spans="1:4" x14ac:dyDescent="0.2">
      <c r="A114" s="3" t="s">
        <v>99</v>
      </c>
      <c r="B114" t="s">
        <v>8</v>
      </c>
      <c r="C114" s="3" t="s">
        <v>114</v>
      </c>
      <c r="D114" s="3" t="s">
        <v>10</v>
      </c>
    </row>
    <row r="115" spans="1:4" x14ac:dyDescent="0.2">
      <c r="A115" s="3" t="s">
        <v>99</v>
      </c>
      <c r="B115" t="s">
        <v>8</v>
      </c>
      <c r="C115" s="3" t="s">
        <v>115</v>
      </c>
      <c r="D115" s="3" t="s">
        <v>10</v>
      </c>
    </row>
    <row r="116" spans="1:4" x14ac:dyDescent="0.2">
      <c r="A116" s="3" t="s">
        <v>99</v>
      </c>
      <c r="B116" t="s">
        <v>8</v>
      </c>
      <c r="C116" s="3" t="s">
        <v>104</v>
      </c>
      <c r="D116" s="3" t="s">
        <v>11</v>
      </c>
    </row>
    <row r="117" spans="1:4" x14ac:dyDescent="0.2">
      <c r="A117" s="3" t="s">
        <v>99</v>
      </c>
      <c r="B117" t="s">
        <v>8</v>
      </c>
      <c r="C117" s="3" t="s">
        <v>105</v>
      </c>
      <c r="D117" s="3" t="s">
        <v>11</v>
      </c>
    </row>
    <row r="118" spans="1:4" x14ac:dyDescent="0.2">
      <c r="A118" s="3" t="s">
        <v>116</v>
      </c>
      <c r="B118" t="s">
        <v>8</v>
      </c>
      <c r="C118" s="3" t="s">
        <v>117</v>
      </c>
      <c r="D118" s="3" t="s">
        <v>10</v>
      </c>
    </row>
    <row r="119" spans="1:4" x14ac:dyDescent="0.2">
      <c r="A119" s="3" t="s">
        <v>116</v>
      </c>
      <c r="B119" t="s">
        <v>8</v>
      </c>
      <c r="C119" s="3" t="s">
        <v>118</v>
      </c>
      <c r="D119" s="3" t="s">
        <v>10</v>
      </c>
    </row>
    <row r="120" spans="1:4" x14ac:dyDescent="0.2">
      <c r="A120" s="3" t="s">
        <v>116</v>
      </c>
      <c r="B120" t="s">
        <v>8</v>
      </c>
      <c r="C120" s="3" t="s">
        <v>119</v>
      </c>
      <c r="D120" s="3" t="s">
        <v>10</v>
      </c>
    </row>
    <row r="121" spans="1:4" x14ac:dyDescent="0.2">
      <c r="A121" s="3" t="s">
        <v>116</v>
      </c>
      <c r="B121" t="s">
        <v>8</v>
      </c>
      <c r="C121" s="3" t="s">
        <v>120</v>
      </c>
      <c r="D121" s="3" t="s">
        <v>10</v>
      </c>
    </row>
    <row r="122" spans="1:4" x14ac:dyDescent="0.2">
      <c r="A122" s="3" t="s">
        <v>116</v>
      </c>
      <c r="B122" t="s">
        <v>8</v>
      </c>
      <c r="C122" s="3" t="s">
        <v>118</v>
      </c>
      <c r="D122" s="3" t="s">
        <v>11</v>
      </c>
    </row>
    <row r="123" spans="1:4" x14ac:dyDescent="0.2">
      <c r="A123" s="3" t="s">
        <v>116</v>
      </c>
      <c r="B123" t="s">
        <v>8</v>
      </c>
      <c r="C123" s="3" t="s">
        <v>121</v>
      </c>
      <c r="D123" s="3" t="s">
        <v>11</v>
      </c>
    </row>
    <row r="124" spans="1:4" x14ac:dyDescent="0.2">
      <c r="A124" s="3" t="s">
        <v>116</v>
      </c>
      <c r="B124" t="s">
        <v>8</v>
      </c>
      <c r="C124" s="3" t="s">
        <v>122</v>
      </c>
      <c r="D124" s="3" t="s">
        <v>11</v>
      </c>
    </row>
    <row r="125" spans="1:4" x14ac:dyDescent="0.2">
      <c r="A125" s="3" t="s">
        <v>123</v>
      </c>
      <c r="B125" t="s">
        <v>8</v>
      </c>
      <c r="C125" s="3" t="s">
        <v>124</v>
      </c>
      <c r="D125" s="3" t="s">
        <v>10</v>
      </c>
    </row>
    <row r="126" spans="1:4" x14ac:dyDescent="0.2">
      <c r="A126" s="3" t="s">
        <v>123</v>
      </c>
      <c r="B126" t="s">
        <v>8</v>
      </c>
      <c r="C126" s="3" t="s">
        <v>125</v>
      </c>
      <c r="D126" s="3" t="s">
        <v>10</v>
      </c>
    </row>
    <row r="127" spans="1:4" x14ac:dyDescent="0.2">
      <c r="A127" s="3" t="s">
        <v>123</v>
      </c>
      <c r="B127" t="s">
        <v>8</v>
      </c>
      <c r="C127" s="3" t="s">
        <v>124</v>
      </c>
      <c r="D127" s="3" t="s">
        <v>11</v>
      </c>
    </row>
    <row r="128" spans="1:4" x14ac:dyDescent="0.2">
      <c r="A128" s="3" t="s">
        <v>123</v>
      </c>
      <c r="B128" t="s">
        <v>8</v>
      </c>
      <c r="C128" s="3" t="s">
        <v>126</v>
      </c>
      <c r="D128" s="3" t="s">
        <v>11</v>
      </c>
    </row>
    <row r="129" spans="1:4" x14ac:dyDescent="0.2">
      <c r="A129" s="3" t="s">
        <v>123</v>
      </c>
      <c r="B129" t="s">
        <v>8</v>
      </c>
      <c r="C129" s="3" t="s">
        <v>127</v>
      </c>
      <c r="D129" s="3" t="s">
        <v>11</v>
      </c>
    </row>
    <row r="130" spans="1:4" x14ac:dyDescent="0.2">
      <c r="A130" s="3" t="s">
        <v>128</v>
      </c>
      <c r="B130" t="s">
        <v>8</v>
      </c>
      <c r="C130" s="3" t="s">
        <v>117</v>
      </c>
      <c r="D130" s="3" t="s">
        <v>10</v>
      </c>
    </row>
    <row r="131" spans="1:4" x14ac:dyDescent="0.2">
      <c r="A131" s="3" t="s">
        <v>128</v>
      </c>
      <c r="B131" t="s">
        <v>8</v>
      </c>
      <c r="C131" s="3" t="s">
        <v>118</v>
      </c>
      <c r="D131" s="3" t="s">
        <v>10</v>
      </c>
    </row>
    <row r="132" spans="1:4" x14ac:dyDescent="0.2">
      <c r="A132" s="3" t="s">
        <v>128</v>
      </c>
      <c r="B132" t="s">
        <v>8</v>
      </c>
      <c r="C132" s="3" t="s">
        <v>119</v>
      </c>
      <c r="D132" s="3" t="s">
        <v>10</v>
      </c>
    </row>
    <row r="133" spans="1:4" x14ac:dyDescent="0.2">
      <c r="A133" s="3" t="s">
        <v>128</v>
      </c>
      <c r="B133" t="s">
        <v>8</v>
      </c>
      <c r="C133" s="3" t="s">
        <v>120</v>
      </c>
      <c r="D133" s="3" t="s">
        <v>10</v>
      </c>
    </row>
    <row r="134" spans="1:4" x14ac:dyDescent="0.2">
      <c r="A134" s="3" t="s">
        <v>128</v>
      </c>
      <c r="B134" t="s">
        <v>8</v>
      </c>
      <c r="C134" s="3" t="s">
        <v>118</v>
      </c>
      <c r="D134" s="3" t="s">
        <v>11</v>
      </c>
    </row>
    <row r="135" spans="1:4" x14ac:dyDescent="0.2">
      <c r="A135" s="3" t="s">
        <v>128</v>
      </c>
      <c r="B135" t="s">
        <v>8</v>
      </c>
      <c r="C135" s="3" t="s">
        <v>122</v>
      </c>
      <c r="D135" s="3" t="s">
        <v>11</v>
      </c>
    </row>
    <row r="136" spans="1:4" x14ac:dyDescent="0.2">
      <c r="A136" s="3" t="s">
        <v>129</v>
      </c>
      <c r="B136" t="s">
        <v>8</v>
      </c>
      <c r="C136" s="3" t="s">
        <v>130</v>
      </c>
      <c r="D136" s="3" t="s">
        <v>11</v>
      </c>
    </row>
    <row r="137" spans="1:4" x14ac:dyDescent="0.2">
      <c r="A137" s="3" t="s">
        <v>131</v>
      </c>
      <c r="B137" t="s">
        <v>8</v>
      </c>
      <c r="C137" s="3" t="s">
        <v>132</v>
      </c>
      <c r="D137" s="3" t="s">
        <v>10</v>
      </c>
    </row>
    <row r="138" spans="1:4" x14ac:dyDescent="0.2">
      <c r="A138" s="3" t="s">
        <v>133</v>
      </c>
      <c r="B138" t="s">
        <v>8</v>
      </c>
      <c r="C138" s="3" t="s">
        <v>134</v>
      </c>
      <c r="D138" s="3" t="s">
        <v>10</v>
      </c>
    </row>
    <row r="139" spans="1:4" x14ac:dyDescent="0.2">
      <c r="A139" s="3" t="s">
        <v>133</v>
      </c>
      <c r="B139" t="s">
        <v>8</v>
      </c>
      <c r="C139" s="3" t="s">
        <v>135</v>
      </c>
      <c r="D139" s="3" t="s">
        <v>10</v>
      </c>
    </row>
    <row r="140" spans="1:4" x14ac:dyDescent="0.2">
      <c r="A140" s="3" t="s">
        <v>133</v>
      </c>
      <c r="B140" t="s">
        <v>8</v>
      </c>
      <c r="C140" s="3" t="s">
        <v>136</v>
      </c>
      <c r="D140" s="3" t="s">
        <v>10</v>
      </c>
    </row>
    <row r="141" spans="1:4" x14ac:dyDescent="0.2">
      <c r="A141" s="3" t="s">
        <v>137</v>
      </c>
      <c r="B141" t="s">
        <v>8</v>
      </c>
      <c r="C141" s="3" t="s">
        <v>138</v>
      </c>
      <c r="D141" s="3" t="s">
        <v>11</v>
      </c>
    </row>
    <row r="142" spans="1:4" x14ac:dyDescent="0.2">
      <c r="A142" s="3" t="s">
        <v>137</v>
      </c>
      <c r="B142" t="s">
        <v>8</v>
      </c>
      <c r="C142" s="3" t="s">
        <v>139</v>
      </c>
      <c r="D142" s="3" t="s">
        <v>11</v>
      </c>
    </row>
    <row r="143" spans="1:4" x14ac:dyDescent="0.2">
      <c r="A143" s="3" t="s">
        <v>140</v>
      </c>
      <c r="B143" t="s">
        <v>8</v>
      </c>
      <c r="C143" s="3" t="s">
        <v>141</v>
      </c>
      <c r="D143" s="3" t="s">
        <v>10</v>
      </c>
    </row>
    <row r="144" spans="1:4" x14ac:dyDescent="0.2">
      <c r="A144" s="3" t="s">
        <v>140</v>
      </c>
      <c r="B144" t="s">
        <v>8</v>
      </c>
      <c r="C144" s="3" t="s">
        <v>142</v>
      </c>
      <c r="D144" s="3" t="s">
        <v>11</v>
      </c>
    </row>
    <row r="145" spans="1:4" x14ac:dyDescent="0.2">
      <c r="A145" s="3" t="s">
        <v>140</v>
      </c>
      <c r="B145" t="s">
        <v>8</v>
      </c>
      <c r="C145" s="3" t="s">
        <v>141</v>
      </c>
      <c r="D145" s="3" t="s">
        <v>11</v>
      </c>
    </row>
    <row r="146" spans="1:4" x14ac:dyDescent="0.2">
      <c r="A146" s="3" t="s">
        <v>143</v>
      </c>
      <c r="B146" t="s">
        <v>8</v>
      </c>
      <c r="C146" s="3" t="s">
        <v>144</v>
      </c>
      <c r="D146" s="3" t="s">
        <v>11</v>
      </c>
    </row>
    <row r="147" spans="1:4" x14ac:dyDescent="0.2">
      <c r="A147" s="3" t="s">
        <v>145</v>
      </c>
      <c r="B147" t="s">
        <v>8</v>
      </c>
      <c r="C147" s="3" t="s">
        <v>146</v>
      </c>
      <c r="D147" s="3" t="s">
        <v>10</v>
      </c>
    </row>
    <row r="148" spans="1:4" x14ac:dyDescent="0.2">
      <c r="A148" s="3" t="s">
        <v>145</v>
      </c>
      <c r="B148" t="s">
        <v>8</v>
      </c>
      <c r="C148" s="3" t="s">
        <v>147</v>
      </c>
      <c r="D148" s="3" t="s">
        <v>10</v>
      </c>
    </row>
    <row r="149" spans="1:4" x14ac:dyDescent="0.2">
      <c r="A149" s="3" t="s">
        <v>148</v>
      </c>
      <c r="B149" t="s">
        <v>8</v>
      </c>
      <c r="C149" s="3" t="s">
        <v>149</v>
      </c>
      <c r="D149" s="3" t="s">
        <v>53</v>
      </c>
    </row>
    <row r="150" spans="1:4" x14ac:dyDescent="0.2">
      <c r="A150" s="3" t="s">
        <v>148</v>
      </c>
      <c r="B150" t="s">
        <v>8</v>
      </c>
      <c r="C150" s="3" t="s">
        <v>149</v>
      </c>
      <c r="D150" s="3" t="s">
        <v>54</v>
      </c>
    </row>
    <row r="151" spans="1:4" x14ac:dyDescent="0.2">
      <c r="A151" s="3" t="s">
        <v>148</v>
      </c>
      <c r="B151" t="s">
        <v>8</v>
      </c>
      <c r="C151" s="3" t="s">
        <v>149</v>
      </c>
      <c r="D151" s="3" t="s">
        <v>55</v>
      </c>
    </row>
    <row r="152" spans="1:4" x14ac:dyDescent="0.2">
      <c r="A152" s="3" t="s">
        <v>148</v>
      </c>
      <c r="B152" t="s">
        <v>8</v>
      </c>
      <c r="C152" s="3" t="s">
        <v>149</v>
      </c>
      <c r="D152" s="3" t="s">
        <v>56</v>
      </c>
    </row>
    <row r="153" spans="1:4" x14ac:dyDescent="0.2">
      <c r="A153" s="3" t="s">
        <v>148</v>
      </c>
      <c r="B153" t="s">
        <v>8</v>
      </c>
      <c r="C153" s="3" t="s">
        <v>149</v>
      </c>
      <c r="D153" s="3" t="s">
        <v>57</v>
      </c>
    </row>
    <row r="154" spans="1:4" x14ac:dyDescent="0.2">
      <c r="A154" s="3" t="s">
        <v>148</v>
      </c>
      <c r="B154" t="s">
        <v>8</v>
      </c>
      <c r="C154" s="3" t="s">
        <v>150</v>
      </c>
      <c r="D154" s="3" t="s">
        <v>10</v>
      </c>
    </row>
    <row r="155" spans="1:4" x14ac:dyDescent="0.2">
      <c r="A155" s="3" t="s">
        <v>148</v>
      </c>
      <c r="B155" t="s">
        <v>8</v>
      </c>
      <c r="C155" s="3" t="s">
        <v>150</v>
      </c>
      <c r="D155" s="3" t="s">
        <v>11</v>
      </c>
    </row>
    <row r="156" spans="1:4" x14ac:dyDescent="0.2">
      <c r="A156" s="3" t="s">
        <v>151</v>
      </c>
      <c r="B156" t="s">
        <v>8</v>
      </c>
      <c r="C156" s="3" t="s">
        <v>150</v>
      </c>
      <c r="D156" s="3" t="s">
        <v>10</v>
      </c>
    </row>
    <row r="157" spans="1:4" x14ac:dyDescent="0.2">
      <c r="A157" s="3" t="s">
        <v>151</v>
      </c>
      <c r="B157" t="s">
        <v>8</v>
      </c>
      <c r="C157" s="3" t="s">
        <v>150</v>
      </c>
      <c r="D157" s="3" t="s">
        <v>11</v>
      </c>
    </row>
    <row r="158" spans="1:4" x14ac:dyDescent="0.2">
      <c r="A158" s="3" t="s">
        <v>152</v>
      </c>
      <c r="B158" t="s">
        <v>8</v>
      </c>
      <c r="C158" s="3" t="s">
        <v>153</v>
      </c>
      <c r="D158" s="3" t="s">
        <v>11</v>
      </c>
    </row>
    <row r="159" spans="1:4" x14ac:dyDescent="0.2">
      <c r="A159" s="3" t="s">
        <v>152</v>
      </c>
      <c r="B159" t="s">
        <v>8</v>
      </c>
      <c r="C159" s="3" t="s">
        <v>154</v>
      </c>
      <c r="D159" s="3" t="s">
        <v>11</v>
      </c>
    </row>
    <row r="160" spans="1:4" x14ac:dyDescent="0.2">
      <c r="A160" s="3" t="s">
        <v>155</v>
      </c>
      <c r="B160" t="s">
        <v>8</v>
      </c>
      <c r="C160" s="3" t="s">
        <v>156</v>
      </c>
      <c r="D160" s="3" t="s">
        <v>10</v>
      </c>
    </row>
    <row r="161" spans="1:4" x14ac:dyDescent="0.2">
      <c r="A161" s="3" t="s">
        <v>155</v>
      </c>
      <c r="B161" t="s">
        <v>8</v>
      </c>
      <c r="C161" s="3" t="s">
        <v>157</v>
      </c>
      <c r="D161" s="3" t="s">
        <v>11</v>
      </c>
    </row>
    <row r="162" spans="1:4" x14ac:dyDescent="0.2">
      <c r="A162" s="3" t="s">
        <v>155</v>
      </c>
      <c r="B162" t="s">
        <v>8</v>
      </c>
      <c r="C162" s="3" t="s">
        <v>158</v>
      </c>
      <c r="D162" s="3" t="s">
        <v>11</v>
      </c>
    </row>
    <row r="163" spans="1:4" x14ac:dyDescent="0.2">
      <c r="A163" s="3" t="s">
        <v>155</v>
      </c>
      <c r="B163" t="s">
        <v>8</v>
      </c>
      <c r="C163" s="3" t="s">
        <v>159</v>
      </c>
      <c r="D163" s="3" t="s">
        <v>11</v>
      </c>
    </row>
    <row r="164" spans="1:4" x14ac:dyDescent="0.2">
      <c r="A164" s="3" t="s">
        <v>155</v>
      </c>
      <c r="B164" t="s">
        <v>8</v>
      </c>
      <c r="C164" s="3" t="s">
        <v>160</v>
      </c>
      <c r="D164" s="3" t="s">
        <v>11</v>
      </c>
    </row>
    <row r="165" spans="1:4" x14ac:dyDescent="0.2">
      <c r="A165" s="3" t="s">
        <v>155</v>
      </c>
      <c r="B165" t="s">
        <v>8</v>
      </c>
      <c r="C165" s="3" t="s">
        <v>161</v>
      </c>
      <c r="D165" s="3" t="s">
        <v>11</v>
      </c>
    </row>
    <row r="166" spans="1:4" x14ac:dyDescent="0.2">
      <c r="A166" s="3" t="s">
        <v>162</v>
      </c>
      <c r="B166" t="s">
        <v>8</v>
      </c>
      <c r="C166" s="3" t="s">
        <v>163</v>
      </c>
      <c r="D166" s="3" t="s">
        <v>11</v>
      </c>
    </row>
    <row r="167" spans="1:4" x14ac:dyDescent="0.2">
      <c r="A167" s="3" t="s">
        <v>162</v>
      </c>
      <c r="B167" t="s">
        <v>8</v>
      </c>
      <c r="C167" s="3" t="s">
        <v>164</v>
      </c>
      <c r="D167" s="3" t="s">
        <v>11</v>
      </c>
    </row>
    <row r="168" spans="1:4" x14ac:dyDescent="0.2">
      <c r="A168" s="3" t="s">
        <v>165</v>
      </c>
      <c r="B168" t="s">
        <v>8</v>
      </c>
      <c r="C168" s="3" t="s">
        <v>166</v>
      </c>
      <c r="D168" s="3" t="s">
        <v>53</v>
      </c>
    </row>
    <row r="169" spans="1:4" x14ac:dyDescent="0.2">
      <c r="A169" s="3" t="s">
        <v>165</v>
      </c>
      <c r="B169" t="s">
        <v>8</v>
      </c>
      <c r="C169" s="3" t="s">
        <v>167</v>
      </c>
      <c r="D169" s="3" t="s">
        <v>53</v>
      </c>
    </row>
    <row r="170" spans="1:4" x14ac:dyDescent="0.2">
      <c r="A170" s="3" t="s">
        <v>165</v>
      </c>
      <c r="B170" t="s">
        <v>8</v>
      </c>
      <c r="C170" s="3" t="s">
        <v>166</v>
      </c>
      <c r="D170" s="3" t="s">
        <v>54</v>
      </c>
    </row>
    <row r="171" spans="1:4" x14ac:dyDescent="0.2">
      <c r="A171" s="3" t="s">
        <v>165</v>
      </c>
      <c r="B171" t="s">
        <v>8</v>
      </c>
      <c r="C171" s="3" t="s">
        <v>167</v>
      </c>
      <c r="D171" s="3" t="s">
        <v>54</v>
      </c>
    </row>
    <row r="172" spans="1:4" x14ac:dyDescent="0.2">
      <c r="A172" s="3" t="s">
        <v>165</v>
      </c>
      <c r="B172" t="s">
        <v>8</v>
      </c>
      <c r="C172" s="3" t="s">
        <v>166</v>
      </c>
      <c r="D172" s="3" t="s">
        <v>55</v>
      </c>
    </row>
    <row r="173" spans="1:4" x14ac:dyDescent="0.2">
      <c r="A173" s="3" t="s">
        <v>165</v>
      </c>
      <c r="B173" t="s">
        <v>8</v>
      </c>
      <c r="C173" s="3" t="s">
        <v>167</v>
      </c>
      <c r="D173" s="3" t="s">
        <v>55</v>
      </c>
    </row>
    <row r="174" spans="1:4" x14ac:dyDescent="0.2">
      <c r="A174" s="3" t="s">
        <v>165</v>
      </c>
      <c r="B174" t="s">
        <v>8</v>
      </c>
      <c r="C174" s="3" t="s">
        <v>166</v>
      </c>
      <c r="D174" s="3" t="s">
        <v>56</v>
      </c>
    </row>
    <row r="175" spans="1:4" x14ac:dyDescent="0.2">
      <c r="A175" s="3" t="s">
        <v>165</v>
      </c>
      <c r="B175" t="s">
        <v>8</v>
      </c>
      <c r="C175" s="3" t="s">
        <v>167</v>
      </c>
      <c r="D175" s="3" t="s">
        <v>56</v>
      </c>
    </row>
    <row r="176" spans="1:4" x14ac:dyDescent="0.2">
      <c r="A176" s="3" t="s">
        <v>165</v>
      </c>
      <c r="B176" t="s">
        <v>8</v>
      </c>
      <c r="C176" s="3" t="s">
        <v>166</v>
      </c>
      <c r="D176" s="3" t="s">
        <v>57</v>
      </c>
    </row>
    <row r="177" spans="1:4" x14ac:dyDescent="0.2">
      <c r="A177" s="3" t="s">
        <v>165</v>
      </c>
      <c r="B177" t="s">
        <v>8</v>
      </c>
      <c r="C177" s="3" t="s">
        <v>167</v>
      </c>
      <c r="D177" s="3" t="s">
        <v>57</v>
      </c>
    </row>
    <row r="178" spans="1:4" x14ac:dyDescent="0.2">
      <c r="A178" s="3" t="s">
        <v>165</v>
      </c>
      <c r="B178" t="s">
        <v>8</v>
      </c>
      <c r="C178" s="3" t="s">
        <v>168</v>
      </c>
      <c r="D178" s="3" t="s">
        <v>169</v>
      </c>
    </row>
    <row r="179" spans="1:4" x14ac:dyDescent="0.2">
      <c r="A179" s="3" t="s">
        <v>170</v>
      </c>
      <c r="B179" t="s">
        <v>8</v>
      </c>
      <c r="C179" s="3" t="s">
        <v>171</v>
      </c>
      <c r="D179" s="3" t="s">
        <v>53</v>
      </c>
    </row>
    <row r="180" spans="1:4" x14ac:dyDescent="0.2">
      <c r="A180" s="3" t="s">
        <v>170</v>
      </c>
      <c r="B180" t="s">
        <v>8</v>
      </c>
      <c r="C180" s="3" t="s">
        <v>171</v>
      </c>
      <c r="D180" s="3" t="s">
        <v>54</v>
      </c>
    </row>
    <row r="181" spans="1:4" x14ac:dyDescent="0.2">
      <c r="A181" s="3" t="s">
        <v>170</v>
      </c>
      <c r="B181" t="s">
        <v>8</v>
      </c>
      <c r="C181" s="3" t="s">
        <v>171</v>
      </c>
      <c r="D181" s="3" t="s">
        <v>55</v>
      </c>
    </row>
    <row r="182" spans="1:4" x14ac:dyDescent="0.2">
      <c r="A182" s="3" t="s">
        <v>170</v>
      </c>
      <c r="B182" t="s">
        <v>8</v>
      </c>
      <c r="C182" s="3" t="s">
        <v>171</v>
      </c>
      <c r="D182" s="3" t="s">
        <v>56</v>
      </c>
    </row>
    <row r="183" spans="1:4" x14ac:dyDescent="0.2">
      <c r="A183" s="3" t="s">
        <v>170</v>
      </c>
      <c r="B183" t="s">
        <v>8</v>
      </c>
      <c r="C183" s="3" t="s">
        <v>171</v>
      </c>
      <c r="D183" s="3" t="s">
        <v>57</v>
      </c>
    </row>
    <row r="184" spans="1:4" x14ac:dyDescent="0.2">
      <c r="A184" s="3" t="s">
        <v>170</v>
      </c>
      <c r="B184" t="s">
        <v>8</v>
      </c>
      <c r="C184" s="3" t="s">
        <v>168</v>
      </c>
      <c r="D184" s="3" t="s">
        <v>169</v>
      </c>
    </row>
    <row r="185" spans="1:4" x14ac:dyDescent="0.2">
      <c r="A185" s="3" t="s">
        <v>170</v>
      </c>
      <c r="B185" t="s">
        <v>8</v>
      </c>
      <c r="C185" s="3" t="s">
        <v>172</v>
      </c>
      <c r="D185" s="3" t="s">
        <v>169</v>
      </c>
    </row>
    <row r="186" spans="1:4" x14ac:dyDescent="0.2">
      <c r="A186" s="3" t="s">
        <v>170</v>
      </c>
      <c r="B186" t="s">
        <v>8</v>
      </c>
      <c r="C186" s="3" t="s">
        <v>173</v>
      </c>
      <c r="D186" s="3" t="s">
        <v>169</v>
      </c>
    </row>
    <row r="187" spans="1:4" x14ac:dyDescent="0.2">
      <c r="A187" s="3" t="s">
        <v>170</v>
      </c>
      <c r="B187" t="s">
        <v>8</v>
      </c>
      <c r="C187" s="3" t="s">
        <v>174</v>
      </c>
      <c r="D187" s="3" t="s">
        <v>169</v>
      </c>
    </row>
    <row r="188" spans="1:4" x14ac:dyDescent="0.2">
      <c r="A188" s="3" t="s">
        <v>170</v>
      </c>
      <c r="B188" t="s">
        <v>8</v>
      </c>
      <c r="C188" s="3" t="s">
        <v>175</v>
      </c>
      <c r="D188" s="3" t="s">
        <v>169</v>
      </c>
    </row>
    <row r="189" spans="1:4" x14ac:dyDescent="0.2">
      <c r="A189" s="3" t="s">
        <v>170</v>
      </c>
      <c r="B189" t="s">
        <v>8</v>
      </c>
      <c r="C189" s="3" t="s">
        <v>176</v>
      </c>
      <c r="D189" s="3" t="s">
        <v>169</v>
      </c>
    </row>
    <row r="190" spans="1:4" x14ac:dyDescent="0.2">
      <c r="A190" s="3" t="s">
        <v>170</v>
      </c>
      <c r="B190" t="s">
        <v>8</v>
      </c>
      <c r="C190" s="3" t="s">
        <v>177</v>
      </c>
      <c r="D190" s="3" t="s">
        <v>169</v>
      </c>
    </row>
    <row r="191" spans="1:4" x14ac:dyDescent="0.2">
      <c r="A191" s="3" t="s">
        <v>170</v>
      </c>
      <c r="B191" t="s">
        <v>8</v>
      </c>
      <c r="C191" s="3" t="s">
        <v>178</v>
      </c>
      <c r="D191" s="3" t="s">
        <v>169</v>
      </c>
    </row>
    <row r="192" spans="1:4" x14ac:dyDescent="0.2">
      <c r="A192" s="3" t="s">
        <v>179</v>
      </c>
      <c r="B192" t="s">
        <v>8</v>
      </c>
      <c r="C192" s="3" t="s">
        <v>166</v>
      </c>
      <c r="D192" s="3" t="s">
        <v>53</v>
      </c>
    </row>
    <row r="193" spans="1:4" x14ac:dyDescent="0.2">
      <c r="A193" s="3" t="s">
        <v>179</v>
      </c>
      <c r="B193" t="s">
        <v>8</v>
      </c>
      <c r="C193" s="3" t="s">
        <v>167</v>
      </c>
      <c r="D193" s="3" t="s">
        <v>53</v>
      </c>
    </row>
    <row r="194" spans="1:4" x14ac:dyDescent="0.2">
      <c r="A194" s="3" t="s">
        <v>179</v>
      </c>
      <c r="B194" t="s">
        <v>8</v>
      </c>
      <c r="C194" s="3" t="s">
        <v>180</v>
      </c>
      <c r="D194" s="3" t="s">
        <v>53</v>
      </c>
    </row>
    <row r="195" spans="1:4" x14ac:dyDescent="0.2">
      <c r="A195" s="3" t="s">
        <v>179</v>
      </c>
      <c r="B195" t="s">
        <v>8</v>
      </c>
      <c r="C195" s="3" t="s">
        <v>166</v>
      </c>
      <c r="D195" s="3" t="s">
        <v>54</v>
      </c>
    </row>
    <row r="196" spans="1:4" x14ac:dyDescent="0.2">
      <c r="A196" s="3" t="s">
        <v>179</v>
      </c>
      <c r="B196" t="s">
        <v>8</v>
      </c>
      <c r="C196" s="3" t="s">
        <v>167</v>
      </c>
      <c r="D196" s="3" t="s">
        <v>54</v>
      </c>
    </row>
    <row r="197" spans="1:4" x14ac:dyDescent="0.2">
      <c r="A197" s="3" t="s">
        <v>179</v>
      </c>
      <c r="B197" t="s">
        <v>8</v>
      </c>
      <c r="C197" s="3" t="s">
        <v>180</v>
      </c>
      <c r="D197" s="3" t="s">
        <v>54</v>
      </c>
    </row>
    <row r="198" spans="1:4" x14ac:dyDescent="0.2">
      <c r="A198" s="3" t="s">
        <v>179</v>
      </c>
      <c r="B198" t="s">
        <v>8</v>
      </c>
      <c r="C198" s="3" t="s">
        <v>166</v>
      </c>
      <c r="D198" s="3" t="s">
        <v>55</v>
      </c>
    </row>
    <row r="199" spans="1:4" x14ac:dyDescent="0.2">
      <c r="A199" s="3" t="s">
        <v>179</v>
      </c>
      <c r="B199" t="s">
        <v>8</v>
      </c>
      <c r="C199" s="3" t="s">
        <v>167</v>
      </c>
      <c r="D199" s="3" t="s">
        <v>55</v>
      </c>
    </row>
    <row r="200" spans="1:4" x14ac:dyDescent="0.2">
      <c r="A200" s="3" t="s">
        <v>179</v>
      </c>
      <c r="B200" t="s">
        <v>8</v>
      </c>
      <c r="C200" s="3" t="s">
        <v>180</v>
      </c>
      <c r="D200" s="3" t="s">
        <v>55</v>
      </c>
    </row>
    <row r="201" spans="1:4" x14ac:dyDescent="0.2">
      <c r="A201" s="3" t="s">
        <v>179</v>
      </c>
      <c r="B201" t="s">
        <v>8</v>
      </c>
      <c r="C201" s="3" t="s">
        <v>166</v>
      </c>
      <c r="D201" s="3" t="s">
        <v>56</v>
      </c>
    </row>
    <row r="202" spans="1:4" x14ac:dyDescent="0.2">
      <c r="A202" s="3" t="s">
        <v>179</v>
      </c>
      <c r="B202" t="s">
        <v>8</v>
      </c>
      <c r="C202" s="3" t="s">
        <v>167</v>
      </c>
      <c r="D202" s="3" t="s">
        <v>56</v>
      </c>
    </row>
    <row r="203" spans="1:4" x14ac:dyDescent="0.2">
      <c r="A203" s="3" t="s">
        <v>179</v>
      </c>
      <c r="B203" t="s">
        <v>8</v>
      </c>
      <c r="C203" s="3" t="s">
        <v>180</v>
      </c>
      <c r="D203" s="3" t="s">
        <v>56</v>
      </c>
    </row>
    <row r="204" spans="1:4" x14ac:dyDescent="0.2">
      <c r="A204" s="3" t="s">
        <v>179</v>
      </c>
      <c r="B204" t="s">
        <v>8</v>
      </c>
      <c r="C204" s="3" t="s">
        <v>166</v>
      </c>
      <c r="D204" s="3" t="s">
        <v>57</v>
      </c>
    </row>
    <row r="205" spans="1:4" x14ac:dyDescent="0.2">
      <c r="A205" s="3" t="s">
        <v>179</v>
      </c>
      <c r="B205" t="s">
        <v>8</v>
      </c>
      <c r="C205" s="3" t="s">
        <v>167</v>
      </c>
      <c r="D205" s="3" t="s">
        <v>57</v>
      </c>
    </row>
    <row r="206" spans="1:4" x14ac:dyDescent="0.2">
      <c r="A206" s="3" t="s">
        <v>179</v>
      </c>
      <c r="B206" t="s">
        <v>8</v>
      </c>
      <c r="C206" s="3" t="s">
        <v>180</v>
      </c>
      <c r="D206" s="3" t="s">
        <v>57</v>
      </c>
    </row>
    <row r="207" spans="1:4" x14ac:dyDescent="0.2">
      <c r="A207" s="3" t="s">
        <v>179</v>
      </c>
      <c r="B207" t="s">
        <v>8</v>
      </c>
      <c r="C207" s="3" t="s">
        <v>168</v>
      </c>
      <c r="D207" s="3" t="s">
        <v>169</v>
      </c>
    </row>
    <row r="208" spans="1:4" x14ac:dyDescent="0.2">
      <c r="A208" s="3" t="s">
        <v>179</v>
      </c>
      <c r="B208" t="s">
        <v>8</v>
      </c>
      <c r="C208" s="3" t="s">
        <v>172</v>
      </c>
      <c r="D208" s="3" t="s">
        <v>169</v>
      </c>
    </row>
    <row r="209" spans="1:4" x14ac:dyDescent="0.2">
      <c r="A209" s="3" t="s">
        <v>179</v>
      </c>
      <c r="B209" t="s">
        <v>8</v>
      </c>
      <c r="C209" s="3" t="s">
        <v>173</v>
      </c>
      <c r="D209" s="3" t="s">
        <v>169</v>
      </c>
    </row>
    <row r="210" spans="1:4" x14ac:dyDescent="0.2">
      <c r="A210" s="3" t="s">
        <v>179</v>
      </c>
      <c r="B210" t="s">
        <v>8</v>
      </c>
      <c r="C210" s="3" t="s">
        <v>174</v>
      </c>
      <c r="D210" s="3" t="s">
        <v>169</v>
      </c>
    </row>
    <row r="211" spans="1:4" x14ac:dyDescent="0.2">
      <c r="A211" s="3" t="s">
        <v>179</v>
      </c>
      <c r="B211" t="s">
        <v>8</v>
      </c>
      <c r="C211" s="3" t="s">
        <v>175</v>
      </c>
      <c r="D211" s="3" t="s">
        <v>169</v>
      </c>
    </row>
    <row r="212" spans="1:4" x14ac:dyDescent="0.2">
      <c r="A212" s="3" t="s">
        <v>181</v>
      </c>
      <c r="B212" t="s">
        <v>8</v>
      </c>
      <c r="C212" s="3" t="s">
        <v>182</v>
      </c>
      <c r="D212" s="3" t="s">
        <v>53</v>
      </c>
    </row>
    <row r="213" spans="1:4" x14ac:dyDescent="0.2">
      <c r="A213" s="3" t="s">
        <v>181</v>
      </c>
      <c r="B213" t="s">
        <v>8</v>
      </c>
      <c r="C213" s="3" t="s">
        <v>183</v>
      </c>
      <c r="D213" s="3" t="s">
        <v>53</v>
      </c>
    </row>
    <row r="214" spans="1:4" x14ac:dyDescent="0.2">
      <c r="A214" s="3" t="s">
        <v>181</v>
      </c>
      <c r="B214" t="s">
        <v>8</v>
      </c>
      <c r="C214" s="3" t="s">
        <v>182</v>
      </c>
      <c r="D214" s="3" t="s">
        <v>54</v>
      </c>
    </row>
    <row r="215" spans="1:4" x14ac:dyDescent="0.2">
      <c r="A215" s="3" t="s">
        <v>181</v>
      </c>
      <c r="B215" t="s">
        <v>8</v>
      </c>
      <c r="C215" s="3" t="s">
        <v>183</v>
      </c>
      <c r="D215" s="3" t="s">
        <v>54</v>
      </c>
    </row>
    <row r="216" spans="1:4" x14ac:dyDescent="0.2">
      <c r="A216" s="3" t="s">
        <v>181</v>
      </c>
      <c r="B216" t="s">
        <v>8</v>
      </c>
      <c r="C216" s="3" t="s">
        <v>182</v>
      </c>
      <c r="D216" s="3" t="s">
        <v>55</v>
      </c>
    </row>
    <row r="217" spans="1:4" x14ac:dyDescent="0.2">
      <c r="A217" s="3" t="s">
        <v>181</v>
      </c>
      <c r="B217" t="s">
        <v>8</v>
      </c>
      <c r="C217" s="3" t="s">
        <v>183</v>
      </c>
      <c r="D217" s="3" t="s">
        <v>55</v>
      </c>
    </row>
    <row r="218" spans="1:4" x14ac:dyDescent="0.2">
      <c r="A218" s="3" t="s">
        <v>181</v>
      </c>
      <c r="B218" t="s">
        <v>8</v>
      </c>
      <c r="C218" s="3" t="s">
        <v>182</v>
      </c>
      <c r="D218" s="3" t="s">
        <v>56</v>
      </c>
    </row>
    <row r="219" spans="1:4" x14ac:dyDescent="0.2">
      <c r="A219" s="3" t="s">
        <v>181</v>
      </c>
      <c r="B219" t="s">
        <v>8</v>
      </c>
      <c r="C219" s="3" t="s">
        <v>183</v>
      </c>
      <c r="D219" s="3" t="s">
        <v>56</v>
      </c>
    </row>
    <row r="220" spans="1:4" x14ac:dyDescent="0.2">
      <c r="A220" s="3" t="s">
        <v>181</v>
      </c>
      <c r="B220" t="s">
        <v>8</v>
      </c>
      <c r="C220" s="3" t="s">
        <v>182</v>
      </c>
      <c r="D220" s="3" t="s">
        <v>57</v>
      </c>
    </row>
    <row r="221" spans="1:4" x14ac:dyDescent="0.2">
      <c r="A221" s="3" t="s">
        <v>181</v>
      </c>
      <c r="B221" t="s">
        <v>8</v>
      </c>
      <c r="C221" s="3" t="s">
        <v>183</v>
      </c>
      <c r="D221" s="3" t="s">
        <v>57</v>
      </c>
    </row>
    <row r="222" spans="1:4" x14ac:dyDescent="0.2">
      <c r="A222" s="3" t="s">
        <v>181</v>
      </c>
      <c r="B222" t="s">
        <v>8</v>
      </c>
      <c r="C222" s="3" t="s">
        <v>184</v>
      </c>
      <c r="D222" s="3" t="s">
        <v>169</v>
      </c>
    </row>
    <row r="223" spans="1:4" x14ac:dyDescent="0.2">
      <c r="A223" s="3" t="s">
        <v>181</v>
      </c>
      <c r="B223" t="s">
        <v>8</v>
      </c>
      <c r="C223" s="3" t="s">
        <v>185</v>
      </c>
      <c r="D223" s="3" t="s">
        <v>169</v>
      </c>
    </row>
    <row r="224" spans="1:4" x14ac:dyDescent="0.2">
      <c r="A224" s="3" t="s">
        <v>181</v>
      </c>
      <c r="B224" t="s">
        <v>8</v>
      </c>
      <c r="C224" s="3" t="s">
        <v>186</v>
      </c>
      <c r="D224" s="3" t="s">
        <v>10</v>
      </c>
    </row>
    <row r="225" spans="1:4" x14ac:dyDescent="0.2">
      <c r="A225" s="3" t="s">
        <v>181</v>
      </c>
      <c r="B225" t="s">
        <v>8</v>
      </c>
      <c r="C225" s="3" t="s">
        <v>187</v>
      </c>
      <c r="D225" s="3" t="s">
        <v>10</v>
      </c>
    </row>
    <row r="226" spans="1:4" x14ac:dyDescent="0.2">
      <c r="A226" s="3" t="s">
        <v>181</v>
      </c>
      <c r="B226" t="s">
        <v>8</v>
      </c>
      <c r="C226" s="3" t="s">
        <v>186</v>
      </c>
      <c r="D226" s="3" t="s">
        <v>11</v>
      </c>
    </row>
    <row r="227" spans="1:4" x14ac:dyDescent="0.2">
      <c r="A227" s="3" t="s">
        <v>188</v>
      </c>
      <c r="B227" t="s">
        <v>8</v>
      </c>
      <c r="C227" s="3" t="s">
        <v>182</v>
      </c>
      <c r="D227" s="3" t="s">
        <v>53</v>
      </c>
    </row>
    <row r="228" spans="1:4" x14ac:dyDescent="0.2">
      <c r="A228" s="3" t="s">
        <v>188</v>
      </c>
      <c r="B228" t="s">
        <v>8</v>
      </c>
      <c r="C228" s="3" t="s">
        <v>182</v>
      </c>
      <c r="D228" s="3" t="s">
        <v>54</v>
      </c>
    </row>
    <row r="229" spans="1:4" x14ac:dyDescent="0.2">
      <c r="A229" s="3" t="s">
        <v>188</v>
      </c>
      <c r="B229" t="s">
        <v>8</v>
      </c>
      <c r="C229" s="3" t="s">
        <v>182</v>
      </c>
      <c r="D229" s="3" t="s">
        <v>55</v>
      </c>
    </row>
    <row r="230" spans="1:4" x14ac:dyDescent="0.2">
      <c r="A230" s="3" t="s">
        <v>188</v>
      </c>
      <c r="B230" t="s">
        <v>8</v>
      </c>
      <c r="C230" s="3" t="s">
        <v>182</v>
      </c>
      <c r="D230" s="3" t="s">
        <v>56</v>
      </c>
    </row>
    <row r="231" spans="1:4" x14ac:dyDescent="0.2">
      <c r="A231" s="3" t="s">
        <v>188</v>
      </c>
      <c r="B231" t="s">
        <v>8</v>
      </c>
      <c r="C231" s="3" t="s">
        <v>182</v>
      </c>
      <c r="D231" s="3" t="s">
        <v>57</v>
      </c>
    </row>
    <row r="232" spans="1:4" x14ac:dyDescent="0.2">
      <c r="A232" s="3" t="s">
        <v>188</v>
      </c>
      <c r="B232" t="s">
        <v>8</v>
      </c>
      <c r="C232" s="3" t="s">
        <v>186</v>
      </c>
      <c r="D232" s="3" t="s">
        <v>10</v>
      </c>
    </row>
    <row r="233" spans="1:4" x14ac:dyDescent="0.2">
      <c r="A233" s="3" t="s">
        <v>188</v>
      </c>
      <c r="B233" t="s">
        <v>8</v>
      </c>
      <c r="C233" s="3" t="s">
        <v>187</v>
      </c>
      <c r="D233" s="3" t="s">
        <v>10</v>
      </c>
    </row>
    <row r="234" spans="1:4" x14ac:dyDescent="0.2">
      <c r="A234" s="3" t="s">
        <v>188</v>
      </c>
      <c r="B234" t="s">
        <v>8</v>
      </c>
      <c r="C234" s="3" t="s">
        <v>186</v>
      </c>
      <c r="D234" s="3" t="s">
        <v>11</v>
      </c>
    </row>
    <row r="235" spans="1:4" x14ac:dyDescent="0.2">
      <c r="A235" s="3" t="s">
        <v>189</v>
      </c>
      <c r="B235" t="s">
        <v>8</v>
      </c>
      <c r="C235" s="3" t="s">
        <v>190</v>
      </c>
      <c r="D235" s="3" t="s">
        <v>53</v>
      </c>
    </row>
    <row r="236" spans="1:4" x14ac:dyDescent="0.2">
      <c r="A236" s="3" t="s">
        <v>189</v>
      </c>
      <c r="B236" t="s">
        <v>8</v>
      </c>
      <c r="C236" s="3" t="s">
        <v>191</v>
      </c>
      <c r="D236" s="3" t="s">
        <v>53</v>
      </c>
    </row>
    <row r="237" spans="1:4" x14ac:dyDescent="0.2">
      <c r="A237" s="3" t="s">
        <v>189</v>
      </c>
      <c r="B237" t="s">
        <v>8</v>
      </c>
      <c r="C237" s="3" t="s">
        <v>192</v>
      </c>
      <c r="D237" s="3" t="s">
        <v>53</v>
      </c>
    </row>
    <row r="238" spans="1:4" x14ac:dyDescent="0.2">
      <c r="A238" s="3" t="s">
        <v>189</v>
      </c>
      <c r="B238" t="s">
        <v>8</v>
      </c>
      <c r="C238" s="3" t="s">
        <v>193</v>
      </c>
      <c r="D238" s="3" t="s">
        <v>53</v>
      </c>
    </row>
    <row r="239" spans="1:4" x14ac:dyDescent="0.2">
      <c r="A239" s="3" t="s">
        <v>189</v>
      </c>
      <c r="B239" t="s">
        <v>8</v>
      </c>
      <c r="C239" s="3" t="s">
        <v>190</v>
      </c>
      <c r="D239" s="3" t="s">
        <v>54</v>
      </c>
    </row>
    <row r="240" spans="1:4" x14ac:dyDescent="0.2">
      <c r="A240" s="3" t="s">
        <v>189</v>
      </c>
      <c r="B240" t="s">
        <v>8</v>
      </c>
      <c r="C240" s="3" t="s">
        <v>191</v>
      </c>
      <c r="D240" s="3" t="s">
        <v>54</v>
      </c>
    </row>
    <row r="241" spans="1:4" x14ac:dyDescent="0.2">
      <c r="A241" s="3" t="s">
        <v>189</v>
      </c>
      <c r="B241" t="s">
        <v>8</v>
      </c>
      <c r="C241" s="3" t="s">
        <v>192</v>
      </c>
      <c r="D241" s="3" t="s">
        <v>54</v>
      </c>
    </row>
    <row r="242" spans="1:4" x14ac:dyDescent="0.2">
      <c r="A242" s="3" t="s">
        <v>189</v>
      </c>
      <c r="B242" t="s">
        <v>8</v>
      </c>
      <c r="C242" s="3" t="s">
        <v>190</v>
      </c>
      <c r="D242" s="3" t="s">
        <v>55</v>
      </c>
    </row>
    <row r="243" spans="1:4" x14ac:dyDescent="0.2">
      <c r="A243" s="3" t="s">
        <v>189</v>
      </c>
      <c r="B243" t="s">
        <v>8</v>
      </c>
      <c r="C243" s="3" t="s">
        <v>191</v>
      </c>
      <c r="D243" s="3" t="s">
        <v>55</v>
      </c>
    </row>
    <row r="244" spans="1:4" x14ac:dyDescent="0.2">
      <c r="A244" s="3" t="s">
        <v>189</v>
      </c>
      <c r="B244" t="s">
        <v>8</v>
      </c>
      <c r="C244" s="3" t="s">
        <v>192</v>
      </c>
      <c r="D244" s="3" t="s">
        <v>55</v>
      </c>
    </row>
    <row r="245" spans="1:4" x14ac:dyDescent="0.2">
      <c r="A245" s="3" t="s">
        <v>189</v>
      </c>
      <c r="B245" t="s">
        <v>8</v>
      </c>
      <c r="C245" s="3" t="s">
        <v>190</v>
      </c>
      <c r="D245" s="3" t="s">
        <v>56</v>
      </c>
    </row>
    <row r="246" spans="1:4" x14ac:dyDescent="0.2">
      <c r="A246" s="3" t="s">
        <v>189</v>
      </c>
      <c r="B246" t="s">
        <v>8</v>
      </c>
      <c r="C246" s="3" t="s">
        <v>191</v>
      </c>
      <c r="D246" s="3" t="s">
        <v>56</v>
      </c>
    </row>
    <row r="247" spans="1:4" x14ac:dyDescent="0.2">
      <c r="A247" s="3" t="s">
        <v>189</v>
      </c>
      <c r="B247" t="s">
        <v>8</v>
      </c>
      <c r="C247" s="3" t="s">
        <v>192</v>
      </c>
      <c r="D247" s="3" t="s">
        <v>56</v>
      </c>
    </row>
    <row r="248" spans="1:4" x14ac:dyDescent="0.2">
      <c r="A248" s="3" t="s">
        <v>189</v>
      </c>
      <c r="B248" t="s">
        <v>8</v>
      </c>
      <c r="C248" s="3" t="s">
        <v>190</v>
      </c>
      <c r="D248" s="3" t="s">
        <v>57</v>
      </c>
    </row>
    <row r="249" spans="1:4" x14ac:dyDescent="0.2">
      <c r="A249" s="3" t="s">
        <v>189</v>
      </c>
      <c r="B249" t="s">
        <v>8</v>
      </c>
      <c r="C249" s="3" t="s">
        <v>191</v>
      </c>
      <c r="D249" s="3" t="s">
        <v>57</v>
      </c>
    </row>
    <row r="250" spans="1:4" x14ac:dyDescent="0.2">
      <c r="A250" s="3" t="s">
        <v>189</v>
      </c>
      <c r="B250" t="s">
        <v>8</v>
      </c>
      <c r="C250" s="3" t="s">
        <v>192</v>
      </c>
      <c r="D250" s="3" t="s">
        <v>57</v>
      </c>
    </row>
    <row r="251" spans="1:4" x14ac:dyDescent="0.2">
      <c r="A251" s="3" t="s">
        <v>189</v>
      </c>
      <c r="B251" t="s">
        <v>8</v>
      </c>
      <c r="C251" s="3" t="s">
        <v>194</v>
      </c>
      <c r="D251" s="3" t="s">
        <v>169</v>
      </c>
    </row>
    <row r="252" spans="1:4" x14ac:dyDescent="0.2">
      <c r="A252" s="3" t="s">
        <v>189</v>
      </c>
      <c r="B252" t="s">
        <v>8</v>
      </c>
      <c r="C252" s="3" t="s">
        <v>195</v>
      </c>
      <c r="D252" s="3" t="s">
        <v>169</v>
      </c>
    </row>
    <row r="253" spans="1:4" x14ac:dyDescent="0.2">
      <c r="A253" s="3" t="s">
        <v>196</v>
      </c>
      <c r="B253" t="s">
        <v>8</v>
      </c>
      <c r="C253" s="3" t="s">
        <v>197</v>
      </c>
      <c r="D253" s="3" t="s">
        <v>53</v>
      </c>
    </row>
    <row r="254" spans="1:4" x14ac:dyDescent="0.2">
      <c r="A254" s="3" t="s">
        <v>196</v>
      </c>
      <c r="B254" t="s">
        <v>8</v>
      </c>
      <c r="C254" s="3" t="s">
        <v>198</v>
      </c>
      <c r="D254" s="3" t="s">
        <v>53</v>
      </c>
    </row>
    <row r="255" spans="1:4" x14ac:dyDescent="0.2">
      <c r="A255" s="3" t="s">
        <v>196</v>
      </c>
      <c r="B255" t="s">
        <v>8</v>
      </c>
      <c r="C255" s="3" t="s">
        <v>199</v>
      </c>
      <c r="D255" s="3" t="s">
        <v>53</v>
      </c>
    </row>
    <row r="256" spans="1:4" x14ac:dyDescent="0.2">
      <c r="A256" s="3" t="s">
        <v>196</v>
      </c>
      <c r="B256" t="s">
        <v>8</v>
      </c>
      <c r="C256" s="3" t="s">
        <v>200</v>
      </c>
      <c r="D256" s="3" t="s">
        <v>53</v>
      </c>
    </row>
    <row r="257" spans="1:4" x14ac:dyDescent="0.2">
      <c r="A257" s="3" t="s">
        <v>196</v>
      </c>
      <c r="B257" t="s">
        <v>8</v>
      </c>
      <c r="C257" s="3" t="s">
        <v>201</v>
      </c>
      <c r="D257" s="3" t="s">
        <v>53</v>
      </c>
    </row>
    <row r="258" spans="1:4" x14ac:dyDescent="0.2">
      <c r="A258" s="3" t="s">
        <v>196</v>
      </c>
      <c r="B258" t="s">
        <v>8</v>
      </c>
      <c r="C258" s="3" t="s">
        <v>202</v>
      </c>
      <c r="D258" s="3" t="s">
        <v>53</v>
      </c>
    </row>
    <row r="259" spans="1:4" x14ac:dyDescent="0.2">
      <c r="A259" s="3" t="s">
        <v>196</v>
      </c>
      <c r="B259" t="s">
        <v>8</v>
      </c>
      <c r="C259" s="3" t="s">
        <v>203</v>
      </c>
      <c r="D259" s="3" t="s">
        <v>53</v>
      </c>
    </row>
    <row r="260" spans="1:4" x14ac:dyDescent="0.2">
      <c r="A260" s="3" t="s">
        <v>196</v>
      </c>
      <c r="B260" t="s">
        <v>8</v>
      </c>
      <c r="C260" s="3" t="s">
        <v>204</v>
      </c>
      <c r="D260" s="3" t="s">
        <v>53</v>
      </c>
    </row>
    <row r="261" spans="1:4" x14ac:dyDescent="0.2">
      <c r="A261" s="3" t="s">
        <v>196</v>
      </c>
      <c r="B261" t="s">
        <v>8</v>
      </c>
      <c r="C261" s="3" t="s">
        <v>205</v>
      </c>
      <c r="D261" s="3" t="s">
        <v>53</v>
      </c>
    </row>
    <row r="262" spans="1:4" x14ac:dyDescent="0.2">
      <c r="A262" s="3" t="s">
        <v>196</v>
      </c>
      <c r="B262" t="s">
        <v>8</v>
      </c>
      <c r="C262" s="3" t="s">
        <v>206</v>
      </c>
      <c r="D262" s="3" t="s">
        <v>53</v>
      </c>
    </row>
    <row r="263" spans="1:4" x14ac:dyDescent="0.2">
      <c r="A263" s="3" t="s">
        <v>196</v>
      </c>
      <c r="B263" t="s">
        <v>8</v>
      </c>
      <c r="C263" s="3" t="s">
        <v>207</v>
      </c>
      <c r="D263" s="3" t="s">
        <v>53</v>
      </c>
    </row>
    <row r="264" spans="1:4" x14ac:dyDescent="0.2">
      <c r="A264" s="3" t="s">
        <v>196</v>
      </c>
      <c r="B264" t="s">
        <v>8</v>
      </c>
      <c r="C264" s="3" t="s">
        <v>208</v>
      </c>
      <c r="D264" s="3" t="s">
        <v>53</v>
      </c>
    </row>
    <row r="265" spans="1:4" x14ac:dyDescent="0.2">
      <c r="A265" s="3" t="s">
        <v>196</v>
      </c>
      <c r="B265" t="s">
        <v>8</v>
      </c>
      <c r="C265" s="3" t="s">
        <v>209</v>
      </c>
      <c r="D265" s="3" t="s">
        <v>53</v>
      </c>
    </row>
    <row r="266" spans="1:4" x14ac:dyDescent="0.2">
      <c r="A266" s="3" t="s">
        <v>196</v>
      </c>
      <c r="B266" t="s">
        <v>8</v>
      </c>
      <c r="C266" s="3" t="s">
        <v>210</v>
      </c>
      <c r="D266" s="3" t="s">
        <v>53</v>
      </c>
    </row>
    <row r="267" spans="1:4" x14ac:dyDescent="0.2">
      <c r="A267" s="3" t="s">
        <v>196</v>
      </c>
      <c r="B267" t="s">
        <v>8</v>
      </c>
      <c r="C267" s="3" t="s">
        <v>211</v>
      </c>
      <c r="D267" s="3" t="s">
        <v>53</v>
      </c>
    </row>
    <row r="268" spans="1:4" x14ac:dyDescent="0.2">
      <c r="A268" s="3" t="s">
        <v>196</v>
      </c>
      <c r="B268" t="s">
        <v>8</v>
      </c>
      <c r="C268" s="3" t="s">
        <v>212</v>
      </c>
      <c r="D268" s="3" t="s">
        <v>53</v>
      </c>
    </row>
    <row r="269" spans="1:4" x14ac:dyDescent="0.2">
      <c r="A269" s="3" t="s">
        <v>196</v>
      </c>
      <c r="B269" t="s">
        <v>8</v>
      </c>
      <c r="C269" s="3" t="s">
        <v>213</v>
      </c>
      <c r="D269" s="3" t="s">
        <v>53</v>
      </c>
    </row>
    <row r="270" spans="1:4" x14ac:dyDescent="0.2">
      <c r="A270" s="3" t="s">
        <v>196</v>
      </c>
      <c r="B270" t="s">
        <v>8</v>
      </c>
      <c r="C270" s="3" t="s">
        <v>214</v>
      </c>
      <c r="D270" s="3" t="s">
        <v>53</v>
      </c>
    </row>
    <row r="271" spans="1:4" x14ac:dyDescent="0.2">
      <c r="A271" s="3" t="s">
        <v>196</v>
      </c>
      <c r="B271" t="s">
        <v>8</v>
      </c>
      <c r="C271" s="3" t="s">
        <v>215</v>
      </c>
      <c r="D271" s="3" t="s">
        <v>53</v>
      </c>
    </row>
    <row r="272" spans="1:4" x14ac:dyDescent="0.2">
      <c r="A272" s="3" t="s">
        <v>196</v>
      </c>
      <c r="B272" t="s">
        <v>8</v>
      </c>
      <c r="C272" s="3" t="s">
        <v>216</v>
      </c>
      <c r="D272" s="3" t="s">
        <v>53</v>
      </c>
    </row>
    <row r="273" spans="1:4" x14ac:dyDescent="0.2">
      <c r="A273" s="3" t="s">
        <v>196</v>
      </c>
      <c r="B273" t="s">
        <v>8</v>
      </c>
      <c r="C273" s="3" t="s">
        <v>217</v>
      </c>
      <c r="D273" s="3" t="s">
        <v>53</v>
      </c>
    </row>
    <row r="274" spans="1:4" x14ac:dyDescent="0.2">
      <c r="A274" s="3" t="s">
        <v>196</v>
      </c>
      <c r="B274" t="s">
        <v>8</v>
      </c>
      <c r="C274" s="3" t="s">
        <v>218</v>
      </c>
      <c r="D274" s="3" t="s">
        <v>53</v>
      </c>
    </row>
    <row r="275" spans="1:4" x14ac:dyDescent="0.2">
      <c r="A275" s="3" t="s">
        <v>196</v>
      </c>
      <c r="B275" t="s">
        <v>8</v>
      </c>
      <c r="C275" s="3" t="s">
        <v>219</v>
      </c>
      <c r="D275" s="3" t="s">
        <v>54</v>
      </c>
    </row>
    <row r="276" spans="1:4" x14ac:dyDescent="0.2">
      <c r="A276" s="3" t="s">
        <v>196</v>
      </c>
      <c r="B276" t="s">
        <v>8</v>
      </c>
      <c r="C276" s="3" t="s">
        <v>220</v>
      </c>
      <c r="D276" s="3" t="s">
        <v>54</v>
      </c>
    </row>
    <row r="277" spans="1:4" x14ac:dyDescent="0.2">
      <c r="A277" s="3" t="s">
        <v>196</v>
      </c>
      <c r="B277" t="s">
        <v>8</v>
      </c>
      <c r="C277" s="3" t="s">
        <v>197</v>
      </c>
      <c r="D277" s="3" t="s">
        <v>54</v>
      </c>
    </row>
    <row r="278" spans="1:4" x14ac:dyDescent="0.2">
      <c r="A278" s="3" t="s">
        <v>196</v>
      </c>
      <c r="B278" t="s">
        <v>8</v>
      </c>
      <c r="C278" s="3" t="s">
        <v>198</v>
      </c>
      <c r="D278" s="3" t="s">
        <v>54</v>
      </c>
    </row>
    <row r="279" spans="1:4" x14ac:dyDescent="0.2">
      <c r="A279" s="3" t="s">
        <v>196</v>
      </c>
      <c r="B279" t="s">
        <v>8</v>
      </c>
      <c r="C279" s="3" t="s">
        <v>221</v>
      </c>
      <c r="D279" s="3" t="s">
        <v>54</v>
      </c>
    </row>
    <row r="280" spans="1:4" x14ac:dyDescent="0.2">
      <c r="A280" s="3" t="s">
        <v>196</v>
      </c>
      <c r="B280" t="s">
        <v>8</v>
      </c>
      <c r="C280" s="3" t="s">
        <v>222</v>
      </c>
      <c r="D280" s="3" t="s">
        <v>54</v>
      </c>
    </row>
    <row r="281" spans="1:4" x14ac:dyDescent="0.2">
      <c r="A281" s="3" t="s">
        <v>196</v>
      </c>
      <c r="B281" t="s">
        <v>8</v>
      </c>
      <c r="C281" s="3" t="s">
        <v>199</v>
      </c>
      <c r="D281" s="3" t="s">
        <v>54</v>
      </c>
    </row>
    <row r="282" spans="1:4" x14ac:dyDescent="0.2">
      <c r="A282" s="3" t="s">
        <v>196</v>
      </c>
      <c r="B282" t="s">
        <v>8</v>
      </c>
      <c r="C282" s="3" t="s">
        <v>200</v>
      </c>
      <c r="D282" s="3" t="s">
        <v>54</v>
      </c>
    </row>
    <row r="283" spans="1:4" x14ac:dyDescent="0.2">
      <c r="A283" s="3" t="s">
        <v>196</v>
      </c>
      <c r="B283" t="s">
        <v>8</v>
      </c>
      <c r="C283" s="3" t="s">
        <v>201</v>
      </c>
      <c r="D283" s="3" t="s">
        <v>54</v>
      </c>
    </row>
    <row r="284" spans="1:4" x14ac:dyDescent="0.2">
      <c r="A284" s="3" t="s">
        <v>196</v>
      </c>
      <c r="B284" t="s">
        <v>8</v>
      </c>
      <c r="C284" s="3" t="s">
        <v>202</v>
      </c>
      <c r="D284" s="3" t="s">
        <v>54</v>
      </c>
    </row>
    <row r="285" spans="1:4" x14ac:dyDescent="0.2">
      <c r="A285" s="3" t="s">
        <v>196</v>
      </c>
      <c r="B285" t="s">
        <v>8</v>
      </c>
      <c r="C285" s="3" t="s">
        <v>203</v>
      </c>
      <c r="D285" s="3" t="s">
        <v>54</v>
      </c>
    </row>
    <row r="286" spans="1:4" x14ac:dyDescent="0.2">
      <c r="A286" s="3" t="s">
        <v>196</v>
      </c>
      <c r="B286" t="s">
        <v>8</v>
      </c>
      <c r="C286" s="3" t="s">
        <v>204</v>
      </c>
      <c r="D286" s="3" t="s">
        <v>54</v>
      </c>
    </row>
    <row r="287" spans="1:4" x14ac:dyDescent="0.2">
      <c r="A287" s="3" t="s">
        <v>196</v>
      </c>
      <c r="B287" t="s">
        <v>8</v>
      </c>
      <c r="C287" s="3" t="s">
        <v>205</v>
      </c>
      <c r="D287" s="3" t="s">
        <v>54</v>
      </c>
    </row>
    <row r="288" spans="1:4" x14ac:dyDescent="0.2">
      <c r="A288" s="3" t="s">
        <v>196</v>
      </c>
      <c r="B288" t="s">
        <v>8</v>
      </c>
      <c r="C288" s="3" t="s">
        <v>206</v>
      </c>
      <c r="D288" s="3" t="s">
        <v>54</v>
      </c>
    </row>
    <row r="289" spans="1:4" x14ac:dyDescent="0.2">
      <c r="A289" s="3" t="s">
        <v>196</v>
      </c>
      <c r="B289" t="s">
        <v>8</v>
      </c>
      <c r="C289" s="3" t="s">
        <v>223</v>
      </c>
      <c r="D289" s="3" t="s">
        <v>54</v>
      </c>
    </row>
    <row r="290" spans="1:4" x14ac:dyDescent="0.2">
      <c r="A290" s="3" t="s">
        <v>196</v>
      </c>
      <c r="B290" t="s">
        <v>8</v>
      </c>
      <c r="C290" s="3" t="s">
        <v>224</v>
      </c>
      <c r="D290" s="3" t="s">
        <v>54</v>
      </c>
    </row>
    <row r="291" spans="1:4" x14ac:dyDescent="0.2">
      <c r="A291" s="3" t="s">
        <v>196</v>
      </c>
      <c r="B291" t="s">
        <v>8</v>
      </c>
      <c r="C291" s="3" t="s">
        <v>225</v>
      </c>
      <c r="D291" s="3" t="s">
        <v>54</v>
      </c>
    </row>
    <row r="292" spans="1:4" x14ac:dyDescent="0.2">
      <c r="A292" s="3" t="s">
        <v>196</v>
      </c>
      <c r="B292" t="s">
        <v>8</v>
      </c>
      <c r="C292" s="3" t="s">
        <v>226</v>
      </c>
      <c r="D292" s="3" t="s">
        <v>54</v>
      </c>
    </row>
    <row r="293" spans="1:4" x14ac:dyDescent="0.2">
      <c r="A293" s="3" t="s">
        <v>196</v>
      </c>
      <c r="B293" t="s">
        <v>8</v>
      </c>
      <c r="C293" s="3" t="s">
        <v>227</v>
      </c>
      <c r="D293" s="3" t="s">
        <v>54</v>
      </c>
    </row>
    <row r="294" spans="1:4" x14ac:dyDescent="0.2">
      <c r="A294" s="3" t="s">
        <v>196</v>
      </c>
      <c r="B294" t="s">
        <v>8</v>
      </c>
      <c r="C294" s="3" t="s">
        <v>228</v>
      </c>
      <c r="D294" s="3" t="s">
        <v>54</v>
      </c>
    </row>
    <row r="295" spans="1:4" x14ac:dyDescent="0.2">
      <c r="A295" s="3" t="s">
        <v>196</v>
      </c>
      <c r="B295" t="s">
        <v>8</v>
      </c>
      <c r="C295" s="3" t="s">
        <v>207</v>
      </c>
      <c r="D295" s="3" t="s">
        <v>54</v>
      </c>
    </row>
    <row r="296" spans="1:4" x14ac:dyDescent="0.2">
      <c r="A296" s="3" t="s">
        <v>196</v>
      </c>
      <c r="B296" t="s">
        <v>8</v>
      </c>
      <c r="C296" s="3" t="s">
        <v>208</v>
      </c>
      <c r="D296" s="3" t="s">
        <v>54</v>
      </c>
    </row>
    <row r="297" spans="1:4" x14ac:dyDescent="0.2">
      <c r="A297" s="3" t="s">
        <v>196</v>
      </c>
      <c r="B297" t="s">
        <v>8</v>
      </c>
      <c r="C297" s="3" t="s">
        <v>229</v>
      </c>
      <c r="D297" s="3" t="s">
        <v>54</v>
      </c>
    </row>
    <row r="298" spans="1:4" x14ac:dyDescent="0.2">
      <c r="A298" s="3" t="s">
        <v>196</v>
      </c>
      <c r="B298" t="s">
        <v>8</v>
      </c>
      <c r="C298" s="3" t="s">
        <v>230</v>
      </c>
      <c r="D298" s="3" t="s">
        <v>54</v>
      </c>
    </row>
    <row r="299" spans="1:4" x14ac:dyDescent="0.2">
      <c r="A299" s="3" t="s">
        <v>196</v>
      </c>
      <c r="B299" t="s">
        <v>8</v>
      </c>
      <c r="C299" s="3" t="s">
        <v>209</v>
      </c>
      <c r="D299" s="3" t="s">
        <v>54</v>
      </c>
    </row>
    <row r="300" spans="1:4" x14ac:dyDescent="0.2">
      <c r="A300" s="3" t="s">
        <v>196</v>
      </c>
      <c r="B300" t="s">
        <v>8</v>
      </c>
      <c r="C300" s="3" t="s">
        <v>210</v>
      </c>
      <c r="D300" s="3" t="s">
        <v>54</v>
      </c>
    </row>
    <row r="301" spans="1:4" x14ac:dyDescent="0.2">
      <c r="A301" s="3" t="s">
        <v>196</v>
      </c>
      <c r="B301" t="s">
        <v>8</v>
      </c>
      <c r="C301" s="3" t="s">
        <v>211</v>
      </c>
      <c r="D301" s="3" t="s">
        <v>54</v>
      </c>
    </row>
    <row r="302" spans="1:4" x14ac:dyDescent="0.2">
      <c r="A302" s="3" t="s">
        <v>196</v>
      </c>
      <c r="B302" t="s">
        <v>8</v>
      </c>
      <c r="C302" s="3" t="s">
        <v>212</v>
      </c>
      <c r="D302" s="3" t="s">
        <v>54</v>
      </c>
    </row>
    <row r="303" spans="1:4" x14ac:dyDescent="0.2">
      <c r="A303" s="3" t="s">
        <v>196</v>
      </c>
      <c r="B303" t="s">
        <v>8</v>
      </c>
      <c r="C303" s="3" t="s">
        <v>231</v>
      </c>
      <c r="D303" s="3" t="s">
        <v>54</v>
      </c>
    </row>
    <row r="304" spans="1:4" x14ac:dyDescent="0.2">
      <c r="A304" s="3" t="s">
        <v>196</v>
      </c>
      <c r="B304" t="s">
        <v>8</v>
      </c>
      <c r="C304" s="3" t="s">
        <v>213</v>
      </c>
      <c r="D304" s="3" t="s">
        <v>54</v>
      </c>
    </row>
    <row r="305" spans="1:4" x14ac:dyDescent="0.2">
      <c r="A305" s="3" t="s">
        <v>196</v>
      </c>
      <c r="B305" t="s">
        <v>8</v>
      </c>
      <c r="C305" s="3" t="s">
        <v>214</v>
      </c>
      <c r="D305" s="3" t="s">
        <v>54</v>
      </c>
    </row>
    <row r="306" spans="1:4" x14ac:dyDescent="0.2">
      <c r="A306" s="3" t="s">
        <v>196</v>
      </c>
      <c r="B306" t="s">
        <v>8</v>
      </c>
      <c r="C306" s="3" t="s">
        <v>215</v>
      </c>
      <c r="D306" s="3" t="s">
        <v>54</v>
      </c>
    </row>
    <row r="307" spans="1:4" x14ac:dyDescent="0.2">
      <c r="A307" s="3" t="s">
        <v>196</v>
      </c>
      <c r="B307" t="s">
        <v>8</v>
      </c>
      <c r="C307" s="3" t="s">
        <v>216</v>
      </c>
      <c r="D307" s="3" t="s">
        <v>54</v>
      </c>
    </row>
    <row r="308" spans="1:4" x14ac:dyDescent="0.2">
      <c r="A308" s="3" t="s">
        <v>196</v>
      </c>
      <c r="B308" t="s">
        <v>8</v>
      </c>
      <c r="C308" s="3" t="s">
        <v>217</v>
      </c>
      <c r="D308" s="3" t="s">
        <v>54</v>
      </c>
    </row>
    <row r="309" spans="1:4" x14ac:dyDescent="0.2">
      <c r="A309" s="3" t="s">
        <v>196</v>
      </c>
      <c r="B309" t="s">
        <v>8</v>
      </c>
      <c r="C309" s="3" t="s">
        <v>218</v>
      </c>
      <c r="D309" s="3" t="s">
        <v>54</v>
      </c>
    </row>
    <row r="310" spans="1:4" x14ac:dyDescent="0.2">
      <c r="A310" s="3" t="s">
        <v>196</v>
      </c>
      <c r="B310" t="s">
        <v>8</v>
      </c>
      <c r="C310" s="3" t="s">
        <v>219</v>
      </c>
      <c r="D310" s="3" t="s">
        <v>55</v>
      </c>
    </row>
    <row r="311" spans="1:4" x14ac:dyDescent="0.2">
      <c r="A311" s="3" t="s">
        <v>196</v>
      </c>
      <c r="B311" t="s">
        <v>8</v>
      </c>
      <c r="C311" s="3" t="s">
        <v>220</v>
      </c>
      <c r="D311" s="3" t="s">
        <v>55</v>
      </c>
    </row>
    <row r="312" spans="1:4" x14ac:dyDescent="0.2">
      <c r="A312" s="3" t="s">
        <v>196</v>
      </c>
      <c r="B312" t="s">
        <v>8</v>
      </c>
      <c r="C312" s="3" t="s">
        <v>197</v>
      </c>
      <c r="D312" s="3" t="s">
        <v>55</v>
      </c>
    </row>
    <row r="313" spans="1:4" x14ac:dyDescent="0.2">
      <c r="A313" s="3" t="s">
        <v>196</v>
      </c>
      <c r="B313" t="s">
        <v>8</v>
      </c>
      <c r="C313" s="3" t="s">
        <v>198</v>
      </c>
      <c r="D313" s="3" t="s">
        <v>55</v>
      </c>
    </row>
    <row r="314" spans="1:4" x14ac:dyDescent="0.2">
      <c r="A314" s="3" t="s">
        <v>196</v>
      </c>
      <c r="B314" t="s">
        <v>8</v>
      </c>
      <c r="C314" s="3" t="s">
        <v>221</v>
      </c>
      <c r="D314" s="3" t="s">
        <v>55</v>
      </c>
    </row>
    <row r="315" spans="1:4" x14ac:dyDescent="0.2">
      <c r="A315" s="3" t="s">
        <v>196</v>
      </c>
      <c r="B315" t="s">
        <v>8</v>
      </c>
      <c r="C315" s="3" t="s">
        <v>222</v>
      </c>
      <c r="D315" s="3" t="s">
        <v>55</v>
      </c>
    </row>
    <row r="316" spans="1:4" x14ac:dyDescent="0.2">
      <c r="A316" s="3" t="s">
        <v>196</v>
      </c>
      <c r="B316" t="s">
        <v>8</v>
      </c>
      <c r="C316" s="3" t="s">
        <v>201</v>
      </c>
      <c r="D316" s="3" t="s">
        <v>55</v>
      </c>
    </row>
    <row r="317" spans="1:4" x14ac:dyDescent="0.2">
      <c r="A317" s="3" t="s">
        <v>196</v>
      </c>
      <c r="B317" t="s">
        <v>8</v>
      </c>
      <c r="C317" s="3" t="s">
        <v>202</v>
      </c>
      <c r="D317" s="3" t="s">
        <v>55</v>
      </c>
    </row>
    <row r="318" spans="1:4" x14ac:dyDescent="0.2">
      <c r="A318" s="3" t="s">
        <v>196</v>
      </c>
      <c r="B318" t="s">
        <v>8</v>
      </c>
      <c r="C318" s="3" t="s">
        <v>203</v>
      </c>
      <c r="D318" s="3" t="s">
        <v>55</v>
      </c>
    </row>
    <row r="319" spans="1:4" x14ac:dyDescent="0.2">
      <c r="A319" s="3" t="s">
        <v>196</v>
      </c>
      <c r="B319" t="s">
        <v>8</v>
      </c>
      <c r="C319" s="3" t="s">
        <v>204</v>
      </c>
      <c r="D319" s="3" t="s">
        <v>55</v>
      </c>
    </row>
    <row r="320" spans="1:4" x14ac:dyDescent="0.2">
      <c r="A320" s="3" t="s">
        <v>196</v>
      </c>
      <c r="B320" t="s">
        <v>8</v>
      </c>
      <c r="C320" s="3" t="s">
        <v>205</v>
      </c>
      <c r="D320" s="3" t="s">
        <v>55</v>
      </c>
    </row>
    <row r="321" spans="1:4" x14ac:dyDescent="0.2">
      <c r="A321" s="3" t="s">
        <v>196</v>
      </c>
      <c r="B321" t="s">
        <v>8</v>
      </c>
      <c r="C321" s="3" t="s">
        <v>206</v>
      </c>
      <c r="D321" s="3" t="s">
        <v>55</v>
      </c>
    </row>
    <row r="322" spans="1:4" x14ac:dyDescent="0.2">
      <c r="A322" s="3" t="s">
        <v>196</v>
      </c>
      <c r="B322" t="s">
        <v>8</v>
      </c>
      <c r="C322" s="3" t="s">
        <v>223</v>
      </c>
      <c r="D322" s="3" t="s">
        <v>55</v>
      </c>
    </row>
    <row r="323" spans="1:4" x14ac:dyDescent="0.2">
      <c r="A323" s="3" t="s">
        <v>196</v>
      </c>
      <c r="B323" t="s">
        <v>8</v>
      </c>
      <c r="C323" s="3" t="s">
        <v>224</v>
      </c>
      <c r="D323" s="3" t="s">
        <v>55</v>
      </c>
    </row>
    <row r="324" spans="1:4" x14ac:dyDescent="0.2">
      <c r="A324" s="3" t="s">
        <v>196</v>
      </c>
      <c r="B324" t="s">
        <v>8</v>
      </c>
      <c r="C324" s="3" t="s">
        <v>225</v>
      </c>
      <c r="D324" s="3" t="s">
        <v>55</v>
      </c>
    </row>
    <row r="325" spans="1:4" x14ac:dyDescent="0.2">
      <c r="A325" s="3" t="s">
        <v>196</v>
      </c>
      <c r="B325" t="s">
        <v>8</v>
      </c>
      <c r="C325" s="3" t="s">
        <v>226</v>
      </c>
      <c r="D325" s="3" t="s">
        <v>55</v>
      </c>
    </row>
    <row r="326" spans="1:4" x14ac:dyDescent="0.2">
      <c r="A326" s="3" t="s">
        <v>196</v>
      </c>
      <c r="B326" t="s">
        <v>8</v>
      </c>
      <c r="C326" s="3" t="s">
        <v>227</v>
      </c>
      <c r="D326" s="3" t="s">
        <v>55</v>
      </c>
    </row>
    <row r="327" spans="1:4" x14ac:dyDescent="0.2">
      <c r="A327" s="3" t="s">
        <v>196</v>
      </c>
      <c r="B327" t="s">
        <v>8</v>
      </c>
      <c r="C327" s="3" t="s">
        <v>228</v>
      </c>
      <c r="D327" s="3" t="s">
        <v>55</v>
      </c>
    </row>
    <row r="328" spans="1:4" x14ac:dyDescent="0.2">
      <c r="A328" s="3" t="s">
        <v>196</v>
      </c>
      <c r="B328" t="s">
        <v>8</v>
      </c>
      <c r="C328" s="3" t="s">
        <v>207</v>
      </c>
      <c r="D328" s="3" t="s">
        <v>55</v>
      </c>
    </row>
    <row r="329" spans="1:4" x14ac:dyDescent="0.2">
      <c r="A329" s="3" t="s">
        <v>196</v>
      </c>
      <c r="B329" t="s">
        <v>8</v>
      </c>
      <c r="C329" s="3" t="s">
        <v>208</v>
      </c>
      <c r="D329" s="3" t="s">
        <v>55</v>
      </c>
    </row>
    <row r="330" spans="1:4" x14ac:dyDescent="0.2">
      <c r="A330" s="3" t="s">
        <v>196</v>
      </c>
      <c r="B330" t="s">
        <v>8</v>
      </c>
      <c r="C330" s="3" t="s">
        <v>229</v>
      </c>
      <c r="D330" s="3" t="s">
        <v>55</v>
      </c>
    </row>
    <row r="331" spans="1:4" x14ac:dyDescent="0.2">
      <c r="A331" s="3" t="s">
        <v>196</v>
      </c>
      <c r="B331" t="s">
        <v>8</v>
      </c>
      <c r="C331" s="3" t="s">
        <v>230</v>
      </c>
      <c r="D331" s="3" t="s">
        <v>55</v>
      </c>
    </row>
    <row r="332" spans="1:4" x14ac:dyDescent="0.2">
      <c r="A332" s="3" t="s">
        <v>196</v>
      </c>
      <c r="B332" t="s">
        <v>8</v>
      </c>
      <c r="C332" s="3" t="s">
        <v>209</v>
      </c>
      <c r="D332" s="3" t="s">
        <v>55</v>
      </c>
    </row>
    <row r="333" spans="1:4" x14ac:dyDescent="0.2">
      <c r="A333" s="3" t="s">
        <v>196</v>
      </c>
      <c r="B333" t="s">
        <v>8</v>
      </c>
      <c r="C333" s="3" t="s">
        <v>210</v>
      </c>
      <c r="D333" s="3" t="s">
        <v>55</v>
      </c>
    </row>
    <row r="334" spans="1:4" x14ac:dyDescent="0.2">
      <c r="A334" s="3" t="s">
        <v>196</v>
      </c>
      <c r="B334" t="s">
        <v>8</v>
      </c>
      <c r="C334" s="3" t="s">
        <v>211</v>
      </c>
      <c r="D334" s="3" t="s">
        <v>55</v>
      </c>
    </row>
    <row r="335" spans="1:4" x14ac:dyDescent="0.2">
      <c r="A335" s="3" t="s">
        <v>196</v>
      </c>
      <c r="B335" t="s">
        <v>8</v>
      </c>
      <c r="C335" s="3" t="s">
        <v>212</v>
      </c>
      <c r="D335" s="3" t="s">
        <v>55</v>
      </c>
    </row>
    <row r="336" spans="1:4" x14ac:dyDescent="0.2">
      <c r="A336" s="3" t="s">
        <v>196</v>
      </c>
      <c r="B336" t="s">
        <v>8</v>
      </c>
      <c r="C336" s="3" t="s">
        <v>231</v>
      </c>
      <c r="D336" s="3" t="s">
        <v>55</v>
      </c>
    </row>
    <row r="337" spans="1:4" x14ac:dyDescent="0.2">
      <c r="A337" s="3" t="s">
        <v>196</v>
      </c>
      <c r="B337" t="s">
        <v>8</v>
      </c>
      <c r="C337" s="3" t="s">
        <v>213</v>
      </c>
      <c r="D337" s="3" t="s">
        <v>55</v>
      </c>
    </row>
    <row r="338" spans="1:4" x14ac:dyDescent="0.2">
      <c r="A338" s="3" t="s">
        <v>196</v>
      </c>
      <c r="B338" t="s">
        <v>8</v>
      </c>
      <c r="C338" s="3" t="s">
        <v>214</v>
      </c>
      <c r="D338" s="3" t="s">
        <v>55</v>
      </c>
    </row>
    <row r="339" spans="1:4" x14ac:dyDescent="0.2">
      <c r="A339" s="3" t="s">
        <v>196</v>
      </c>
      <c r="B339" t="s">
        <v>8</v>
      </c>
      <c r="C339" s="3" t="s">
        <v>215</v>
      </c>
      <c r="D339" s="3" t="s">
        <v>55</v>
      </c>
    </row>
    <row r="340" spans="1:4" x14ac:dyDescent="0.2">
      <c r="A340" s="3" t="s">
        <v>196</v>
      </c>
      <c r="B340" t="s">
        <v>8</v>
      </c>
      <c r="C340" s="3" t="s">
        <v>217</v>
      </c>
      <c r="D340" s="3" t="s">
        <v>55</v>
      </c>
    </row>
    <row r="341" spans="1:4" x14ac:dyDescent="0.2">
      <c r="A341" s="3" t="s">
        <v>196</v>
      </c>
      <c r="B341" t="s">
        <v>8</v>
      </c>
      <c r="C341" s="3" t="s">
        <v>218</v>
      </c>
      <c r="D341" s="3" t="s">
        <v>55</v>
      </c>
    </row>
    <row r="342" spans="1:4" x14ac:dyDescent="0.2">
      <c r="A342" s="3" t="s">
        <v>196</v>
      </c>
      <c r="B342" t="s">
        <v>8</v>
      </c>
      <c r="C342" s="3" t="s">
        <v>219</v>
      </c>
      <c r="D342" s="3" t="s">
        <v>56</v>
      </c>
    </row>
    <row r="343" spans="1:4" x14ac:dyDescent="0.2">
      <c r="A343" s="3" t="s">
        <v>196</v>
      </c>
      <c r="B343" t="s">
        <v>8</v>
      </c>
      <c r="C343" s="3" t="s">
        <v>220</v>
      </c>
      <c r="D343" s="3" t="s">
        <v>56</v>
      </c>
    </row>
    <row r="344" spans="1:4" x14ac:dyDescent="0.2">
      <c r="A344" s="3" t="s">
        <v>196</v>
      </c>
      <c r="B344" t="s">
        <v>8</v>
      </c>
      <c r="C344" s="3" t="s">
        <v>197</v>
      </c>
      <c r="D344" s="3" t="s">
        <v>56</v>
      </c>
    </row>
    <row r="345" spans="1:4" x14ac:dyDescent="0.2">
      <c r="A345" s="3" t="s">
        <v>196</v>
      </c>
      <c r="B345" t="s">
        <v>8</v>
      </c>
      <c r="C345" s="3" t="s">
        <v>198</v>
      </c>
      <c r="D345" s="3" t="s">
        <v>56</v>
      </c>
    </row>
    <row r="346" spans="1:4" x14ac:dyDescent="0.2">
      <c r="A346" s="3" t="s">
        <v>196</v>
      </c>
      <c r="B346" t="s">
        <v>8</v>
      </c>
      <c r="C346" s="3" t="s">
        <v>221</v>
      </c>
      <c r="D346" s="3" t="s">
        <v>56</v>
      </c>
    </row>
    <row r="347" spans="1:4" x14ac:dyDescent="0.2">
      <c r="A347" s="3" t="s">
        <v>196</v>
      </c>
      <c r="B347" t="s">
        <v>8</v>
      </c>
      <c r="C347" s="3" t="s">
        <v>222</v>
      </c>
      <c r="D347" s="3" t="s">
        <v>56</v>
      </c>
    </row>
    <row r="348" spans="1:4" x14ac:dyDescent="0.2">
      <c r="A348" s="3" t="s">
        <v>196</v>
      </c>
      <c r="B348" t="s">
        <v>8</v>
      </c>
      <c r="C348" s="3" t="s">
        <v>199</v>
      </c>
      <c r="D348" s="3" t="s">
        <v>56</v>
      </c>
    </row>
    <row r="349" spans="1:4" x14ac:dyDescent="0.2">
      <c r="A349" s="3" t="s">
        <v>196</v>
      </c>
      <c r="B349" t="s">
        <v>8</v>
      </c>
      <c r="C349" s="3" t="s">
        <v>200</v>
      </c>
      <c r="D349" s="3" t="s">
        <v>56</v>
      </c>
    </row>
    <row r="350" spans="1:4" x14ac:dyDescent="0.2">
      <c r="A350" s="3" t="s">
        <v>196</v>
      </c>
      <c r="B350" t="s">
        <v>8</v>
      </c>
      <c r="C350" s="3" t="s">
        <v>201</v>
      </c>
      <c r="D350" s="3" t="s">
        <v>56</v>
      </c>
    </row>
    <row r="351" spans="1:4" x14ac:dyDescent="0.2">
      <c r="A351" s="3" t="s">
        <v>196</v>
      </c>
      <c r="B351" t="s">
        <v>8</v>
      </c>
      <c r="C351" s="3" t="s">
        <v>202</v>
      </c>
      <c r="D351" s="3" t="s">
        <v>56</v>
      </c>
    </row>
    <row r="352" spans="1:4" x14ac:dyDescent="0.2">
      <c r="A352" s="3" t="s">
        <v>196</v>
      </c>
      <c r="B352" t="s">
        <v>8</v>
      </c>
      <c r="C352" s="3" t="s">
        <v>203</v>
      </c>
      <c r="D352" s="3" t="s">
        <v>56</v>
      </c>
    </row>
    <row r="353" spans="1:4" x14ac:dyDescent="0.2">
      <c r="A353" s="3" t="s">
        <v>196</v>
      </c>
      <c r="B353" t="s">
        <v>8</v>
      </c>
      <c r="C353" s="3" t="s">
        <v>204</v>
      </c>
      <c r="D353" s="3" t="s">
        <v>56</v>
      </c>
    </row>
    <row r="354" spans="1:4" x14ac:dyDescent="0.2">
      <c r="A354" s="3" t="s">
        <v>196</v>
      </c>
      <c r="B354" t="s">
        <v>8</v>
      </c>
      <c r="C354" s="3" t="s">
        <v>205</v>
      </c>
      <c r="D354" s="3" t="s">
        <v>56</v>
      </c>
    </row>
    <row r="355" spans="1:4" x14ac:dyDescent="0.2">
      <c r="A355" s="3" t="s">
        <v>196</v>
      </c>
      <c r="B355" t="s">
        <v>8</v>
      </c>
      <c r="C355" s="3" t="s">
        <v>206</v>
      </c>
      <c r="D355" s="3" t="s">
        <v>56</v>
      </c>
    </row>
    <row r="356" spans="1:4" x14ac:dyDescent="0.2">
      <c r="A356" s="3" t="s">
        <v>196</v>
      </c>
      <c r="B356" t="s">
        <v>8</v>
      </c>
      <c r="C356" s="3" t="s">
        <v>223</v>
      </c>
      <c r="D356" s="3" t="s">
        <v>56</v>
      </c>
    </row>
    <row r="357" spans="1:4" x14ac:dyDescent="0.2">
      <c r="A357" s="3" t="s">
        <v>196</v>
      </c>
      <c r="B357" t="s">
        <v>8</v>
      </c>
      <c r="C357" s="3" t="s">
        <v>224</v>
      </c>
      <c r="D357" s="3" t="s">
        <v>56</v>
      </c>
    </row>
    <row r="358" spans="1:4" x14ac:dyDescent="0.2">
      <c r="A358" s="3" t="s">
        <v>196</v>
      </c>
      <c r="B358" t="s">
        <v>8</v>
      </c>
      <c r="C358" s="3" t="s">
        <v>225</v>
      </c>
      <c r="D358" s="3" t="s">
        <v>56</v>
      </c>
    </row>
    <row r="359" spans="1:4" x14ac:dyDescent="0.2">
      <c r="A359" s="3" t="s">
        <v>196</v>
      </c>
      <c r="B359" t="s">
        <v>8</v>
      </c>
      <c r="C359" s="3" t="s">
        <v>226</v>
      </c>
      <c r="D359" s="3" t="s">
        <v>56</v>
      </c>
    </row>
    <row r="360" spans="1:4" x14ac:dyDescent="0.2">
      <c r="A360" s="3" t="s">
        <v>196</v>
      </c>
      <c r="B360" t="s">
        <v>8</v>
      </c>
      <c r="C360" s="3" t="s">
        <v>227</v>
      </c>
      <c r="D360" s="3" t="s">
        <v>56</v>
      </c>
    </row>
    <row r="361" spans="1:4" x14ac:dyDescent="0.2">
      <c r="A361" s="3" t="s">
        <v>196</v>
      </c>
      <c r="B361" t="s">
        <v>8</v>
      </c>
      <c r="C361" s="3" t="s">
        <v>228</v>
      </c>
      <c r="D361" s="3" t="s">
        <v>56</v>
      </c>
    </row>
    <row r="362" spans="1:4" x14ac:dyDescent="0.2">
      <c r="A362" s="3" t="s">
        <v>196</v>
      </c>
      <c r="B362" t="s">
        <v>8</v>
      </c>
      <c r="C362" s="3" t="s">
        <v>207</v>
      </c>
      <c r="D362" s="3" t="s">
        <v>56</v>
      </c>
    </row>
    <row r="363" spans="1:4" x14ac:dyDescent="0.2">
      <c r="A363" s="3" t="s">
        <v>196</v>
      </c>
      <c r="B363" t="s">
        <v>8</v>
      </c>
      <c r="C363" s="3" t="s">
        <v>208</v>
      </c>
      <c r="D363" s="3" t="s">
        <v>56</v>
      </c>
    </row>
    <row r="364" spans="1:4" x14ac:dyDescent="0.2">
      <c r="A364" s="3" t="s">
        <v>196</v>
      </c>
      <c r="B364" t="s">
        <v>8</v>
      </c>
      <c r="C364" s="3" t="s">
        <v>229</v>
      </c>
      <c r="D364" s="3" t="s">
        <v>56</v>
      </c>
    </row>
    <row r="365" spans="1:4" x14ac:dyDescent="0.2">
      <c r="A365" s="3" t="s">
        <v>196</v>
      </c>
      <c r="B365" t="s">
        <v>8</v>
      </c>
      <c r="C365" s="3" t="s">
        <v>230</v>
      </c>
      <c r="D365" s="3" t="s">
        <v>56</v>
      </c>
    </row>
    <row r="366" spans="1:4" x14ac:dyDescent="0.2">
      <c r="A366" s="3" t="s">
        <v>196</v>
      </c>
      <c r="B366" t="s">
        <v>8</v>
      </c>
      <c r="C366" s="3" t="s">
        <v>209</v>
      </c>
      <c r="D366" s="3" t="s">
        <v>56</v>
      </c>
    </row>
    <row r="367" spans="1:4" x14ac:dyDescent="0.2">
      <c r="A367" s="3" t="s">
        <v>196</v>
      </c>
      <c r="B367" t="s">
        <v>8</v>
      </c>
      <c r="C367" s="3" t="s">
        <v>210</v>
      </c>
      <c r="D367" s="3" t="s">
        <v>56</v>
      </c>
    </row>
    <row r="368" spans="1:4" x14ac:dyDescent="0.2">
      <c r="A368" s="3" t="s">
        <v>196</v>
      </c>
      <c r="B368" t="s">
        <v>8</v>
      </c>
      <c r="C368" s="3" t="s">
        <v>211</v>
      </c>
      <c r="D368" s="3" t="s">
        <v>56</v>
      </c>
    </row>
    <row r="369" spans="1:4" x14ac:dyDescent="0.2">
      <c r="A369" s="3" t="s">
        <v>196</v>
      </c>
      <c r="B369" t="s">
        <v>8</v>
      </c>
      <c r="C369" s="3" t="s">
        <v>212</v>
      </c>
      <c r="D369" s="3" t="s">
        <v>56</v>
      </c>
    </row>
    <row r="370" spans="1:4" x14ac:dyDescent="0.2">
      <c r="A370" s="3" t="s">
        <v>196</v>
      </c>
      <c r="B370" t="s">
        <v>8</v>
      </c>
      <c r="C370" s="3" t="s">
        <v>231</v>
      </c>
      <c r="D370" s="3" t="s">
        <v>56</v>
      </c>
    </row>
    <row r="371" spans="1:4" x14ac:dyDescent="0.2">
      <c r="A371" s="3" t="s">
        <v>196</v>
      </c>
      <c r="B371" t="s">
        <v>8</v>
      </c>
      <c r="C371" s="3" t="s">
        <v>213</v>
      </c>
      <c r="D371" s="3" t="s">
        <v>56</v>
      </c>
    </row>
    <row r="372" spans="1:4" x14ac:dyDescent="0.2">
      <c r="A372" s="3" t="s">
        <v>196</v>
      </c>
      <c r="B372" t="s">
        <v>8</v>
      </c>
      <c r="C372" s="3" t="s">
        <v>214</v>
      </c>
      <c r="D372" s="3" t="s">
        <v>56</v>
      </c>
    </row>
    <row r="373" spans="1:4" x14ac:dyDescent="0.2">
      <c r="A373" s="3" t="s">
        <v>196</v>
      </c>
      <c r="B373" t="s">
        <v>8</v>
      </c>
      <c r="C373" s="3" t="s">
        <v>215</v>
      </c>
      <c r="D373" s="3" t="s">
        <v>56</v>
      </c>
    </row>
    <row r="374" spans="1:4" x14ac:dyDescent="0.2">
      <c r="A374" s="3" t="s">
        <v>196</v>
      </c>
      <c r="B374" t="s">
        <v>8</v>
      </c>
      <c r="C374" s="3" t="s">
        <v>217</v>
      </c>
      <c r="D374" s="3" t="s">
        <v>56</v>
      </c>
    </row>
    <row r="375" spans="1:4" x14ac:dyDescent="0.2">
      <c r="A375" s="3" t="s">
        <v>196</v>
      </c>
      <c r="B375" t="s">
        <v>8</v>
      </c>
      <c r="C375" s="3" t="s">
        <v>218</v>
      </c>
      <c r="D375" s="3" t="s">
        <v>56</v>
      </c>
    </row>
    <row r="376" spans="1:4" x14ac:dyDescent="0.2">
      <c r="A376" s="3" t="s">
        <v>196</v>
      </c>
      <c r="B376" t="s">
        <v>8</v>
      </c>
      <c r="C376" s="3" t="s">
        <v>219</v>
      </c>
      <c r="D376" s="3" t="s">
        <v>57</v>
      </c>
    </row>
    <row r="377" spans="1:4" x14ac:dyDescent="0.2">
      <c r="A377" s="3" t="s">
        <v>196</v>
      </c>
      <c r="B377" t="s">
        <v>8</v>
      </c>
      <c r="C377" s="3" t="s">
        <v>220</v>
      </c>
      <c r="D377" s="3" t="s">
        <v>57</v>
      </c>
    </row>
    <row r="378" spans="1:4" x14ac:dyDescent="0.2">
      <c r="A378" s="3" t="s">
        <v>196</v>
      </c>
      <c r="B378" t="s">
        <v>8</v>
      </c>
      <c r="C378" s="3" t="s">
        <v>197</v>
      </c>
      <c r="D378" s="3" t="s">
        <v>57</v>
      </c>
    </row>
    <row r="379" spans="1:4" x14ac:dyDescent="0.2">
      <c r="A379" s="3" t="s">
        <v>196</v>
      </c>
      <c r="B379" t="s">
        <v>8</v>
      </c>
      <c r="C379" s="3" t="s">
        <v>198</v>
      </c>
      <c r="D379" s="3" t="s">
        <v>57</v>
      </c>
    </row>
    <row r="380" spans="1:4" x14ac:dyDescent="0.2">
      <c r="A380" s="3" t="s">
        <v>196</v>
      </c>
      <c r="B380" t="s">
        <v>8</v>
      </c>
      <c r="C380" s="3" t="s">
        <v>221</v>
      </c>
      <c r="D380" s="3" t="s">
        <v>57</v>
      </c>
    </row>
    <row r="381" spans="1:4" x14ac:dyDescent="0.2">
      <c r="A381" s="3" t="s">
        <v>196</v>
      </c>
      <c r="B381" t="s">
        <v>8</v>
      </c>
      <c r="C381" s="3" t="s">
        <v>222</v>
      </c>
      <c r="D381" s="3" t="s">
        <v>57</v>
      </c>
    </row>
    <row r="382" spans="1:4" x14ac:dyDescent="0.2">
      <c r="A382" s="3" t="s">
        <v>196</v>
      </c>
      <c r="B382" t="s">
        <v>8</v>
      </c>
      <c r="C382" s="3" t="s">
        <v>199</v>
      </c>
      <c r="D382" s="3" t="s">
        <v>57</v>
      </c>
    </row>
    <row r="383" spans="1:4" x14ac:dyDescent="0.2">
      <c r="A383" s="3" t="s">
        <v>196</v>
      </c>
      <c r="B383" t="s">
        <v>8</v>
      </c>
      <c r="C383" s="3" t="s">
        <v>200</v>
      </c>
      <c r="D383" s="3" t="s">
        <v>57</v>
      </c>
    </row>
    <row r="384" spans="1:4" x14ac:dyDescent="0.2">
      <c r="A384" s="3" t="s">
        <v>196</v>
      </c>
      <c r="B384" t="s">
        <v>8</v>
      </c>
      <c r="C384" s="3" t="s">
        <v>201</v>
      </c>
      <c r="D384" s="3" t="s">
        <v>57</v>
      </c>
    </row>
    <row r="385" spans="1:4" x14ac:dyDescent="0.2">
      <c r="A385" s="3" t="s">
        <v>196</v>
      </c>
      <c r="B385" t="s">
        <v>8</v>
      </c>
      <c r="C385" s="3" t="s">
        <v>202</v>
      </c>
      <c r="D385" s="3" t="s">
        <v>57</v>
      </c>
    </row>
    <row r="386" spans="1:4" x14ac:dyDescent="0.2">
      <c r="A386" s="3" t="s">
        <v>196</v>
      </c>
      <c r="B386" t="s">
        <v>8</v>
      </c>
      <c r="C386" s="3" t="s">
        <v>203</v>
      </c>
      <c r="D386" s="3" t="s">
        <v>57</v>
      </c>
    </row>
    <row r="387" spans="1:4" x14ac:dyDescent="0.2">
      <c r="A387" s="3" t="s">
        <v>196</v>
      </c>
      <c r="B387" t="s">
        <v>8</v>
      </c>
      <c r="C387" s="3" t="s">
        <v>204</v>
      </c>
      <c r="D387" s="3" t="s">
        <v>57</v>
      </c>
    </row>
    <row r="388" spans="1:4" x14ac:dyDescent="0.2">
      <c r="A388" s="3" t="s">
        <v>196</v>
      </c>
      <c r="B388" t="s">
        <v>8</v>
      </c>
      <c r="C388" s="3" t="s">
        <v>205</v>
      </c>
      <c r="D388" s="3" t="s">
        <v>57</v>
      </c>
    </row>
    <row r="389" spans="1:4" x14ac:dyDescent="0.2">
      <c r="A389" s="3" t="s">
        <v>196</v>
      </c>
      <c r="B389" t="s">
        <v>8</v>
      </c>
      <c r="C389" s="3" t="s">
        <v>206</v>
      </c>
      <c r="D389" s="3" t="s">
        <v>57</v>
      </c>
    </row>
    <row r="390" spans="1:4" x14ac:dyDescent="0.2">
      <c r="A390" s="3" t="s">
        <v>196</v>
      </c>
      <c r="B390" t="s">
        <v>8</v>
      </c>
      <c r="C390" s="3" t="s">
        <v>223</v>
      </c>
      <c r="D390" s="3" t="s">
        <v>57</v>
      </c>
    </row>
    <row r="391" spans="1:4" x14ac:dyDescent="0.2">
      <c r="A391" s="3" t="s">
        <v>196</v>
      </c>
      <c r="B391" t="s">
        <v>8</v>
      </c>
      <c r="C391" s="3" t="s">
        <v>224</v>
      </c>
      <c r="D391" s="3" t="s">
        <v>57</v>
      </c>
    </row>
    <row r="392" spans="1:4" x14ac:dyDescent="0.2">
      <c r="A392" s="3" t="s">
        <v>196</v>
      </c>
      <c r="B392" t="s">
        <v>8</v>
      </c>
      <c r="C392" s="3" t="s">
        <v>225</v>
      </c>
      <c r="D392" s="3" t="s">
        <v>57</v>
      </c>
    </row>
    <row r="393" spans="1:4" x14ac:dyDescent="0.2">
      <c r="A393" s="3" t="s">
        <v>196</v>
      </c>
      <c r="B393" t="s">
        <v>8</v>
      </c>
      <c r="C393" s="3" t="s">
        <v>226</v>
      </c>
      <c r="D393" s="3" t="s">
        <v>57</v>
      </c>
    </row>
    <row r="394" spans="1:4" x14ac:dyDescent="0.2">
      <c r="A394" s="3" t="s">
        <v>196</v>
      </c>
      <c r="B394" t="s">
        <v>8</v>
      </c>
      <c r="C394" s="3" t="s">
        <v>227</v>
      </c>
      <c r="D394" s="3" t="s">
        <v>57</v>
      </c>
    </row>
    <row r="395" spans="1:4" x14ac:dyDescent="0.2">
      <c r="A395" s="3" t="s">
        <v>196</v>
      </c>
      <c r="B395" t="s">
        <v>8</v>
      </c>
      <c r="C395" s="3" t="s">
        <v>228</v>
      </c>
      <c r="D395" s="3" t="s">
        <v>57</v>
      </c>
    </row>
    <row r="396" spans="1:4" x14ac:dyDescent="0.2">
      <c r="A396" s="3" t="s">
        <v>196</v>
      </c>
      <c r="B396" t="s">
        <v>8</v>
      </c>
      <c r="C396" s="3" t="s">
        <v>207</v>
      </c>
      <c r="D396" s="3" t="s">
        <v>57</v>
      </c>
    </row>
    <row r="397" spans="1:4" x14ac:dyDescent="0.2">
      <c r="A397" s="3" t="s">
        <v>196</v>
      </c>
      <c r="B397" t="s">
        <v>8</v>
      </c>
      <c r="C397" s="3" t="s">
        <v>208</v>
      </c>
      <c r="D397" s="3" t="s">
        <v>57</v>
      </c>
    </row>
    <row r="398" spans="1:4" x14ac:dyDescent="0.2">
      <c r="A398" s="3" t="s">
        <v>196</v>
      </c>
      <c r="B398" t="s">
        <v>8</v>
      </c>
      <c r="C398" s="3" t="s">
        <v>229</v>
      </c>
      <c r="D398" s="3" t="s">
        <v>57</v>
      </c>
    </row>
    <row r="399" spans="1:4" x14ac:dyDescent="0.2">
      <c r="A399" s="3" t="s">
        <v>196</v>
      </c>
      <c r="B399" t="s">
        <v>8</v>
      </c>
      <c r="C399" s="3" t="s">
        <v>230</v>
      </c>
      <c r="D399" s="3" t="s">
        <v>57</v>
      </c>
    </row>
    <row r="400" spans="1:4" x14ac:dyDescent="0.2">
      <c r="A400" s="3" t="s">
        <v>196</v>
      </c>
      <c r="B400" t="s">
        <v>8</v>
      </c>
      <c r="C400" s="3" t="s">
        <v>209</v>
      </c>
      <c r="D400" s="3" t="s">
        <v>57</v>
      </c>
    </row>
    <row r="401" spans="1:4" x14ac:dyDescent="0.2">
      <c r="A401" s="3" t="s">
        <v>196</v>
      </c>
      <c r="B401" t="s">
        <v>8</v>
      </c>
      <c r="C401" s="3" t="s">
        <v>210</v>
      </c>
      <c r="D401" s="3" t="s">
        <v>57</v>
      </c>
    </row>
    <row r="402" spans="1:4" x14ac:dyDescent="0.2">
      <c r="A402" s="3" t="s">
        <v>196</v>
      </c>
      <c r="B402" t="s">
        <v>8</v>
      </c>
      <c r="C402" s="3" t="s">
        <v>211</v>
      </c>
      <c r="D402" s="3" t="s">
        <v>57</v>
      </c>
    </row>
    <row r="403" spans="1:4" x14ac:dyDescent="0.2">
      <c r="A403" s="3" t="s">
        <v>196</v>
      </c>
      <c r="B403" t="s">
        <v>8</v>
      </c>
      <c r="C403" s="3" t="s">
        <v>212</v>
      </c>
      <c r="D403" s="3" t="s">
        <v>57</v>
      </c>
    </row>
    <row r="404" spans="1:4" x14ac:dyDescent="0.2">
      <c r="A404" s="3" t="s">
        <v>196</v>
      </c>
      <c r="B404" t="s">
        <v>8</v>
      </c>
      <c r="C404" s="3" t="s">
        <v>231</v>
      </c>
      <c r="D404" s="3" t="s">
        <v>57</v>
      </c>
    </row>
    <row r="405" spans="1:4" x14ac:dyDescent="0.2">
      <c r="A405" s="3" t="s">
        <v>196</v>
      </c>
      <c r="B405" t="s">
        <v>8</v>
      </c>
      <c r="C405" s="3" t="s">
        <v>213</v>
      </c>
      <c r="D405" s="3" t="s">
        <v>57</v>
      </c>
    </row>
    <row r="406" spans="1:4" x14ac:dyDescent="0.2">
      <c r="A406" s="3" t="s">
        <v>196</v>
      </c>
      <c r="B406" t="s">
        <v>8</v>
      </c>
      <c r="C406" s="3" t="s">
        <v>214</v>
      </c>
      <c r="D406" s="3" t="s">
        <v>57</v>
      </c>
    </row>
    <row r="407" spans="1:4" x14ac:dyDescent="0.2">
      <c r="A407" s="3" t="s">
        <v>196</v>
      </c>
      <c r="B407" t="s">
        <v>8</v>
      </c>
      <c r="C407" s="3" t="s">
        <v>215</v>
      </c>
      <c r="D407" s="3" t="s">
        <v>57</v>
      </c>
    </row>
    <row r="408" spans="1:4" x14ac:dyDescent="0.2">
      <c r="A408" s="3" t="s">
        <v>196</v>
      </c>
      <c r="B408" t="s">
        <v>8</v>
      </c>
      <c r="C408" s="3" t="s">
        <v>217</v>
      </c>
      <c r="D408" s="3" t="s">
        <v>57</v>
      </c>
    </row>
    <row r="409" spans="1:4" x14ac:dyDescent="0.2">
      <c r="A409" s="3" t="s">
        <v>196</v>
      </c>
      <c r="B409" t="s">
        <v>8</v>
      </c>
      <c r="C409" s="3" t="s">
        <v>218</v>
      </c>
      <c r="D409" s="3" t="s">
        <v>57</v>
      </c>
    </row>
    <row r="410" spans="1:4" x14ac:dyDescent="0.2">
      <c r="A410" s="3" t="s">
        <v>196</v>
      </c>
      <c r="B410" t="s">
        <v>8</v>
      </c>
      <c r="C410" s="3" t="s">
        <v>232</v>
      </c>
      <c r="D410" s="3" t="s">
        <v>169</v>
      </c>
    </row>
    <row r="411" spans="1:4" x14ac:dyDescent="0.2">
      <c r="A411" s="3" t="s">
        <v>196</v>
      </c>
      <c r="B411" t="s">
        <v>8</v>
      </c>
      <c r="C411" s="3" t="s">
        <v>233</v>
      </c>
      <c r="D411" s="3" t="s">
        <v>169</v>
      </c>
    </row>
    <row r="412" spans="1:4" x14ac:dyDescent="0.2">
      <c r="A412" s="3" t="s">
        <v>196</v>
      </c>
      <c r="B412" t="s">
        <v>8</v>
      </c>
      <c r="C412" s="3" t="s">
        <v>234</v>
      </c>
      <c r="D412" s="3" t="s">
        <v>169</v>
      </c>
    </row>
    <row r="413" spans="1:4" x14ac:dyDescent="0.2">
      <c r="A413" s="3" t="s">
        <v>196</v>
      </c>
      <c r="B413" t="s">
        <v>8</v>
      </c>
      <c r="C413" s="3" t="s">
        <v>235</v>
      </c>
      <c r="D413" s="3" t="s">
        <v>169</v>
      </c>
    </row>
    <row r="414" spans="1:4" x14ac:dyDescent="0.2">
      <c r="A414" s="3" t="s">
        <v>196</v>
      </c>
      <c r="B414" t="s">
        <v>8</v>
      </c>
      <c r="C414" s="3" t="s">
        <v>236</v>
      </c>
      <c r="D414" s="3" t="s">
        <v>169</v>
      </c>
    </row>
    <row r="415" spans="1:4" x14ac:dyDescent="0.2">
      <c r="A415" s="3" t="s">
        <v>196</v>
      </c>
      <c r="B415" t="s">
        <v>8</v>
      </c>
      <c r="C415" s="3" t="s">
        <v>237</v>
      </c>
      <c r="D415" s="3" t="s">
        <v>169</v>
      </c>
    </row>
    <row r="416" spans="1:4" x14ac:dyDescent="0.2">
      <c r="A416" s="3" t="s">
        <v>196</v>
      </c>
      <c r="B416" t="s">
        <v>8</v>
      </c>
      <c r="C416" s="3" t="s">
        <v>238</v>
      </c>
      <c r="D416" s="3" t="s">
        <v>169</v>
      </c>
    </row>
    <row r="417" spans="1:4" x14ac:dyDescent="0.2">
      <c r="A417" s="3" t="s">
        <v>196</v>
      </c>
      <c r="B417" t="s">
        <v>8</v>
      </c>
      <c r="C417" s="3" t="s">
        <v>239</v>
      </c>
      <c r="D417" s="3" t="s">
        <v>169</v>
      </c>
    </row>
    <row r="418" spans="1:4" x14ac:dyDescent="0.2">
      <c r="A418" s="3" t="s">
        <v>196</v>
      </c>
      <c r="B418" t="s">
        <v>8</v>
      </c>
      <c r="C418" s="3" t="s">
        <v>240</v>
      </c>
      <c r="D418" s="3" t="s">
        <v>169</v>
      </c>
    </row>
    <row r="419" spans="1:4" x14ac:dyDescent="0.2">
      <c r="A419" s="3" t="s">
        <v>196</v>
      </c>
      <c r="B419" t="s">
        <v>8</v>
      </c>
      <c r="C419" s="3" t="s">
        <v>241</v>
      </c>
      <c r="D419" s="3" t="s">
        <v>169</v>
      </c>
    </row>
    <row r="420" spans="1:4" x14ac:dyDescent="0.2">
      <c r="A420" s="3" t="s">
        <v>196</v>
      </c>
      <c r="B420" t="s">
        <v>8</v>
      </c>
      <c r="C420" s="3" t="s">
        <v>242</v>
      </c>
      <c r="D420" s="3" t="s">
        <v>169</v>
      </c>
    </row>
    <row r="421" spans="1:4" x14ac:dyDescent="0.2">
      <c r="A421" s="3" t="s">
        <v>196</v>
      </c>
      <c r="B421" t="s">
        <v>8</v>
      </c>
      <c r="C421" s="3" t="s">
        <v>243</v>
      </c>
      <c r="D421" s="3" t="s">
        <v>169</v>
      </c>
    </row>
    <row r="422" spans="1:4" x14ac:dyDescent="0.2">
      <c r="A422" s="3" t="s">
        <v>196</v>
      </c>
      <c r="B422" t="s">
        <v>8</v>
      </c>
      <c r="C422" s="3" t="s">
        <v>244</v>
      </c>
      <c r="D422" s="3" t="s">
        <v>169</v>
      </c>
    </row>
    <row r="423" spans="1:4" x14ac:dyDescent="0.2">
      <c r="A423" s="3" t="s">
        <v>196</v>
      </c>
      <c r="B423" t="s">
        <v>8</v>
      </c>
      <c r="C423" s="3" t="s">
        <v>245</v>
      </c>
      <c r="D423" s="3" t="s">
        <v>169</v>
      </c>
    </row>
    <row r="424" spans="1:4" x14ac:dyDescent="0.2">
      <c r="A424" s="3" t="s">
        <v>196</v>
      </c>
      <c r="B424" t="s">
        <v>8</v>
      </c>
      <c r="C424" s="3" t="s">
        <v>246</v>
      </c>
      <c r="D424" s="3" t="s">
        <v>169</v>
      </c>
    </row>
    <row r="425" spans="1:4" x14ac:dyDescent="0.2">
      <c r="A425" s="3" t="s">
        <v>196</v>
      </c>
      <c r="B425" t="s">
        <v>8</v>
      </c>
      <c r="C425" s="3" t="s">
        <v>247</v>
      </c>
      <c r="D425" s="3" t="s">
        <v>169</v>
      </c>
    </row>
    <row r="426" spans="1:4" x14ac:dyDescent="0.2">
      <c r="A426" s="3" t="s">
        <v>196</v>
      </c>
      <c r="B426" t="s">
        <v>8</v>
      </c>
      <c r="C426" s="3" t="s">
        <v>248</v>
      </c>
      <c r="D426" s="3" t="s">
        <v>169</v>
      </c>
    </row>
    <row r="427" spans="1:4" x14ac:dyDescent="0.2">
      <c r="A427" s="3" t="s">
        <v>196</v>
      </c>
      <c r="B427" t="s">
        <v>8</v>
      </c>
      <c r="C427" s="3" t="s">
        <v>249</v>
      </c>
      <c r="D427" s="3" t="s">
        <v>169</v>
      </c>
    </row>
    <row r="428" spans="1:4" x14ac:dyDescent="0.2">
      <c r="A428" s="3" t="s">
        <v>196</v>
      </c>
      <c r="B428" t="s">
        <v>8</v>
      </c>
      <c r="C428" s="3" t="s">
        <v>250</v>
      </c>
      <c r="D428" s="3" t="s">
        <v>169</v>
      </c>
    </row>
    <row r="429" spans="1:4" x14ac:dyDescent="0.2">
      <c r="A429" s="3" t="s">
        <v>196</v>
      </c>
      <c r="B429" t="s">
        <v>8</v>
      </c>
      <c r="C429" s="3" t="s">
        <v>251</v>
      </c>
      <c r="D429" s="3" t="s">
        <v>169</v>
      </c>
    </row>
    <row r="430" spans="1:4" x14ac:dyDescent="0.2">
      <c r="A430" s="3" t="s">
        <v>196</v>
      </c>
      <c r="B430" t="s">
        <v>8</v>
      </c>
      <c r="C430" s="3" t="s">
        <v>252</v>
      </c>
      <c r="D430" s="3" t="s">
        <v>169</v>
      </c>
    </row>
    <row r="431" spans="1:4" x14ac:dyDescent="0.2">
      <c r="A431" s="3" t="s">
        <v>253</v>
      </c>
      <c r="B431" t="s">
        <v>8</v>
      </c>
      <c r="C431" s="3" t="s">
        <v>254</v>
      </c>
      <c r="D431" s="3" t="s">
        <v>53</v>
      </c>
    </row>
    <row r="432" spans="1:4" x14ac:dyDescent="0.2">
      <c r="A432" s="3" t="s">
        <v>253</v>
      </c>
      <c r="B432" t="s">
        <v>8</v>
      </c>
      <c r="C432" s="3" t="s">
        <v>255</v>
      </c>
      <c r="D432" s="3" t="s">
        <v>53</v>
      </c>
    </row>
    <row r="433" spans="1:4" x14ac:dyDescent="0.2">
      <c r="A433" s="3" t="s">
        <v>253</v>
      </c>
      <c r="B433" t="s">
        <v>8</v>
      </c>
      <c r="C433" s="3" t="s">
        <v>199</v>
      </c>
      <c r="D433" s="3" t="s">
        <v>53</v>
      </c>
    </row>
    <row r="434" spans="1:4" x14ac:dyDescent="0.2">
      <c r="A434" s="3" t="s">
        <v>253</v>
      </c>
      <c r="B434" t="s">
        <v>8</v>
      </c>
      <c r="C434" s="3" t="s">
        <v>221</v>
      </c>
      <c r="D434" s="3" t="s">
        <v>54</v>
      </c>
    </row>
    <row r="435" spans="1:4" x14ac:dyDescent="0.2">
      <c r="A435" s="3" t="s">
        <v>253</v>
      </c>
      <c r="B435" t="s">
        <v>8</v>
      </c>
      <c r="C435" s="3" t="s">
        <v>254</v>
      </c>
      <c r="D435" s="3" t="s">
        <v>54</v>
      </c>
    </row>
    <row r="436" spans="1:4" x14ac:dyDescent="0.2">
      <c r="A436" s="3" t="s">
        <v>253</v>
      </c>
      <c r="B436" t="s">
        <v>8</v>
      </c>
      <c r="C436" s="3" t="s">
        <v>255</v>
      </c>
      <c r="D436" s="3" t="s">
        <v>54</v>
      </c>
    </row>
    <row r="437" spans="1:4" x14ac:dyDescent="0.2">
      <c r="A437" s="3" t="s">
        <v>253</v>
      </c>
      <c r="B437" t="s">
        <v>8</v>
      </c>
      <c r="C437" s="3" t="s">
        <v>199</v>
      </c>
      <c r="D437" s="3" t="s">
        <v>54</v>
      </c>
    </row>
    <row r="438" spans="1:4" x14ac:dyDescent="0.2">
      <c r="A438" s="3" t="s">
        <v>253</v>
      </c>
      <c r="B438" t="s">
        <v>8</v>
      </c>
      <c r="C438" s="3" t="s">
        <v>221</v>
      </c>
      <c r="D438" s="3" t="s">
        <v>55</v>
      </c>
    </row>
    <row r="439" spans="1:4" x14ac:dyDescent="0.2">
      <c r="A439" s="3" t="s">
        <v>253</v>
      </c>
      <c r="B439" t="s">
        <v>8</v>
      </c>
      <c r="C439" s="3" t="s">
        <v>254</v>
      </c>
      <c r="D439" s="3" t="s">
        <v>55</v>
      </c>
    </row>
    <row r="440" spans="1:4" x14ac:dyDescent="0.2">
      <c r="A440" s="3" t="s">
        <v>253</v>
      </c>
      <c r="B440" t="s">
        <v>8</v>
      </c>
      <c r="C440" s="3" t="s">
        <v>256</v>
      </c>
      <c r="D440" s="3" t="s">
        <v>55</v>
      </c>
    </row>
    <row r="441" spans="1:4" x14ac:dyDescent="0.2">
      <c r="A441" s="3" t="s">
        <v>253</v>
      </c>
      <c r="B441" t="s">
        <v>8</v>
      </c>
      <c r="C441" s="3" t="s">
        <v>221</v>
      </c>
      <c r="D441" s="3" t="s">
        <v>56</v>
      </c>
    </row>
    <row r="442" spans="1:4" x14ac:dyDescent="0.2">
      <c r="A442" s="3" t="s">
        <v>253</v>
      </c>
      <c r="B442" t="s">
        <v>8</v>
      </c>
      <c r="C442" s="3" t="s">
        <v>254</v>
      </c>
      <c r="D442" s="3" t="s">
        <v>56</v>
      </c>
    </row>
    <row r="443" spans="1:4" x14ac:dyDescent="0.2">
      <c r="A443" s="3" t="s">
        <v>253</v>
      </c>
      <c r="B443" t="s">
        <v>8</v>
      </c>
      <c r="C443" s="3" t="s">
        <v>199</v>
      </c>
      <c r="D443" s="3" t="s">
        <v>56</v>
      </c>
    </row>
    <row r="444" spans="1:4" x14ac:dyDescent="0.2">
      <c r="A444" s="3" t="s">
        <v>253</v>
      </c>
      <c r="B444" t="s">
        <v>8</v>
      </c>
      <c r="C444" s="3" t="s">
        <v>221</v>
      </c>
      <c r="D444" s="3" t="s">
        <v>57</v>
      </c>
    </row>
    <row r="445" spans="1:4" x14ac:dyDescent="0.2">
      <c r="A445" s="3" t="s">
        <v>253</v>
      </c>
      <c r="B445" t="s">
        <v>8</v>
      </c>
      <c r="C445" s="3" t="s">
        <v>254</v>
      </c>
      <c r="D445" s="3" t="s">
        <v>57</v>
      </c>
    </row>
    <row r="446" spans="1:4" x14ac:dyDescent="0.2">
      <c r="A446" s="3" t="s">
        <v>253</v>
      </c>
      <c r="B446" t="s">
        <v>8</v>
      </c>
      <c r="C446" s="3" t="s">
        <v>255</v>
      </c>
      <c r="D446" s="3" t="s">
        <v>57</v>
      </c>
    </row>
    <row r="447" spans="1:4" x14ac:dyDescent="0.2">
      <c r="A447" s="3" t="s">
        <v>253</v>
      </c>
      <c r="B447" t="s">
        <v>8</v>
      </c>
      <c r="C447" s="3" t="s">
        <v>199</v>
      </c>
      <c r="D447" s="3" t="s">
        <v>57</v>
      </c>
    </row>
    <row r="448" spans="1:4" x14ac:dyDescent="0.2">
      <c r="A448" s="3" t="s">
        <v>253</v>
      </c>
      <c r="B448" t="s">
        <v>8</v>
      </c>
      <c r="C448" s="3" t="s">
        <v>237</v>
      </c>
      <c r="D448" s="3" t="s">
        <v>169</v>
      </c>
    </row>
    <row r="449" spans="1:4" x14ac:dyDescent="0.2">
      <c r="A449" s="3" t="s">
        <v>257</v>
      </c>
      <c r="B449" t="s">
        <v>8</v>
      </c>
      <c r="C449" s="3" t="s">
        <v>130</v>
      </c>
      <c r="D449" s="3" t="s">
        <v>11</v>
      </c>
    </row>
    <row r="450" spans="1:4" x14ac:dyDescent="0.2">
      <c r="A450" s="3" t="s">
        <v>258</v>
      </c>
      <c r="B450" t="s">
        <v>8</v>
      </c>
      <c r="C450" s="3" t="s">
        <v>259</v>
      </c>
      <c r="D450" s="3" t="s">
        <v>53</v>
      </c>
    </row>
    <row r="451" spans="1:4" x14ac:dyDescent="0.2">
      <c r="A451" s="3" t="s">
        <v>258</v>
      </c>
      <c r="B451" t="s">
        <v>8</v>
      </c>
      <c r="C451" s="3" t="s">
        <v>260</v>
      </c>
      <c r="D451" s="3" t="s">
        <v>53</v>
      </c>
    </row>
    <row r="452" spans="1:4" x14ac:dyDescent="0.2">
      <c r="A452" s="3" t="s">
        <v>258</v>
      </c>
      <c r="B452" t="s">
        <v>8</v>
      </c>
      <c r="C452" s="3" t="s">
        <v>261</v>
      </c>
      <c r="D452" s="3" t="s">
        <v>53</v>
      </c>
    </row>
    <row r="453" spans="1:4" x14ac:dyDescent="0.2">
      <c r="A453" s="3" t="s">
        <v>258</v>
      </c>
      <c r="B453" t="s">
        <v>8</v>
      </c>
      <c r="C453" s="3" t="s">
        <v>262</v>
      </c>
      <c r="D453" s="3" t="s">
        <v>53</v>
      </c>
    </row>
    <row r="454" spans="1:4" x14ac:dyDescent="0.2">
      <c r="A454" s="3" t="s">
        <v>258</v>
      </c>
      <c r="B454" t="s">
        <v>8</v>
      </c>
      <c r="C454" s="3" t="s">
        <v>263</v>
      </c>
      <c r="D454" s="3" t="s">
        <v>53</v>
      </c>
    </row>
    <row r="455" spans="1:4" x14ac:dyDescent="0.2">
      <c r="A455" s="3" t="s">
        <v>258</v>
      </c>
      <c r="B455" t="s">
        <v>8</v>
      </c>
      <c r="C455" s="3" t="s">
        <v>264</v>
      </c>
      <c r="D455" s="3" t="s">
        <v>53</v>
      </c>
    </row>
    <row r="456" spans="1:4" x14ac:dyDescent="0.2">
      <c r="A456" s="3" t="s">
        <v>258</v>
      </c>
      <c r="B456" t="s">
        <v>8</v>
      </c>
      <c r="C456" s="3" t="s">
        <v>259</v>
      </c>
      <c r="D456" s="3" t="s">
        <v>54</v>
      </c>
    </row>
    <row r="457" spans="1:4" x14ac:dyDescent="0.2">
      <c r="A457" s="3" t="s">
        <v>258</v>
      </c>
      <c r="B457" t="s">
        <v>8</v>
      </c>
      <c r="C457" s="3" t="s">
        <v>260</v>
      </c>
      <c r="D457" s="3" t="s">
        <v>54</v>
      </c>
    </row>
    <row r="458" spans="1:4" x14ac:dyDescent="0.2">
      <c r="A458" s="3" t="s">
        <v>258</v>
      </c>
      <c r="B458" t="s">
        <v>8</v>
      </c>
      <c r="C458" s="3" t="s">
        <v>261</v>
      </c>
      <c r="D458" s="3" t="s">
        <v>54</v>
      </c>
    </row>
    <row r="459" spans="1:4" x14ac:dyDescent="0.2">
      <c r="A459" s="3" t="s">
        <v>258</v>
      </c>
      <c r="B459" t="s">
        <v>8</v>
      </c>
      <c r="C459" s="3" t="s">
        <v>262</v>
      </c>
      <c r="D459" s="3" t="s">
        <v>54</v>
      </c>
    </row>
    <row r="460" spans="1:4" x14ac:dyDescent="0.2">
      <c r="A460" s="3" t="s">
        <v>258</v>
      </c>
      <c r="B460" t="s">
        <v>8</v>
      </c>
      <c r="C460" s="3" t="s">
        <v>263</v>
      </c>
      <c r="D460" s="3" t="s">
        <v>54</v>
      </c>
    </row>
    <row r="461" spans="1:4" x14ac:dyDescent="0.2">
      <c r="A461" s="3" t="s">
        <v>258</v>
      </c>
      <c r="B461" t="s">
        <v>8</v>
      </c>
      <c r="C461" s="3" t="s">
        <v>264</v>
      </c>
      <c r="D461" s="3" t="s">
        <v>54</v>
      </c>
    </row>
    <row r="462" spans="1:4" x14ac:dyDescent="0.2">
      <c r="A462" s="3" t="s">
        <v>258</v>
      </c>
      <c r="B462" t="s">
        <v>8</v>
      </c>
      <c r="C462" s="3" t="s">
        <v>259</v>
      </c>
      <c r="D462" s="3" t="s">
        <v>55</v>
      </c>
    </row>
    <row r="463" spans="1:4" x14ac:dyDescent="0.2">
      <c r="A463" s="3" t="s">
        <v>258</v>
      </c>
      <c r="B463" t="s">
        <v>8</v>
      </c>
      <c r="C463" s="3" t="s">
        <v>260</v>
      </c>
      <c r="D463" s="3" t="s">
        <v>55</v>
      </c>
    </row>
    <row r="464" spans="1:4" x14ac:dyDescent="0.2">
      <c r="A464" s="3" t="s">
        <v>258</v>
      </c>
      <c r="B464" t="s">
        <v>8</v>
      </c>
      <c r="C464" s="3" t="s">
        <v>261</v>
      </c>
      <c r="D464" s="3" t="s">
        <v>55</v>
      </c>
    </row>
    <row r="465" spans="1:4" x14ac:dyDescent="0.2">
      <c r="A465" s="3" t="s">
        <v>258</v>
      </c>
      <c r="B465" t="s">
        <v>8</v>
      </c>
      <c r="C465" s="3" t="s">
        <v>262</v>
      </c>
      <c r="D465" s="3" t="s">
        <v>55</v>
      </c>
    </row>
    <row r="466" spans="1:4" x14ac:dyDescent="0.2">
      <c r="A466" s="3" t="s">
        <v>258</v>
      </c>
      <c r="B466" t="s">
        <v>8</v>
      </c>
      <c r="C466" s="3" t="s">
        <v>263</v>
      </c>
      <c r="D466" s="3" t="s">
        <v>55</v>
      </c>
    </row>
    <row r="467" spans="1:4" x14ac:dyDescent="0.2">
      <c r="A467" s="3" t="s">
        <v>258</v>
      </c>
      <c r="B467" t="s">
        <v>8</v>
      </c>
      <c r="C467" s="3" t="s">
        <v>264</v>
      </c>
      <c r="D467" s="3" t="s">
        <v>55</v>
      </c>
    </row>
    <row r="468" spans="1:4" x14ac:dyDescent="0.2">
      <c r="A468" s="3" t="s">
        <v>258</v>
      </c>
      <c r="B468" t="s">
        <v>8</v>
      </c>
      <c r="C468" s="3" t="s">
        <v>259</v>
      </c>
      <c r="D468" s="3" t="s">
        <v>56</v>
      </c>
    </row>
    <row r="469" spans="1:4" x14ac:dyDescent="0.2">
      <c r="A469" s="3" t="s">
        <v>258</v>
      </c>
      <c r="B469" t="s">
        <v>8</v>
      </c>
      <c r="C469" s="3" t="s">
        <v>260</v>
      </c>
      <c r="D469" s="3" t="s">
        <v>56</v>
      </c>
    </row>
    <row r="470" spans="1:4" x14ac:dyDescent="0.2">
      <c r="A470" s="3" t="s">
        <v>258</v>
      </c>
      <c r="B470" t="s">
        <v>8</v>
      </c>
      <c r="C470" s="3" t="s">
        <v>261</v>
      </c>
      <c r="D470" s="3" t="s">
        <v>56</v>
      </c>
    </row>
    <row r="471" spans="1:4" x14ac:dyDescent="0.2">
      <c r="A471" s="3" t="s">
        <v>258</v>
      </c>
      <c r="B471" t="s">
        <v>8</v>
      </c>
      <c r="C471" s="3" t="s">
        <v>262</v>
      </c>
      <c r="D471" s="3" t="s">
        <v>56</v>
      </c>
    </row>
    <row r="472" spans="1:4" x14ac:dyDescent="0.2">
      <c r="A472" s="3" t="s">
        <v>258</v>
      </c>
      <c r="B472" t="s">
        <v>8</v>
      </c>
      <c r="C472" s="3" t="s">
        <v>263</v>
      </c>
      <c r="D472" s="3" t="s">
        <v>56</v>
      </c>
    </row>
    <row r="473" spans="1:4" x14ac:dyDescent="0.2">
      <c r="A473" s="3" t="s">
        <v>258</v>
      </c>
      <c r="B473" t="s">
        <v>8</v>
      </c>
      <c r="C473" s="3" t="s">
        <v>264</v>
      </c>
      <c r="D473" s="3" t="s">
        <v>56</v>
      </c>
    </row>
    <row r="474" spans="1:4" x14ac:dyDescent="0.2">
      <c r="A474" s="3" t="s">
        <v>258</v>
      </c>
      <c r="B474" t="s">
        <v>8</v>
      </c>
      <c r="C474" s="3" t="s">
        <v>259</v>
      </c>
      <c r="D474" s="3" t="s">
        <v>57</v>
      </c>
    </row>
    <row r="475" spans="1:4" x14ac:dyDescent="0.2">
      <c r="A475" s="3" t="s">
        <v>258</v>
      </c>
      <c r="B475" t="s">
        <v>8</v>
      </c>
      <c r="C475" s="3" t="s">
        <v>260</v>
      </c>
      <c r="D475" s="3" t="s">
        <v>57</v>
      </c>
    </row>
    <row r="476" spans="1:4" x14ac:dyDescent="0.2">
      <c r="A476" s="3" t="s">
        <v>258</v>
      </c>
      <c r="B476" t="s">
        <v>8</v>
      </c>
      <c r="C476" s="3" t="s">
        <v>261</v>
      </c>
      <c r="D476" s="3" t="s">
        <v>57</v>
      </c>
    </row>
    <row r="477" spans="1:4" x14ac:dyDescent="0.2">
      <c r="A477" s="3" t="s">
        <v>258</v>
      </c>
      <c r="B477" t="s">
        <v>8</v>
      </c>
      <c r="C477" s="3" t="s">
        <v>262</v>
      </c>
      <c r="D477" s="3" t="s">
        <v>57</v>
      </c>
    </row>
    <row r="478" spans="1:4" x14ac:dyDescent="0.2">
      <c r="A478" s="3" t="s">
        <v>258</v>
      </c>
      <c r="B478" t="s">
        <v>8</v>
      </c>
      <c r="C478" s="3" t="s">
        <v>263</v>
      </c>
      <c r="D478" s="3" t="s">
        <v>57</v>
      </c>
    </row>
    <row r="479" spans="1:4" x14ac:dyDescent="0.2">
      <c r="A479" s="3" t="s">
        <v>258</v>
      </c>
      <c r="B479" t="s">
        <v>8</v>
      </c>
      <c r="C479" s="3" t="s">
        <v>264</v>
      </c>
      <c r="D479" s="3" t="s">
        <v>57</v>
      </c>
    </row>
    <row r="480" spans="1:4" x14ac:dyDescent="0.2">
      <c r="A480" s="3" t="s">
        <v>258</v>
      </c>
      <c r="B480" t="s">
        <v>8</v>
      </c>
      <c r="C480" s="3" t="s">
        <v>265</v>
      </c>
      <c r="D480" s="3" t="s">
        <v>22</v>
      </c>
    </row>
    <row r="481" spans="1:4" x14ac:dyDescent="0.2">
      <c r="A481" s="3" t="s">
        <v>258</v>
      </c>
      <c r="B481" t="s">
        <v>8</v>
      </c>
      <c r="C481" s="3" t="s">
        <v>266</v>
      </c>
      <c r="D481" s="3" t="s">
        <v>22</v>
      </c>
    </row>
    <row r="482" spans="1:4" x14ac:dyDescent="0.2">
      <c r="A482" s="3" t="s">
        <v>258</v>
      </c>
      <c r="B482" t="s">
        <v>8</v>
      </c>
      <c r="C482" s="3" t="s">
        <v>267</v>
      </c>
      <c r="D482" s="3" t="s">
        <v>22</v>
      </c>
    </row>
    <row r="483" spans="1:4" x14ac:dyDescent="0.2">
      <c r="A483" s="3" t="s">
        <v>258</v>
      </c>
      <c r="B483" t="s">
        <v>8</v>
      </c>
      <c r="C483" s="3" t="s">
        <v>268</v>
      </c>
      <c r="D483" s="3" t="s">
        <v>22</v>
      </c>
    </row>
    <row r="484" spans="1:4" x14ac:dyDescent="0.2">
      <c r="A484" s="3" t="s">
        <v>258</v>
      </c>
      <c r="B484" t="s">
        <v>8</v>
      </c>
      <c r="C484" s="3" t="s">
        <v>269</v>
      </c>
      <c r="D484" s="3" t="s">
        <v>22</v>
      </c>
    </row>
    <row r="485" spans="1:4" x14ac:dyDescent="0.2">
      <c r="A485" s="3" t="s">
        <v>258</v>
      </c>
      <c r="B485" t="s">
        <v>8</v>
      </c>
      <c r="C485" s="3" t="s">
        <v>270</v>
      </c>
      <c r="D485" s="3" t="s">
        <v>22</v>
      </c>
    </row>
    <row r="486" spans="1:4" x14ac:dyDescent="0.2">
      <c r="A486" s="3" t="s">
        <v>258</v>
      </c>
      <c r="B486" t="s">
        <v>8</v>
      </c>
      <c r="C486" s="3" t="s">
        <v>271</v>
      </c>
      <c r="D486" s="3" t="s">
        <v>22</v>
      </c>
    </row>
    <row r="487" spans="1:4" x14ac:dyDescent="0.2">
      <c r="A487" s="3" t="s">
        <v>258</v>
      </c>
      <c r="B487" t="s">
        <v>8</v>
      </c>
      <c r="C487" s="3" t="s">
        <v>272</v>
      </c>
      <c r="D487" s="3" t="s">
        <v>22</v>
      </c>
    </row>
    <row r="488" spans="1:4" x14ac:dyDescent="0.2">
      <c r="A488" s="3" t="s">
        <v>258</v>
      </c>
      <c r="B488" t="s">
        <v>8</v>
      </c>
      <c r="C488" s="3" t="s">
        <v>273</v>
      </c>
      <c r="D488" s="3" t="s">
        <v>22</v>
      </c>
    </row>
    <row r="489" spans="1:4" x14ac:dyDescent="0.2">
      <c r="A489" s="3" t="s">
        <v>258</v>
      </c>
      <c r="B489" t="s">
        <v>8</v>
      </c>
      <c r="C489" s="3" t="s">
        <v>274</v>
      </c>
      <c r="D489" s="3" t="s">
        <v>22</v>
      </c>
    </row>
    <row r="490" spans="1:4" x14ac:dyDescent="0.2">
      <c r="A490" s="3" t="s">
        <v>258</v>
      </c>
      <c r="B490" t="s">
        <v>8</v>
      </c>
      <c r="C490" s="3" t="s">
        <v>275</v>
      </c>
      <c r="D490" s="3" t="s">
        <v>22</v>
      </c>
    </row>
    <row r="491" spans="1:4" x14ac:dyDescent="0.2">
      <c r="A491" s="3" t="s">
        <v>258</v>
      </c>
      <c r="B491" t="s">
        <v>8</v>
      </c>
      <c r="C491" s="3" t="s">
        <v>276</v>
      </c>
      <c r="D491" s="3" t="s">
        <v>22</v>
      </c>
    </row>
    <row r="492" spans="1:4" x14ac:dyDescent="0.2">
      <c r="A492" s="3" t="s">
        <v>258</v>
      </c>
      <c r="B492" t="s">
        <v>8</v>
      </c>
      <c r="C492" s="3" t="s">
        <v>277</v>
      </c>
      <c r="D492" s="3" t="s">
        <v>22</v>
      </c>
    </row>
    <row r="493" spans="1:4" x14ac:dyDescent="0.2">
      <c r="A493" s="3" t="s">
        <v>258</v>
      </c>
      <c r="B493" t="s">
        <v>8</v>
      </c>
      <c r="C493" s="3" t="s">
        <v>278</v>
      </c>
      <c r="D493" s="3" t="s">
        <v>22</v>
      </c>
    </row>
    <row r="494" spans="1:4" x14ac:dyDescent="0.2">
      <c r="A494" s="3" t="s">
        <v>258</v>
      </c>
      <c r="B494" t="s">
        <v>8</v>
      </c>
      <c r="C494" s="3" t="s">
        <v>279</v>
      </c>
      <c r="D494" s="3" t="s">
        <v>22</v>
      </c>
    </row>
    <row r="495" spans="1:4" x14ac:dyDescent="0.2">
      <c r="A495" s="3" t="s">
        <v>258</v>
      </c>
      <c r="B495" t="s">
        <v>8</v>
      </c>
      <c r="C495" s="3" t="s">
        <v>280</v>
      </c>
      <c r="D495" s="3" t="s">
        <v>22</v>
      </c>
    </row>
    <row r="496" spans="1:4" x14ac:dyDescent="0.2">
      <c r="A496" s="3" t="s">
        <v>258</v>
      </c>
      <c r="B496" t="s">
        <v>8</v>
      </c>
      <c r="C496" s="3" t="s">
        <v>281</v>
      </c>
      <c r="D496" s="3" t="s">
        <v>22</v>
      </c>
    </row>
    <row r="497" spans="1:4" x14ac:dyDescent="0.2">
      <c r="A497" s="3" t="s">
        <v>258</v>
      </c>
      <c r="B497" t="s">
        <v>8</v>
      </c>
      <c r="C497" s="3" t="s">
        <v>282</v>
      </c>
      <c r="D497" s="3" t="s">
        <v>22</v>
      </c>
    </row>
    <row r="498" spans="1:4" x14ac:dyDescent="0.2">
      <c r="A498" s="3" t="s">
        <v>258</v>
      </c>
      <c r="B498" t="s">
        <v>8</v>
      </c>
      <c r="C498" s="3" t="s">
        <v>283</v>
      </c>
      <c r="D498" s="3" t="s">
        <v>22</v>
      </c>
    </row>
    <row r="499" spans="1:4" x14ac:dyDescent="0.2">
      <c r="A499" s="3" t="s">
        <v>284</v>
      </c>
      <c r="B499" t="s">
        <v>8</v>
      </c>
      <c r="C499" s="3" t="s">
        <v>259</v>
      </c>
      <c r="D499" s="3" t="s">
        <v>53</v>
      </c>
    </row>
    <row r="500" spans="1:4" x14ac:dyDescent="0.2">
      <c r="A500" s="3" t="s">
        <v>284</v>
      </c>
      <c r="B500" t="s">
        <v>8</v>
      </c>
      <c r="C500" s="3" t="s">
        <v>260</v>
      </c>
      <c r="D500" s="3" t="s">
        <v>53</v>
      </c>
    </row>
    <row r="501" spans="1:4" x14ac:dyDescent="0.2">
      <c r="A501" s="3" t="s">
        <v>284</v>
      </c>
      <c r="B501" t="s">
        <v>8</v>
      </c>
      <c r="C501" s="3" t="s">
        <v>262</v>
      </c>
      <c r="D501" s="3" t="s">
        <v>53</v>
      </c>
    </row>
    <row r="502" spans="1:4" x14ac:dyDescent="0.2">
      <c r="A502" s="3" t="s">
        <v>284</v>
      </c>
      <c r="B502" t="s">
        <v>8</v>
      </c>
      <c r="C502" s="3" t="s">
        <v>263</v>
      </c>
      <c r="D502" s="3" t="s">
        <v>53</v>
      </c>
    </row>
    <row r="503" spans="1:4" x14ac:dyDescent="0.2">
      <c r="A503" s="3" t="s">
        <v>284</v>
      </c>
      <c r="B503" t="s">
        <v>8</v>
      </c>
      <c r="C503" s="3" t="s">
        <v>285</v>
      </c>
      <c r="D503" s="3" t="s">
        <v>53</v>
      </c>
    </row>
    <row r="504" spans="1:4" x14ac:dyDescent="0.2">
      <c r="A504" s="3" t="s">
        <v>284</v>
      </c>
      <c r="B504" t="s">
        <v>8</v>
      </c>
      <c r="C504" s="3" t="s">
        <v>286</v>
      </c>
      <c r="D504" s="3" t="s">
        <v>53</v>
      </c>
    </row>
    <row r="505" spans="1:4" x14ac:dyDescent="0.2">
      <c r="A505" s="3" t="s">
        <v>284</v>
      </c>
      <c r="B505" t="s">
        <v>8</v>
      </c>
      <c r="C505" s="3" t="s">
        <v>259</v>
      </c>
      <c r="D505" s="3" t="s">
        <v>54</v>
      </c>
    </row>
    <row r="506" spans="1:4" x14ac:dyDescent="0.2">
      <c r="A506" s="3" t="s">
        <v>284</v>
      </c>
      <c r="B506" t="s">
        <v>8</v>
      </c>
      <c r="C506" s="3" t="s">
        <v>260</v>
      </c>
      <c r="D506" s="3" t="s">
        <v>54</v>
      </c>
    </row>
    <row r="507" spans="1:4" x14ac:dyDescent="0.2">
      <c r="A507" s="3" t="s">
        <v>284</v>
      </c>
      <c r="B507" t="s">
        <v>8</v>
      </c>
      <c r="C507" s="3" t="s">
        <v>262</v>
      </c>
      <c r="D507" s="3" t="s">
        <v>54</v>
      </c>
    </row>
    <row r="508" spans="1:4" x14ac:dyDescent="0.2">
      <c r="A508" s="3" t="s">
        <v>284</v>
      </c>
      <c r="B508" t="s">
        <v>8</v>
      </c>
      <c r="C508" s="3" t="s">
        <v>263</v>
      </c>
      <c r="D508" s="3" t="s">
        <v>54</v>
      </c>
    </row>
    <row r="509" spans="1:4" x14ac:dyDescent="0.2">
      <c r="A509" s="3" t="s">
        <v>284</v>
      </c>
      <c r="B509" t="s">
        <v>8</v>
      </c>
      <c r="C509" s="3" t="s">
        <v>285</v>
      </c>
      <c r="D509" s="3" t="s">
        <v>54</v>
      </c>
    </row>
    <row r="510" spans="1:4" x14ac:dyDescent="0.2">
      <c r="A510" s="3" t="s">
        <v>284</v>
      </c>
      <c r="B510" t="s">
        <v>8</v>
      </c>
      <c r="C510" s="3" t="s">
        <v>286</v>
      </c>
      <c r="D510" s="3" t="s">
        <v>54</v>
      </c>
    </row>
    <row r="511" spans="1:4" x14ac:dyDescent="0.2">
      <c r="A511" s="3" t="s">
        <v>284</v>
      </c>
      <c r="B511" t="s">
        <v>8</v>
      </c>
      <c r="C511" s="3" t="s">
        <v>259</v>
      </c>
      <c r="D511" s="3" t="s">
        <v>55</v>
      </c>
    </row>
    <row r="512" spans="1:4" x14ac:dyDescent="0.2">
      <c r="A512" s="3" t="s">
        <v>284</v>
      </c>
      <c r="B512" t="s">
        <v>8</v>
      </c>
      <c r="C512" s="3" t="s">
        <v>260</v>
      </c>
      <c r="D512" s="3" t="s">
        <v>55</v>
      </c>
    </row>
    <row r="513" spans="1:4" x14ac:dyDescent="0.2">
      <c r="A513" s="3" t="s">
        <v>284</v>
      </c>
      <c r="B513" t="s">
        <v>8</v>
      </c>
      <c r="C513" s="3" t="s">
        <v>262</v>
      </c>
      <c r="D513" s="3" t="s">
        <v>55</v>
      </c>
    </row>
    <row r="514" spans="1:4" x14ac:dyDescent="0.2">
      <c r="A514" s="3" t="s">
        <v>284</v>
      </c>
      <c r="B514" t="s">
        <v>8</v>
      </c>
      <c r="C514" s="3" t="s">
        <v>263</v>
      </c>
      <c r="D514" s="3" t="s">
        <v>55</v>
      </c>
    </row>
    <row r="515" spans="1:4" x14ac:dyDescent="0.2">
      <c r="A515" s="3" t="s">
        <v>284</v>
      </c>
      <c r="B515" t="s">
        <v>8</v>
      </c>
      <c r="C515" s="3" t="s">
        <v>285</v>
      </c>
      <c r="D515" s="3" t="s">
        <v>55</v>
      </c>
    </row>
    <row r="516" spans="1:4" x14ac:dyDescent="0.2">
      <c r="A516" s="3" t="s">
        <v>284</v>
      </c>
      <c r="B516" t="s">
        <v>8</v>
      </c>
      <c r="C516" s="3" t="s">
        <v>286</v>
      </c>
      <c r="D516" s="3" t="s">
        <v>55</v>
      </c>
    </row>
    <row r="517" spans="1:4" x14ac:dyDescent="0.2">
      <c r="A517" s="3" t="s">
        <v>284</v>
      </c>
      <c r="B517" t="s">
        <v>8</v>
      </c>
      <c r="C517" s="3" t="s">
        <v>259</v>
      </c>
      <c r="D517" s="3" t="s">
        <v>56</v>
      </c>
    </row>
    <row r="518" spans="1:4" x14ac:dyDescent="0.2">
      <c r="A518" s="3" t="s">
        <v>284</v>
      </c>
      <c r="B518" t="s">
        <v>8</v>
      </c>
      <c r="C518" s="3" t="s">
        <v>260</v>
      </c>
      <c r="D518" s="3" t="s">
        <v>56</v>
      </c>
    </row>
    <row r="519" spans="1:4" x14ac:dyDescent="0.2">
      <c r="A519" s="3" t="s">
        <v>284</v>
      </c>
      <c r="B519" t="s">
        <v>8</v>
      </c>
      <c r="C519" s="3" t="s">
        <v>262</v>
      </c>
      <c r="D519" s="3" t="s">
        <v>56</v>
      </c>
    </row>
    <row r="520" spans="1:4" x14ac:dyDescent="0.2">
      <c r="A520" s="3" t="s">
        <v>284</v>
      </c>
      <c r="B520" t="s">
        <v>8</v>
      </c>
      <c r="C520" s="3" t="s">
        <v>263</v>
      </c>
      <c r="D520" s="3" t="s">
        <v>56</v>
      </c>
    </row>
    <row r="521" spans="1:4" x14ac:dyDescent="0.2">
      <c r="A521" s="3" t="s">
        <v>284</v>
      </c>
      <c r="B521" t="s">
        <v>8</v>
      </c>
      <c r="C521" s="3" t="s">
        <v>285</v>
      </c>
      <c r="D521" s="3" t="s">
        <v>56</v>
      </c>
    </row>
    <row r="522" spans="1:4" x14ac:dyDescent="0.2">
      <c r="A522" s="3" t="s">
        <v>284</v>
      </c>
      <c r="B522" t="s">
        <v>8</v>
      </c>
      <c r="C522" s="3" t="s">
        <v>286</v>
      </c>
      <c r="D522" s="3" t="s">
        <v>56</v>
      </c>
    </row>
    <row r="523" spans="1:4" x14ac:dyDescent="0.2">
      <c r="A523" s="3" t="s">
        <v>284</v>
      </c>
      <c r="B523" t="s">
        <v>8</v>
      </c>
      <c r="C523" s="3" t="s">
        <v>259</v>
      </c>
      <c r="D523" s="3" t="s">
        <v>57</v>
      </c>
    </row>
    <row r="524" spans="1:4" x14ac:dyDescent="0.2">
      <c r="A524" s="3" t="s">
        <v>284</v>
      </c>
      <c r="B524" t="s">
        <v>8</v>
      </c>
      <c r="C524" s="3" t="s">
        <v>260</v>
      </c>
      <c r="D524" s="3" t="s">
        <v>57</v>
      </c>
    </row>
    <row r="525" spans="1:4" x14ac:dyDescent="0.2">
      <c r="A525" s="3" t="s">
        <v>284</v>
      </c>
      <c r="B525" t="s">
        <v>8</v>
      </c>
      <c r="C525" s="3" t="s">
        <v>262</v>
      </c>
      <c r="D525" s="3" t="s">
        <v>57</v>
      </c>
    </row>
    <row r="526" spans="1:4" x14ac:dyDescent="0.2">
      <c r="A526" s="3" t="s">
        <v>284</v>
      </c>
      <c r="B526" t="s">
        <v>8</v>
      </c>
      <c r="C526" s="3" t="s">
        <v>263</v>
      </c>
      <c r="D526" s="3" t="s">
        <v>57</v>
      </c>
    </row>
    <row r="527" spans="1:4" x14ac:dyDescent="0.2">
      <c r="A527" s="3" t="s">
        <v>284</v>
      </c>
      <c r="B527" t="s">
        <v>8</v>
      </c>
      <c r="C527" s="3" t="s">
        <v>285</v>
      </c>
      <c r="D527" s="3" t="s">
        <v>57</v>
      </c>
    </row>
    <row r="528" spans="1:4" x14ac:dyDescent="0.2">
      <c r="A528" s="3" t="s">
        <v>284</v>
      </c>
      <c r="B528" t="s">
        <v>8</v>
      </c>
      <c r="C528" s="3" t="s">
        <v>286</v>
      </c>
      <c r="D528" s="3" t="s">
        <v>57</v>
      </c>
    </row>
    <row r="529" spans="1:4" x14ac:dyDescent="0.2">
      <c r="A529" s="3" t="s">
        <v>287</v>
      </c>
      <c r="B529" t="s">
        <v>8</v>
      </c>
      <c r="C529" s="3" t="s">
        <v>288</v>
      </c>
      <c r="D529" s="3" t="s">
        <v>53</v>
      </c>
    </row>
    <row r="530" spans="1:4" x14ac:dyDescent="0.2">
      <c r="A530" s="3" t="s">
        <v>287</v>
      </c>
      <c r="B530" t="s">
        <v>8</v>
      </c>
      <c r="C530" s="3" t="s">
        <v>289</v>
      </c>
      <c r="D530" s="3" t="s">
        <v>53</v>
      </c>
    </row>
    <row r="531" spans="1:4" x14ac:dyDescent="0.2">
      <c r="A531" s="3" t="s">
        <v>287</v>
      </c>
      <c r="B531" t="s">
        <v>8</v>
      </c>
      <c r="C531" s="3" t="s">
        <v>290</v>
      </c>
      <c r="D531" s="3" t="s">
        <v>53</v>
      </c>
    </row>
    <row r="532" spans="1:4" x14ac:dyDescent="0.2">
      <c r="A532" s="3" t="s">
        <v>287</v>
      </c>
      <c r="B532" t="s">
        <v>8</v>
      </c>
      <c r="C532" s="3" t="s">
        <v>291</v>
      </c>
      <c r="D532" s="3" t="s">
        <v>53</v>
      </c>
    </row>
    <row r="533" spans="1:4" x14ac:dyDescent="0.2">
      <c r="A533" s="3" t="s">
        <v>287</v>
      </c>
      <c r="B533" t="s">
        <v>8</v>
      </c>
      <c r="C533" s="3" t="s">
        <v>285</v>
      </c>
      <c r="D533" s="3" t="s">
        <v>53</v>
      </c>
    </row>
    <row r="534" spans="1:4" x14ac:dyDescent="0.2">
      <c r="A534" s="3" t="s">
        <v>287</v>
      </c>
      <c r="B534" t="s">
        <v>8</v>
      </c>
      <c r="C534" s="3" t="s">
        <v>286</v>
      </c>
      <c r="D534" s="3" t="s">
        <v>53</v>
      </c>
    </row>
    <row r="535" spans="1:4" x14ac:dyDescent="0.2">
      <c r="A535" s="3" t="s">
        <v>287</v>
      </c>
      <c r="B535" t="s">
        <v>8</v>
      </c>
      <c r="C535" s="3" t="s">
        <v>288</v>
      </c>
      <c r="D535" s="3" t="s">
        <v>54</v>
      </c>
    </row>
    <row r="536" spans="1:4" x14ac:dyDescent="0.2">
      <c r="A536" s="3" t="s">
        <v>287</v>
      </c>
      <c r="B536" t="s">
        <v>8</v>
      </c>
      <c r="C536" s="3" t="s">
        <v>289</v>
      </c>
      <c r="D536" s="3" t="s">
        <v>54</v>
      </c>
    </row>
    <row r="537" spans="1:4" x14ac:dyDescent="0.2">
      <c r="A537" s="3" t="s">
        <v>287</v>
      </c>
      <c r="B537" t="s">
        <v>8</v>
      </c>
      <c r="C537" s="3" t="s">
        <v>290</v>
      </c>
      <c r="D537" s="3" t="s">
        <v>54</v>
      </c>
    </row>
    <row r="538" spans="1:4" x14ac:dyDescent="0.2">
      <c r="A538" s="3" t="s">
        <v>287</v>
      </c>
      <c r="B538" t="s">
        <v>8</v>
      </c>
      <c r="C538" s="3" t="s">
        <v>291</v>
      </c>
      <c r="D538" s="3" t="s">
        <v>54</v>
      </c>
    </row>
    <row r="539" spans="1:4" x14ac:dyDescent="0.2">
      <c r="A539" s="3" t="s">
        <v>287</v>
      </c>
      <c r="B539" t="s">
        <v>8</v>
      </c>
      <c r="C539" s="3" t="s">
        <v>285</v>
      </c>
      <c r="D539" s="3" t="s">
        <v>54</v>
      </c>
    </row>
    <row r="540" spans="1:4" x14ac:dyDescent="0.2">
      <c r="A540" s="3" t="s">
        <v>287</v>
      </c>
      <c r="B540" t="s">
        <v>8</v>
      </c>
      <c r="C540" s="3" t="s">
        <v>286</v>
      </c>
      <c r="D540" s="3" t="s">
        <v>54</v>
      </c>
    </row>
    <row r="541" spans="1:4" x14ac:dyDescent="0.2">
      <c r="A541" s="3" t="s">
        <v>287</v>
      </c>
      <c r="B541" t="s">
        <v>8</v>
      </c>
      <c r="C541" s="3" t="s">
        <v>288</v>
      </c>
      <c r="D541" s="3" t="s">
        <v>55</v>
      </c>
    </row>
    <row r="542" spans="1:4" x14ac:dyDescent="0.2">
      <c r="A542" s="3" t="s">
        <v>287</v>
      </c>
      <c r="B542" t="s">
        <v>8</v>
      </c>
      <c r="C542" s="3" t="s">
        <v>289</v>
      </c>
      <c r="D542" s="3" t="s">
        <v>55</v>
      </c>
    </row>
    <row r="543" spans="1:4" x14ac:dyDescent="0.2">
      <c r="A543" s="3" t="s">
        <v>287</v>
      </c>
      <c r="B543" t="s">
        <v>8</v>
      </c>
      <c r="C543" s="3" t="s">
        <v>290</v>
      </c>
      <c r="D543" s="3" t="s">
        <v>55</v>
      </c>
    </row>
    <row r="544" spans="1:4" x14ac:dyDescent="0.2">
      <c r="A544" s="3" t="s">
        <v>287</v>
      </c>
      <c r="B544" t="s">
        <v>8</v>
      </c>
      <c r="C544" s="3" t="s">
        <v>291</v>
      </c>
      <c r="D544" s="3" t="s">
        <v>55</v>
      </c>
    </row>
    <row r="545" spans="1:4" x14ac:dyDescent="0.2">
      <c r="A545" s="3" t="s">
        <v>287</v>
      </c>
      <c r="B545" t="s">
        <v>8</v>
      </c>
      <c r="C545" s="3" t="s">
        <v>285</v>
      </c>
      <c r="D545" s="3" t="s">
        <v>55</v>
      </c>
    </row>
    <row r="546" spans="1:4" x14ac:dyDescent="0.2">
      <c r="A546" s="3" t="s">
        <v>287</v>
      </c>
      <c r="B546" t="s">
        <v>8</v>
      </c>
      <c r="C546" s="3" t="s">
        <v>286</v>
      </c>
      <c r="D546" s="3" t="s">
        <v>55</v>
      </c>
    </row>
    <row r="547" spans="1:4" x14ac:dyDescent="0.2">
      <c r="A547" s="3" t="s">
        <v>287</v>
      </c>
      <c r="B547" t="s">
        <v>8</v>
      </c>
      <c r="C547" s="3" t="s">
        <v>288</v>
      </c>
      <c r="D547" s="3" t="s">
        <v>56</v>
      </c>
    </row>
    <row r="548" spans="1:4" x14ac:dyDescent="0.2">
      <c r="A548" s="3" t="s">
        <v>287</v>
      </c>
      <c r="B548" t="s">
        <v>8</v>
      </c>
      <c r="C548" s="3" t="s">
        <v>289</v>
      </c>
      <c r="D548" s="3" t="s">
        <v>56</v>
      </c>
    </row>
    <row r="549" spans="1:4" x14ac:dyDescent="0.2">
      <c r="A549" s="3" t="s">
        <v>287</v>
      </c>
      <c r="B549" t="s">
        <v>8</v>
      </c>
      <c r="C549" s="3" t="s">
        <v>290</v>
      </c>
      <c r="D549" s="3" t="s">
        <v>56</v>
      </c>
    </row>
    <row r="550" spans="1:4" x14ac:dyDescent="0.2">
      <c r="A550" s="3" t="s">
        <v>287</v>
      </c>
      <c r="B550" t="s">
        <v>8</v>
      </c>
      <c r="C550" s="3" t="s">
        <v>291</v>
      </c>
      <c r="D550" s="3" t="s">
        <v>56</v>
      </c>
    </row>
    <row r="551" spans="1:4" x14ac:dyDescent="0.2">
      <c r="A551" s="3" t="s">
        <v>287</v>
      </c>
      <c r="B551" t="s">
        <v>8</v>
      </c>
      <c r="C551" s="3" t="s">
        <v>285</v>
      </c>
      <c r="D551" s="3" t="s">
        <v>56</v>
      </c>
    </row>
    <row r="552" spans="1:4" x14ac:dyDescent="0.2">
      <c r="A552" s="3" t="s">
        <v>287</v>
      </c>
      <c r="B552" t="s">
        <v>8</v>
      </c>
      <c r="C552" s="3" t="s">
        <v>286</v>
      </c>
      <c r="D552" s="3" t="s">
        <v>56</v>
      </c>
    </row>
    <row r="553" spans="1:4" x14ac:dyDescent="0.2">
      <c r="A553" s="3" t="s">
        <v>287</v>
      </c>
      <c r="B553" t="s">
        <v>8</v>
      </c>
      <c r="C553" s="3" t="s">
        <v>288</v>
      </c>
      <c r="D553" s="3" t="s">
        <v>57</v>
      </c>
    </row>
    <row r="554" spans="1:4" x14ac:dyDescent="0.2">
      <c r="A554" s="3" t="s">
        <v>287</v>
      </c>
      <c r="B554" t="s">
        <v>8</v>
      </c>
      <c r="C554" s="3" t="s">
        <v>289</v>
      </c>
      <c r="D554" s="3" t="s">
        <v>57</v>
      </c>
    </row>
    <row r="555" spans="1:4" x14ac:dyDescent="0.2">
      <c r="A555" s="3" t="s">
        <v>287</v>
      </c>
      <c r="B555" t="s">
        <v>8</v>
      </c>
      <c r="C555" s="3" t="s">
        <v>290</v>
      </c>
      <c r="D555" s="3" t="s">
        <v>57</v>
      </c>
    </row>
    <row r="556" spans="1:4" x14ac:dyDescent="0.2">
      <c r="A556" s="3" t="s">
        <v>287</v>
      </c>
      <c r="B556" t="s">
        <v>8</v>
      </c>
      <c r="C556" s="3" t="s">
        <v>291</v>
      </c>
      <c r="D556" s="3" t="s">
        <v>57</v>
      </c>
    </row>
    <row r="557" spans="1:4" x14ac:dyDescent="0.2">
      <c r="A557" s="3" t="s">
        <v>287</v>
      </c>
      <c r="B557" t="s">
        <v>8</v>
      </c>
      <c r="C557" s="3" t="s">
        <v>285</v>
      </c>
      <c r="D557" s="3" t="s">
        <v>57</v>
      </c>
    </row>
    <row r="558" spans="1:4" x14ac:dyDescent="0.2">
      <c r="A558" s="3" t="s">
        <v>287</v>
      </c>
      <c r="B558" t="s">
        <v>8</v>
      </c>
      <c r="C558" s="3" t="s">
        <v>286</v>
      </c>
      <c r="D558" s="3" t="s">
        <v>57</v>
      </c>
    </row>
    <row r="559" spans="1:4" x14ac:dyDescent="0.2">
      <c r="A559" s="3" t="s">
        <v>287</v>
      </c>
      <c r="B559" t="s">
        <v>8</v>
      </c>
      <c r="C559" s="3" t="s">
        <v>276</v>
      </c>
      <c r="D559" s="3" t="s">
        <v>22</v>
      </c>
    </row>
    <row r="560" spans="1:4" x14ac:dyDescent="0.2">
      <c r="A560" s="3" t="s">
        <v>287</v>
      </c>
      <c r="B560" t="s">
        <v>8</v>
      </c>
      <c r="C560" s="3" t="s">
        <v>277</v>
      </c>
      <c r="D560" s="3" t="s">
        <v>22</v>
      </c>
    </row>
    <row r="561" spans="1:4" x14ac:dyDescent="0.2">
      <c r="A561" s="3" t="s">
        <v>287</v>
      </c>
      <c r="B561" t="s">
        <v>8</v>
      </c>
      <c r="C561" s="3" t="s">
        <v>278</v>
      </c>
      <c r="D561" s="3" t="s">
        <v>22</v>
      </c>
    </row>
    <row r="562" spans="1:4" x14ac:dyDescent="0.2">
      <c r="A562" s="3" t="s">
        <v>292</v>
      </c>
      <c r="B562" t="s">
        <v>8</v>
      </c>
      <c r="C562" s="3" t="s">
        <v>199</v>
      </c>
      <c r="D562" s="3" t="s">
        <v>53</v>
      </c>
    </row>
    <row r="563" spans="1:4" x14ac:dyDescent="0.2">
      <c r="A563" s="3" t="s">
        <v>292</v>
      </c>
      <c r="B563" t="s">
        <v>8</v>
      </c>
      <c r="C563" s="3" t="s">
        <v>221</v>
      </c>
      <c r="D563" s="3" t="s">
        <v>54</v>
      </c>
    </row>
    <row r="564" spans="1:4" x14ac:dyDescent="0.2">
      <c r="A564" s="3" t="s">
        <v>292</v>
      </c>
      <c r="B564" t="s">
        <v>8</v>
      </c>
      <c r="C564" s="3" t="s">
        <v>199</v>
      </c>
      <c r="D564" s="3" t="s">
        <v>54</v>
      </c>
    </row>
    <row r="565" spans="1:4" x14ac:dyDescent="0.2">
      <c r="A565" s="3" t="s">
        <v>292</v>
      </c>
      <c r="B565" t="s">
        <v>8</v>
      </c>
      <c r="C565" s="3" t="s">
        <v>221</v>
      </c>
      <c r="D565" s="3" t="s">
        <v>55</v>
      </c>
    </row>
    <row r="566" spans="1:4" x14ac:dyDescent="0.2">
      <c r="A566" s="3" t="s">
        <v>292</v>
      </c>
      <c r="B566" t="s">
        <v>8</v>
      </c>
      <c r="C566" s="3" t="s">
        <v>256</v>
      </c>
      <c r="D566" s="3" t="s">
        <v>55</v>
      </c>
    </row>
    <row r="567" spans="1:4" x14ac:dyDescent="0.2">
      <c r="A567" s="3" t="s">
        <v>292</v>
      </c>
      <c r="B567" t="s">
        <v>8</v>
      </c>
      <c r="C567" s="3" t="s">
        <v>221</v>
      </c>
      <c r="D567" s="3" t="s">
        <v>56</v>
      </c>
    </row>
    <row r="568" spans="1:4" x14ac:dyDescent="0.2">
      <c r="A568" s="3" t="s">
        <v>292</v>
      </c>
      <c r="B568" t="s">
        <v>8</v>
      </c>
      <c r="C568" s="3" t="s">
        <v>199</v>
      </c>
      <c r="D568" s="3" t="s">
        <v>56</v>
      </c>
    </row>
    <row r="569" spans="1:4" x14ac:dyDescent="0.2">
      <c r="A569" s="3" t="s">
        <v>292</v>
      </c>
      <c r="B569" t="s">
        <v>8</v>
      </c>
      <c r="C569" s="3" t="s">
        <v>221</v>
      </c>
      <c r="D569" s="3" t="s">
        <v>57</v>
      </c>
    </row>
    <row r="570" spans="1:4" x14ac:dyDescent="0.2">
      <c r="A570" s="3" t="s">
        <v>292</v>
      </c>
      <c r="B570" t="s">
        <v>8</v>
      </c>
      <c r="C570" s="3" t="s">
        <v>199</v>
      </c>
      <c r="D570" s="3" t="s">
        <v>57</v>
      </c>
    </row>
    <row r="571" spans="1:4" x14ac:dyDescent="0.2">
      <c r="A571" s="3" t="s">
        <v>292</v>
      </c>
      <c r="B571" t="s">
        <v>8</v>
      </c>
      <c r="C571" s="3" t="s">
        <v>293</v>
      </c>
      <c r="D571" s="3" t="s">
        <v>169</v>
      </c>
    </row>
    <row r="572" spans="1:4" x14ac:dyDescent="0.2">
      <c r="A572" s="3" t="s">
        <v>294</v>
      </c>
      <c r="B572" t="s">
        <v>8</v>
      </c>
      <c r="C572" s="3" t="s">
        <v>183</v>
      </c>
      <c r="D572" s="3" t="s">
        <v>53</v>
      </c>
    </row>
    <row r="573" spans="1:4" x14ac:dyDescent="0.2">
      <c r="A573" s="3" t="s">
        <v>294</v>
      </c>
      <c r="B573" t="s">
        <v>8</v>
      </c>
      <c r="C573" s="3" t="s">
        <v>183</v>
      </c>
      <c r="D573" s="3" t="s">
        <v>54</v>
      </c>
    </row>
    <row r="574" spans="1:4" x14ac:dyDescent="0.2">
      <c r="A574" s="3" t="s">
        <v>294</v>
      </c>
      <c r="B574" t="s">
        <v>8</v>
      </c>
      <c r="C574" s="3" t="s">
        <v>183</v>
      </c>
      <c r="D574" s="3" t="s">
        <v>55</v>
      </c>
    </row>
    <row r="575" spans="1:4" x14ac:dyDescent="0.2">
      <c r="A575" s="3" t="s">
        <v>294</v>
      </c>
      <c r="B575" t="s">
        <v>8</v>
      </c>
      <c r="C575" s="3" t="s">
        <v>183</v>
      </c>
      <c r="D575" s="3" t="s">
        <v>56</v>
      </c>
    </row>
    <row r="576" spans="1:4" x14ac:dyDescent="0.2">
      <c r="A576" s="3" t="s">
        <v>294</v>
      </c>
      <c r="B576" t="s">
        <v>8</v>
      </c>
      <c r="C576" s="3" t="s">
        <v>183</v>
      </c>
      <c r="D576" s="3" t="s">
        <v>57</v>
      </c>
    </row>
    <row r="577" spans="1:4" x14ac:dyDescent="0.2">
      <c r="A577" s="3" t="s">
        <v>294</v>
      </c>
      <c r="B577" t="s">
        <v>8</v>
      </c>
      <c r="C577" s="3" t="s">
        <v>295</v>
      </c>
      <c r="D577" s="3" t="s">
        <v>10</v>
      </c>
    </row>
    <row r="578" spans="1:4" x14ac:dyDescent="0.2">
      <c r="A578" s="3" t="s">
        <v>294</v>
      </c>
      <c r="B578" t="s">
        <v>8</v>
      </c>
      <c r="C578" s="3" t="s">
        <v>296</v>
      </c>
      <c r="D578" s="3" t="s">
        <v>10</v>
      </c>
    </row>
    <row r="579" spans="1:4" x14ac:dyDescent="0.2">
      <c r="A579" s="3" t="s">
        <v>294</v>
      </c>
      <c r="B579" t="s">
        <v>8</v>
      </c>
      <c r="C579" s="3" t="s">
        <v>297</v>
      </c>
      <c r="D579" s="3" t="s">
        <v>10</v>
      </c>
    </row>
    <row r="580" spans="1:4" x14ac:dyDescent="0.2">
      <c r="A580" s="3" t="s">
        <v>298</v>
      </c>
      <c r="B580" t="s">
        <v>8</v>
      </c>
      <c r="C580" s="3" t="s">
        <v>299</v>
      </c>
      <c r="D580" s="3" t="s">
        <v>53</v>
      </c>
    </row>
    <row r="581" spans="1:4" x14ac:dyDescent="0.2">
      <c r="A581" s="3" t="s">
        <v>298</v>
      </c>
      <c r="B581" t="s">
        <v>8</v>
      </c>
      <c r="C581" s="3" t="s">
        <v>300</v>
      </c>
      <c r="D581" s="3" t="s">
        <v>53</v>
      </c>
    </row>
    <row r="582" spans="1:4" x14ac:dyDescent="0.2">
      <c r="A582" s="3" t="s">
        <v>298</v>
      </c>
      <c r="B582" t="s">
        <v>8</v>
      </c>
      <c r="C582" s="3" t="s">
        <v>299</v>
      </c>
      <c r="D582" s="3" t="s">
        <v>54</v>
      </c>
    </row>
    <row r="583" spans="1:4" x14ac:dyDescent="0.2">
      <c r="A583" s="3" t="s">
        <v>298</v>
      </c>
      <c r="B583" t="s">
        <v>8</v>
      </c>
      <c r="C583" s="3" t="s">
        <v>300</v>
      </c>
      <c r="D583" s="3" t="s">
        <v>54</v>
      </c>
    </row>
    <row r="584" spans="1:4" x14ac:dyDescent="0.2">
      <c r="A584" s="3" t="s">
        <v>298</v>
      </c>
      <c r="B584" t="s">
        <v>8</v>
      </c>
      <c r="C584" s="3" t="s">
        <v>299</v>
      </c>
      <c r="D584" s="3" t="s">
        <v>55</v>
      </c>
    </row>
    <row r="585" spans="1:4" x14ac:dyDescent="0.2">
      <c r="A585" s="3" t="s">
        <v>298</v>
      </c>
      <c r="B585" t="s">
        <v>8</v>
      </c>
      <c r="C585" s="3" t="s">
        <v>300</v>
      </c>
      <c r="D585" s="3" t="s">
        <v>55</v>
      </c>
    </row>
    <row r="586" spans="1:4" x14ac:dyDescent="0.2">
      <c r="A586" s="3" t="s">
        <v>298</v>
      </c>
      <c r="B586" t="s">
        <v>8</v>
      </c>
      <c r="C586" s="3" t="s">
        <v>299</v>
      </c>
      <c r="D586" s="3" t="s">
        <v>56</v>
      </c>
    </row>
    <row r="587" spans="1:4" x14ac:dyDescent="0.2">
      <c r="A587" s="3" t="s">
        <v>298</v>
      </c>
      <c r="B587" t="s">
        <v>8</v>
      </c>
      <c r="C587" s="3" t="s">
        <v>300</v>
      </c>
      <c r="D587" s="3" t="s">
        <v>56</v>
      </c>
    </row>
    <row r="588" spans="1:4" x14ac:dyDescent="0.2">
      <c r="A588" s="3" t="s">
        <v>298</v>
      </c>
      <c r="B588" t="s">
        <v>8</v>
      </c>
      <c r="C588" s="3" t="s">
        <v>299</v>
      </c>
      <c r="D588" s="3" t="s">
        <v>57</v>
      </c>
    </row>
    <row r="589" spans="1:4" x14ac:dyDescent="0.2">
      <c r="A589" s="3" t="s">
        <v>298</v>
      </c>
      <c r="B589" t="s">
        <v>8</v>
      </c>
      <c r="C589" s="3" t="s">
        <v>300</v>
      </c>
      <c r="D589" s="3" t="s">
        <v>57</v>
      </c>
    </row>
    <row r="590" spans="1:4" x14ac:dyDescent="0.2">
      <c r="A590" s="3" t="s">
        <v>298</v>
      </c>
      <c r="B590" t="s">
        <v>8</v>
      </c>
      <c r="C590" s="3" t="s">
        <v>301</v>
      </c>
      <c r="D590" s="3" t="s">
        <v>169</v>
      </c>
    </row>
    <row r="591" spans="1:4" x14ac:dyDescent="0.2">
      <c r="A591" s="3" t="s">
        <v>298</v>
      </c>
      <c r="B591" t="s">
        <v>8</v>
      </c>
      <c r="C591" s="3" t="s">
        <v>302</v>
      </c>
      <c r="D591" s="3" t="s">
        <v>169</v>
      </c>
    </row>
    <row r="592" spans="1:4" x14ac:dyDescent="0.2">
      <c r="A592" s="3" t="s">
        <v>298</v>
      </c>
      <c r="B592" t="s">
        <v>8</v>
      </c>
      <c r="C592" s="3" t="s">
        <v>303</v>
      </c>
      <c r="D592" s="3" t="s">
        <v>169</v>
      </c>
    </row>
    <row r="593" spans="1:4" x14ac:dyDescent="0.2">
      <c r="A593" s="3" t="s">
        <v>298</v>
      </c>
      <c r="B593" t="s">
        <v>8</v>
      </c>
      <c r="C593" s="3" t="s">
        <v>304</v>
      </c>
      <c r="D593" s="3" t="s">
        <v>169</v>
      </c>
    </row>
    <row r="594" spans="1:4" x14ac:dyDescent="0.2">
      <c r="A594" s="3" t="s">
        <v>298</v>
      </c>
      <c r="B594" t="s">
        <v>8</v>
      </c>
      <c r="C594" s="3" t="s">
        <v>305</v>
      </c>
      <c r="D594" s="3" t="s">
        <v>169</v>
      </c>
    </row>
    <row r="595" spans="1:4" x14ac:dyDescent="0.2">
      <c r="A595" s="3" t="s">
        <v>298</v>
      </c>
      <c r="B595" t="s">
        <v>8</v>
      </c>
      <c r="C595" s="3" t="s">
        <v>306</v>
      </c>
      <c r="D595" s="3" t="s">
        <v>169</v>
      </c>
    </row>
    <row r="596" spans="1:4" x14ac:dyDescent="0.2">
      <c r="A596" s="3" t="s">
        <v>298</v>
      </c>
      <c r="B596" t="s">
        <v>8</v>
      </c>
      <c r="C596" s="3" t="s">
        <v>307</v>
      </c>
      <c r="D596" s="3" t="s">
        <v>169</v>
      </c>
    </row>
    <row r="597" spans="1:4" x14ac:dyDescent="0.2">
      <c r="A597" s="3" t="s">
        <v>298</v>
      </c>
      <c r="B597" t="s">
        <v>8</v>
      </c>
      <c r="C597" s="3" t="s">
        <v>308</v>
      </c>
      <c r="D597" s="3" t="s">
        <v>169</v>
      </c>
    </row>
    <row r="598" spans="1:4" x14ac:dyDescent="0.2">
      <c r="A598" s="3" t="s">
        <v>298</v>
      </c>
      <c r="B598" t="s">
        <v>8</v>
      </c>
      <c r="C598" s="3" t="s">
        <v>309</v>
      </c>
      <c r="D598" s="3" t="s">
        <v>169</v>
      </c>
    </row>
    <row r="599" spans="1:4" x14ac:dyDescent="0.2">
      <c r="A599" s="3" t="s">
        <v>298</v>
      </c>
      <c r="B599" t="s">
        <v>8</v>
      </c>
      <c r="C599" s="3" t="s">
        <v>310</v>
      </c>
      <c r="D599" s="3" t="s">
        <v>169</v>
      </c>
    </row>
    <row r="600" spans="1:4" x14ac:dyDescent="0.2">
      <c r="A600" s="3" t="s">
        <v>298</v>
      </c>
      <c r="B600" t="s">
        <v>8</v>
      </c>
      <c r="C600" s="3" t="s">
        <v>311</v>
      </c>
      <c r="D600" s="3" t="s">
        <v>169</v>
      </c>
    </row>
    <row r="601" spans="1:4" x14ac:dyDescent="0.2">
      <c r="A601" s="3" t="s">
        <v>298</v>
      </c>
      <c r="B601" t="s">
        <v>8</v>
      </c>
      <c r="C601" s="3" t="s">
        <v>312</v>
      </c>
      <c r="D601" s="3" t="s">
        <v>169</v>
      </c>
    </row>
    <row r="602" spans="1:4" x14ac:dyDescent="0.2">
      <c r="A602" s="3" t="s">
        <v>298</v>
      </c>
      <c r="B602" t="s">
        <v>8</v>
      </c>
      <c r="C602" s="3" t="s">
        <v>313</v>
      </c>
      <c r="D602" s="3" t="s">
        <v>169</v>
      </c>
    </row>
    <row r="603" spans="1:4" x14ac:dyDescent="0.2">
      <c r="A603" s="3" t="s">
        <v>298</v>
      </c>
      <c r="B603" t="s">
        <v>8</v>
      </c>
      <c r="C603" s="3" t="s">
        <v>314</v>
      </c>
      <c r="D603" s="3" t="s">
        <v>169</v>
      </c>
    </row>
    <row r="604" spans="1:4" x14ac:dyDescent="0.2">
      <c r="A604" s="3" t="s">
        <v>298</v>
      </c>
      <c r="B604" t="s">
        <v>8</v>
      </c>
      <c r="C604" s="3" t="s">
        <v>315</v>
      </c>
      <c r="D604" s="3" t="s">
        <v>169</v>
      </c>
    </row>
    <row r="605" spans="1:4" x14ac:dyDescent="0.2">
      <c r="A605" s="3" t="s">
        <v>298</v>
      </c>
      <c r="B605" t="s">
        <v>8</v>
      </c>
      <c r="C605" s="3" t="s">
        <v>316</v>
      </c>
      <c r="D605" s="3" t="s">
        <v>169</v>
      </c>
    </row>
    <row r="606" spans="1:4" x14ac:dyDescent="0.2">
      <c r="A606" s="3" t="s">
        <v>298</v>
      </c>
      <c r="B606" t="s">
        <v>8</v>
      </c>
      <c r="C606" s="3" t="s">
        <v>317</v>
      </c>
      <c r="D606" s="3" t="s">
        <v>169</v>
      </c>
    </row>
    <row r="607" spans="1:4" x14ac:dyDescent="0.2">
      <c r="A607" s="3" t="s">
        <v>298</v>
      </c>
      <c r="B607" t="s">
        <v>8</v>
      </c>
      <c r="C607" s="3" t="s">
        <v>318</v>
      </c>
      <c r="D607" s="3" t="s">
        <v>169</v>
      </c>
    </row>
    <row r="608" spans="1:4" x14ac:dyDescent="0.2">
      <c r="A608" s="3" t="s">
        <v>319</v>
      </c>
      <c r="B608" t="s">
        <v>8</v>
      </c>
      <c r="C608" s="3" t="s">
        <v>320</v>
      </c>
      <c r="D608" s="3" t="s">
        <v>53</v>
      </c>
    </row>
    <row r="609" spans="1:4" x14ac:dyDescent="0.2">
      <c r="A609" s="3" t="s">
        <v>319</v>
      </c>
      <c r="B609" t="s">
        <v>8</v>
      </c>
      <c r="C609" s="3" t="s">
        <v>321</v>
      </c>
      <c r="D609" s="3" t="s">
        <v>53</v>
      </c>
    </row>
    <row r="610" spans="1:4" x14ac:dyDescent="0.2">
      <c r="A610" s="3" t="s">
        <v>319</v>
      </c>
      <c r="B610" t="s">
        <v>8</v>
      </c>
      <c r="C610" s="3" t="s">
        <v>322</v>
      </c>
      <c r="D610" s="3" t="s">
        <v>53</v>
      </c>
    </row>
    <row r="611" spans="1:4" x14ac:dyDescent="0.2">
      <c r="A611" s="3" t="s">
        <v>319</v>
      </c>
      <c r="B611" t="s">
        <v>8</v>
      </c>
      <c r="C611" s="3" t="s">
        <v>323</v>
      </c>
      <c r="D611" s="3" t="s">
        <v>53</v>
      </c>
    </row>
    <row r="612" spans="1:4" x14ac:dyDescent="0.2">
      <c r="A612" s="3" t="s">
        <v>319</v>
      </c>
      <c r="B612" t="s">
        <v>8</v>
      </c>
      <c r="C612" s="3" t="s">
        <v>324</v>
      </c>
      <c r="D612" s="3" t="s">
        <v>53</v>
      </c>
    </row>
    <row r="613" spans="1:4" x14ac:dyDescent="0.2">
      <c r="A613" s="3" t="s">
        <v>319</v>
      </c>
      <c r="B613" t="s">
        <v>8</v>
      </c>
      <c r="C613" s="3" t="s">
        <v>325</v>
      </c>
      <c r="D613" s="3" t="s">
        <v>53</v>
      </c>
    </row>
    <row r="614" spans="1:4" x14ac:dyDescent="0.2">
      <c r="A614" s="3" t="s">
        <v>319</v>
      </c>
      <c r="B614" t="s">
        <v>8</v>
      </c>
      <c r="C614" s="3" t="s">
        <v>326</v>
      </c>
      <c r="D614" s="3" t="s">
        <v>53</v>
      </c>
    </row>
    <row r="615" spans="1:4" x14ac:dyDescent="0.2">
      <c r="A615" s="3" t="s">
        <v>319</v>
      </c>
      <c r="B615" t="s">
        <v>8</v>
      </c>
      <c r="C615" s="3" t="s">
        <v>327</v>
      </c>
      <c r="D615" s="3" t="s">
        <v>53</v>
      </c>
    </row>
    <row r="616" spans="1:4" x14ac:dyDescent="0.2">
      <c r="A616" s="3" t="s">
        <v>319</v>
      </c>
      <c r="B616" t="s">
        <v>8</v>
      </c>
      <c r="C616" s="3" t="s">
        <v>328</v>
      </c>
      <c r="D616" s="3" t="s">
        <v>53</v>
      </c>
    </row>
    <row r="617" spans="1:4" x14ac:dyDescent="0.2">
      <c r="A617" s="3" t="s">
        <v>319</v>
      </c>
      <c r="B617" t="s">
        <v>8</v>
      </c>
      <c r="C617" s="3" t="s">
        <v>329</v>
      </c>
      <c r="D617" s="3" t="s">
        <v>53</v>
      </c>
    </row>
    <row r="618" spans="1:4" x14ac:dyDescent="0.2">
      <c r="A618" s="3" t="s">
        <v>319</v>
      </c>
      <c r="B618" t="s">
        <v>8</v>
      </c>
      <c r="C618" s="3" t="s">
        <v>330</v>
      </c>
      <c r="D618" s="3" t="s">
        <v>53</v>
      </c>
    </row>
    <row r="619" spans="1:4" x14ac:dyDescent="0.2">
      <c r="A619" s="3" t="s">
        <v>319</v>
      </c>
      <c r="B619" t="s">
        <v>8</v>
      </c>
      <c r="C619" s="3" t="s">
        <v>320</v>
      </c>
      <c r="D619" s="3" t="s">
        <v>54</v>
      </c>
    </row>
    <row r="620" spans="1:4" x14ac:dyDescent="0.2">
      <c r="A620" s="3" t="s">
        <v>319</v>
      </c>
      <c r="B620" t="s">
        <v>8</v>
      </c>
      <c r="C620" s="3" t="s">
        <v>321</v>
      </c>
      <c r="D620" s="3" t="s">
        <v>54</v>
      </c>
    </row>
    <row r="621" spans="1:4" x14ac:dyDescent="0.2">
      <c r="A621" s="3" t="s">
        <v>319</v>
      </c>
      <c r="B621" t="s">
        <v>8</v>
      </c>
      <c r="C621" s="3" t="s">
        <v>322</v>
      </c>
      <c r="D621" s="3" t="s">
        <v>54</v>
      </c>
    </row>
    <row r="622" spans="1:4" x14ac:dyDescent="0.2">
      <c r="A622" s="3" t="s">
        <v>319</v>
      </c>
      <c r="B622" t="s">
        <v>8</v>
      </c>
      <c r="C622" s="3" t="s">
        <v>323</v>
      </c>
      <c r="D622" s="3" t="s">
        <v>54</v>
      </c>
    </row>
    <row r="623" spans="1:4" x14ac:dyDescent="0.2">
      <c r="A623" s="3" t="s">
        <v>319</v>
      </c>
      <c r="B623" t="s">
        <v>8</v>
      </c>
      <c r="C623" s="3" t="s">
        <v>324</v>
      </c>
      <c r="D623" s="3" t="s">
        <v>54</v>
      </c>
    </row>
    <row r="624" spans="1:4" x14ac:dyDescent="0.2">
      <c r="A624" s="3" t="s">
        <v>319</v>
      </c>
      <c r="B624" t="s">
        <v>8</v>
      </c>
      <c r="C624" s="3" t="s">
        <v>325</v>
      </c>
      <c r="D624" s="3" t="s">
        <v>54</v>
      </c>
    </row>
    <row r="625" spans="1:4" x14ac:dyDescent="0.2">
      <c r="A625" s="3" t="s">
        <v>319</v>
      </c>
      <c r="B625" t="s">
        <v>8</v>
      </c>
      <c r="C625" s="3" t="s">
        <v>326</v>
      </c>
      <c r="D625" s="3" t="s">
        <v>54</v>
      </c>
    </row>
    <row r="626" spans="1:4" x14ac:dyDescent="0.2">
      <c r="A626" s="3" t="s">
        <v>319</v>
      </c>
      <c r="B626" t="s">
        <v>8</v>
      </c>
      <c r="C626" s="3" t="s">
        <v>327</v>
      </c>
      <c r="D626" s="3" t="s">
        <v>54</v>
      </c>
    </row>
    <row r="627" spans="1:4" x14ac:dyDescent="0.2">
      <c r="A627" s="3" t="s">
        <v>319</v>
      </c>
      <c r="B627" t="s">
        <v>8</v>
      </c>
      <c r="C627" s="3" t="s">
        <v>328</v>
      </c>
      <c r="D627" s="3" t="s">
        <v>54</v>
      </c>
    </row>
    <row r="628" spans="1:4" x14ac:dyDescent="0.2">
      <c r="A628" s="3" t="s">
        <v>319</v>
      </c>
      <c r="B628" t="s">
        <v>8</v>
      </c>
      <c r="C628" s="3" t="s">
        <v>329</v>
      </c>
      <c r="D628" s="3" t="s">
        <v>54</v>
      </c>
    </row>
    <row r="629" spans="1:4" x14ac:dyDescent="0.2">
      <c r="A629" s="3" t="s">
        <v>319</v>
      </c>
      <c r="B629" t="s">
        <v>8</v>
      </c>
      <c r="C629" s="3" t="s">
        <v>330</v>
      </c>
      <c r="D629" s="3" t="s">
        <v>54</v>
      </c>
    </row>
    <row r="630" spans="1:4" x14ac:dyDescent="0.2">
      <c r="A630" s="3" t="s">
        <v>319</v>
      </c>
      <c r="B630" t="s">
        <v>8</v>
      </c>
      <c r="C630" s="3" t="s">
        <v>320</v>
      </c>
      <c r="D630" s="3" t="s">
        <v>55</v>
      </c>
    </row>
    <row r="631" spans="1:4" x14ac:dyDescent="0.2">
      <c r="A631" s="3" t="s">
        <v>319</v>
      </c>
      <c r="B631" t="s">
        <v>8</v>
      </c>
      <c r="C631" s="3" t="s">
        <v>321</v>
      </c>
      <c r="D631" s="3" t="s">
        <v>55</v>
      </c>
    </row>
    <row r="632" spans="1:4" x14ac:dyDescent="0.2">
      <c r="A632" s="3" t="s">
        <v>319</v>
      </c>
      <c r="B632" t="s">
        <v>8</v>
      </c>
      <c r="C632" s="3" t="s">
        <v>322</v>
      </c>
      <c r="D632" s="3" t="s">
        <v>55</v>
      </c>
    </row>
    <row r="633" spans="1:4" x14ac:dyDescent="0.2">
      <c r="A633" s="3" t="s">
        <v>319</v>
      </c>
      <c r="B633" t="s">
        <v>8</v>
      </c>
      <c r="C633" s="3" t="s">
        <v>323</v>
      </c>
      <c r="D633" s="3" t="s">
        <v>55</v>
      </c>
    </row>
    <row r="634" spans="1:4" x14ac:dyDescent="0.2">
      <c r="A634" s="3" t="s">
        <v>319</v>
      </c>
      <c r="B634" t="s">
        <v>8</v>
      </c>
      <c r="C634" s="3" t="s">
        <v>324</v>
      </c>
      <c r="D634" s="3" t="s">
        <v>55</v>
      </c>
    </row>
    <row r="635" spans="1:4" x14ac:dyDescent="0.2">
      <c r="A635" s="3" t="s">
        <v>319</v>
      </c>
      <c r="B635" t="s">
        <v>8</v>
      </c>
      <c r="C635" s="3" t="s">
        <v>325</v>
      </c>
      <c r="D635" s="3" t="s">
        <v>55</v>
      </c>
    </row>
    <row r="636" spans="1:4" x14ac:dyDescent="0.2">
      <c r="A636" s="3" t="s">
        <v>319</v>
      </c>
      <c r="B636" t="s">
        <v>8</v>
      </c>
      <c r="C636" s="3" t="s">
        <v>326</v>
      </c>
      <c r="D636" s="3" t="s">
        <v>55</v>
      </c>
    </row>
    <row r="637" spans="1:4" x14ac:dyDescent="0.2">
      <c r="A637" s="3" t="s">
        <v>319</v>
      </c>
      <c r="B637" t="s">
        <v>8</v>
      </c>
      <c r="C637" s="3" t="s">
        <v>327</v>
      </c>
      <c r="D637" s="3" t="s">
        <v>55</v>
      </c>
    </row>
    <row r="638" spans="1:4" x14ac:dyDescent="0.2">
      <c r="A638" s="3" t="s">
        <v>319</v>
      </c>
      <c r="B638" t="s">
        <v>8</v>
      </c>
      <c r="C638" s="3" t="s">
        <v>328</v>
      </c>
      <c r="D638" s="3" t="s">
        <v>55</v>
      </c>
    </row>
    <row r="639" spans="1:4" x14ac:dyDescent="0.2">
      <c r="A639" s="3" t="s">
        <v>319</v>
      </c>
      <c r="B639" t="s">
        <v>8</v>
      </c>
      <c r="C639" s="3" t="s">
        <v>329</v>
      </c>
      <c r="D639" s="3" t="s">
        <v>55</v>
      </c>
    </row>
    <row r="640" spans="1:4" x14ac:dyDescent="0.2">
      <c r="A640" s="3" t="s">
        <v>319</v>
      </c>
      <c r="B640" t="s">
        <v>8</v>
      </c>
      <c r="C640" s="3" t="s">
        <v>330</v>
      </c>
      <c r="D640" s="3" t="s">
        <v>55</v>
      </c>
    </row>
    <row r="641" spans="1:4" x14ac:dyDescent="0.2">
      <c r="A641" s="3" t="s">
        <v>319</v>
      </c>
      <c r="B641" t="s">
        <v>8</v>
      </c>
      <c r="C641" s="3" t="s">
        <v>320</v>
      </c>
      <c r="D641" s="3" t="s">
        <v>56</v>
      </c>
    </row>
    <row r="642" spans="1:4" x14ac:dyDescent="0.2">
      <c r="A642" s="3" t="s">
        <v>319</v>
      </c>
      <c r="B642" t="s">
        <v>8</v>
      </c>
      <c r="C642" s="3" t="s">
        <v>321</v>
      </c>
      <c r="D642" s="3" t="s">
        <v>56</v>
      </c>
    </row>
    <row r="643" spans="1:4" x14ac:dyDescent="0.2">
      <c r="A643" s="3" t="s">
        <v>319</v>
      </c>
      <c r="B643" t="s">
        <v>8</v>
      </c>
      <c r="C643" s="3" t="s">
        <v>322</v>
      </c>
      <c r="D643" s="3" t="s">
        <v>56</v>
      </c>
    </row>
    <row r="644" spans="1:4" x14ac:dyDescent="0.2">
      <c r="A644" s="3" t="s">
        <v>319</v>
      </c>
      <c r="B644" t="s">
        <v>8</v>
      </c>
      <c r="C644" s="3" t="s">
        <v>323</v>
      </c>
      <c r="D644" s="3" t="s">
        <v>56</v>
      </c>
    </row>
    <row r="645" spans="1:4" x14ac:dyDescent="0.2">
      <c r="A645" s="3" t="s">
        <v>319</v>
      </c>
      <c r="B645" t="s">
        <v>8</v>
      </c>
      <c r="C645" s="3" t="s">
        <v>324</v>
      </c>
      <c r="D645" s="3" t="s">
        <v>56</v>
      </c>
    </row>
    <row r="646" spans="1:4" x14ac:dyDescent="0.2">
      <c r="A646" s="3" t="s">
        <v>319</v>
      </c>
      <c r="B646" t="s">
        <v>8</v>
      </c>
      <c r="C646" s="3" t="s">
        <v>325</v>
      </c>
      <c r="D646" s="3" t="s">
        <v>56</v>
      </c>
    </row>
    <row r="647" spans="1:4" x14ac:dyDescent="0.2">
      <c r="A647" s="3" t="s">
        <v>319</v>
      </c>
      <c r="B647" t="s">
        <v>8</v>
      </c>
      <c r="C647" s="3" t="s">
        <v>326</v>
      </c>
      <c r="D647" s="3" t="s">
        <v>56</v>
      </c>
    </row>
    <row r="648" spans="1:4" x14ac:dyDescent="0.2">
      <c r="A648" s="3" t="s">
        <v>319</v>
      </c>
      <c r="B648" t="s">
        <v>8</v>
      </c>
      <c r="C648" s="3" t="s">
        <v>327</v>
      </c>
      <c r="D648" s="3" t="s">
        <v>56</v>
      </c>
    </row>
    <row r="649" spans="1:4" x14ac:dyDescent="0.2">
      <c r="A649" s="3" t="s">
        <v>319</v>
      </c>
      <c r="B649" t="s">
        <v>8</v>
      </c>
      <c r="C649" s="3" t="s">
        <v>328</v>
      </c>
      <c r="D649" s="3" t="s">
        <v>56</v>
      </c>
    </row>
    <row r="650" spans="1:4" x14ac:dyDescent="0.2">
      <c r="A650" s="3" t="s">
        <v>319</v>
      </c>
      <c r="B650" t="s">
        <v>8</v>
      </c>
      <c r="C650" s="3" t="s">
        <v>329</v>
      </c>
      <c r="D650" s="3" t="s">
        <v>56</v>
      </c>
    </row>
    <row r="651" spans="1:4" x14ac:dyDescent="0.2">
      <c r="A651" s="3" t="s">
        <v>319</v>
      </c>
      <c r="B651" t="s">
        <v>8</v>
      </c>
      <c r="C651" s="3" t="s">
        <v>330</v>
      </c>
      <c r="D651" s="3" t="s">
        <v>56</v>
      </c>
    </row>
    <row r="652" spans="1:4" x14ac:dyDescent="0.2">
      <c r="A652" s="3" t="s">
        <v>319</v>
      </c>
      <c r="B652" t="s">
        <v>8</v>
      </c>
      <c r="C652" s="3" t="s">
        <v>320</v>
      </c>
      <c r="D652" s="3" t="s">
        <v>57</v>
      </c>
    </row>
    <row r="653" spans="1:4" x14ac:dyDescent="0.2">
      <c r="A653" s="3" t="s">
        <v>319</v>
      </c>
      <c r="B653" t="s">
        <v>8</v>
      </c>
      <c r="C653" s="3" t="s">
        <v>321</v>
      </c>
      <c r="D653" s="3" t="s">
        <v>57</v>
      </c>
    </row>
    <row r="654" spans="1:4" x14ac:dyDescent="0.2">
      <c r="A654" s="3" t="s">
        <v>319</v>
      </c>
      <c r="B654" t="s">
        <v>8</v>
      </c>
      <c r="C654" s="3" t="s">
        <v>322</v>
      </c>
      <c r="D654" s="3" t="s">
        <v>57</v>
      </c>
    </row>
    <row r="655" spans="1:4" x14ac:dyDescent="0.2">
      <c r="A655" s="3" t="s">
        <v>319</v>
      </c>
      <c r="B655" t="s">
        <v>8</v>
      </c>
      <c r="C655" s="3" t="s">
        <v>323</v>
      </c>
      <c r="D655" s="3" t="s">
        <v>57</v>
      </c>
    </row>
    <row r="656" spans="1:4" x14ac:dyDescent="0.2">
      <c r="A656" s="3" t="s">
        <v>319</v>
      </c>
      <c r="B656" t="s">
        <v>8</v>
      </c>
      <c r="C656" s="3" t="s">
        <v>324</v>
      </c>
      <c r="D656" s="3" t="s">
        <v>57</v>
      </c>
    </row>
    <row r="657" spans="1:4" x14ac:dyDescent="0.2">
      <c r="A657" s="3" t="s">
        <v>319</v>
      </c>
      <c r="B657" t="s">
        <v>8</v>
      </c>
      <c r="C657" s="3" t="s">
        <v>325</v>
      </c>
      <c r="D657" s="3" t="s">
        <v>57</v>
      </c>
    </row>
    <row r="658" spans="1:4" x14ac:dyDescent="0.2">
      <c r="A658" s="3" t="s">
        <v>319</v>
      </c>
      <c r="B658" t="s">
        <v>8</v>
      </c>
      <c r="C658" s="3" t="s">
        <v>326</v>
      </c>
      <c r="D658" s="3" t="s">
        <v>57</v>
      </c>
    </row>
    <row r="659" spans="1:4" x14ac:dyDescent="0.2">
      <c r="A659" s="3" t="s">
        <v>319</v>
      </c>
      <c r="B659" t="s">
        <v>8</v>
      </c>
      <c r="C659" s="3" t="s">
        <v>327</v>
      </c>
      <c r="D659" s="3" t="s">
        <v>57</v>
      </c>
    </row>
    <row r="660" spans="1:4" x14ac:dyDescent="0.2">
      <c r="A660" s="3" t="s">
        <v>319</v>
      </c>
      <c r="B660" t="s">
        <v>8</v>
      </c>
      <c r="C660" s="3" t="s">
        <v>328</v>
      </c>
      <c r="D660" s="3" t="s">
        <v>57</v>
      </c>
    </row>
    <row r="661" spans="1:4" x14ac:dyDescent="0.2">
      <c r="A661" s="3" t="s">
        <v>319</v>
      </c>
      <c r="B661" t="s">
        <v>8</v>
      </c>
      <c r="C661" s="3" t="s">
        <v>329</v>
      </c>
      <c r="D661" s="3" t="s">
        <v>57</v>
      </c>
    </row>
    <row r="662" spans="1:4" x14ac:dyDescent="0.2">
      <c r="A662" s="3" t="s">
        <v>319</v>
      </c>
      <c r="B662" t="s">
        <v>8</v>
      </c>
      <c r="C662" s="3" t="s">
        <v>330</v>
      </c>
      <c r="D662" s="3" t="s">
        <v>57</v>
      </c>
    </row>
    <row r="663" spans="1:4" x14ac:dyDescent="0.2">
      <c r="A663" s="3" t="s">
        <v>319</v>
      </c>
      <c r="B663" t="s">
        <v>8</v>
      </c>
      <c r="C663" s="3" t="s">
        <v>331</v>
      </c>
      <c r="D663" s="3" t="s">
        <v>22</v>
      </c>
    </row>
    <row r="664" spans="1:4" x14ac:dyDescent="0.2">
      <c r="A664" s="3" t="s">
        <v>332</v>
      </c>
      <c r="B664" t="s">
        <v>8</v>
      </c>
      <c r="C664" s="3" t="s">
        <v>320</v>
      </c>
      <c r="D664" s="3" t="s">
        <v>53</v>
      </c>
    </row>
    <row r="665" spans="1:4" x14ac:dyDescent="0.2">
      <c r="A665" s="3" t="s">
        <v>332</v>
      </c>
      <c r="B665" t="s">
        <v>8</v>
      </c>
      <c r="C665" s="3" t="s">
        <v>320</v>
      </c>
      <c r="D665" s="3" t="s">
        <v>54</v>
      </c>
    </row>
    <row r="666" spans="1:4" x14ac:dyDescent="0.2">
      <c r="A666" s="3" t="s">
        <v>332</v>
      </c>
      <c r="B666" t="s">
        <v>8</v>
      </c>
      <c r="C666" s="3" t="s">
        <v>320</v>
      </c>
      <c r="D666" s="3" t="s">
        <v>55</v>
      </c>
    </row>
    <row r="667" spans="1:4" x14ac:dyDescent="0.2">
      <c r="A667" s="3" t="s">
        <v>332</v>
      </c>
      <c r="B667" t="s">
        <v>8</v>
      </c>
      <c r="C667" s="3" t="s">
        <v>320</v>
      </c>
      <c r="D667" s="3" t="s">
        <v>56</v>
      </c>
    </row>
    <row r="668" spans="1:4" x14ac:dyDescent="0.2">
      <c r="A668" s="3" t="s">
        <v>332</v>
      </c>
      <c r="B668" t="s">
        <v>8</v>
      </c>
      <c r="C668" s="3" t="s">
        <v>320</v>
      </c>
      <c r="D668" s="3" t="s">
        <v>57</v>
      </c>
    </row>
    <row r="669" spans="1:4" x14ac:dyDescent="0.2">
      <c r="A669" s="3" t="s">
        <v>333</v>
      </c>
      <c r="B669" t="s">
        <v>8</v>
      </c>
      <c r="C669" s="3" t="s">
        <v>199</v>
      </c>
      <c r="D669" s="3" t="s">
        <v>53</v>
      </c>
    </row>
    <row r="670" spans="1:4" x14ac:dyDescent="0.2">
      <c r="A670" s="3" t="s">
        <v>333</v>
      </c>
      <c r="B670" t="s">
        <v>8</v>
      </c>
      <c r="C670" s="3" t="s">
        <v>221</v>
      </c>
      <c r="D670" s="3" t="s">
        <v>54</v>
      </c>
    </row>
    <row r="671" spans="1:4" x14ac:dyDescent="0.2">
      <c r="A671" s="3" t="s">
        <v>333</v>
      </c>
      <c r="B671" t="s">
        <v>8</v>
      </c>
      <c r="C671" s="3" t="s">
        <v>199</v>
      </c>
      <c r="D671" s="3" t="s">
        <v>54</v>
      </c>
    </row>
    <row r="672" spans="1:4" x14ac:dyDescent="0.2">
      <c r="A672" s="3" t="s">
        <v>333</v>
      </c>
      <c r="B672" t="s">
        <v>8</v>
      </c>
      <c r="C672" s="3" t="s">
        <v>221</v>
      </c>
      <c r="D672" s="3" t="s">
        <v>55</v>
      </c>
    </row>
    <row r="673" spans="1:4" x14ac:dyDescent="0.2">
      <c r="A673" s="3" t="s">
        <v>333</v>
      </c>
      <c r="B673" t="s">
        <v>8</v>
      </c>
      <c r="C673" s="3" t="s">
        <v>221</v>
      </c>
      <c r="D673" s="3" t="s">
        <v>56</v>
      </c>
    </row>
    <row r="674" spans="1:4" x14ac:dyDescent="0.2">
      <c r="A674" s="3" t="s">
        <v>333</v>
      </c>
      <c r="B674" t="s">
        <v>8</v>
      </c>
      <c r="C674" s="3" t="s">
        <v>199</v>
      </c>
      <c r="D674" s="3" t="s">
        <v>56</v>
      </c>
    </row>
    <row r="675" spans="1:4" x14ac:dyDescent="0.2">
      <c r="A675" s="3" t="s">
        <v>333</v>
      </c>
      <c r="B675" t="s">
        <v>8</v>
      </c>
      <c r="C675" s="3" t="s">
        <v>221</v>
      </c>
      <c r="D675" s="3" t="s">
        <v>57</v>
      </c>
    </row>
    <row r="676" spans="1:4" x14ac:dyDescent="0.2">
      <c r="A676" s="3" t="s">
        <v>333</v>
      </c>
      <c r="B676" t="s">
        <v>8</v>
      </c>
      <c r="C676" s="3" t="s">
        <v>199</v>
      </c>
      <c r="D676" s="3" t="s">
        <v>57</v>
      </c>
    </row>
    <row r="677" spans="1:4" x14ac:dyDescent="0.2">
      <c r="A677" s="3" t="s">
        <v>333</v>
      </c>
      <c r="B677" t="s">
        <v>8</v>
      </c>
      <c r="C677" s="3" t="s">
        <v>334</v>
      </c>
      <c r="D677" s="3" t="s">
        <v>169</v>
      </c>
    </row>
    <row r="678" spans="1:4" x14ac:dyDescent="0.2">
      <c r="A678" s="3" t="s">
        <v>333</v>
      </c>
      <c r="B678" t="s">
        <v>8</v>
      </c>
      <c r="C678" s="3" t="s">
        <v>335</v>
      </c>
      <c r="D678" s="3" t="s">
        <v>169</v>
      </c>
    </row>
    <row r="679" spans="1:4" x14ac:dyDescent="0.2">
      <c r="A679" s="3" t="s">
        <v>333</v>
      </c>
      <c r="B679" t="s">
        <v>8</v>
      </c>
      <c r="C679" s="3" t="s">
        <v>336</v>
      </c>
      <c r="D679" s="3" t="s">
        <v>169</v>
      </c>
    </row>
    <row r="680" spans="1:4" x14ac:dyDescent="0.2">
      <c r="A680" s="3" t="s">
        <v>333</v>
      </c>
      <c r="B680" t="s">
        <v>8</v>
      </c>
      <c r="C680" s="3" t="s">
        <v>337</v>
      </c>
      <c r="D680" s="3" t="s">
        <v>169</v>
      </c>
    </row>
    <row r="681" spans="1:4" x14ac:dyDescent="0.2">
      <c r="A681" s="3" t="s">
        <v>333</v>
      </c>
      <c r="B681" t="s">
        <v>8</v>
      </c>
      <c r="C681" s="3" t="s">
        <v>338</v>
      </c>
      <c r="D681" s="3" t="s">
        <v>169</v>
      </c>
    </row>
    <row r="682" spans="1:4" x14ac:dyDescent="0.2">
      <c r="A682" s="3" t="s">
        <v>333</v>
      </c>
      <c r="B682" t="s">
        <v>8</v>
      </c>
      <c r="C682" s="3" t="s">
        <v>339</v>
      </c>
      <c r="D682" s="3" t="s">
        <v>169</v>
      </c>
    </row>
    <row r="683" spans="1:4" x14ac:dyDescent="0.2">
      <c r="A683" s="3" t="s">
        <v>333</v>
      </c>
      <c r="B683" t="s">
        <v>8</v>
      </c>
      <c r="C683" s="3" t="s">
        <v>340</v>
      </c>
      <c r="D683" s="3" t="s">
        <v>169</v>
      </c>
    </row>
    <row r="684" spans="1:4" x14ac:dyDescent="0.2">
      <c r="A684" s="3" t="s">
        <v>333</v>
      </c>
      <c r="B684" t="s">
        <v>8</v>
      </c>
      <c r="C684" s="3" t="s">
        <v>341</v>
      </c>
      <c r="D684" s="3" t="s">
        <v>169</v>
      </c>
    </row>
    <row r="685" spans="1:4" x14ac:dyDescent="0.2">
      <c r="A685" s="3" t="s">
        <v>342</v>
      </c>
      <c r="B685" t="s">
        <v>8</v>
      </c>
      <c r="C685" s="3" t="s">
        <v>183</v>
      </c>
      <c r="D685" s="3" t="s">
        <v>53</v>
      </c>
    </row>
    <row r="686" spans="1:4" x14ac:dyDescent="0.2">
      <c r="A686" s="3" t="s">
        <v>342</v>
      </c>
      <c r="B686" t="s">
        <v>8</v>
      </c>
      <c r="C686" s="3" t="s">
        <v>213</v>
      </c>
      <c r="D686" s="3" t="s">
        <v>53</v>
      </c>
    </row>
    <row r="687" spans="1:4" x14ac:dyDescent="0.2">
      <c r="A687" s="3" t="s">
        <v>342</v>
      </c>
      <c r="B687" t="s">
        <v>8</v>
      </c>
      <c r="C687" s="3" t="s">
        <v>214</v>
      </c>
      <c r="D687" s="3" t="s">
        <v>53</v>
      </c>
    </row>
    <row r="688" spans="1:4" x14ac:dyDescent="0.2">
      <c r="A688" s="3" t="s">
        <v>342</v>
      </c>
      <c r="B688" t="s">
        <v>8</v>
      </c>
      <c r="C688" s="3" t="s">
        <v>215</v>
      </c>
      <c r="D688" s="3" t="s">
        <v>53</v>
      </c>
    </row>
    <row r="689" spans="1:4" x14ac:dyDescent="0.2">
      <c r="A689" s="3" t="s">
        <v>342</v>
      </c>
      <c r="B689" t="s">
        <v>8</v>
      </c>
      <c r="C689" s="3" t="s">
        <v>216</v>
      </c>
      <c r="D689" s="3" t="s">
        <v>53</v>
      </c>
    </row>
    <row r="690" spans="1:4" x14ac:dyDescent="0.2">
      <c r="A690" s="3" t="s">
        <v>342</v>
      </c>
      <c r="B690" t="s">
        <v>8</v>
      </c>
      <c r="C690" s="3" t="s">
        <v>183</v>
      </c>
      <c r="D690" s="3" t="s">
        <v>54</v>
      </c>
    </row>
    <row r="691" spans="1:4" x14ac:dyDescent="0.2">
      <c r="A691" s="3" t="s">
        <v>342</v>
      </c>
      <c r="B691" t="s">
        <v>8</v>
      </c>
      <c r="C691" s="3" t="s">
        <v>213</v>
      </c>
      <c r="D691" s="3" t="s">
        <v>54</v>
      </c>
    </row>
    <row r="692" spans="1:4" x14ac:dyDescent="0.2">
      <c r="A692" s="3" t="s">
        <v>342</v>
      </c>
      <c r="B692" t="s">
        <v>8</v>
      </c>
      <c r="C692" s="3" t="s">
        <v>214</v>
      </c>
      <c r="D692" s="3" t="s">
        <v>54</v>
      </c>
    </row>
    <row r="693" spans="1:4" x14ac:dyDescent="0.2">
      <c r="A693" s="3" t="s">
        <v>342</v>
      </c>
      <c r="B693" t="s">
        <v>8</v>
      </c>
      <c r="C693" s="3" t="s">
        <v>215</v>
      </c>
      <c r="D693" s="3" t="s">
        <v>54</v>
      </c>
    </row>
    <row r="694" spans="1:4" x14ac:dyDescent="0.2">
      <c r="A694" s="3" t="s">
        <v>342</v>
      </c>
      <c r="B694" t="s">
        <v>8</v>
      </c>
      <c r="C694" s="3" t="s">
        <v>216</v>
      </c>
      <c r="D694" s="3" t="s">
        <v>54</v>
      </c>
    </row>
    <row r="695" spans="1:4" x14ac:dyDescent="0.2">
      <c r="A695" s="3" t="s">
        <v>342</v>
      </c>
      <c r="B695" t="s">
        <v>8</v>
      </c>
      <c r="C695" s="3" t="s">
        <v>183</v>
      </c>
      <c r="D695" s="3" t="s">
        <v>55</v>
      </c>
    </row>
    <row r="696" spans="1:4" x14ac:dyDescent="0.2">
      <c r="A696" s="3" t="s">
        <v>342</v>
      </c>
      <c r="B696" t="s">
        <v>8</v>
      </c>
      <c r="C696" s="3" t="s">
        <v>213</v>
      </c>
      <c r="D696" s="3" t="s">
        <v>55</v>
      </c>
    </row>
    <row r="697" spans="1:4" x14ac:dyDescent="0.2">
      <c r="A697" s="3" t="s">
        <v>342</v>
      </c>
      <c r="B697" t="s">
        <v>8</v>
      </c>
      <c r="C697" s="3" t="s">
        <v>214</v>
      </c>
      <c r="D697" s="3" t="s">
        <v>55</v>
      </c>
    </row>
    <row r="698" spans="1:4" x14ac:dyDescent="0.2">
      <c r="A698" s="3" t="s">
        <v>342</v>
      </c>
      <c r="B698" t="s">
        <v>8</v>
      </c>
      <c r="C698" s="3" t="s">
        <v>215</v>
      </c>
      <c r="D698" s="3" t="s">
        <v>55</v>
      </c>
    </row>
    <row r="699" spans="1:4" x14ac:dyDescent="0.2">
      <c r="A699" s="3" t="s">
        <v>342</v>
      </c>
      <c r="B699" t="s">
        <v>8</v>
      </c>
      <c r="C699" s="3" t="s">
        <v>183</v>
      </c>
      <c r="D699" s="3" t="s">
        <v>56</v>
      </c>
    </row>
    <row r="700" spans="1:4" x14ac:dyDescent="0.2">
      <c r="A700" s="3" t="s">
        <v>342</v>
      </c>
      <c r="B700" t="s">
        <v>8</v>
      </c>
      <c r="C700" s="3" t="s">
        <v>213</v>
      </c>
      <c r="D700" s="3" t="s">
        <v>56</v>
      </c>
    </row>
    <row r="701" spans="1:4" x14ac:dyDescent="0.2">
      <c r="A701" s="3" t="s">
        <v>342</v>
      </c>
      <c r="B701" t="s">
        <v>8</v>
      </c>
      <c r="C701" s="3" t="s">
        <v>214</v>
      </c>
      <c r="D701" s="3" t="s">
        <v>56</v>
      </c>
    </row>
    <row r="702" spans="1:4" x14ac:dyDescent="0.2">
      <c r="A702" s="3" t="s">
        <v>342</v>
      </c>
      <c r="B702" t="s">
        <v>8</v>
      </c>
      <c r="C702" s="3" t="s">
        <v>215</v>
      </c>
      <c r="D702" s="3" t="s">
        <v>56</v>
      </c>
    </row>
    <row r="703" spans="1:4" x14ac:dyDescent="0.2">
      <c r="A703" s="3" t="s">
        <v>342</v>
      </c>
      <c r="B703" t="s">
        <v>8</v>
      </c>
      <c r="C703" s="3" t="s">
        <v>183</v>
      </c>
      <c r="D703" s="3" t="s">
        <v>57</v>
      </c>
    </row>
    <row r="704" spans="1:4" x14ac:dyDescent="0.2">
      <c r="A704" s="3" t="s">
        <v>342</v>
      </c>
      <c r="B704" t="s">
        <v>8</v>
      </c>
      <c r="C704" s="3" t="s">
        <v>213</v>
      </c>
      <c r="D704" s="3" t="s">
        <v>57</v>
      </c>
    </row>
    <row r="705" spans="1:4" x14ac:dyDescent="0.2">
      <c r="A705" s="3" t="s">
        <v>342</v>
      </c>
      <c r="B705" t="s">
        <v>8</v>
      </c>
      <c r="C705" s="3" t="s">
        <v>214</v>
      </c>
      <c r="D705" s="3" t="s">
        <v>57</v>
      </c>
    </row>
    <row r="706" spans="1:4" x14ac:dyDescent="0.2">
      <c r="A706" s="3" t="s">
        <v>342</v>
      </c>
      <c r="B706" t="s">
        <v>8</v>
      </c>
      <c r="C706" s="3" t="s">
        <v>215</v>
      </c>
      <c r="D706" s="3" t="s">
        <v>57</v>
      </c>
    </row>
    <row r="707" spans="1:4" x14ac:dyDescent="0.2">
      <c r="A707" s="3" t="s">
        <v>342</v>
      </c>
      <c r="B707" t="s">
        <v>8</v>
      </c>
      <c r="C707" s="3" t="s">
        <v>296</v>
      </c>
      <c r="D707" s="3" t="s">
        <v>10</v>
      </c>
    </row>
    <row r="708" spans="1:4" x14ac:dyDescent="0.2">
      <c r="A708" s="3" t="s">
        <v>342</v>
      </c>
      <c r="B708" t="s">
        <v>8</v>
      </c>
      <c r="C708" s="3" t="s">
        <v>343</v>
      </c>
      <c r="D708" s="3" t="s">
        <v>22</v>
      </c>
    </row>
    <row r="709" spans="1:4" x14ac:dyDescent="0.2">
      <c r="A709" s="3" t="s">
        <v>344</v>
      </c>
      <c r="B709" t="s">
        <v>8</v>
      </c>
      <c r="C709" s="3" t="s">
        <v>338</v>
      </c>
      <c r="D709" s="3" t="s">
        <v>169</v>
      </c>
    </row>
    <row r="710" spans="1:4" x14ac:dyDescent="0.2">
      <c r="A710" s="3" t="s">
        <v>344</v>
      </c>
      <c r="B710" t="s">
        <v>8</v>
      </c>
      <c r="C710" s="3" t="s">
        <v>340</v>
      </c>
      <c r="D710" s="3" t="s">
        <v>169</v>
      </c>
    </row>
    <row r="711" spans="1:4" x14ac:dyDescent="0.2">
      <c r="A711" s="3" t="s">
        <v>344</v>
      </c>
      <c r="B711" t="s">
        <v>8</v>
      </c>
      <c r="C711" s="3" t="s">
        <v>295</v>
      </c>
      <c r="D711" s="3" t="s">
        <v>10</v>
      </c>
    </row>
    <row r="712" spans="1:4" x14ac:dyDescent="0.2">
      <c r="A712" s="3" t="s">
        <v>344</v>
      </c>
      <c r="B712" t="s">
        <v>8</v>
      </c>
      <c r="C712" s="3" t="s">
        <v>296</v>
      </c>
      <c r="D712" s="3" t="s">
        <v>10</v>
      </c>
    </row>
    <row r="713" spans="1:4" x14ac:dyDescent="0.2">
      <c r="A713" s="3" t="s">
        <v>344</v>
      </c>
      <c r="B713" t="s">
        <v>8</v>
      </c>
      <c r="C713" s="3" t="s">
        <v>297</v>
      </c>
      <c r="D713" s="3" t="s">
        <v>10</v>
      </c>
    </row>
    <row r="714" spans="1:4" x14ac:dyDescent="0.2">
      <c r="A714" s="3" t="s">
        <v>345</v>
      </c>
      <c r="B714" t="s">
        <v>8</v>
      </c>
      <c r="C714" s="3" t="s">
        <v>346</v>
      </c>
      <c r="D714" s="3" t="s">
        <v>53</v>
      </c>
    </row>
    <row r="715" spans="1:4" x14ac:dyDescent="0.2">
      <c r="A715" s="3" t="s">
        <v>345</v>
      </c>
      <c r="B715" t="s">
        <v>8</v>
      </c>
      <c r="C715" s="3" t="s">
        <v>324</v>
      </c>
      <c r="D715" s="3" t="s">
        <v>53</v>
      </c>
    </row>
    <row r="716" spans="1:4" x14ac:dyDescent="0.2">
      <c r="A716" s="3" t="s">
        <v>345</v>
      </c>
      <c r="B716" t="s">
        <v>8</v>
      </c>
      <c r="C716" s="3" t="s">
        <v>327</v>
      </c>
      <c r="D716" s="3" t="s">
        <v>53</v>
      </c>
    </row>
    <row r="717" spans="1:4" x14ac:dyDescent="0.2">
      <c r="A717" s="3" t="s">
        <v>345</v>
      </c>
      <c r="B717" t="s">
        <v>8</v>
      </c>
      <c r="C717" s="3" t="s">
        <v>328</v>
      </c>
      <c r="D717" s="3" t="s">
        <v>53</v>
      </c>
    </row>
    <row r="718" spans="1:4" x14ac:dyDescent="0.2">
      <c r="A718" s="3" t="s">
        <v>345</v>
      </c>
      <c r="B718" t="s">
        <v>8</v>
      </c>
      <c r="C718" s="3" t="s">
        <v>329</v>
      </c>
      <c r="D718" s="3" t="s">
        <v>53</v>
      </c>
    </row>
    <row r="719" spans="1:4" x14ac:dyDescent="0.2">
      <c r="A719" s="3" t="s">
        <v>345</v>
      </c>
      <c r="B719" t="s">
        <v>8</v>
      </c>
      <c r="C719" s="3" t="s">
        <v>346</v>
      </c>
      <c r="D719" s="3" t="s">
        <v>54</v>
      </c>
    </row>
    <row r="720" spans="1:4" x14ac:dyDescent="0.2">
      <c r="A720" s="3" t="s">
        <v>345</v>
      </c>
      <c r="B720" t="s">
        <v>8</v>
      </c>
      <c r="C720" s="3" t="s">
        <v>324</v>
      </c>
      <c r="D720" s="3" t="s">
        <v>54</v>
      </c>
    </row>
    <row r="721" spans="1:4" x14ac:dyDescent="0.2">
      <c r="A721" s="3" t="s">
        <v>345</v>
      </c>
      <c r="B721" t="s">
        <v>8</v>
      </c>
      <c r="C721" s="3" t="s">
        <v>327</v>
      </c>
      <c r="D721" s="3" t="s">
        <v>54</v>
      </c>
    </row>
    <row r="722" spans="1:4" x14ac:dyDescent="0.2">
      <c r="A722" s="3" t="s">
        <v>345</v>
      </c>
      <c r="B722" t="s">
        <v>8</v>
      </c>
      <c r="C722" s="3" t="s">
        <v>328</v>
      </c>
      <c r="D722" s="3" t="s">
        <v>54</v>
      </c>
    </row>
    <row r="723" spans="1:4" x14ac:dyDescent="0.2">
      <c r="A723" s="3" t="s">
        <v>345</v>
      </c>
      <c r="B723" t="s">
        <v>8</v>
      </c>
      <c r="C723" s="3" t="s">
        <v>329</v>
      </c>
      <c r="D723" s="3" t="s">
        <v>54</v>
      </c>
    </row>
    <row r="724" spans="1:4" x14ac:dyDescent="0.2">
      <c r="A724" s="3" t="s">
        <v>345</v>
      </c>
      <c r="B724" t="s">
        <v>8</v>
      </c>
      <c r="C724" s="3" t="s">
        <v>346</v>
      </c>
      <c r="D724" s="3" t="s">
        <v>55</v>
      </c>
    </row>
    <row r="725" spans="1:4" x14ac:dyDescent="0.2">
      <c r="A725" s="3" t="s">
        <v>345</v>
      </c>
      <c r="B725" t="s">
        <v>8</v>
      </c>
      <c r="C725" s="3" t="s">
        <v>324</v>
      </c>
      <c r="D725" s="3" t="s">
        <v>55</v>
      </c>
    </row>
    <row r="726" spans="1:4" x14ac:dyDescent="0.2">
      <c r="A726" s="3" t="s">
        <v>345</v>
      </c>
      <c r="B726" t="s">
        <v>8</v>
      </c>
      <c r="C726" s="3" t="s">
        <v>327</v>
      </c>
      <c r="D726" s="3" t="s">
        <v>55</v>
      </c>
    </row>
    <row r="727" spans="1:4" x14ac:dyDescent="0.2">
      <c r="A727" s="3" t="s">
        <v>345</v>
      </c>
      <c r="B727" t="s">
        <v>8</v>
      </c>
      <c r="C727" s="3" t="s">
        <v>328</v>
      </c>
      <c r="D727" s="3" t="s">
        <v>55</v>
      </c>
    </row>
    <row r="728" spans="1:4" x14ac:dyDescent="0.2">
      <c r="A728" s="3" t="s">
        <v>345</v>
      </c>
      <c r="B728" t="s">
        <v>8</v>
      </c>
      <c r="C728" s="3" t="s">
        <v>329</v>
      </c>
      <c r="D728" s="3" t="s">
        <v>55</v>
      </c>
    </row>
    <row r="729" spans="1:4" x14ac:dyDescent="0.2">
      <c r="A729" s="3" t="s">
        <v>345</v>
      </c>
      <c r="B729" t="s">
        <v>8</v>
      </c>
      <c r="C729" s="3" t="s">
        <v>346</v>
      </c>
      <c r="D729" s="3" t="s">
        <v>56</v>
      </c>
    </row>
    <row r="730" spans="1:4" x14ac:dyDescent="0.2">
      <c r="A730" s="3" t="s">
        <v>345</v>
      </c>
      <c r="B730" t="s">
        <v>8</v>
      </c>
      <c r="C730" s="3" t="s">
        <v>324</v>
      </c>
      <c r="D730" s="3" t="s">
        <v>56</v>
      </c>
    </row>
    <row r="731" spans="1:4" x14ac:dyDescent="0.2">
      <c r="A731" s="3" t="s">
        <v>345</v>
      </c>
      <c r="B731" t="s">
        <v>8</v>
      </c>
      <c r="C731" s="3" t="s">
        <v>327</v>
      </c>
      <c r="D731" s="3" t="s">
        <v>56</v>
      </c>
    </row>
    <row r="732" spans="1:4" x14ac:dyDescent="0.2">
      <c r="A732" s="3" t="s">
        <v>345</v>
      </c>
      <c r="B732" t="s">
        <v>8</v>
      </c>
      <c r="C732" s="3" t="s">
        <v>328</v>
      </c>
      <c r="D732" s="3" t="s">
        <v>56</v>
      </c>
    </row>
    <row r="733" spans="1:4" x14ac:dyDescent="0.2">
      <c r="A733" s="3" t="s">
        <v>345</v>
      </c>
      <c r="B733" t="s">
        <v>8</v>
      </c>
      <c r="C733" s="3" t="s">
        <v>329</v>
      </c>
      <c r="D733" s="3" t="s">
        <v>56</v>
      </c>
    </row>
    <row r="734" spans="1:4" x14ac:dyDescent="0.2">
      <c r="A734" s="3" t="s">
        <v>345</v>
      </c>
      <c r="B734" t="s">
        <v>8</v>
      </c>
      <c r="C734" s="3" t="s">
        <v>346</v>
      </c>
      <c r="D734" s="3" t="s">
        <v>57</v>
      </c>
    </row>
    <row r="735" spans="1:4" x14ac:dyDescent="0.2">
      <c r="A735" s="3" t="s">
        <v>345</v>
      </c>
      <c r="B735" t="s">
        <v>8</v>
      </c>
      <c r="C735" s="3" t="s">
        <v>324</v>
      </c>
      <c r="D735" s="3" t="s">
        <v>57</v>
      </c>
    </row>
    <row r="736" spans="1:4" x14ac:dyDescent="0.2">
      <c r="A736" s="3" t="s">
        <v>345</v>
      </c>
      <c r="B736" t="s">
        <v>8</v>
      </c>
      <c r="C736" s="3" t="s">
        <v>327</v>
      </c>
      <c r="D736" s="3" t="s">
        <v>57</v>
      </c>
    </row>
    <row r="737" spans="1:4" x14ac:dyDescent="0.2">
      <c r="A737" s="3" t="s">
        <v>345</v>
      </c>
      <c r="B737" t="s">
        <v>8</v>
      </c>
      <c r="C737" s="3" t="s">
        <v>328</v>
      </c>
      <c r="D737" s="3" t="s">
        <v>57</v>
      </c>
    </row>
    <row r="738" spans="1:4" x14ac:dyDescent="0.2">
      <c r="A738" s="3" t="s">
        <v>345</v>
      </c>
      <c r="B738" t="s">
        <v>8</v>
      </c>
      <c r="C738" s="3" t="s">
        <v>329</v>
      </c>
      <c r="D738" s="3" t="s">
        <v>57</v>
      </c>
    </row>
    <row r="739" spans="1:4" x14ac:dyDescent="0.2">
      <c r="A739" s="3" t="s">
        <v>345</v>
      </c>
      <c r="B739" t="s">
        <v>8</v>
      </c>
      <c r="C739" s="3" t="s">
        <v>347</v>
      </c>
      <c r="D739" s="3" t="s">
        <v>22</v>
      </c>
    </row>
    <row r="740" spans="1:4" x14ac:dyDescent="0.2">
      <c r="A740" s="3" t="s">
        <v>345</v>
      </c>
      <c r="B740" t="s">
        <v>8</v>
      </c>
      <c r="C740" s="3" t="s">
        <v>348</v>
      </c>
      <c r="D740" s="3" t="s">
        <v>22</v>
      </c>
    </row>
    <row r="741" spans="1:4" x14ac:dyDescent="0.2">
      <c r="A741" s="3" t="s">
        <v>345</v>
      </c>
      <c r="B741" t="s">
        <v>8</v>
      </c>
      <c r="C741" s="3" t="s">
        <v>349</v>
      </c>
      <c r="D741" s="3" t="s">
        <v>22</v>
      </c>
    </row>
    <row r="742" spans="1:4" x14ac:dyDescent="0.2">
      <c r="A742" s="3" t="s">
        <v>345</v>
      </c>
      <c r="B742" t="s">
        <v>8</v>
      </c>
      <c r="C742" s="3" t="s">
        <v>350</v>
      </c>
      <c r="D742" s="3" t="s">
        <v>22</v>
      </c>
    </row>
    <row r="743" spans="1:4" x14ac:dyDescent="0.2">
      <c r="A743" s="3" t="s">
        <v>345</v>
      </c>
      <c r="B743" t="s">
        <v>8</v>
      </c>
      <c r="C743" s="3" t="s">
        <v>351</v>
      </c>
      <c r="D743" s="3" t="s">
        <v>22</v>
      </c>
    </row>
    <row r="744" spans="1:4" x14ac:dyDescent="0.2">
      <c r="A744" s="3" t="s">
        <v>345</v>
      </c>
      <c r="B744" t="s">
        <v>8</v>
      </c>
      <c r="C744" s="3" t="s">
        <v>352</v>
      </c>
      <c r="D744" s="3" t="s">
        <v>22</v>
      </c>
    </row>
    <row r="745" spans="1:4" x14ac:dyDescent="0.2">
      <c r="A745" s="3" t="s">
        <v>345</v>
      </c>
      <c r="B745" t="s">
        <v>8</v>
      </c>
      <c r="C745" s="3" t="s">
        <v>353</v>
      </c>
      <c r="D745" s="3" t="s">
        <v>22</v>
      </c>
    </row>
    <row r="746" spans="1:4" x14ac:dyDescent="0.2">
      <c r="A746" s="3" t="s">
        <v>345</v>
      </c>
      <c r="B746" t="s">
        <v>8</v>
      </c>
      <c r="C746" s="3" t="s">
        <v>354</v>
      </c>
      <c r="D746" s="3" t="s">
        <v>22</v>
      </c>
    </row>
    <row r="747" spans="1:4" x14ac:dyDescent="0.2">
      <c r="A747" s="3" t="s">
        <v>345</v>
      </c>
      <c r="B747" t="s">
        <v>8</v>
      </c>
      <c r="C747" s="3" t="s">
        <v>355</v>
      </c>
      <c r="D747" s="3" t="s">
        <v>22</v>
      </c>
    </row>
    <row r="748" spans="1:4" x14ac:dyDescent="0.2">
      <c r="A748" s="3" t="s">
        <v>345</v>
      </c>
      <c r="B748" t="s">
        <v>8</v>
      </c>
      <c r="C748" s="3" t="s">
        <v>356</v>
      </c>
      <c r="D748" s="3" t="s">
        <v>22</v>
      </c>
    </row>
    <row r="749" spans="1:4" x14ac:dyDescent="0.2">
      <c r="A749" s="3" t="s">
        <v>345</v>
      </c>
      <c r="B749" t="s">
        <v>8</v>
      </c>
      <c r="C749" s="3" t="s">
        <v>357</v>
      </c>
      <c r="D749" s="3" t="s">
        <v>22</v>
      </c>
    </row>
    <row r="750" spans="1:4" x14ac:dyDescent="0.2">
      <c r="A750" s="3" t="s">
        <v>345</v>
      </c>
      <c r="B750" t="s">
        <v>8</v>
      </c>
      <c r="C750" s="3" t="s">
        <v>358</v>
      </c>
      <c r="D750" s="3" t="s">
        <v>22</v>
      </c>
    </row>
    <row r="751" spans="1:4" x14ac:dyDescent="0.2">
      <c r="A751" s="3" t="s">
        <v>345</v>
      </c>
      <c r="B751" t="s">
        <v>8</v>
      </c>
      <c r="C751" s="3" t="s">
        <v>359</v>
      </c>
      <c r="D751" s="3" t="s">
        <v>22</v>
      </c>
    </row>
    <row r="752" spans="1:4" x14ac:dyDescent="0.2">
      <c r="A752" s="3" t="s">
        <v>345</v>
      </c>
      <c r="B752" t="s">
        <v>8</v>
      </c>
      <c r="C752" s="3" t="s">
        <v>360</v>
      </c>
      <c r="D752" s="3" t="s">
        <v>22</v>
      </c>
    </row>
    <row r="753" spans="1:4" x14ac:dyDescent="0.2">
      <c r="A753" s="3" t="s">
        <v>345</v>
      </c>
      <c r="B753" t="s">
        <v>8</v>
      </c>
      <c r="C753" s="3" t="s">
        <v>331</v>
      </c>
      <c r="D753" s="3" t="s">
        <v>22</v>
      </c>
    </row>
    <row r="754" spans="1:4" x14ac:dyDescent="0.2">
      <c r="A754" s="3" t="s">
        <v>345</v>
      </c>
      <c r="B754" t="s">
        <v>8</v>
      </c>
      <c r="C754" s="3" t="s">
        <v>361</v>
      </c>
      <c r="D754" s="3" t="s">
        <v>22</v>
      </c>
    </row>
    <row r="755" spans="1:4" x14ac:dyDescent="0.2">
      <c r="A755" s="3" t="s">
        <v>345</v>
      </c>
      <c r="B755" t="s">
        <v>8</v>
      </c>
      <c r="C755" s="3" t="s">
        <v>362</v>
      </c>
      <c r="D755" s="3" t="s">
        <v>22</v>
      </c>
    </row>
    <row r="756" spans="1:4" x14ac:dyDescent="0.2">
      <c r="A756" s="3" t="s">
        <v>345</v>
      </c>
      <c r="B756" t="s">
        <v>8</v>
      </c>
      <c r="C756" s="3" t="s">
        <v>363</v>
      </c>
      <c r="D756" s="3" t="s">
        <v>22</v>
      </c>
    </row>
    <row r="757" spans="1:4" x14ac:dyDescent="0.2">
      <c r="A757" s="3" t="s">
        <v>345</v>
      </c>
      <c r="B757" t="s">
        <v>8</v>
      </c>
      <c r="C757" s="3" t="s">
        <v>364</v>
      </c>
      <c r="D757" s="3" t="s">
        <v>22</v>
      </c>
    </row>
    <row r="758" spans="1:4" x14ac:dyDescent="0.2">
      <c r="A758" s="3" t="s">
        <v>345</v>
      </c>
      <c r="B758" t="s">
        <v>8</v>
      </c>
      <c r="C758" s="3" t="s">
        <v>365</v>
      </c>
      <c r="D758" s="3" t="s">
        <v>22</v>
      </c>
    </row>
    <row r="759" spans="1:4" x14ac:dyDescent="0.2">
      <c r="A759" s="3" t="s">
        <v>345</v>
      </c>
      <c r="B759" t="s">
        <v>8</v>
      </c>
      <c r="C759" s="3" t="s">
        <v>366</v>
      </c>
      <c r="D759" s="3" t="s">
        <v>22</v>
      </c>
    </row>
    <row r="760" spans="1:4" x14ac:dyDescent="0.2">
      <c r="A760" s="3" t="s">
        <v>345</v>
      </c>
      <c r="B760" t="s">
        <v>8</v>
      </c>
      <c r="C760" s="3" t="s">
        <v>367</v>
      </c>
      <c r="D760" s="3" t="s">
        <v>22</v>
      </c>
    </row>
    <row r="761" spans="1:4" x14ac:dyDescent="0.2">
      <c r="A761" s="3" t="s">
        <v>345</v>
      </c>
      <c r="B761" t="s">
        <v>8</v>
      </c>
      <c r="C761" s="3" t="s">
        <v>368</v>
      </c>
      <c r="D761" s="3" t="s">
        <v>22</v>
      </c>
    </row>
    <row r="762" spans="1:4" x14ac:dyDescent="0.2">
      <c r="A762" s="3" t="s">
        <v>345</v>
      </c>
      <c r="B762" t="s">
        <v>8</v>
      </c>
      <c r="C762" s="3" t="s">
        <v>369</v>
      </c>
      <c r="D762" s="3" t="s">
        <v>22</v>
      </c>
    </row>
    <row r="763" spans="1:4" x14ac:dyDescent="0.2">
      <c r="A763" s="3" t="s">
        <v>345</v>
      </c>
      <c r="B763" t="s">
        <v>8</v>
      </c>
      <c r="C763" s="3" t="s">
        <v>370</v>
      </c>
      <c r="D763" s="3" t="s">
        <v>22</v>
      </c>
    </row>
    <row r="764" spans="1:4" x14ac:dyDescent="0.2">
      <c r="A764" s="3" t="s">
        <v>345</v>
      </c>
      <c r="B764" t="s">
        <v>8</v>
      </c>
      <c r="C764" s="3" t="s">
        <v>371</v>
      </c>
      <c r="D764" s="3" t="s">
        <v>22</v>
      </c>
    </row>
    <row r="765" spans="1:4" x14ac:dyDescent="0.2">
      <c r="A765" s="3" t="s">
        <v>345</v>
      </c>
      <c r="B765" t="s">
        <v>8</v>
      </c>
      <c r="C765" s="3" t="s">
        <v>372</v>
      </c>
      <c r="D765" s="3" t="s">
        <v>22</v>
      </c>
    </row>
    <row r="766" spans="1:4" x14ac:dyDescent="0.2">
      <c r="A766" s="3" t="s">
        <v>345</v>
      </c>
      <c r="B766" t="s">
        <v>8</v>
      </c>
      <c r="C766" s="3" t="s">
        <v>373</v>
      </c>
      <c r="D766" s="3" t="s">
        <v>22</v>
      </c>
    </row>
    <row r="767" spans="1:4" x14ac:dyDescent="0.2">
      <c r="A767" s="3" t="s">
        <v>345</v>
      </c>
      <c r="B767" t="s">
        <v>8</v>
      </c>
      <c r="C767" s="3" t="s">
        <v>374</v>
      </c>
      <c r="D767" s="3" t="s">
        <v>22</v>
      </c>
    </row>
    <row r="768" spans="1:4" x14ac:dyDescent="0.2">
      <c r="A768" s="3" t="s">
        <v>345</v>
      </c>
      <c r="B768" t="s">
        <v>8</v>
      </c>
      <c r="C768" s="3" t="s">
        <v>375</v>
      </c>
      <c r="D768" s="3" t="s">
        <v>22</v>
      </c>
    </row>
    <row r="769" spans="1:4" x14ac:dyDescent="0.2">
      <c r="A769" s="3" t="s">
        <v>345</v>
      </c>
      <c r="B769" t="s">
        <v>8</v>
      </c>
      <c r="C769" s="3" t="s">
        <v>376</v>
      </c>
      <c r="D769" s="3" t="s">
        <v>22</v>
      </c>
    </row>
    <row r="770" spans="1:4" x14ac:dyDescent="0.2">
      <c r="A770" s="3" t="s">
        <v>345</v>
      </c>
      <c r="B770" t="s">
        <v>8</v>
      </c>
      <c r="C770" s="3" t="s">
        <v>377</v>
      </c>
      <c r="D770" s="3" t="s">
        <v>22</v>
      </c>
    </row>
    <row r="771" spans="1:4" x14ac:dyDescent="0.2">
      <c r="A771" s="3" t="s">
        <v>345</v>
      </c>
      <c r="B771" t="s">
        <v>8</v>
      </c>
      <c r="C771" s="3" t="s">
        <v>378</v>
      </c>
      <c r="D771" s="3" t="s">
        <v>22</v>
      </c>
    </row>
    <row r="772" spans="1:4" x14ac:dyDescent="0.2">
      <c r="A772" s="3" t="s">
        <v>379</v>
      </c>
      <c r="B772" t="s">
        <v>8</v>
      </c>
      <c r="C772" s="3" t="s">
        <v>380</v>
      </c>
      <c r="D772" s="3" t="s">
        <v>53</v>
      </c>
    </row>
    <row r="773" spans="1:4" x14ac:dyDescent="0.2">
      <c r="A773" s="3" t="s">
        <v>379</v>
      </c>
      <c r="B773" t="s">
        <v>8</v>
      </c>
      <c r="C773" s="3" t="s">
        <v>323</v>
      </c>
      <c r="D773" s="3" t="s">
        <v>53</v>
      </c>
    </row>
    <row r="774" spans="1:4" x14ac:dyDescent="0.2">
      <c r="A774" s="3" t="s">
        <v>379</v>
      </c>
      <c r="B774" t="s">
        <v>8</v>
      </c>
      <c r="C774" s="3" t="s">
        <v>380</v>
      </c>
      <c r="D774" s="3" t="s">
        <v>54</v>
      </c>
    </row>
    <row r="775" spans="1:4" x14ac:dyDescent="0.2">
      <c r="A775" s="3" t="s">
        <v>379</v>
      </c>
      <c r="B775" t="s">
        <v>8</v>
      </c>
      <c r="C775" s="3" t="s">
        <v>323</v>
      </c>
      <c r="D775" s="3" t="s">
        <v>54</v>
      </c>
    </row>
    <row r="776" spans="1:4" x14ac:dyDescent="0.2">
      <c r="A776" s="3" t="s">
        <v>379</v>
      </c>
      <c r="B776" t="s">
        <v>8</v>
      </c>
      <c r="C776" s="3" t="s">
        <v>380</v>
      </c>
      <c r="D776" s="3" t="s">
        <v>55</v>
      </c>
    </row>
    <row r="777" spans="1:4" x14ac:dyDescent="0.2">
      <c r="A777" s="3" t="s">
        <v>379</v>
      </c>
      <c r="B777" t="s">
        <v>8</v>
      </c>
      <c r="C777" s="3" t="s">
        <v>323</v>
      </c>
      <c r="D777" s="3" t="s">
        <v>55</v>
      </c>
    </row>
    <row r="778" spans="1:4" x14ac:dyDescent="0.2">
      <c r="A778" s="3" t="s">
        <v>379</v>
      </c>
      <c r="B778" t="s">
        <v>8</v>
      </c>
      <c r="C778" s="3" t="s">
        <v>380</v>
      </c>
      <c r="D778" s="3" t="s">
        <v>56</v>
      </c>
    </row>
    <row r="779" spans="1:4" x14ac:dyDescent="0.2">
      <c r="A779" s="3" t="s">
        <v>379</v>
      </c>
      <c r="B779" t="s">
        <v>8</v>
      </c>
      <c r="C779" s="3" t="s">
        <v>323</v>
      </c>
      <c r="D779" s="3" t="s">
        <v>56</v>
      </c>
    </row>
    <row r="780" spans="1:4" x14ac:dyDescent="0.2">
      <c r="A780" s="3" t="s">
        <v>379</v>
      </c>
      <c r="B780" t="s">
        <v>8</v>
      </c>
      <c r="C780" s="3" t="s">
        <v>380</v>
      </c>
      <c r="D780" s="3" t="s">
        <v>57</v>
      </c>
    </row>
    <row r="781" spans="1:4" x14ac:dyDescent="0.2">
      <c r="A781" s="3" t="s">
        <v>379</v>
      </c>
      <c r="B781" t="s">
        <v>8</v>
      </c>
      <c r="C781" s="3" t="s">
        <v>323</v>
      </c>
      <c r="D781" s="3" t="s">
        <v>57</v>
      </c>
    </row>
    <row r="782" spans="1:4" x14ac:dyDescent="0.2">
      <c r="A782" s="3" t="s">
        <v>379</v>
      </c>
      <c r="B782" t="s">
        <v>8</v>
      </c>
      <c r="C782" s="3" t="s">
        <v>381</v>
      </c>
      <c r="D782" s="3" t="s">
        <v>169</v>
      </c>
    </row>
    <row r="783" spans="1:4" x14ac:dyDescent="0.2">
      <c r="A783" s="3" t="s">
        <v>379</v>
      </c>
      <c r="B783" t="s">
        <v>8</v>
      </c>
      <c r="C783" s="3" t="s">
        <v>382</v>
      </c>
      <c r="D783" s="3" t="s">
        <v>169</v>
      </c>
    </row>
    <row r="784" spans="1:4" x14ac:dyDescent="0.2">
      <c r="A784" s="3" t="s">
        <v>379</v>
      </c>
      <c r="B784" t="s">
        <v>8</v>
      </c>
      <c r="C784" s="3" t="s">
        <v>383</v>
      </c>
      <c r="D784" s="3" t="s">
        <v>169</v>
      </c>
    </row>
    <row r="785" spans="1:4" x14ac:dyDescent="0.2">
      <c r="A785" s="3" t="s">
        <v>379</v>
      </c>
      <c r="B785" t="s">
        <v>8</v>
      </c>
      <c r="C785" s="3" t="s">
        <v>384</v>
      </c>
      <c r="D785" s="3" t="s">
        <v>169</v>
      </c>
    </row>
    <row r="786" spans="1:4" x14ac:dyDescent="0.2">
      <c r="A786" s="3" t="s">
        <v>379</v>
      </c>
      <c r="B786" t="s">
        <v>8</v>
      </c>
      <c r="C786" s="3" t="s">
        <v>385</v>
      </c>
      <c r="D786" s="3" t="s">
        <v>169</v>
      </c>
    </row>
    <row r="787" spans="1:4" x14ac:dyDescent="0.2">
      <c r="A787" s="3" t="s">
        <v>379</v>
      </c>
      <c r="B787" t="s">
        <v>8</v>
      </c>
      <c r="C787" s="3" t="s">
        <v>386</v>
      </c>
      <c r="D787" s="3" t="s">
        <v>169</v>
      </c>
    </row>
    <row r="788" spans="1:4" x14ac:dyDescent="0.2">
      <c r="A788" s="3" t="s">
        <v>379</v>
      </c>
      <c r="B788" t="s">
        <v>8</v>
      </c>
      <c r="C788" s="3" t="s">
        <v>387</v>
      </c>
      <c r="D788" s="3" t="s">
        <v>169</v>
      </c>
    </row>
    <row r="789" spans="1:4" x14ac:dyDescent="0.2">
      <c r="A789" s="3" t="s">
        <v>379</v>
      </c>
      <c r="B789" t="s">
        <v>8</v>
      </c>
      <c r="C789" s="3" t="s">
        <v>388</v>
      </c>
      <c r="D789" s="3" t="s">
        <v>169</v>
      </c>
    </row>
    <row r="790" spans="1:4" x14ac:dyDescent="0.2">
      <c r="A790" s="3" t="s">
        <v>379</v>
      </c>
      <c r="B790" t="s">
        <v>8</v>
      </c>
      <c r="C790" s="3" t="s">
        <v>389</v>
      </c>
      <c r="D790" s="3" t="s">
        <v>169</v>
      </c>
    </row>
    <row r="791" spans="1:4" x14ac:dyDescent="0.2">
      <c r="A791" s="3" t="s">
        <v>379</v>
      </c>
      <c r="B791" t="s">
        <v>8</v>
      </c>
      <c r="C791" s="3" t="s">
        <v>390</v>
      </c>
      <c r="D791" s="3" t="s">
        <v>169</v>
      </c>
    </row>
    <row r="792" spans="1:4" x14ac:dyDescent="0.2">
      <c r="A792" s="3" t="s">
        <v>379</v>
      </c>
      <c r="B792" t="s">
        <v>8</v>
      </c>
      <c r="C792" s="3" t="s">
        <v>391</v>
      </c>
      <c r="D792" s="3" t="s">
        <v>169</v>
      </c>
    </row>
    <row r="793" spans="1:4" x14ac:dyDescent="0.2">
      <c r="A793" s="3" t="s">
        <v>379</v>
      </c>
      <c r="B793" t="s">
        <v>8</v>
      </c>
      <c r="C793" s="3" t="s">
        <v>392</v>
      </c>
      <c r="D793" s="3" t="s">
        <v>169</v>
      </c>
    </row>
    <row r="794" spans="1:4" x14ac:dyDescent="0.2">
      <c r="A794" s="3" t="s">
        <v>379</v>
      </c>
      <c r="B794" t="s">
        <v>8</v>
      </c>
      <c r="C794" s="3" t="s">
        <v>393</v>
      </c>
      <c r="D794" s="3" t="s">
        <v>169</v>
      </c>
    </row>
    <row r="795" spans="1:4" x14ac:dyDescent="0.2">
      <c r="A795" s="3" t="s">
        <v>379</v>
      </c>
      <c r="B795" t="s">
        <v>8</v>
      </c>
      <c r="C795" s="3" t="s">
        <v>394</v>
      </c>
      <c r="D795" s="3" t="s">
        <v>169</v>
      </c>
    </row>
    <row r="796" spans="1:4" x14ac:dyDescent="0.2">
      <c r="A796" s="3" t="s">
        <v>379</v>
      </c>
      <c r="B796" t="s">
        <v>8</v>
      </c>
      <c r="C796" s="3" t="s">
        <v>395</v>
      </c>
      <c r="D796" s="3" t="s">
        <v>169</v>
      </c>
    </row>
    <row r="797" spans="1:4" x14ac:dyDescent="0.2">
      <c r="A797" s="3" t="s">
        <v>379</v>
      </c>
      <c r="B797" t="s">
        <v>8</v>
      </c>
      <c r="C797" s="3" t="s">
        <v>396</v>
      </c>
      <c r="D797" s="3" t="s">
        <v>169</v>
      </c>
    </row>
    <row r="798" spans="1:4" x14ac:dyDescent="0.2">
      <c r="A798" s="3" t="s">
        <v>379</v>
      </c>
      <c r="B798" t="s">
        <v>8</v>
      </c>
      <c r="C798" s="3" t="s">
        <v>397</v>
      </c>
      <c r="D798" s="3" t="s">
        <v>169</v>
      </c>
    </row>
    <row r="799" spans="1:4" x14ac:dyDescent="0.2">
      <c r="A799" s="3" t="s">
        <v>379</v>
      </c>
      <c r="B799" t="s">
        <v>8</v>
      </c>
      <c r="C799" s="3" t="s">
        <v>398</v>
      </c>
      <c r="D799" s="3" t="s">
        <v>169</v>
      </c>
    </row>
    <row r="800" spans="1:4" x14ac:dyDescent="0.2">
      <c r="A800" s="3" t="s">
        <v>379</v>
      </c>
      <c r="B800" t="s">
        <v>8</v>
      </c>
      <c r="C800" s="3" t="s">
        <v>399</v>
      </c>
      <c r="D800" s="3" t="s">
        <v>169</v>
      </c>
    </row>
    <row r="801" spans="1:4" x14ac:dyDescent="0.2">
      <c r="A801" s="3" t="s">
        <v>379</v>
      </c>
      <c r="B801" t="s">
        <v>8</v>
      </c>
      <c r="C801" s="3" t="s">
        <v>400</v>
      </c>
      <c r="D801" s="3" t="s">
        <v>169</v>
      </c>
    </row>
    <row r="802" spans="1:4" x14ac:dyDescent="0.2">
      <c r="A802" s="3" t="s">
        <v>379</v>
      </c>
      <c r="B802" t="s">
        <v>8</v>
      </c>
      <c r="C802" s="3" t="s">
        <v>401</v>
      </c>
      <c r="D802" s="3" t="s">
        <v>169</v>
      </c>
    </row>
    <row r="803" spans="1:4" x14ac:dyDescent="0.2">
      <c r="A803" s="3" t="s">
        <v>379</v>
      </c>
      <c r="B803" t="s">
        <v>8</v>
      </c>
      <c r="C803" s="3" t="s">
        <v>402</v>
      </c>
      <c r="D803" s="3" t="s">
        <v>169</v>
      </c>
    </row>
    <row r="804" spans="1:4" x14ac:dyDescent="0.2">
      <c r="A804" s="3" t="s">
        <v>379</v>
      </c>
      <c r="B804" t="s">
        <v>8</v>
      </c>
      <c r="C804" s="3" t="s">
        <v>403</v>
      </c>
      <c r="D804" s="3" t="s">
        <v>169</v>
      </c>
    </row>
    <row r="805" spans="1:4" x14ac:dyDescent="0.2">
      <c r="A805" s="3" t="s">
        <v>379</v>
      </c>
      <c r="B805" t="s">
        <v>8</v>
      </c>
      <c r="C805" s="3" t="s">
        <v>404</v>
      </c>
      <c r="D805" s="3" t="s">
        <v>169</v>
      </c>
    </row>
    <row r="806" spans="1:4" x14ac:dyDescent="0.2">
      <c r="A806" s="3" t="s">
        <v>379</v>
      </c>
      <c r="B806" t="s">
        <v>8</v>
      </c>
      <c r="C806" s="3" t="s">
        <v>405</v>
      </c>
      <c r="D806" s="3" t="s">
        <v>169</v>
      </c>
    </row>
    <row r="807" spans="1:4" x14ac:dyDescent="0.2">
      <c r="A807" s="3" t="s">
        <v>406</v>
      </c>
      <c r="B807" t="s">
        <v>8</v>
      </c>
      <c r="C807" s="3" t="s">
        <v>407</v>
      </c>
      <c r="D807" s="3" t="s">
        <v>53</v>
      </c>
    </row>
    <row r="808" spans="1:4" x14ac:dyDescent="0.2">
      <c r="A808" s="3" t="s">
        <v>406</v>
      </c>
      <c r="B808" t="s">
        <v>8</v>
      </c>
      <c r="C808" s="3" t="s">
        <v>380</v>
      </c>
      <c r="D808" s="3" t="s">
        <v>53</v>
      </c>
    </row>
    <row r="809" spans="1:4" x14ac:dyDescent="0.2">
      <c r="A809" s="3" t="s">
        <v>406</v>
      </c>
      <c r="B809" t="s">
        <v>8</v>
      </c>
      <c r="C809" s="3" t="s">
        <v>322</v>
      </c>
      <c r="D809" s="3" t="s">
        <v>53</v>
      </c>
    </row>
    <row r="810" spans="1:4" x14ac:dyDescent="0.2">
      <c r="A810" s="3" t="s">
        <v>406</v>
      </c>
      <c r="B810" t="s">
        <v>8</v>
      </c>
      <c r="C810" s="3" t="s">
        <v>323</v>
      </c>
      <c r="D810" s="3" t="s">
        <v>53</v>
      </c>
    </row>
    <row r="811" spans="1:4" x14ac:dyDescent="0.2">
      <c r="A811" s="3" t="s">
        <v>406</v>
      </c>
      <c r="B811" t="s">
        <v>8</v>
      </c>
      <c r="C811" s="3" t="s">
        <v>408</v>
      </c>
      <c r="D811" s="3" t="s">
        <v>53</v>
      </c>
    </row>
    <row r="812" spans="1:4" x14ac:dyDescent="0.2">
      <c r="A812" s="3" t="s">
        <v>406</v>
      </c>
      <c r="B812" t="s">
        <v>8</v>
      </c>
      <c r="C812" s="3" t="s">
        <v>407</v>
      </c>
      <c r="D812" s="3" t="s">
        <v>54</v>
      </c>
    </row>
    <row r="813" spans="1:4" x14ac:dyDescent="0.2">
      <c r="A813" s="3" t="s">
        <v>406</v>
      </c>
      <c r="B813" t="s">
        <v>8</v>
      </c>
      <c r="C813" s="3" t="s">
        <v>380</v>
      </c>
      <c r="D813" s="3" t="s">
        <v>54</v>
      </c>
    </row>
    <row r="814" spans="1:4" x14ac:dyDescent="0.2">
      <c r="A814" s="3" t="s">
        <v>406</v>
      </c>
      <c r="B814" t="s">
        <v>8</v>
      </c>
      <c r="C814" s="3" t="s">
        <v>322</v>
      </c>
      <c r="D814" s="3" t="s">
        <v>54</v>
      </c>
    </row>
    <row r="815" spans="1:4" x14ac:dyDescent="0.2">
      <c r="A815" s="3" t="s">
        <v>406</v>
      </c>
      <c r="B815" t="s">
        <v>8</v>
      </c>
      <c r="C815" s="3" t="s">
        <v>323</v>
      </c>
      <c r="D815" s="3" t="s">
        <v>54</v>
      </c>
    </row>
    <row r="816" spans="1:4" x14ac:dyDescent="0.2">
      <c r="A816" s="3" t="s">
        <v>406</v>
      </c>
      <c r="B816" t="s">
        <v>8</v>
      </c>
      <c r="C816" s="3" t="s">
        <v>408</v>
      </c>
      <c r="D816" s="3" t="s">
        <v>54</v>
      </c>
    </row>
    <row r="817" spans="1:4" x14ac:dyDescent="0.2">
      <c r="A817" s="3" t="s">
        <v>406</v>
      </c>
      <c r="B817" t="s">
        <v>8</v>
      </c>
      <c r="C817" s="3" t="s">
        <v>407</v>
      </c>
      <c r="D817" s="3" t="s">
        <v>55</v>
      </c>
    </row>
    <row r="818" spans="1:4" x14ac:dyDescent="0.2">
      <c r="A818" s="3" t="s">
        <v>406</v>
      </c>
      <c r="B818" t="s">
        <v>8</v>
      </c>
      <c r="C818" s="3" t="s">
        <v>380</v>
      </c>
      <c r="D818" s="3" t="s">
        <v>55</v>
      </c>
    </row>
    <row r="819" spans="1:4" x14ac:dyDescent="0.2">
      <c r="A819" s="3" t="s">
        <v>406</v>
      </c>
      <c r="B819" t="s">
        <v>8</v>
      </c>
      <c r="C819" s="3" t="s">
        <v>322</v>
      </c>
      <c r="D819" s="3" t="s">
        <v>55</v>
      </c>
    </row>
    <row r="820" spans="1:4" x14ac:dyDescent="0.2">
      <c r="A820" s="3" t="s">
        <v>406</v>
      </c>
      <c r="B820" t="s">
        <v>8</v>
      </c>
      <c r="C820" s="3" t="s">
        <v>323</v>
      </c>
      <c r="D820" s="3" t="s">
        <v>55</v>
      </c>
    </row>
    <row r="821" spans="1:4" x14ac:dyDescent="0.2">
      <c r="A821" s="3" t="s">
        <v>406</v>
      </c>
      <c r="B821" t="s">
        <v>8</v>
      </c>
      <c r="C821" s="3" t="s">
        <v>408</v>
      </c>
      <c r="D821" s="3" t="s">
        <v>55</v>
      </c>
    </row>
    <row r="822" spans="1:4" x14ac:dyDescent="0.2">
      <c r="A822" s="3" t="s">
        <v>406</v>
      </c>
      <c r="B822" t="s">
        <v>8</v>
      </c>
      <c r="C822" s="3" t="s">
        <v>407</v>
      </c>
      <c r="D822" s="3" t="s">
        <v>56</v>
      </c>
    </row>
    <row r="823" spans="1:4" x14ac:dyDescent="0.2">
      <c r="A823" s="3" t="s">
        <v>406</v>
      </c>
      <c r="B823" t="s">
        <v>8</v>
      </c>
      <c r="C823" s="3" t="s">
        <v>380</v>
      </c>
      <c r="D823" s="3" t="s">
        <v>56</v>
      </c>
    </row>
    <row r="824" spans="1:4" x14ac:dyDescent="0.2">
      <c r="A824" s="3" t="s">
        <v>406</v>
      </c>
      <c r="B824" t="s">
        <v>8</v>
      </c>
      <c r="C824" s="3" t="s">
        <v>322</v>
      </c>
      <c r="D824" s="3" t="s">
        <v>56</v>
      </c>
    </row>
    <row r="825" spans="1:4" x14ac:dyDescent="0.2">
      <c r="A825" s="3" t="s">
        <v>406</v>
      </c>
      <c r="B825" t="s">
        <v>8</v>
      </c>
      <c r="C825" s="3" t="s">
        <v>323</v>
      </c>
      <c r="D825" s="3" t="s">
        <v>56</v>
      </c>
    </row>
    <row r="826" spans="1:4" x14ac:dyDescent="0.2">
      <c r="A826" s="3" t="s">
        <v>406</v>
      </c>
      <c r="B826" t="s">
        <v>8</v>
      </c>
      <c r="C826" s="3" t="s">
        <v>408</v>
      </c>
      <c r="D826" s="3" t="s">
        <v>56</v>
      </c>
    </row>
    <row r="827" spans="1:4" x14ac:dyDescent="0.2">
      <c r="A827" s="3" t="s">
        <v>406</v>
      </c>
      <c r="B827" t="s">
        <v>8</v>
      </c>
      <c r="C827" s="3" t="s">
        <v>407</v>
      </c>
      <c r="D827" s="3" t="s">
        <v>57</v>
      </c>
    </row>
    <row r="828" spans="1:4" x14ac:dyDescent="0.2">
      <c r="A828" s="3" t="s">
        <v>406</v>
      </c>
      <c r="B828" t="s">
        <v>8</v>
      </c>
      <c r="C828" s="3" t="s">
        <v>380</v>
      </c>
      <c r="D828" s="3" t="s">
        <v>57</v>
      </c>
    </row>
    <row r="829" spans="1:4" x14ac:dyDescent="0.2">
      <c r="A829" s="3" t="s">
        <v>406</v>
      </c>
      <c r="B829" t="s">
        <v>8</v>
      </c>
      <c r="C829" s="3" t="s">
        <v>322</v>
      </c>
      <c r="D829" s="3" t="s">
        <v>57</v>
      </c>
    </row>
    <row r="830" spans="1:4" x14ac:dyDescent="0.2">
      <c r="A830" s="3" t="s">
        <v>406</v>
      </c>
      <c r="B830" t="s">
        <v>8</v>
      </c>
      <c r="C830" s="3" t="s">
        <v>323</v>
      </c>
      <c r="D830" s="3" t="s">
        <v>57</v>
      </c>
    </row>
    <row r="831" spans="1:4" x14ac:dyDescent="0.2">
      <c r="A831" s="3" t="s">
        <v>406</v>
      </c>
      <c r="B831" t="s">
        <v>8</v>
      </c>
      <c r="C831" s="3" t="s">
        <v>408</v>
      </c>
      <c r="D831" s="3" t="s">
        <v>57</v>
      </c>
    </row>
    <row r="832" spans="1:4" x14ac:dyDescent="0.2">
      <c r="A832" s="3" t="s">
        <v>406</v>
      </c>
      <c r="B832" t="s">
        <v>8</v>
      </c>
      <c r="C832" s="3" t="s">
        <v>409</v>
      </c>
      <c r="D832" s="3" t="s">
        <v>169</v>
      </c>
    </row>
    <row r="833" spans="1:4" x14ac:dyDescent="0.2">
      <c r="A833" s="3" t="s">
        <v>406</v>
      </c>
      <c r="B833" t="s">
        <v>8</v>
      </c>
      <c r="C833" s="3" t="s">
        <v>410</v>
      </c>
      <c r="D833" s="3" t="s">
        <v>169</v>
      </c>
    </row>
    <row r="834" spans="1:4" x14ac:dyDescent="0.2">
      <c r="A834" s="3" t="s">
        <v>411</v>
      </c>
      <c r="B834" t="s">
        <v>8</v>
      </c>
      <c r="C834" s="3" t="s">
        <v>321</v>
      </c>
      <c r="D834" s="3" t="s">
        <v>53</v>
      </c>
    </row>
    <row r="835" spans="1:4" x14ac:dyDescent="0.2">
      <c r="A835" s="3" t="s">
        <v>411</v>
      </c>
      <c r="B835" t="s">
        <v>8</v>
      </c>
      <c r="C835" s="3" t="s">
        <v>322</v>
      </c>
      <c r="D835" s="3" t="s">
        <v>53</v>
      </c>
    </row>
    <row r="836" spans="1:4" x14ac:dyDescent="0.2">
      <c r="A836" s="3" t="s">
        <v>411</v>
      </c>
      <c r="B836" t="s">
        <v>8</v>
      </c>
      <c r="C836" s="3" t="s">
        <v>321</v>
      </c>
      <c r="D836" s="3" t="s">
        <v>54</v>
      </c>
    </row>
    <row r="837" spans="1:4" x14ac:dyDescent="0.2">
      <c r="A837" s="3" t="s">
        <v>411</v>
      </c>
      <c r="B837" t="s">
        <v>8</v>
      </c>
      <c r="C837" s="3" t="s">
        <v>322</v>
      </c>
      <c r="D837" s="3" t="s">
        <v>54</v>
      </c>
    </row>
    <row r="838" spans="1:4" x14ac:dyDescent="0.2">
      <c r="A838" s="3" t="s">
        <v>411</v>
      </c>
      <c r="B838" t="s">
        <v>8</v>
      </c>
      <c r="C838" s="3" t="s">
        <v>321</v>
      </c>
      <c r="D838" s="3" t="s">
        <v>55</v>
      </c>
    </row>
    <row r="839" spans="1:4" x14ac:dyDescent="0.2">
      <c r="A839" s="3" t="s">
        <v>411</v>
      </c>
      <c r="B839" t="s">
        <v>8</v>
      </c>
      <c r="C839" s="3" t="s">
        <v>322</v>
      </c>
      <c r="D839" s="3" t="s">
        <v>55</v>
      </c>
    </row>
    <row r="840" spans="1:4" x14ac:dyDescent="0.2">
      <c r="A840" s="3" t="s">
        <v>411</v>
      </c>
      <c r="B840" t="s">
        <v>8</v>
      </c>
      <c r="C840" s="3" t="s">
        <v>321</v>
      </c>
      <c r="D840" s="3" t="s">
        <v>56</v>
      </c>
    </row>
    <row r="841" spans="1:4" x14ac:dyDescent="0.2">
      <c r="A841" s="3" t="s">
        <v>411</v>
      </c>
      <c r="B841" t="s">
        <v>8</v>
      </c>
      <c r="C841" s="3" t="s">
        <v>322</v>
      </c>
      <c r="D841" s="3" t="s">
        <v>56</v>
      </c>
    </row>
    <row r="842" spans="1:4" x14ac:dyDescent="0.2">
      <c r="A842" s="3" t="s">
        <v>411</v>
      </c>
      <c r="B842" t="s">
        <v>8</v>
      </c>
      <c r="C842" s="3" t="s">
        <v>321</v>
      </c>
      <c r="D842" s="3" t="s">
        <v>57</v>
      </c>
    </row>
    <row r="843" spans="1:4" x14ac:dyDescent="0.2">
      <c r="A843" s="3" t="s">
        <v>411</v>
      </c>
      <c r="B843" t="s">
        <v>8</v>
      </c>
      <c r="C843" s="3" t="s">
        <v>322</v>
      </c>
      <c r="D843" s="3" t="s">
        <v>57</v>
      </c>
    </row>
    <row r="844" spans="1:4" x14ac:dyDescent="0.2">
      <c r="A844" s="3" t="s">
        <v>411</v>
      </c>
      <c r="B844" t="s">
        <v>8</v>
      </c>
      <c r="C844" s="3" t="s">
        <v>412</v>
      </c>
      <c r="D844" s="3" t="s">
        <v>169</v>
      </c>
    </row>
    <row r="845" spans="1:4" x14ac:dyDescent="0.2">
      <c r="A845" s="3" t="s">
        <v>411</v>
      </c>
      <c r="B845" t="s">
        <v>8</v>
      </c>
      <c r="C845" s="3" t="s">
        <v>413</v>
      </c>
      <c r="D845" s="3" t="s">
        <v>22</v>
      </c>
    </row>
    <row r="846" spans="1:4" x14ac:dyDescent="0.2">
      <c r="A846" s="3" t="s">
        <v>411</v>
      </c>
      <c r="B846" t="s">
        <v>8</v>
      </c>
      <c r="C846" s="3" t="s">
        <v>414</v>
      </c>
      <c r="D846" s="3" t="s">
        <v>22</v>
      </c>
    </row>
    <row r="847" spans="1:4" x14ac:dyDescent="0.2">
      <c r="A847" s="3" t="s">
        <v>411</v>
      </c>
      <c r="B847" t="s">
        <v>8</v>
      </c>
      <c r="C847" s="3" t="s">
        <v>415</v>
      </c>
      <c r="D847" s="3" t="s">
        <v>22</v>
      </c>
    </row>
    <row r="848" spans="1:4" x14ac:dyDescent="0.2">
      <c r="A848" s="3" t="s">
        <v>411</v>
      </c>
      <c r="B848" t="s">
        <v>8</v>
      </c>
      <c r="C848" s="3" t="s">
        <v>416</v>
      </c>
      <c r="D848" s="3" t="s">
        <v>22</v>
      </c>
    </row>
    <row r="849" spans="1:4" x14ac:dyDescent="0.2">
      <c r="A849" s="3" t="s">
        <v>411</v>
      </c>
      <c r="B849" t="s">
        <v>8</v>
      </c>
      <c r="C849" s="3" t="s">
        <v>417</v>
      </c>
      <c r="D849" s="3" t="s">
        <v>22</v>
      </c>
    </row>
    <row r="850" spans="1:4" x14ac:dyDescent="0.2">
      <c r="A850" s="3" t="s">
        <v>411</v>
      </c>
      <c r="B850" t="s">
        <v>8</v>
      </c>
      <c r="C850" s="3" t="s">
        <v>418</v>
      </c>
      <c r="D850" s="3" t="s">
        <v>22</v>
      </c>
    </row>
    <row r="851" spans="1:4" x14ac:dyDescent="0.2">
      <c r="A851" s="3" t="s">
        <v>411</v>
      </c>
      <c r="B851" t="s">
        <v>8</v>
      </c>
      <c r="C851" s="3" t="s">
        <v>419</v>
      </c>
      <c r="D851" s="3" t="s">
        <v>22</v>
      </c>
    </row>
    <row r="852" spans="1:4" x14ac:dyDescent="0.2">
      <c r="A852" s="3" t="s">
        <v>411</v>
      </c>
      <c r="B852" t="s">
        <v>8</v>
      </c>
      <c r="C852" s="3" t="s">
        <v>420</v>
      </c>
      <c r="D852" s="3" t="s">
        <v>22</v>
      </c>
    </row>
    <row r="853" spans="1:4" x14ac:dyDescent="0.2">
      <c r="A853" s="3" t="s">
        <v>411</v>
      </c>
      <c r="B853" t="s">
        <v>8</v>
      </c>
      <c r="C853" s="3" t="s">
        <v>421</v>
      </c>
      <c r="D853" s="3" t="s">
        <v>22</v>
      </c>
    </row>
    <row r="854" spans="1:4" x14ac:dyDescent="0.2">
      <c r="A854" s="3" t="s">
        <v>411</v>
      </c>
      <c r="B854" t="s">
        <v>8</v>
      </c>
      <c r="C854" s="3" t="s">
        <v>422</v>
      </c>
      <c r="D854" s="3" t="s">
        <v>22</v>
      </c>
    </row>
    <row r="855" spans="1:4" x14ac:dyDescent="0.2">
      <c r="A855" s="3" t="s">
        <v>411</v>
      </c>
      <c r="B855" t="s">
        <v>8</v>
      </c>
      <c r="C855" s="3" t="s">
        <v>423</v>
      </c>
      <c r="D855" s="3" t="s">
        <v>22</v>
      </c>
    </row>
    <row r="856" spans="1:4" x14ac:dyDescent="0.2">
      <c r="A856" s="3" t="s">
        <v>411</v>
      </c>
      <c r="B856" t="s">
        <v>8</v>
      </c>
      <c r="C856" s="3" t="s">
        <v>424</v>
      </c>
      <c r="D856" s="3" t="s">
        <v>22</v>
      </c>
    </row>
    <row r="857" spans="1:4" x14ac:dyDescent="0.2">
      <c r="A857" s="3" t="s">
        <v>411</v>
      </c>
      <c r="B857" t="s">
        <v>8</v>
      </c>
      <c r="C857" s="3" t="s">
        <v>425</v>
      </c>
      <c r="D857" s="3" t="s">
        <v>22</v>
      </c>
    </row>
    <row r="858" spans="1:4" x14ac:dyDescent="0.2">
      <c r="A858" s="3" t="s">
        <v>411</v>
      </c>
      <c r="B858" t="s">
        <v>8</v>
      </c>
      <c r="C858" s="3" t="s">
        <v>426</v>
      </c>
      <c r="D858" s="3" t="s">
        <v>22</v>
      </c>
    </row>
    <row r="859" spans="1:4" x14ac:dyDescent="0.2">
      <c r="A859" s="3" t="s">
        <v>411</v>
      </c>
      <c r="B859" t="s">
        <v>8</v>
      </c>
      <c r="C859" s="3" t="s">
        <v>427</v>
      </c>
      <c r="D859" s="3" t="s">
        <v>22</v>
      </c>
    </row>
    <row r="860" spans="1:4" x14ac:dyDescent="0.2">
      <c r="A860" s="3" t="s">
        <v>411</v>
      </c>
      <c r="B860" t="s">
        <v>8</v>
      </c>
      <c r="C860" s="3" t="s">
        <v>428</v>
      </c>
      <c r="D860" s="3" t="s">
        <v>22</v>
      </c>
    </row>
    <row r="861" spans="1:4" x14ac:dyDescent="0.2">
      <c r="A861" s="3" t="s">
        <v>411</v>
      </c>
      <c r="B861" t="s">
        <v>8</v>
      </c>
      <c r="C861" s="3" t="s">
        <v>429</v>
      </c>
      <c r="D861" s="3" t="s">
        <v>22</v>
      </c>
    </row>
    <row r="862" spans="1:4" x14ac:dyDescent="0.2">
      <c r="A862" s="3" t="s">
        <v>411</v>
      </c>
      <c r="B862" t="s">
        <v>8</v>
      </c>
      <c r="C862" s="3" t="s">
        <v>430</v>
      </c>
      <c r="D862" s="3" t="s">
        <v>22</v>
      </c>
    </row>
    <row r="863" spans="1:4" x14ac:dyDescent="0.2">
      <c r="A863" s="3" t="s">
        <v>411</v>
      </c>
      <c r="B863" t="s">
        <v>8</v>
      </c>
      <c r="C863" s="3" t="s">
        <v>431</v>
      </c>
      <c r="D863" s="3" t="s">
        <v>22</v>
      </c>
    </row>
    <row r="864" spans="1:4" x14ac:dyDescent="0.2">
      <c r="A864" s="3" t="s">
        <v>411</v>
      </c>
      <c r="B864" t="s">
        <v>8</v>
      </c>
      <c r="C864" s="3" t="s">
        <v>432</v>
      </c>
      <c r="D864" s="3" t="s">
        <v>22</v>
      </c>
    </row>
    <row r="865" spans="1:4" x14ac:dyDescent="0.2">
      <c r="A865" s="3" t="s">
        <v>411</v>
      </c>
      <c r="B865" t="s">
        <v>8</v>
      </c>
      <c r="C865" s="3" t="s">
        <v>433</v>
      </c>
      <c r="D865" s="3" t="s">
        <v>22</v>
      </c>
    </row>
    <row r="866" spans="1:4" x14ac:dyDescent="0.2">
      <c r="A866" s="3" t="s">
        <v>411</v>
      </c>
      <c r="B866" t="s">
        <v>8</v>
      </c>
      <c r="C866" s="3" t="s">
        <v>434</v>
      </c>
      <c r="D866" s="3" t="s">
        <v>22</v>
      </c>
    </row>
    <row r="867" spans="1:4" x14ac:dyDescent="0.2">
      <c r="A867" s="3" t="s">
        <v>411</v>
      </c>
      <c r="B867" t="s">
        <v>8</v>
      </c>
      <c r="C867" s="3" t="s">
        <v>435</v>
      </c>
      <c r="D867" s="3" t="s">
        <v>22</v>
      </c>
    </row>
    <row r="868" spans="1:4" x14ac:dyDescent="0.2">
      <c r="A868" s="3" t="s">
        <v>411</v>
      </c>
      <c r="B868" t="s">
        <v>8</v>
      </c>
      <c r="C868" s="3" t="s">
        <v>436</v>
      </c>
      <c r="D868" s="3" t="s">
        <v>22</v>
      </c>
    </row>
    <row r="869" spans="1:4" x14ac:dyDescent="0.2">
      <c r="A869" s="3" t="s">
        <v>411</v>
      </c>
      <c r="B869" t="s">
        <v>8</v>
      </c>
      <c r="C869" s="3" t="s">
        <v>437</v>
      </c>
      <c r="D869" s="3" t="s">
        <v>22</v>
      </c>
    </row>
    <row r="870" spans="1:4" x14ac:dyDescent="0.2">
      <c r="A870" s="3" t="s">
        <v>411</v>
      </c>
      <c r="B870" t="s">
        <v>8</v>
      </c>
      <c r="C870" s="3" t="s">
        <v>438</v>
      </c>
      <c r="D870" s="3" t="s">
        <v>22</v>
      </c>
    </row>
    <row r="871" spans="1:4" x14ac:dyDescent="0.2">
      <c r="A871" s="3" t="s">
        <v>411</v>
      </c>
      <c r="B871" t="s">
        <v>8</v>
      </c>
      <c r="C871" s="3" t="s">
        <v>439</v>
      </c>
      <c r="D871" s="3" t="s">
        <v>22</v>
      </c>
    </row>
    <row r="872" spans="1:4" x14ac:dyDescent="0.2">
      <c r="A872" s="3" t="s">
        <v>411</v>
      </c>
      <c r="B872" t="s">
        <v>8</v>
      </c>
      <c r="C872" s="3" t="s">
        <v>440</v>
      </c>
      <c r="D872" s="3" t="s">
        <v>22</v>
      </c>
    </row>
    <row r="873" spans="1:4" x14ac:dyDescent="0.2">
      <c r="A873" s="3" t="s">
        <v>411</v>
      </c>
      <c r="B873" t="s">
        <v>8</v>
      </c>
      <c r="C873" s="3" t="s">
        <v>441</v>
      </c>
      <c r="D873" s="3" t="s">
        <v>22</v>
      </c>
    </row>
    <row r="874" spans="1:4" x14ac:dyDescent="0.2">
      <c r="A874" s="3" t="s">
        <v>411</v>
      </c>
      <c r="B874" t="s">
        <v>8</v>
      </c>
      <c r="C874" s="3" t="s">
        <v>442</v>
      </c>
      <c r="D874" s="3" t="s">
        <v>22</v>
      </c>
    </row>
    <row r="875" spans="1:4" x14ac:dyDescent="0.2">
      <c r="A875" s="3" t="s">
        <v>411</v>
      </c>
      <c r="B875" t="s">
        <v>8</v>
      </c>
      <c r="C875" s="3" t="s">
        <v>443</v>
      </c>
      <c r="D875" s="3" t="s">
        <v>22</v>
      </c>
    </row>
    <row r="876" spans="1:4" x14ac:dyDescent="0.2">
      <c r="A876" s="3" t="s">
        <v>411</v>
      </c>
      <c r="B876" t="s">
        <v>8</v>
      </c>
      <c r="C876" s="3" t="s">
        <v>444</v>
      </c>
      <c r="D876" s="3" t="s">
        <v>22</v>
      </c>
    </row>
    <row r="877" spans="1:4" x14ac:dyDescent="0.2">
      <c r="A877" s="3" t="s">
        <v>411</v>
      </c>
      <c r="B877" t="s">
        <v>8</v>
      </c>
      <c r="C877" s="3" t="s">
        <v>445</v>
      </c>
      <c r="D877" s="3" t="s">
        <v>22</v>
      </c>
    </row>
    <row r="878" spans="1:4" x14ac:dyDescent="0.2">
      <c r="A878" s="3" t="s">
        <v>411</v>
      </c>
      <c r="B878" t="s">
        <v>8</v>
      </c>
      <c r="C878" s="3" t="s">
        <v>446</v>
      </c>
      <c r="D878" s="3" t="s">
        <v>22</v>
      </c>
    </row>
    <row r="879" spans="1:4" x14ac:dyDescent="0.2">
      <c r="A879" s="3" t="s">
        <v>411</v>
      </c>
      <c r="B879" t="s">
        <v>8</v>
      </c>
      <c r="C879" s="3" t="s">
        <v>447</v>
      </c>
      <c r="D879" s="3" t="s">
        <v>22</v>
      </c>
    </row>
    <row r="880" spans="1:4" x14ac:dyDescent="0.2">
      <c r="A880" s="3" t="s">
        <v>411</v>
      </c>
      <c r="B880" t="s">
        <v>8</v>
      </c>
      <c r="C880" s="3" t="s">
        <v>448</v>
      </c>
      <c r="D880" s="3" t="s">
        <v>22</v>
      </c>
    </row>
    <row r="881" spans="1:4" x14ac:dyDescent="0.2">
      <c r="A881" s="3" t="s">
        <v>411</v>
      </c>
      <c r="B881" t="s">
        <v>8</v>
      </c>
      <c r="C881" s="3" t="s">
        <v>449</v>
      </c>
      <c r="D881" s="3" t="s">
        <v>22</v>
      </c>
    </row>
    <row r="882" spans="1:4" x14ac:dyDescent="0.2">
      <c r="A882" s="3" t="s">
        <v>411</v>
      </c>
      <c r="B882" t="s">
        <v>8</v>
      </c>
      <c r="C882" s="3" t="s">
        <v>450</v>
      </c>
      <c r="D882" s="3" t="s">
        <v>22</v>
      </c>
    </row>
    <row r="883" spans="1:4" x14ac:dyDescent="0.2">
      <c r="A883" s="3" t="s">
        <v>411</v>
      </c>
      <c r="B883" t="s">
        <v>8</v>
      </c>
      <c r="C883" s="3" t="s">
        <v>451</v>
      </c>
      <c r="D883" s="3" t="s">
        <v>22</v>
      </c>
    </row>
    <row r="884" spans="1:4" x14ac:dyDescent="0.2">
      <c r="A884" s="3" t="s">
        <v>411</v>
      </c>
      <c r="B884" t="s">
        <v>8</v>
      </c>
      <c r="C884" s="3" t="s">
        <v>452</v>
      </c>
      <c r="D884" s="3" t="s">
        <v>22</v>
      </c>
    </row>
    <row r="885" spans="1:4" x14ac:dyDescent="0.2">
      <c r="A885" s="3" t="s">
        <v>411</v>
      </c>
      <c r="B885" t="s">
        <v>8</v>
      </c>
      <c r="C885" s="3" t="s">
        <v>453</v>
      </c>
      <c r="D885" s="3" t="s">
        <v>22</v>
      </c>
    </row>
    <row r="886" spans="1:4" x14ac:dyDescent="0.2">
      <c r="A886" s="3" t="s">
        <v>411</v>
      </c>
      <c r="B886" t="s">
        <v>8</v>
      </c>
      <c r="C886" s="3" t="s">
        <v>454</v>
      </c>
      <c r="D886" s="3" t="s">
        <v>22</v>
      </c>
    </row>
    <row r="887" spans="1:4" x14ac:dyDescent="0.2">
      <c r="A887" s="3" t="s">
        <v>411</v>
      </c>
      <c r="B887" t="s">
        <v>8</v>
      </c>
      <c r="C887" s="3" t="s">
        <v>455</v>
      </c>
      <c r="D887" s="3" t="s">
        <v>22</v>
      </c>
    </row>
    <row r="888" spans="1:4" x14ac:dyDescent="0.2">
      <c r="A888" s="3" t="s">
        <v>456</v>
      </c>
      <c r="B888" t="s">
        <v>8</v>
      </c>
      <c r="C888" s="3" t="s">
        <v>457</v>
      </c>
      <c r="D888" s="3" t="s">
        <v>22</v>
      </c>
    </row>
    <row r="889" spans="1:4" x14ac:dyDescent="0.2">
      <c r="A889" s="3" t="s">
        <v>458</v>
      </c>
      <c r="B889" t="s">
        <v>8</v>
      </c>
      <c r="C889" s="3" t="s">
        <v>459</v>
      </c>
      <c r="D889" s="3" t="s">
        <v>53</v>
      </c>
    </row>
    <row r="890" spans="1:4" x14ac:dyDescent="0.2">
      <c r="A890" s="3" t="s">
        <v>458</v>
      </c>
      <c r="B890" t="s">
        <v>8</v>
      </c>
      <c r="C890" s="3" t="s">
        <v>460</v>
      </c>
      <c r="D890" s="3" t="s">
        <v>53</v>
      </c>
    </row>
    <row r="891" spans="1:4" x14ac:dyDescent="0.2">
      <c r="A891" s="3" t="s">
        <v>458</v>
      </c>
      <c r="B891" t="s">
        <v>8</v>
      </c>
      <c r="C891" s="3" t="s">
        <v>461</v>
      </c>
      <c r="D891" s="3" t="s">
        <v>53</v>
      </c>
    </row>
    <row r="892" spans="1:4" x14ac:dyDescent="0.2">
      <c r="A892" s="3" t="s">
        <v>458</v>
      </c>
      <c r="B892" t="s">
        <v>8</v>
      </c>
      <c r="C892" s="3" t="s">
        <v>462</v>
      </c>
      <c r="D892" s="3" t="s">
        <v>53</v>
      </c>
    </row>
    <row r="893" spans="1:4" x14ac:dyDescent="0.2">
      <c r="A893" s="3" t="s">
        <v>458</v>
      </c>
      <c r="B893" t="s">
        <v>8</v>
      </c>
      <c r="C893" s="3" t="s">
        <v>197</v>
      </c>
      <c r="D893" s="3" t="s">
        <v>53</v>
      </c>
    </row>
    <row r="894" spans="1:4" x14ac:dyDescent="0.2">
      <c r="A894" s="3" t="s">
        <v>458</v>
      </c>
      <c r="B894" t="s">
        <v>8</v>
      </c>
      <c r="C894" s="3" t="s">
        <v>198</v>
      </c>
      <c r="D894" s="3" t="s">
        <v>53</v>
      </c>
    </row>
    <row r="895" spans="1:4" x14ac:dyDescent="0.2">
      <c r="A895" s="3" t="s">
        <v>458</v>
      </c>
      <c r="B895" t="s">
        <v>8</v>
      </c>
      <c r="C895" s="3" t="s">
        <v>463</v>
      </c>
      <c r="D895" s="3" t="s">
        <v>53</v>
      </c>
    </row>
    <row r="896" spans="1:4" x14ac:dyDescent="0.2">
      <c r="A896" s="3" t="s">
        <v>458</v>
      </c>
      <c r="B896" t="s">
        <v>8</v>
      </c>
      <c r="C896" s="3" t="s">
        <v>459</v>
      </c>
      <c r="D896" s="3" t="s">
        <v>54</v>
      </c>
    </row>
    <row r="897" spans="1:4" x14ac:dyDescent="0.2">
      <c r="A897" s="3" t="s">
        <v>458</v>
      </c>
      <c r="B897" t="s">
        <v>8</v>
      </c>
      <c r="C897" s="3" t="s">
        <v>460</v>
      </c>
      <c r="D897" s="3" t="s">
        <v>54</v>
      </c>
    </row>
    <row r="898" spans="1:4" x14ac:dyDescent="0.2">
      <c r="A898" s="3" t="s">
        <v>458</v>
      </c>
      <c r="B898" t="s">
        <v>8</v>
      </c>
      <c r="C898" s="3" t="s">
        <v>461</v>
      </c>
      <c r="D898" s="3" t="s">
        <v>54</v>
      </c>
    </row>
    <row r="899" spans="1:4" x14ac:dyDescent="0.2">
      <c r="A899" s="3" t="s">
        <v>458</v>
      </c>
      <c r="B899" t="s">
        <v>8</v>
      </c>
      <c r="C899" s="3" t="s">
        <v>462</v>
      </c>
      <c r="D899" s="3" t="s">
        <v>54</v>
      </c>
    </row>
    <row r="900" spans="1:4" x14ac:dyDescent="0.2">
      <c r="A900" s="3" t="s">
        <v>458</v>
      </c>
      <c r="B900" t="s">
        <v>8</v>
      </c>
      <c r="C900" s="3" t="s">
        <v>197</v>
      </c>
      <c r="D900" s="3" t="s">
        <v>54</v>
      </c>
    </row>
    <row r="901" spans="1:4" x14ac:dyDescent="0.2">
      <c r="A901" s="3" t="s">
        <v>458</v>
      </c>
      <c r="B901" t="s">
        <v>8</v>
      </c>
      <c r="C901" s="3" t="s">
        <v>198</v>
      </c>
      <c r="D901" s="3" t="s">
        <v>54</v>
      </c>
    </row>
    <row r="902" spans="1:4" x14ac:dyDescent="0.2">
      <c r="A902" s="3" t="s">
        <v>458</v>
      </c>
      <c r="B902" t="s">
        <v>8</v>
      </c>
      <c r="C902" s="3" t="s">
        <v>464</v>
      </c>
      <c r="D902" s="3" t="s">
        <v>54</v>
      </c>
    </row>
    <row r="903" spans="1:4" x14ac:dyDescent="0.2">
      <c r="A903" s="3" t="s">
        <v>458</v>
      </c>
      <c r="B903" t="s">
        <v>8</v>
      </c>
      <c r="C903" s="3" t="s">
        <v>463</v>
      </c>
      <c r="D903" s="3" t="s">
        <v>54</v>
      </c>
    </row>
    <row r="904" spans="1:4" x14ac:dyDescent="0.2">
      <c r="A904" s="3" t="s">
        <v>458</v>
      </c>
      <c r="B904" t="s">
        <v>8</v>
      </c>
      <c r="C904" s="3" t="s">
        <v>459</v>
      </c>
      <c r="D904" s="3" t="s">
        <v>55</v>
      </c>
    </row>
    <row r="905" spans="1:4" x14ac:dyDescent="0.2">
      <c r="A905" s="3" t="s">
        <v>458</v>
      </c>
      <c r="B905" t="s">
        <v>8</v>
      </c>
      <c r="C905" s="3" t="s">
        <v>460</v>
      </c>
      <c r="D905" s="3" t="s">
        <v>55</v>
      </c>
    </row>
    <row r="906" spans="1:4" x14ac:dyDescent="0.2">
      <c r="A906" s="3" t="s">
        <v>458</v>
      </c>
      <c r="B906" t="s">
        <v>8</v>
      </c>
      <c r="C906" s="3" t="s">
        <v>461</v>
      </c>
      <c r="D906" s="3" t="s">
        <v>55</v>
      </c>
    </row>
    <row r="907" spans="1:4" x14ac:dyDescent="0.2">
      <c r="A907" s="3" t="s">
        <v>458</v>
      </c>
      <c r="B907" t="s">
        <v>8</v>
      </c>
      <c r="C907" s="3" t="s">
        <v>462</v>
      </c>
      <c r="D907" s="3" t="s">
        <v>55</v>
      </c>
    </row>
    <row r="908" spans="1:4" x14ac:dyDescent="0.2">
      <c r="A908" s="3" t="s">
        <v>458</v>
      </c>
      <c r="B908" t="s">
        <v>8</v>
      </c>
      <c r="C908" s="3" t="s">
        <v>197</v>
      </c>
      <c r="D908" s="3" t="s">
        <v>55</v>
      </c>
    </row>
    <row r="909" spans="1:4" x14ac:dyDescent="0.2">
      <c r="A909" s="3" t="s">
        <v>458</v>
      </c>
      <c r="B909" t="s">
        <v>8</v>
      </c>
      <c r="C909" s="3" t="s">
        <v>198</v>
      </c>
      <c r="D909" s="3" t="s">
        <v>55</v>
      </c>
    </row>
    <row r="910" spans="1:4" x14ac:dyDescent="0.2">
      <c r="A910" s="3" t="s">
        <v>458</v>
      </c>
      <c r="B910" t="s">
        <v>8</v>
      </c>
      <c r="C910" s="3" t="s">
        <v>463</v>
      </c>
      <c r="D910" s="3" t="s">
        <v>55</v>
      </c>
    </row>
    <row r="911" spans="1:4" x14ac:dyDescent="0.2">
      <c r="A911" s="3" t="s">
        <v>458</v>
      </c>
      <c r="B911" t="s">
        <v>8</v>
      </c>
      <c r="C911" s="3" t="s">
        <v>459</v>
      </c>
      <c r="D911" s="3" t="s">
        <v>56</v>
      </c>
    </row>
    <row r="912" spans="1:4" x14ac:dyDescent="0.2">
      <c r="A912" s="3" t="s">
        <v>458</v>
      </c>
      <c r="B912" t="s">
        <v>8</v>
      </c>
      <c r="C912" s="3" t="s">
        <v>460</v>
      </c>
      <c r="D912" s="3" t="s">
        <v>56</v>
      </c>
    </row>
    <row r="913" spans="1:4" x14ac:dyDescent="0.2">
      <c r="A913" s="3" t="s">
        <v>458</v>
      </c>
      <c r="B913" t="s">
        <v>8</v>
      </c>
      <c r="C913" s="3" t="s">
        <v>461</v>
      </c>
      <c r="D913" s="3" t="s">
        <v>56</v>
      </c>
    </row>
    <row r="914" spans="1:4" x14ac:dyDescent="0.2">
      <c r="A914" s="3" t="s">
        <v>458</v>
      </c>
      <c r="B914" t="s">
        <v>8</v>
      </c>
      <c r="C914" s="3" t="s">
        <v>462</v>
      </c>
      <c r="D914" s="3" t="s">
        <v>56</v>
      </c>
    </row>
    <row r="915" spans="1:4" x14ac:dyDescent="0.2">
      <c r="A915" s="3" t="s">
        <v>458</v>
      </c>
      <c r="B915" t="s">
        <v>8</v>
      </c>
      <c r="C915" s="3" t="s">
        <v>197</v>
      </c>
      <c r="D915" s="3" t="s">
        <v>56</v>
      </c>
    </row>
    <row r="916" spans="1:4" x14ac:dyDescent="0.2">
      <c r="A916" s="3" t="s">
        <v>458</v>
      </c>
      <c r="B916" t="s">
        <v>8</v>
      </c>
      <c r="C916" s="3" t="s">
        <v>198</v>
      </c>
      <c r="D916" s="3" t="s">
        <v>56</v>
      </c>
    </row>
    <row r="917" spans="1:4" x14ac:dyDescent="0.2">
      <c r="A917" s="3" t="s">
        <v>458</v>
      </c>
      <c r="B917" t="s">
        <v>8</v>
      </c>
      <c r="C917" s="3" t="s">
        <v>463</v>
      </c>
      <c r="D917" s="3" t="s">
        <v>56</v>
      </c>
    </row>
    <row r="918" spans="1:4" x14ac:dyDescent="0.2">
      <c r="A918" s="3" t="s">
        <v>458</v>
      </c>
      <c r="B918" t="s">
        <v>8</v>
      </c>
      <c r="C918" s="3" t="s">
        <v>459</v>
      </c>
      <c r="D918" s="3" t="s">
        <v>57</v>
      </c>
    </row>
    <row r="919" spans="1:4" x14ac:dyDescent="0.2">
      <c r="A919" s="3" t="s">
        <v>458</v>
      </c>
      <c r="B919" t="s">
        <v>8</v>
      </c>
      <c r="C919" s="3" t="s">
        <v>460</v>
      </c>
      <c r="D919" s="3" t="s">
        <v>57</v>
      </c>
    </row>
    <row r="920" spans="1:4" x14ac:dyDescent="0.2">
      <c r="A920" s="3" t="s">
        <v>458</v>
      </c>
      <c r="B920" t="s">
        <v>8</v>
      </c>
      <c r="C920" s="3" t="s">
        <v>461</v>
      </c>
      <c r="D920" s="3" t="s">
        <v>57</v>
      </c>
    </row>
    <row r="921" spans="1:4" x14ac:dyDescent="0.2">
      <c r="A921" s="3" t="s">
        <v>458</v>
      </c>
      <c r="B921" t="s">
        <v>8</v>
      </c>
      <c r="C921" s="3" t="s">
        <v>462</v>
      </c>
      <c r="D921" s="3" t="s">
        <v>57</v>
      </c>
    </row>
    <row r="922" spans="1:4" x14ac:dyDescent="0.2">
      <c r="A922" s="3" t="s">
        <v>458</v>
      </c>
      <c r="B922" t="s">
        <v>8</v>
      </c>
      <c r="C922" s="3" t="s">
        <v>197</v>
      </c>
      <c r="D922" s="3" t="s">
        <v>57</v>
      </c>
    </row>
    <row r="923" spans="1:4" x14ac:dyDescent="0.2">
      <c r="A923" s="3" t="s">
        <v>458</v>
      </c>
      <c r="B923" t="s">
        <v>8</v>
      </c>
      <c r="C923" s="3" t="s">
        <v>198</v>
      </c>
      <c r="D923" s="3" t="s">
        <v>57</v>
      </c>
    </row>
    <row r="924" spans="1:4" x14ac:dyDescent="0.2">
      <c r="A924" s="3" t="s">
        <v>458</v>
      </c>
      <c r="B924" t="s">
        <v>8</v>
      </c>
      <c r="C924" s="3" t="s">
        <v>463</v>
      </c>
      <c r="D924" s="3" t="s">
        <v>57</v>
      </c>
    </row>
    <row r="925" spans="1:4" x14ac:dyDescent="0.2">
      <c r="A925" s="3" t="s">
        <v>458</v>
      </c>
      <c r="B925" t="s">
        <v>8</v>
      </c>
      <c r="C925" s="3" t="s">
        <v>465</v>
      </c>
      <c r="D925" s="3" t="s">
        <v>22</v>
      </c>
    </row>
    <row r="926" spans="1:4" x14ac:dyDescent="0.2">
      <c r="A926" s="3" t="s">
        <v>458</v>
      </c>
      <c r="B926" t="s">
        <v>8</v>
      </c>
      <c r="C926" s="3" t="s">
        <v>466</v>
      </c>
      <c r="D926" s="3" t="s">
        <v>22</v>
      </c>
    </row>
    <row r="927" spans="1:4" x14ac:dyDescent="0.2">
      <c r="A927" s="3" t="s">
        <v>458</v>
      </c>
      <c r="B927" t="s">
        <v>8</v>
      </c>
      <c r="C927" s="3" t="s">
        <v>467</v>
      </c>
      <c r="D927" s="3" t="s">
        <v>22</v>
      </c>
    </row>
    <row r="928" spans="1:4" x14ac:dyDescent="0.2">
      <c r="A928" s="3" t="s">
        <v>458</v>
      </c>
      <c r="B928" t="s">
        <v>8</v>
      </c>
      <c r="C928" s="3" t="s">
        <v>468</v>
      </c>
      <c r="D928" s="3" t="s">
        <v>22</v>
      </c>
    </row>
    <row r="929" spans="1:4" x14ac:dyDescent="0.2">
      <c r="A929" s="3" t="s">
        <v>458</v>
      </c>
      <c r="B929" t="s">
        <v>8</v>
      </c>
      <c r="C929" s="3" t="s">
        <v>469</v>
      </c>
      <c r="D929" s="3" t="s">
        <v>22</v>
      </c>
    </row>
    <row r="930" spans="1:4" x14ac:dyDescent="0.2">
      <c r="A930" s="3" t="s">
        <v>458</v>
      </c>
      <c r="B930" t="s">
        <v>8</v>
      </c>
      <c r="C930" s="3" t="s">
        <v>470</v>
      </c>
      <c r="D930" s="3" t="s">
        <v>22</v>
      </c>
    </row>
    <row r="931" spans="1:4" x14ac:dyDescent="0.2">
      <c r="A931" s="3" t="s">
        <v>458</v>
      </c>
      <c r="B931" t="s">
        <v>8</v>
      </c>
      <c r="C931" s="3" t="s">
        <v>471</v>
      </c>
      <c r="D931" s="3" t="s">
        <v>22</v>
      </c>
    </row>
    <row r="932" spans="1:4" x14ac:dyDescent="0.2">
      <c r="A932" s="3" t="s">
        <v>458</v>
      </c>
      <c r="B932" t="s">
        <v>8</v>
      </c>
      <c r="C932" s="3" t="s">
        <v>472</v>
      </c>
      <c r="D932" s="3" t="s">
        <v>22</v>
      </c>
    </row>
    <row r="933" spans="1:4" x14ac:dyDescent="0.2">
      <c r="A933" s="3" t="s">
        <v>458</v>
      </c>
      <c r="B933" t="s">
        <v>8</v>
      </c>
      <c r="C933" s="3" t="s">
        <v>473</v>
      </c>
      <c r="D933" s="3" t="s">
        <v>22</v>
      </c>
    </row>
    <row r="934" spans="1:4" x14ac:dyDescent="0.2">
      <c r="A934" s="3" t="s">
        <v>458</v>
      </c>
      <c r="B934" t="s">
        <v>8</v>
      </c>
      <c r="C934" s="3" t="s">
        <v>474</v>
      </c>
      <c r="D934" s="3" t="s">
        <v>22</v>
      </c>
    </row>
    <row r="935" spans="1:4" x14ac:dyDescent="0.2">
      <c r="A935" s="3" t="s">
        <v>458</v>
      </c>
      <c r="B935" t="s">
        <v>8</v>
      </c>
      <c r="C935" s="3" t="s">
        <v>475</v>
      </c>
      <c r="D935" s="3" t="s">
        <v>22</v>
      </c>
    </row>
    <row r="936" spans="1:4" x14ac:dyDescent="0.2">
      <c r="A936" s="3" t="s">
        <v>458</v>
      </c>
      <c r="B936" t="s">
        <v>8</v>
      </c>
      <c r="C936" s="3" t="s">
        <v>476</v>
      </c>
      <c r="D936" s="3" t="s">
        <v>22</v>
      </c>
    </row>
    <row r="937" spans="1:4" x14ac:dyDescent="0.2">
      <c r="A937" s="3" t="s">
        <v>458</v>
      </c>
      <c r="B937" t="s">
        <v>8</v>
      </c>
      <c r="C937" s="3" t="s">
        <v>477</v>
      </c>
      <c r="D937" s="3" t="s">
        <v>22</v>
      </c>
    </row>
    <row r="938" spans="1:4" x14ac:dyDescent="0.2">
      <c r="A938" s="3" t="s">
        <v>458</v>
      </c>
      <c r="B938" t="s">
        <v>8</v>
      </c>
      <c r="C938" s="3" t="s">
        <v>478</v>
      </c>
      <c r="D938" s="3" t="s">
        <v>22</v>
      </c>
    </row>
    <row r="939" spans="1:4" x14ac:dyDescent="0.2">
      <c r="A939" s="3" t="s">
        <v>458</v>
      </c>
      <c r="B939" t="s">
        <v>8</v>
      </c>
      <c r="C939" s="3" t="s">
        <v>479</v>
      </c>
      <c r="D939" s="3" t="s">
        <v>22</v>
      </c>
    </row>
    <row r="940" spans="1:4" x14ac:dyDescent="0.2">
      <c r="A940" s="3" t="s">
        <v>458</v>
      </c>
      <c r="B940" t="s">
        <v>8</v>
      </c>
      <c r="C940" s="3" t="s">
        <v>480</v>
      </c>
      <c r="D940" s="3" t="s">
        <v>22</v>
      </c>
    </row>
    <row r="941" spans="1:4" x14ac:dyDescent="0.2">
      <c r="A941" s="3" t="s">
        <v>458</v>
      </c>
      <c r="B941" t="s">
        <v>8</v>
      </c>
      <c r="C941" s="3" t="s">
        <v>481</v>
      </c>
      <c r="D941" s="3" t="s">
        <v>22</v>
      </c>
    </row>
    <row r="942" spans="1:4" x14ac:dyDescent="0.2">
      <c r="A942" s="3" t="s">
        <v>482</v>
      </c>
      <c r="B942" t="s">
        <v>8</v>
      </c>
      <c r="C942" s="3" t="s">
        <v>199</v>
      </c>
      <c r="D942" s="3" t="s">
        <v>53</v>
      </c>
    </row>
    <row r="943" spans="1:4" x14ac:dyDescent="0.2">
      <c r="A943" s="3" t="s">
        <v>482</v>
      </c>
      <c r="B943" t="s">
        <v>8</v>
      </c>
      <c r="C943" s="3" t="s">
        <v>221</v>
      </c>
      <c r="D943" s="3" t="s">
        <v>54</v>
      </c>
    </row>
    <row r="944" spans="1:4" x14ac:dyDescent="0.2">
      <c r="A944" s="3" t="s">
        <v>482</v>
      </c>
      <c r="B944" t="s">
        <v>8</v>
      </c>
      <c r="C944" s="3" t="s">
        <v>199</v>
      </c>
      <c r="D944" s="3" t="s">
        <v>54</v>
      </c>
    </row>
    <row r="945" spans="1:4" x14ac:dyDescent="0.2">
      <c r="A945" s="3" t="s">
        <v>482</v>
      </c>
      <c r="B945" t="s">
        <v>8</v>
      </c>
      <c r="C945" s="3" t="s">
        <v>221</v>
      </c>
      <c r="D945" s="3" t="s">
        <v>55</v>
      </c>
    </row>
    <row r="946" spans="1:4" x14ac:dyDescent="0.2">
      <c r="A946" s="3" t="s">
        <v>482</v>
      </c>
      <c r="B946" t="s">
        <v>8</v>
      </c>
      <c r="C946" s="3" t="s">
        <v>256</v>
      </c>
      <c r="D946" s="3" t="s">
        <v>55</v>
      </c>
    </row>
    <row r="947" spans="1:4" x14ac:dyDescent="0.2">
      <c r="A947" s="3" t="s">
        <v>482</v>
      </c>
      <c r="B947" t="s">
        <v>8</v>
      </c>
      <c r="C947" s="3" t="s">
        <v>221</v>
      </c>
      <c r="D947" s="3" t="s">
        <v>56</v>
      </c>
    </row>
    <row r="948" spans="1:4" x14ac:dyDescent="0.2">
      <c r="A948" s="3" t="s">
        <v>482</v>
      </c>
      <c r="B948" t="s">
        <v>8</v>
      </c>
      <c r="C948" s="3" t="s">
        <v>199</v>
      </c>
      <c r="D948" s="3" t="s">
        <v>56</v>
      </c>
    </row>
    <row r="949" spans="1:4" x14ac:dyDescent="0.2">
      <c r="A949" s="3" t="s">
        <v>482</v>
      </c>
      <c r="B949" t="s">
        <v>8</v>
      </c>
      <c r="C949" s="3" t="s">
        <v>221</v>
      </c>
      <c r="D949" s="3" t="s">
        <v>57</v>
      </c>
    </row>
    <row r="950" spans="1:4" x14ac:dyDescent="0.2">
      <c r="A950" s="3" t="s">
        <v>482</v>
      </c>
      <c r="B950" t="s">
        <v>8</v>
      </c>
      <c r="C950" s="3" t="s">
        <v>199</v>
      </c>
      <c r="D950" s="3" t="s">
        <v>57</v>
      </c>
    </row>
    <row r="951" spans="1:4" x14ac:dyDescent="0.2">
      <c r="A951" s="3" t="s">
        <v>482</v>
      </c>
      <c r="B951" t="s">
        <v>8</v>
      </c>
      <c r="C951" s="3" t="s">
        <v>465</v>
      </c>
      <c r="D951" s="3" t="s">
        <v>22</v>
      </c>
    </row>
    <row r="952" spans="1:4" x14ac:dyDescent="0.2">
      <c r="A952" s="3" t="s">
        <v>482</v>
      </c>
      <c r="B952" t="s">
        <v>8</v>
      </c>
      <c r="C952" s="3" t="s">
        <v>466</v>
      </c>
      <c r="D952" s="3" t="s">
        <v>22</v>
      </c>
    </row>
    <row r="953" spans="1:4" x14ac:dyDescent="0.2">
      <c r="A953" s="3" t="s">
        <v>482</v>
      </c>
      <c r="B953" t="s">
        <v>8</v>
      </c>
      <c r="C953" s="3" t="s">
        <v>467</v>
      </c>
      <c r="D953" s="3" t="s">
        <v>22</v>
      </c>
    </row>
    <row r="954" spans="1:4" x14ac:dyDescent="0.2">
      <c r="A954" s="3" t="s">
        <v>482</v>
      </c>
      <c r="B954" t="s">
        <v>8</v>
      </c>
      <c r="C954" s="3" t="s">
        <v>468</v>
      </c>
      <c r="D954" s="3" t="s">
        <v>22</v>
      </c>
    </row>
    <row r="955" spans="1:4" x14ac:dyDescent="0.2">
      <c r="A955" s="3" t="s">
        <v>483</v>
      </c>
      <c r="B955" t="s">
        <v>8</v>
      </c>
      <c r="C955" s="3" t="s">
        <v>484</v>
      </c>
      <c r="D955" s="3" t="s">
        <v>53</v>
      </c>
    </row>
    <row r="956" spans="1:4" x14ac:dyDescent="0.2">
      <c r="A956" s="3" t="s">
        <v>483</v>
      </c>
      <c r="B956" t="s">
        <v>8</v>
      </c>
      <c r="C956" s="3" t="s">
        <v>485</v>
      </c>
      <c r="D956" s="3" t="s">
        <v>53</v>
      </c>
    </row>
    <row r="957" spans="1:4" x14ac:dyDescent="0.2">
      <c r="A957" s="3" t="s">
        <v>483</v>
      </c>
      <c r="B957" t="s">
        <v>8</v>
      </c>
      <c r="C957" s="3" t="s">
        <v>486</v>
      </c>
      <c r="D957" s="3" t="s">
        <v>53</v>
      </c>
    </row>
    <row r="958" spans="1:4" x14ac:dyDescent="0.2">
      <c r="A958" s="3" t="s">
        <v>483</v>
      </c>
      <c r="B958" t="s">
        <v>8</v>
      </c>
      <c r="C958" s="3" t="s">
        <v>487</v>
      </c>
      <c r="D958" s="3" t="s">
        <v>53</v>
      </c>
    </row>
    <row r="959" spans="1:4" x14ac:dyDescent="0.2">
      <c r="A959" s="3" t="s">
        <v>483</v>
      </c>
      <c r="B959" t="s">
        <v>8</v>
      </c>
      <c r="C959" s="3" t="s">
        <v>484</v>
      </c>
      <c r="D959" s="3" t="s">
        <v>54</v>
      </c>
    </row>
    <row r="960" spans="1:4" x14ac:dyDescent="0.2">
      <c r="A960" s="3" t="s">
        <v>483</v>
      </c>
      <c r="B960" t="s">
        <v>8</v>
      </c>
      <c r="C960" s="3" t="s">
        <v>485</v>
      </c>
      <c r="D960" s="3" t="s">
        <v>54</v>
      </c>
    </row>
    <row r="961" spans="1:4" x14ac:dyDescent="0.2">
      <c r="A961" s="3" t="s">
        <v>483</v>
      </c>
      <c r="B961" t="s">
        <v>8</v>
      </c>
      <c r="C961" s="3" t="s">
        <v>486</v>
      </c>
      <c r="D961" s="3" t="s">
        <v>54</v>
      </c>
    </row>
    <row r="962" spans="1:4" x14ac:dyDescent="0.2">
      <c r="A962" s="3" t="s">
        <v>483</v>
      </c>
      <c r="B962" t="s">
        <v>8</v>
      </c>
      <c r="C962" s="3" t="s">
        <v>487</v>
      </c>
      <c r="D962" s="3" t="s">
        <v>54</v>
      </c>
    </row>
    <row r="963" spans="1:4" x14ac:dyDescent="0.2">
      <c r="A963" s="3" t="s">
        <v>483</v>
      </c>
      <c r="B963" t="s">
        <v>8</v>
      </c>
      <c r="C963" s="3" t="s">
        <v>484</v>
      </c>
      <c r="D963" s="3" t="s">
        <v>55</v>
      </c>
    </row>
    <row r="964" spans="1:4" x14ac:dyDescent="0.2">
      <c r="A964" s="3" t="s">
        <v>483</v>
      </c>
      <c r="B964" t="s">
        <v>8</v>
      </c>
      <c r="C964" s="3" t="s">
        <v>485</v>
      </c>
      <c r="D964" s="3" t="s">
        <v>55</v>
      </c>
    </row>
    <row r="965" spans="1:4" x14ac:dyDescent="0.2">
      <c r="A965" s="3" t="s">
        <v>483</v>
      </c>
      <c r="B965" t="s">
        <v>8</v>
      </c>
      <c r="C965" s="3" t="s">
        <v>486</v>
      </c>
      <c r="D965" s="3" t="s">
        <v>55</v>
      </c>
    </row>
    <row r="966" spans="1:4" x14ac:dyDescent="0.2">
      <c r="A966" s="3" t="s">
        <v>483</v>
      </c>
      <c r="B966" t="s">
        <v>8</v>
      </c>
      <c r="C966" s="3" t="s">
        <v>487</v>
      </c>
      <c r="D966" s="3" t="s">
        <v>55</v>
      </c>
    </row>
    <row r="967" spans="1:4" x14ac:dyDescent="0.2">
      <c r="A967" s="3" t="s">
        <v>483</v>
      </c>
      <c r="B967" t="s">
        <v>8</v>
      </c>
      <c r="C967" s="3" t="s">
        <v>484</v>
      </c>
      <c r="D967" s="3" t="s">
        <v>56</v>
      </c>
    </row>
    <row r="968" spans="1:4" x14ac:dyDescent="0.2">
      <c r="A968" s="3" t="s">
        <v>483</v>
      </c>
      <c r="B968" t="s">
        <v>8</v>
      </c>
      <c r="C968" s="3" t="s">
        <v>485</v>
      </c>
      <c r="D968" s="3" t="s">
        <v>56</v>
      </c>
    </row>
    <row r="969" spans="1:4" x14ac:dyDescent="0.2">
      <c r="A969" s="3" t="s">
        <v>483</v>
      </c>
      <c r="B969" t="s">
        <v>8</v>
      </c>
      <c r="C969" s="3" t="s">
        <v>486</v>
      </c>
      <c r="D969" s="3" t="s">
        <v>56</v>
      </c>
    </row>
    <row r="970" spans="1:4" x14ac:dyDescent="0.2">
      <c r="A970" s="3" t="s">
        <v>483</v>
      </c>
      <c r="B970" t="s">
        <v>8</v>
      </c>
      <c r="C970" s="3" t="s">
        <v>487</v>
      </c>
      <c r="D970" s="3" t="s">
        <v>56</v>
      </c>
    </row>
    <row r="971" spans="1:4" x14ac:dyDescent="0.2">
      <c r="A971" s="3" t="s">
        <v>483</v>
      </c>
      <c r="B971" t="s">
        <v>8</v>
      </c>
      <c r="C971" s="3" t="s">
        <v>484</v>
      </c>
      <c r="D971" s="3" t="s">
        <v>57</v>
      </c>
    </row>
    <row r="972" spans="1:4" x14ac:dyDescent="0.2">
      <c r="A972" s="3" t="s">
        <v>483</v>
      </c>
      <c r="B972" t="s">
        <v>8</v>
      </c>
      <c r="C972" s="3" t="s">
        <v>485</v>
      </c>
      <c r="D972" s="3" t="s">
        <v>57</v>
      </c>
    </row>
    <row r="973" spans="1:4" x14ac:dyDescent="0.2">
      <c r="A973" s="3" t="s">
        <v>483</v>
      </c>
      <c r="B973" t="s">
        <v>8</v>
      </c>
      <c r="C973" s="3" t="s">
        <v>486</v>
      </c>
      <c r="D973" s="3" t="s">
        <v>57</v>
      </c>
    </row>
    <row r="974" spans="1:4" x14ac:dyDescent="0.2">
      <c r="A974" s="3" t="s">
        <v>483</v>
      </c>
      <c r="B974" t="s">
        <v>8</v>
      </c>
      <c r="C974" s="3" t="s">
        <v>487</v>
      </c>
      <c r="D974" s="3" t="s">
        <v>57</v>
      </c>
    </row>
    <row r="975" spans="1:4" x14ac:dyDescent="0.2">
      <c r="A975" s="3" t="s">
        <v>483</v>
      </c>
      <c r="B975" t="s">
        <v>8</v>
      </c>
      <c r="C975" s="3" t="s">
        <v>475</v>
      </c>
      <c r="D975" s="3" t="s">
        <v>22</v>
      </c>
    </row>
    <row r="976" spans="1:4" x14ac:dyDescent="0.2">
      <c r="A976" s="3" t="s">
        <v>488</v>
      </c>
      <c r="B976" t="s">
        <v>8</v>
      </c>
      <c r="C976" s="3" t="s">
        <v>183</v>
      </c>
      <c r="D976" s="3" t="s">
        <v>53</v>
      </c>
    </row>
    <row r="977" spans="1:4" x14ac:dyDescent="0.2">
      <c r="A977" s="3" t="s">
        <v>488</v>
      </c>
      <c r="B977" t="s">
        <v>8</v>
      </c>
      <c r="C977" s="3" t="s">
        <v>183</v>
      </c>
      <c r="D977" s="3" t="s">
        <v>54</v>
      </c>
    </row>
    <row r="978" spans="1:4" x14ac:dyDescent="0.2">
      <c r="A978" s="3" t="s">
        <v>488</v>
      </c>
      <c r="B978" t="s">
        <v>8</v>
      </c>
      <c r="C978" s="3" t="s">
        <v>183</v>
      </c>
      <c r="D978" s="3" t="s">
        <v>55</v>
      </c>
    </row>
    <row r="979" spans="1:4" x14ac:dyDescent="0.2">
      <c r="A979" s="3" t="s">
        <v>488</v>
      </c>
      <c r="B979" t="s">
        <v>8</v>
      </c>
      <c r="C979" s="3" t="s">
        <v>183</v>
      </c>
      <c r="D979" s="3" t="s">
        <v>56</v>
      </c>
    </row>
    <row r="980" spans="1:4" x14ac:dyDescent="0.2">
      <c r="A980" s="3" t="s">
        <v>488</v>
      </c>
      <c r="B980" t="s">
        <v>8</v>
      </c>
      <c r="C980" s="3" t="s">
        <v>183</v>
      </c>
      <c r="D980" s="3" t="s">
        <v>57</v>
      </c>
    </row>
    <row r="981" spans="1:4" x14ac:dyDescent="0.2">
      <c r="A981" s="3" t="s">
        <v>488</v>
      </c>
      <c r="B981" t="s">
        <v>8</v>
      </c>
      <c r="C981" s="3" t="s">
        <v>489</v>
      </c>
      <c r="D981" s="3" t="s">
        <v>169</v>
      </c>
    </row>
    <row r="982" spans="1:4" x14ac:dyDescent="0.2">
      <c r="A982" s="3" t="s">
        <v>488</v>
      </c>
      <c r="B982" t="s">
        <v>8</v>
      </c>
      <c r="C982" s="3" t="s">
        <v>490</v>
      </c>
      <c r="D982" s="3" t="s">
        <v>169</v>
      </c>
    </row>
    <row r="983" spans="1:4" x14ac:dyDescent="0.2">
      <c r="A983" s="3" t="s">
        <v>488</v>
      </c>
      <c r="B983" t="s">
        <v>8</v>
      </c>
      <c r="C983" s="3" t="s">
        <v>491</v>
      </c>
      <c r="D983" s="3" t="s">
        <v>169</v>
      </c>
    </row>
    <row r="984" spans="1:4" x14ac:dyDescent="0.2">
      <c r="A984" s="3" t="s">
        <v>488</v>
      </c>
      <c r="B984" t="s">
        <v>8</v>
      </c>
      <c r="C984" s="3" t="s">
        <v>295</v>
      </c>
      <c r="D984" s="3" t="s">
        <v>10</v>
      </c>
    </row>
    <row r="985" spans="1:4" x14ac:dyDescent="0.2">
      <c r="A985" s="3" t="s">
        <v>488</v>
      </c>
      <c r="B985" t="s">
        <v>8</v>
      </c>
      <c r="C985" s="3" t="s">
        <v>296</v>
      </c>
      <c r="D985" s="3" t="s">
        <v>10</v>
      </c>
    </row>
    <row r="986" spans="1:4" x14ac:dyDescent="0.2">
      <c r="A986" s="3" t="s">
        <v>488</v>
      </c>
      <c r="B986" t="s">
        <v>8</v>
      </c>
      <c r="C986" s="3" t="s">
        <v>297</v>
      </c>
      <c r="D986" s="3" t="s">
        <v>10</v>
      </c>
    </row>
    <row r="987" spans="1:4" x14ac:dyDescent="0.2">
      <c r="A987" s="3" t="s">
        <v>488</v>
      </c>
      <c r="B987" t="s">
        <v>8</v>
      </c>
      <c r="C987" s="3" t="s">
        <v>343</v>
      </c>
      <c r="D987" s="3" t="s">
        <v>22</v>
      </c>
    </row>
    <row r="988" spans="1:4" x14ac:dyDescent="0.2">
      <c r="A988" s="3" t="s">
        <v>492</v>
      </c>
      <c r="B988" t="s">
        <v>8</v>
      </c>
      <c r="C988" s="3" t="s">
        <v>493</v>
      </c>
      <c r="D988" s="3" t="s">
        <v>53</v>
      </c>
    </row>
    <row r="989" spans="1:4" x14ac:dyDescent="0.2">
      <c r="A989" s="3" t="s">
        <v>492</v>
      </c>
      <c r="B989" t="s">
        <v>8</v>
      </c>
      <c r="C989" s="3" t="s">
        <v>494</v>
      </c>
      <c r="D989" s="3" t="s">
        <v>53</v>
      </c>
    </row>
    <row r="990" spans="1:4" x14ac:dyDescent="0.2">
      <c r="A990" s="3" t="s">
        <v>492</v>
      </c>
      <c r="B990" t="s">
        <v>8</v>
      </c>
      <c r="C990" s="3" t="s">
        <v>485</v>
      </c>
      <c r="D990" s="3" t="s">
        <v>53</v>
      </c>
    </row>
    <row r="991" spans="1:4" x14ac:dyDescent="0.2">
      <c r="A991" s="3" t="s">
        <v>492</v>
      </c>
      <c r="B991" t="s">
        <v>8</v>
      </c>
      <c r="C991" s="3" t="s">
        <v>487</v>
      </c>
      <c r="D991" s="3" t="s">
        <v>53</v>
      </c>
    </row>
    <row r="992" spans="1:4" x14ac:dyDescent="0.2">
      <c r="A992" s="3" t="s">
        <v>492</v>
      </c>
      <c r="B992" t="s">
        <v>8</v>
      </c>
      <c r="C992" s="3" t="s">
        <v>495</v>
      </c>
      <c r="D992" s="3" t="s">
        <v>53</v>
      </c>
    </row>
    <row r="993" spans="1:4" x14ac:dyDescent="0.2">
      <c r="A993" s="3" t="s">
        <v>492</v>
      </c>
      <c r="B993" t="s">
        <v>8</v>
      </c>
      <c r="C993" s="3" t="s">
        <v>496</v>
      </c>
      <c r="D993" s="3" t="s">
        <v>53</v>
      </c>
    </row>
    <row r="994" spans="1:4" x14ac:dyDescent="0.2">
      <c r="A994" s="3" t="s">
        <v>492</v>
      </c>
      <c r="B994" t="s">
        <v>8</v>
      </c>
      <c r="C994" s="3" t="s">
        <v>497</v>
      </c>
      <c r="D994" s="3" t="s">
        <v>53</v>
      </c>
    </row>
    <row r="995" spans="1:4" x14ac:dyDescent="0.2">
      <c r="A995" s="3" t="s">
        <v>492</v>
      </c>
      <c r="B995" t="s">
        <v>8</v>
      </c>
      <c r="C995" s="3" t="s">
        <v>498</v>
      </c>
      <c r="D995" s="3" t="s">
        <v>53</v>
      </c>
    </row>
    <row r="996" spans="1:4" x14ac:dyDescent="0.2">
      <c r="A996" s="3" t="s">
        <v>492</v>
      </c>
      <c r="B996" t="s">
        <v>8</v>
      </c>
      <c r="C996" s="3" t="s">
        <v>493</v>
      </c>
      <c r="D996" s="3" t="s">
        <v>54</v>
      </c>
    </row>
    <row r="997" spans="1:4" x14ac:dyDescent="0.2">
      <c r="A997" s="3" t="s">
        <v>492</v>
      </c>
      <c r="B997" t="s">
        <v>8</v>
      </c>
      <c r="C997" s="3" t="s">
        <v>494</v>
      </c>
      <c r="D997" s="3" t="s">
        <v>54</v>
      </c>
    </row>
    <row r="998" spans="1:4" x14ac:dyDescent="0.2">
      <c r="A998" s="3" t="s">
        <v>492</v>
      </c>
      <c r="B998" t="s">
        <v>8</v>
      </c>
      <c r="C998" s="3" t="s">
        <v>485</v>
      </c>
      <c r="D998" s="3" t="s">
        <v>54</v>
      </c>
    </row>
    <row r="999" spans="1:4" x14ac:dyDescent="0.2">
      <c r="A999" s="3" t="s">
        <v>492</v>
      </c>
      <c r="B999" t="s">
        <v>8</v>
      </c>
      <c r="C999" s="3" t="s">
        <v>487</v>
      </c>
      <c r="D999" s="3" t="s">
        <v>54</v>
      </c>
    </row>
    <row r="1000" spans="1:4" x14ac:dyDescent="0.2">
      <c r="A1000" s="3" t="s">
        <v>492</v>
      </c>
      <c r="B1000" t="s">
        <v>8</v>
      </c>
      <c r="C1000" s="3" t="s">
        <v>495</v>
      </c>
      <c r="D1000" s="3" t="s">
        <v>54</v>
      </c>
    </row>
    <row r="1001" spans="1:4" x14ac:dyDescent="0.2">
      <c r="A1001" s="3" t="s">
        <v>492</v>
      </c>
      <c r="B1001" t="s">
        <v>8</v>
      </c>
      <c r="C1001" s="3" t="s">
        <v>496</v>
      </c>
      <c r="D1001" s="3" t="s">
        <v>54</v>
      </c>
    </row>
    <row r="1002" spans="1:4" x14ac:dyDescent="0.2">
      <c r="A1002" s="3" t="s">
        <v>492</v>
      </c>
      <c r="B1002" t="s">
        <v>8</v>
      </c>
      <c r="C1002" s="3" t="s">
        <v>497</v>
      </c>
      <c r="D1002" s="3" t="s">
        <v>54</v>
      </c>
    </row>
    <row r="1003" spans="1:4" x14ac:dyDescent="0.2">
      <c r="A1003" s="3" t="s">
        <v>492</v>
      </c>
      <c r="B1003" t="s">
        <v>8</v>
      </c>
      <c r="C1003" s="3" t="s">
        <v>498</v>
      </c>
      <c r="D1003" s="3" t="s">
        <v>54</v>
      </c>
    </row>
    <row r="1004" spans="1:4" x14ac:dyDescent="0.2">
      <c r="A1004" s="3" t="s">
        <v>492</v>
      </c>
      <c r="B1004" t="s">
        <v>8</v>
      </c>
      <c r="C1004" s="3" t="s">
        <v>493</v>
      </c>
      <c r="D1004" s="3" t="s">
        <v>55</v>
      </c>
    </row>
    <row r="1005" spans="1:4" x14ac:dyDescent="0.2">
      <c r="A1005" s="3" t="s">
        <v>492</v>
      </c>
      <c r="B1005" t="s">
        <v>8</v>
      </c>
      <c r="C1005" s="3" t="s">
        <v>494</v>
      </c>
      <c r="D1005" s="3" t="s">
        <v>55</v>
      </c>
    </row>
    <row r="1006" spans="1:4" x14ac:dyDescent="0.2">
      <c r="A1006" s="3" t="s">
        <v>492</v>
      </c>
      <c r="B1006" t="s">
        <v>8</v>
      </c>
      <c r="C1006" s="3" t="s">
        <v>485</v>
      </c>
      <c r="D1006" s="3" t="s">
        <v>55</v>
      </c>
    </row>
    <row r="1007" spans="1:4" x14ac:dyDescent="0.2">
      <c r="A1007" s="3" t="s">
        <v>492</v>
      </c>
      <c r="B1007" t="s">
        <v>8</v>
      </c>
      <c r="C1007" s="3" t="s">
        <v>487</v>
      </c>
      <c r="D1007" s="3" t="s">
        <v>55</v>
      </c>
    </row>
    <row r="1008" spans="1:4" x14ac:dyDescent="0.2">
      <c r="A1008" s="3" t="s">
        <v>492</v>
      </c>
      <c r="B1008" t="s">
        <v>8</v>
      </c>
      <c r="C1008" s="3" t="s">
        <v>495</v>
      </c>
      <c r="D1008" s="3" t="s">
        <v>55</v>
      </c>
    </row>
    <row r="1009" spans="1:4" x14ac:dyDescent="0.2">
      <c r="A1009" s="3" t="s">
        <v>492</v>
      </c>
      <c r="B1009" t="s">
        <v>8</v>
      </c>
      <c r="C1009" s="3" t="s">
        <v>496</v>
      </c>
      <c r="D1009" s="3" t="s">
        <v>55</v>
      </c>
    </row>
    <row r="1010" spans="1:4" x14ac:dyDescent="0.2">
      <c r="A1010" s="3" t="s">
        <v>492</v>
      </c>
      <c r="B1010" t="s">
        <v>8</v>
      </c>
      <c r="C1010" s="3" t="s">
        <v>497</v>
      </c>
      <c r="D1010" s="3" t="s">
        <v>55</v>
      </c>
    </row>
    <row r="1011" spans="1:4" x14ac:dyDescent="0.2">
      <c r="A1011" s="3" t="s">
        <v>492</v>
      </c>
      <c r="B1011" t="s">
        <v>8</v>
      </c>
      <c r="C1011" s="3" t="s">
        <v>498</v>
      </c>
      <c r="D1011" s="3" t="s">
        <v>55</v>
      </c>
    </row>
    <row r="1012" spans="1:4" x14ac:dyDescent="0.2">
      <c r="A1012" s="3" t="s">
        <v>492</v>
      </c>
      <c r="B1012" t="s">
        <v>8</v>
      </c>
      <c r="C1012" s="3" t="s">
        <v>499</v>
      </c>
      <c r="D1012" s="3" t="s">
        <v>55</v>
      </c>
    </row>
    <row r="1013" spans="1:4" x14ac:dyDescent="0.2">
      <c r="A1013" s="3" t="s">
        <v>492</v>
      </c>
      <c r="B1013" t="s">
        <v>8</v>
      </c>
      <c r="C1013" s="3" t="s">
        <v>493</v>
      </c>
      <c r="D1013" s="3" t="s">
        <v>56</v>
      </c>
    </row>
    <row r="1014" spans="1:4" x14ac:dyDescent="0.2">
      <c r="A1014" s="3" t="s">
        <v>492</v>
      </c>
      <c r="B1014" t="s">
        <v>8</v>
      </c>
      <c r="C1014" s="3" t="s">
        <v>494</v>
      </c>
      <c r="D1014" s="3" t="s">
        <v>56</v>
      </c>
    </row>
    <row r="1015" spans="1:4" x14ac:dyDescent="0.2">
      <c r="A1015" s="3" t="s">
        <v>492</v>
      </c>
      <c r="B1015" t="s">
        <v>8</v>
      </c>
      <c r="C1015" s="3" t="s">
        <v>485</v>
      </c>
      <c r="D1015" s="3" t="s">
        <v>56</v>
      </c>
    </row>
    <row r="1016" spans="1:4" x14ac:dyDescent="0.2">
      <c r="A1016" s="3" t="s">
        <v>492</v>
      </c>
      <c r="B1016" t="s">
        <v>8</v>
      </c>
      <c r="C1016" s="3" t="s">
        <v>487</v>
      </c>
      <c r="D1016" s="3" t="s">
        <v>56</v>
      </c>
    </row>
    <row r="1017" spans="1:4" x14ac:dyDescent="0.2">
      <c r="A1017" s="3" t="s">
        <v>492</v>
      </c>
      <c r="B1017" t="s">
        <v>8</v>
      </c>
      <c r="C1017" s="3" t="s">
        <v>495</v>
      </c>
      <c r="D1017" s="3" t="s">
        <v>56</v>
      </c>
    </row>
    <row r="1018" spans="1:4" x14ac:dyDescent="0.2">
      <c r="A1018" s="3" t="s">
        <v>492</v>
      </c>
      <c r="B1018" t="s">
        <v>8</v>
      </c>
      <c r="C1018" s="3" t="s">
        <v>496</v>
      </c>
      <c r="D1018" s="3" t="s">
        <v>56</v>
      </c>
    </row>
    <row r="1019" spans="1:4" x14ac:dyDescent="0.2">
      <c r="A1019" s="3" t="s">
        <v>492</v>
      </c>
      <c r="B1019" t="s">
        <v>8</v>
      </c>
      <c r="C1019" s="3" t="s">
        <v>497</v>
      </c>
      <c r="D1019" s="3" t="s">
        <v>56</v>
      </c>
    </row>
    <row r="1020" spans="1:4" x14ac:dyDescent="0.2">
      <c r="A1020" s="3" t="s">
        <v>492</v>
      </c>
      <c r="B1020" t="s">
        <v>8</v>
      </c>
      <c r="C1020" s="3" t="s">
        <v>498</v>
      </c>
      <c r="D1020" s="3" t="s">
        <v>56</v>
      </c>
    </row>
    <row r="1021" spans="1:4" x14ac:dyDescent="0.2">
      <c r="A1021" s="3" t="s">
        <v>492</v>
      </c>
      <c r="B1021" t="s">
        <v>8</v>
      </c>
      <c r="C1021" s="3" t="s">
        <v>493</v>
      </c>
      <c r="D1021" s="3" t="s">
        <v>57</v>
      </c>
    </row>
    <row r="1022" spans="1:4" x14ac:dyDescent="0.2">
      <c r="A1022" s="3" t="s">
        <v>492</v>
      </c>
      <c r="B1022" t="s">
        <v>8</v>
      </c>
      <c r="C1022" s="3" t="s">
        <v>494</v>
      </c>
      <c r="D1022" s="3" t="s">
        <v>57</v>
      </c>
    </row>
    <row r="1023" spans="1:4" x14ac:dyDescent="0.2">
      <c r="A1023" s="3" t="s">
        <v>492</v>
      </c>
      <c r="B1023" t="s">
        <v>8</v>
      </c>
      <c r="C1023" s="3" t="s">
        <v>485</v>
      </c>
      <c r="D1023" s="3" t="s">
        <v>57</v>
      </c>
    </row>
    <row r="1024" spans="1:4" x14ac:dyDescent="0.2">
      <c r="A1024" s="3" t="s">
        <v>492</v>
      </c>
      <c r="B1024" t="s">
        <v>8</v>
      </c>
      <c r="C1024" s="3" t="s">
        <v>487</v>
      </c>
      <c r="D1024" s="3" t="s">
        <v>57</v>
      </c>
    </row>
    <row r="1025" spans="1:4" x14ac:dyDescent="0.2">
      <c r="A1025" s="3" t="s">
        <v>492</v>
      </c>
      <c r="B1025" t="s">
        <v>8</v>
      </c>
      <c r="C1025" s="3" t="s">
        <v>495</v>
      </c>
      <c r="D1025" s="3" t="s">
        <v>57</v>
      </c>
    </row>
    <row r="1026" spans="1:4" x14ac:dyDescent="0.2">
      <c r="A1026" s="3" t="s">
        <v>492</v>
      </c>
      <c r="B1026" t="s">
        <v>8</v>
      </c>
      <c r="C1026" s="3" t="s">
        <v>496</v>
      </c>
      <c r="D1026" s="3" t="s">
        <v>57</v>
      </c>
    </row>
    <row r="1027" spans="1:4" x14ac:dyDescent="0.2">
      <c r="A1027" s="3" t="s">
        <v>492</v>
      </c>
      <c r="B1027" t="s">
        <v>8</v>
      </c>
      <c r="C1027" s="3" t="s">
        <v>497</v>
      </c>
      <c r="D1027" s="3" t="s">
        <v>57</v>
      </c>
    </row>
    <row r="1028" spans="1:4" x14ac:dyDescent="0.2">
      <c r="A1028" s="3" t="s">
        <v>492</v>
      </c>
      <c r="B1028" t="s">
        <v>8</v>
      </c>
      <c r="C1028" s="3" t="s">
        <v>498</v>
      </c>
      <c r="D1028" s="3" t="s">
        <v>57</v>
      </c>
    </row>
    <row r="1029" spans="1:4" x14ac:dyDescent="0.2">
      <c r="A1029" s="3" t="s">
        <v>492</v>
      </c>
      <c r="B1029" t="s">
        <v>8</v>
      </c>
      <c r="C1029" s="3" t="s">
        <v>500</v>
      </c>
      <c r="D1029" s="3" t="s">
        <v>169</v>
      </c>
    </row>
    <row r="1030" spans="1:4" x14ac:dyDescent="0.2">
      <c r="A1030" s="3" t="s">
        <v>492</v>
      </c>
      <c r="B1030" t="s">
        <v>8</v>
      </c>
      <c r="C1030" s="3" t="s">
        <v>501</v>
      </c>
      <c r="D1030" s="3" t="s">
        <v>169</v>
      </c>
    </row>
    <row r="1031" spans="1:4" x14ac:dyDescent="0.2">
      <c r="A1031" s="3" t="s">
        <v>492</v>
      </c>
      <c r="B1031" t="s">
        <v>8</v>
      </c>
      <c r="C1031" s="3" t="s">
        <v>502</v>
      </c>
      <c r="D1031" s="3" t="s">
        <v>169</v>
      </c>
    </row>
    <row r="1032" spans="1:4" x14ac:dyDescent="0.2">
      <c r="A1032" s="3" t="s">
        <v>492</v>
      </c>
      <c r="B1032" t="s">
        <v>8</v>
      </c>
      <c r="C1032" s="3" t="s">
        <v>503</v>
      </c>
      <c r="D1032" s="3" t="s">
        <v>169</v>
      </c>
    </row>
    <row r="1033" spans="1:4" x14ac:dyDescent="0.2">
      <c r="A1033" s="3" t="s">
        <v>492</v>
      </c>
      <c r="B1033" t="s">
        <v>8</v>
      </c>
      <c r="C1033" s="3" t="s">
        <v>504</v>
      </c>
      <c r="D1033" s="3" t="s">
        <v>169</v>
      </c>
    </row>
    <row r="1034" spans="1:4" x14ac:dyDescent="0.2">
      <c r="A1034" s="3" t="s">
        <v>492</v>
      </c>
      <c r="B1034" t="s">
        <v>8</v>
      </c>
      <c r="C1034" s="3" t="s">
        <v>505</v>
      </c>
      <c r="D1034" s="3" t="s">
        <v>169</v>
      </c>
    </row>
    <row r="1035" spans="1:4" x14ac:dyDescent="0.2">
      <c r="A1035" s="3" t="s">
        <v>492</v>
      </c>
      <c r="B1035" t="s">
        <v>8</v>
      </c>
      <c r="C1035" s="3" t="s">
        <v>506</v>
      </c>
      <c r="D1035" s="3" t="s">
        <v>169</v>
      </c>
    </row>
    <row r="1036" spans="1:4" x14ac:dyDescent="0.2">
      <c r="A1036" s="3" t="s">
        <v>492</v>
      </c>
      <c r="B1036" t="s">
        <v>8</v>
      </c>
      <c r="C1036" s="3" t="s">
        <v>507</v>
      </c>
      <c r="D1036" s="3" t="s">
        <v>169</v>
      </c>
    </row>
    <row r="1037" spans="1:4" x14ac:dyDescent="0.2">
      <c r="A1037" s="3" t="s">
        <v>492</v>
      </c>
      <c r="B1037" t="s">
        <v>8</v>
      </c>
      <c r="C1037" s="3" t="s">
        <v>508</v>
      </c>
      <c r="D1037" s="3" t="s">
        <v>169</v>
      </c>
    </row>
    <row r="1038" spans="1:4" x14ac:dyDescent="0.2">
      <c r="A1038" s="3" t="s">
        <v>492</v>
      </c>
      <c r="B1038" t="s">
        <v>8</v>
      </c>
      <c r="C1038" s="3" t="s">
        <v>509</v>
      </c>
      <c r="D1038" s="3" t="s">
        <v>169</v>
      </c>
    </row>
    <row r="1039" spans="1:4" x14ac:dyDescent="0.2">
      <c r="A1039" s="3" t="s">
        <v>492</v>
      </c>
      <c r="B1039" t="s">
        <v>8</v>
      </c>
      <c r="C1039" s="3" t="s">
        <v>510</v>
      </c>
      <c r="D1039" s="3" t="s">
        <v>169</v>
      </c>
    </row>
    <row r="1040" spans="1:4" x14ac:dyDescent="0.2">
      <c r="A1040" s="3" t="s">
        <v>492</v>
      </c>
      <c r="B1040" t="s">
        <v>8</v>
      </c>
      <c r="C1040" s="3" t="s">
        <v>511</v>
      </c>
      <c r="D1040" s="3" t="s">
        <v>169</v>
      </c>
    </row>
    <row r="1041" spans="1:4" x14ac:dyDescent="0.2">
      <c r="A1041" s="3" t="s">
        <v>492</v>
      </c>
      <c r="B1041" t="s">
        <v>8</v>
      </c>
      <c r="C1041" s="3" t="s">
        <v>512</v>
      </c>
      <c r="D1041" s="3" t="s">
        <v>169</v>
      </c>
    </row>
    <row r="1042" spans="1:4" x14ac:dyDescent="0.2">
      <c r="A1042" s="3" t="s">
        <v>492</v>
      </c>
      <c r="B1042" t="s">
        <v>8</v>
      </c>
      <c r="C1042" s="3" t="s">
        <v>513</v>
      </c>
      <c r="D1042" s="3" t="s">
        <v>169</v>
      </c>
    </row>
    <row r="1043" spans="1:4" x14ac:dyDescent="0.2">
      <c r="A1043" s="3" t="s">
        <v>492</v>
      </c>
      <c r="B1043" t="s">
        <v>8</v>
      </c>
      <c r="C1043" s="3" t="s">
        <v>514</v>
      </c>
      <c r="D1043" s="3" t="s">
        <v>169</v>
      </c>
    </row>
    <row r="1044" spans="1:4" x14ac:dyDescent="0.2">
      <c r="A1044" s="3" t="s">
        <v>492</v>
      </c>
      <c r="B1044" t="s">
        <v>8</v>
      </c>
      <c r="C1044" s="3" t="s">
        <v>515</v>
      </c>
      <c r="D1044" s="3" t="s">
        <v>169</v>
      </c>
    </row>
    <row r="1045" spans="1:4" x14ac:dyDescent="0.2">
      <c r="A1045" s="3" t="s">
        <v>492</v>
      </c>
      <c r="B1045" t="s">
        <v>8</v>
      </c>
      <c r="C1045" s="3" t="s">
        <v>516</v>
      </c>
      <c r="D1045" s="3" t="s">
        <v>169</v>
      </c>
    </row>
    <row r="1046" spans="1:4" x14ac:dyDescent="0.2">
      <c r="A1046" s="3" t="s">
        <v>517</v>
      </c>
      <c r="B1046" t="s">
        <v>8</v>
      </c>
      <c r="C1046" s="3" t="s">
        <v>459</v>
      </c>
      <c r="D1046" s="3" t="s">
        <v>53</v>
      </c>
    </row>
    <row r="1047" spans="1:4" x14ac:dyDescent="0.2">
      <c r="A1047" s="3" t="s">
        <v>517</v>
      </c>
      <c r="B1047" t="s">
        <v>8</v>
      </c>
      <c r="C1047" s="3" t="s">
        <v>460</v>
      </c>
      <c r="D1047" s="3" t="s">
        <v>53</v>
      </c>
    </row>
    <row r="1048" spans="1:4" x14ac:dyDescent="0.2">
      <c r="A1048" s="3" t="s">
        <v>517</v>
      </c>
      <c r="B1048" t="s">
        <v>8</v>
      </c>
      <c r="C1048" s="3" t="s">
        <v>518</v>
      </c>
      <c r="D1048" s="3" t="s">
        <v>53</v>
      </c>
    </row>
    <row r="1049" spans="1:4" x14ac:dyDescent="0.2">
      <c r="A1049" s="3" t="s">
        <v>517</v>
      </c>
      <c r="B1049" t="s">
        <v>8</v>
      </c>
      <c r="C1049" s="3" t="s">
        <v>461</v>
      </c>
      <c r="D1049" s="3" t="s">
        <v>53</v>
      </c>
    </row>
    <row r="1050" spans="1:4" x14ac:dyDescent="0.2">
      <c r="A1050" s="3" t="s">
        <v>517</v>
      </c>
      <c r="B1050" t="s">
        <v>8</v>
      </c>
      <c r="C1050" s="3" t="s">
        <v>462</v>
      </c>
      <c r="D1050" s="3" t="s">
        <v>53</v>
      </c>
    </row>
    <row r="1051" spans="1:4" x14ac:dyDescent="0.2">
      <c r="A1051" s="3" t="s">
        <v>517</v>
      </c>
      <c r="B1051" t="s">
        <v>8</v>
      </c>
      <c r="C1051" s="3" t="s">
        <v>519</v>
      </c>
      <c r="D1051" s="3" t="s">
        <v>53</v>
      </c>
    </row>
    <row r="1052" spans="1:4" x14ac:dyDescent="0.2">
      <c r="A1052" s="3" t="s">
        <v>517</v>
      </c>
      <c r="B1052" t="s">
        <v>8</v>
      </c>
      <c r="C1052" s="3" t="s">
        <v>459</v>
      </c>
      <c r="D1052" s="3" t="s">
        <v>54</v>
      </c>
    </row>
    <row r="1053" spans="1:4" x14ac:dyDescent="0.2">
      <c r="A1053" s="3" t="s">
        <v>517</v>
      </c>
      <c r="B1053" t="s">
        <v>8</v>
      </c>
      <c r="C1053" s="3" t="s">
        <v>460</v>
      </c>
      <c r="D1053" s="3" t="s">
        <v>54</v>
      </c>
    </row>
    <row r="1054" spans="1:4" x14ac:dyDescent="0.2">
      <c r="A1054" s="3" t="s">
        <v>517</v>
      </c>
      <c r="B1054" t="s">
        <v>8</v>
      </c>
      <c r="C1054" s="3" t="s">
        <v>518</v>
      </c>
      <c r="D1054" s="3" t="s">
        <v>54</v>
      </c>
    </row>
    <row r="1055" spans="1:4" x14ac:dyDescent="0.2">
      <c r="A1055" s="3" t="s">
        <v>517</v>
      </c>
      <c r="B1055" t="s">
        <v>8</v>
      </c>
      <c r="C1055" s="3" t="s">
        <v>461</v>
      </c>
      <c r="D1055" s="3" t="s">
        <v>54</v>
      </c>
    </row>
    <row r="1056" spans="1:4" x14ac:dyDescent="0.2">
      <c r="A1056" s="3" t="s">
        <v>517</v>
      </c>
      <c r="B1056" t="s">
        <v>8</v>
      </c>
      <c r="C1056" s="3" t="s">
        <v>462</v>
      </c>
      <c r="D1056" s="3" t="s">
        <v>54</v>
      </c>
    </row>
    <row r="1057" spans="1:4" x14ac:dyDescent="0.2">
      <c r="A1057" s="3" t="s">
        <v>517</v>
      </c>
      <c r="B1057" t="s">
        <v>8</v>
      </c>
      <c r="C1057" s="3" t="s">
        <v>519</v>
      </c>
      <c r="D1057" s="3" t="s">
        <v>54</v>
      </c>
    </row>
    <row r="1058" spans="1:4" x14ac:dyDescent="0.2">
      <c r="A1058" s="3" t="s">
        <v>517</v>
      </c>
      <c r="B1058" t="s">
        <v>8</v>
      </c>
      <c r="C1058" s="3" t="s">
        <v>464</v>
      </c>
      <c r="D1058" s="3" t="s">
        <v>54</v>
      </c>
    </row>
    <row r="1059" spans="1:4" x14ac:dyDescent="0.2">
      <c r="A1059" s="3" t="s">
        <v>517</v>
      </c>
      <c r="B1059" t="s">
        <v>8</v>
      </c>
      <c r="C1059" s="3" t="s">
        <v>459</v>
      </c>
      <c r="D1059" s="3" t="s">
        <v>55</v>
      </c>
    </row>
    <row r="1060" spans="1:4" x14ac:dyDescent="0.2">
      <c r="A1060" s="3" t="s">
        <v>517</v>
      </c>
      <c r="B1060" t="s">
        <v>8</v>
      </c>
      <c r="C1060" s="3" t="s">
        <v>460</v>
      </c>
      <c r="D1060" s="3" t="s">
        <v>55</v>
      </c>
    </row>
    <row r="1061" spans="1:4" x14ac:dyDescent="0.2">
      <c r="A1061" s="3" t="s">
        <v>517</v>
      </c>
      <c r="B1061" t="s">
        <v>8</v>
      </c>
      <c r="C1061" s="3" t="s">
        <v>518</v>
      </c>
      <c r="D1061" s="3" t="s">
        <v>55</v>
      </c>
    </row>
    <row r="1062" spans="1:4" x14ac:dyDescent="0.2">
      <c r="A1062" s="3" t="s">
        <v>517</v>
      </c>
      <c r="B1062" t="s">
        <v>8</v>
      </c>
      <c r="C1062" s="3" t="s">
        <v>461</v>
      </c>
      <c r="D1062" s="3" t="s">
        <v>55</v>
      </c>
    </row>
    <row r="1063" spans="1:4" x14ac:dyDescent="0.2">
      <c r="A1063" s="3" t="s">
        <v>517</v>
      </c>
      <c r="B1063" t="s">
        <v>8</v>
      </c>
      <c r="C1063" s="3" t="s">
        <v>462</v>
      </c>
      <c r="D1063" s="3" t="s">
        <v>55</v>
      </c>
    </row>
    <row r="1064" spans="1:4" x14ac:dyDescent="0.2">
      <c r="A1064" s="3" t="s">
        <v>517</v>
      </c>
      <c r="B1064" t="s">
        <v>8</v>
      </c>
      <c r="C1064" s="3" t="s">
        <v>519</v>
      </c>
      <c r="D1064" s="3" t="s">
        <v>55</v>
      </c>
    </row>
    <row r="1065" spans="1:4" x14ac:dyDescent="0.2">
      <c r="A1065" s="3" t="s">
        <v>517</v>
      </c>
      <c r="B1065" t="s">
        <v>8</v>
      </c>
      <c r="C1065" s="3" t="s">
        <v>459</v>
      </c>
      <c r="D1065" s="3" t="s">
        <v>56</v>
      </c>
    </row>
    <row r="1066" spans="1:4" x14ac:dyDescent="0.2">
      <c r="A1066" s="3" t="s">
        <v>517</v>
      </c>
      <c r="B1066" t="s">
        <v>8</v>
      </c>
      <c r="C1066" s="3" t="s">
        <v>460</v>
      </c>
      <c r="D1066" s="3" t="s">
        <v>56</v>
      </c>
    </row>
    <row r="1067" spans="1:4" x14ac:dyDescent="0.2">
      <c r="A1067" s="3" t="s">
        <v>517</v>
      </c>
      <c r="B1067" t="s">
        <v>8</v>
      </c>
      <c r="C1067" s="3" t="s">
        <v>518</v>
      </c>
      <c r="D1067" s="3" t="s">
        <v>56</v>
      </c>
    </row>
    <row r="1068" spans="1:4" x14ac:dyDescent="0.2">
      <c r="A1068" s="3" t="s">
        <v>517</v>
      </c>
      <c r="B1068" t="s">
        <v>8</v>
      </c>
      <c r="C1068" s="3" t="s">
        <v>461</v>
      </c>
      <c r="D1068" s="3" t="s">
        <v>56</v>
      </c>
    </row>
    <row r="1069" spans="1:4" x14ac:dyDescent="0.2">
      <c r="A1069" s="3" t="s">
        <v>517</v>
      </c>
      <c r="B1069" t="s">
        <v>8</v>
      </c>
      <c r="C1069" s="3" t="s">
        <v>462</v>
      </c>
      <c r="D1069" s="3" t="s">
        <v>56</v>
      </c>
    </row>
    <row r="1070" spans="1:4" x14ac:dyDescent="0.2">
      <c r="A1070" s="3" t="s">
        <v>517</v>
      </c>
      <c r="B1070" t="s">
        <v>8</v>
      </c>
      <c r="C1070" s="3" t="s">
        <v>519</v>
      </c>
      <c r="D1070" s="3" t="s">
        <v>56</v>
      </c>
    </row>
    <row r="1071" spans="1:4" x14ac:dyDescent="0.2">
      <c r="A1071" s="3" t="s">
        <v>517</v>
      </c>
      <c r="B1071" t="s">
        <v>8</v>
      </c>
      <c r="C1071" s="3" t="s">
        <v>459</v>
      </c>
      <c r="D1071" s="3" t="s">
        <v>57</v>
      </c>
    </row>
    <row r="1072" spans="1:4" x14ac:dyDescent="0.2">
      <c r="A1072" s="3" t="s">
        <v>517</v>
      </c>
      <c r="B1072" t="s">
        <v>8</v>
      </c>
      <c r="C1072" s="3" t="s">
        <v>460</v>
      </c>
      <c r="D1072" s="3" t="s">
        <v>57</v>
      </c>
    </row>
    <row r="1073" spans="1:4" x14ac:dyDescent="0.2">
      <c r="A1073" s="3" t="s">
        <v>517</v>
      </c>
      <c r="B1073" t="s">
        <v>8</v>
      </c>
      <c r="C1073" s="3" t="s">
        <v>518</v>
      </c>
      <c r="D1073" s="3" t="s">
        <v>57</v>
      </c>
    </row>
    <row r="1074" spans="1:4" x14ac:dyDescent="0.2">
      <c r="A1074" s="3" t="s">
        <v>517</v>
      </c>
      <c r="B1074" t="s">
        <v>8</v>
      </c>
      <c r="C1074" s="3" t="s">
        <v>461</v>
      </c>
      <c r="D1074" s="3" t="s">
        <v>57</v>
      </c>
    </row>
    <row r="1075" spans="1:4" x14ac:dyDescent="0.2">
      <c r="A1075" s="3" t="s">
        <v>517</v>
      </c>
      <c r="B1075" t="s">
        <v>8</v>
      </c>
      <c r="C1075" s="3" t="s">
        <v>462</v>
      </c>
      <c r="D1075" s="3" t="s">
        <v>57</v>
      </c>
    </row>
    <row r="1076" spans="1:4" x14ac:dyDescent="0.2">
      <c r="A1076" s="3" t="s">
        <v>517</v>
      </c>
      <c r="B1076" t="s">
        <v>8</v>
      </c>
      <c r="C1076" s="3" t="s">
        <v>519</v>
      </c>
      <c r="D1076" s="3" t="s">
        <v>57</v>
      </c>
    </row>
    <row r="1077" spans="1:4" x14ac:dyDescent="0.2">
      <c r="A1077" s="3" t="s">
        <v>517</v>
      </c>
      <c r="B1077" t="s">
        <v>8</v>
      </c>
      <c r="C1077" s="3" t="s">
        <v>520</v>
      </c>
      <c r="D1077" s="3" t="s">
        <v>169</v>
      </c>
    </row>
    <row r="1078" spans="1:4" x14ac:dyDescent="0.2">
      <c r="A1078" s="3" t="s">
        <v>517</v>
      </c>
      <c r="B1078" t="s">
        <v>8</v>
      </c>
      <c r="C1078" s="3" t="s">
        <v>521</v>
      </c>
      <c r="D1078" s="3" t="s">
        <v>169</v>
      </c>
    </row>
    <row r="1079" spans="1:4" x14ac:dyDescent="0.2">
      <c r="A1079" s="3" t="s">
        <v>522</v>
      </c>
      <c r="B1079" t="s">
        <v>8</v>
      </c>
      <c r="C1079" s="3" t="s">
        <v>484</v>
      </c>
      <c r="D1079" s="3" t="s">
        <v>53</v>
      </c>
    </row>
    <row r="1080" spans="1:4" x14ac:dyDescent="0.2">
      <c r="A1080" s="3" t="s">
        <v>522</v>
      </c>
      <c r="B1080" t="s">
        <v>8</v>
      </c>
      <c r="C1080" s="3" t="s">
        <v>518</v>
      </c>
      <c r="D1080" s="3" t="s">
        <v>53</v>
      </c>
    </row>
    <row r="1081" spans="1:4" x14ac:dyDescent="0.2">
      <c r="A1081" s="3" t="s">
        <v>522</v>
      </c>
      <c r="B1081" t="s">
        <v>8</v>
      </c>
      <c r="C1081" s="3" t="s">
        <v>486</v>
      </c>
      <c r="D1081" s="3" t="s">
        <v>53</v>
      </c>
    </row>
    <row r="1082" spans="1:4" x14ac:dyDescent="0.2">
      <c r="A1082" s="3" t="s">
        <v>522</v>
      </c>
      <c r="B1082" t="s">
        <v>8</v>
      </c>
      <c r="C1082" s="3" t="s">
        <v>523</v>
      </c>
      <c r="D1082" s="3" t="s">
        <v>53</v>
      </c>
    </row>
    <row r="1083" spans="1:4" x14ac:dyDescent="0.2">
      <c r="A1083" s="3" t="s">
        <v>522</v>
      </c>
      <c r="B1083" t="s">
        <v>8</v>
      </c>
      <c r="C1083" s="3" t="s">
        <v>519</v>
      </c>
      <c r="D1083" s="3" t="s">
        <v>53</v>
      </c>
    </row>
    <row r="1084" spans="1:4" x14ac:dyDescent="0.2">
      <c r="A1084" s="3" t="s">
        <v>522</v>
      </c>
      <c r="B1084" t="s">
        <v>8</v>
      </c>
      <c r="C1084" s="3" t="s">
        <v>484</v>
      </c>
      <c r="D1084" s="3" t="s">
        <v>54</v>
      </c>
    </row>
    <row r="1085" spans="1:4" x14ac:dyDescent="0.2">
      <c r="A1085" s="3" t="s">
        <v>522</v>
      </c>
      <c r="B1085" t="s">
        <v>8</v>
      </c>
      <c r="C1085" s="3" t="s">
        <v>518</v>
      </c>
      <c r="D1085" s="3" t="s">
        <v>54</v>
      </c>
    </row>
    <row r="1086" spans="1:4" x14ac:dyDescent="0.2">
      <c r="A1086" s="3" t="s">
        <v>522</v>
      </c>
      <c r="B1086" t="s">
        <v>8</v>
      </c>
      <c r="C1086" s="3" t="s">
        <v>486</v>
      </c>
      <c r="D1086" s="3" t="s">
        <v>54</v>
      </c>
    </row>
    <row r="1087" spans="1:4" x14ac:dyDescent="0.2">
      <c r="A1087" s="3" t="s">
        <v>522</v>
      </c>
      <c r="B1087" t="s">
        <v>8</v>
      </c>
      <c r="C1087" s="3" t="s">
        <v>523</v>
      </c>
      <c r="D1087" s="3" t="s">
        <v>54</v>
      </c>
    </row>
    <row r="1088" spans="1:4" x14ac:dyDescent="0.2">
      <c r="A1088" s="3" t="s">
        <v>522</v>
      </c>
      <c r="B1088" t="s">
        <v>8</v>
      </c>
      <c r="C1088" s="3" t="s">
        <v>519</v>
      </c>
      <c r="D1088" s="3" t="s">
        <v>54</v>
      </c>
    </row>
    <row r="1089" spans="1:4" x14ac:dyDescent="0.2">
      <c r="A1089" s="3" t="s">
        <v>522</v>
      </c>
      <c r="B1089" t="s">
        <v>8</v>
      </c>
      <c r="C1089" s="3" t="s">
        <v>484</v>
      </c>
      <c r="D1089" s="3" t="s">
        <v>55</v>
      </c>
    </row>
    <row r="1090" spans="1:4" x14ac:dyDescent="0.2">
      <c r="A1090" s="3" t="s">
        <v>522</v>
      </c>
      <c r="B1090" t="s">
        <v>8</v>
      </c>
      <c r="C1090" s="3" t="s">
        <v>518</v>
      </c>
      <c r="D1090" s="3" t="s">
        <v>55</v>
      </c>
    </row>
    <row r="1091" spans="1:4" x14ac:dyDescent="0.2">
      <c r="A1091" s="3" t="s">
        <v>522</v>
      </c>
      <c r="B1091" t="s">
        <v>8</v>
      </c>
      <c r="C1091" s="3" t="s">
        <v>486</v>
      </c>
      <c r="D1091" s="3" t="s">
        <v>55</v>
      </c>
    </row>
    <row r="1092" spans="1:4" x14ac:dyDescent="0.2">
      <c r="A1092" s="3" t="s">
        <v>522</v>
      </c>
      <c r="B1092" t="s">
        <v>8</v>
      </c>
      <c r="C1092" s="3" t="s">
        <v>523</v>
      </c>
      <c r="D1092" s="3" t="s">
        <v>55</v>
      </c>
    </row>
    <row r="1093" spans="1:4" x14ac:dyDescent="0.2">
      <c r="A1093" s="3" t="s">
        <v>522</v>
      </c>
      <c r="B1093" t="s">
        <v>8</v>
      </c>
      <c r="C1093" s="3" t="s">
        <v>519</v>
      </c>
      <c r="D1093" s="3" t="s">
        <v>55</v>
      </c>
    </row>
    <row r="1094" spans="1:4" x14ac:dyDescent="0.2">
      <c r="A1094" s="3" t="s">
        <v>522</v>
      </c>
      <c r="B1094" t="s">
        <v>8</v>
      </c>
      <c r="C1094" s="3" t="s">
        <v>484</v>
      </c>
      <c r="D1094" s="3" t="s">
        <v>56</v>
      </c>
    </row>
    <row r="1095" spans="1:4" x14ac:dyDescent="0.2">
      <c r="A1095" s="3" t="s">
        <v>522</v>
      </c>
      <c r="B1095" t="s">
        <v>8</v>
      </c>
      <c r="C1095" s="3" t="s">
        <v>518</v>
      </c>
      <c r="D1095" s="3" t="s">
        <v>56</v>
      </c>
    </row>
    <row r="1096" spans="1:4" x14ac:dyDescent="0.2">
      <c r="A1096" s="3" t="s">
        <v>522</v>
      </c>
      <c r="B1096" t="s">
        <v>8</v>
      </c>
      <c r="C1096" s="3" t="s">
        <v>486</v>
      </c>
      <c r="D1096" s="3" t="s">
        <v>56</v>
      </c>
    </row>
    <row r="1097" spans="1:4" x14ac:dyDescent="0.2">
      <c r="A1097" s="3" t="s">
        <v>522</v>
      </c>
      <c r="B1097" t="s">
        <v>8</v>
      </c>
      <c r="C1097" s="3" t="s">
        <v>523</v>
      </c>
      <c r="D1097" s="3" t="s">
        <v>56</v>
      </c>
    </row>
    <row r="1098" spans="1:4" x14ac:dyDescent="0.2">
      <c r="A1098" s="3" t="s">
        <v>522</v>
      </c>
      <c r="B1098" t="s">
        <v>8</v>
      </c>
      <c r="C1098" s="3" t="s">
        <v>519</v>
      </c>
      <c r="D1098" s="3" t="s">
        <v>56</v>
      </c>
    </row>
    <row r="1099" spans="1:4" x14ac:dyDescent="0.2">
      <c r="A1099" s="3" t="s">
        <v>522</v>
      </c>
      <c r="B1099" t="s">
        <v>8</v>
      </c>
      <c r="C1099" s="3" t="s">
        <v>484</v>
      </c>
      <c r="D1099" s="3" t="s">
        <v>57</v>
      </c>
    </row>
    <row r="1100" spans="1:4" x14ac:dyDescent="0.2">
      <c r="A1100" s="3" t="s">
        <v>522</v>
      </c>
      <c r="B1100" t="s">
        <v>8</v>
      </c>
      <c r="C1100" s="3" t="s">
        <v>518</v>
      </c>
      <c r="D1100" s="3" t="s">
        <v>57</v>
      </c>
    </row>
    <row r="1101" spans="1:4" x14ac:dyDescent="0.2">
      <c r="A1101" s="3" t="s">
        <v>522</v>
      </c>
      <c r="B1101" t="s">
        <v>8</v>
      </c>
      <c r="C1101" s="3" t="s">
        <v>486</v>
      </c>
      <c r="D1101" s="3" t="s">
        <v>57</v>
      </c>
    </row>
    <row r="1102" spans="1:4" x14ac:dyDescent="0.2">
      <c r="A1102" s="3" t="s">
        <v>522</v>
      </c>
      <c r="B1102" t="s">
        <v>8</v>
      </c>
      <c r="C1102" s="3" t="s">
        <v>523</v>
      </c>
      <c r="D1102" s="3" t="s">
        <v>57</v>
      </c>
    </row>
    <row r="1103" spans="1:4" x14ac:dyDescent="0.2">
      <c r="A1103" s="3" t="s">
        <v>522</v>
      </c>
      <c r="B1103" t="s">
        <v>8</v>
      </c>
      <c r="C1103" s="3" t="s">
        <v>519</v>
      </c>
      <c r="D1103" s="3" t="s">
        <v>57</v>
      </c>
    </row>
    <row r="1104" spans="1:4" x14ac:dyDescent="0.2">
      <c r="A1104" s="3" t="s">
        <v>522</v>
      </c>
      <c r="B1104" t="s">
        <v>8</v>
      </c>
      <c r="C1104" s="3" t="s">
        <v>524</v>
      </c>
      <c r="D1104" s="3" t="s">
        <v>169</v>
      </c>
    </row>
    <row r="1105" spans="1:4" x14ac:dyDescent="0.2">
      <c r="A1105" s="3" t="s">
        <v>522</v>
      </c>
      <c r="B1105" t="s">
        <v>8</v>
      </c>
      <c r="C1105" s="3" t="s">
        <v>490</v>
      </c>
      <c r="D1105" s="3" t="s">
        <v>169</v>
      </c>
    </row>
    <row r="1106" spans="1:4" x14ac:dyDescent="0.2">
      <c r="A1106" s="3" t="s">
        <v>522</v>
      </c>
      <c r="B1106" t="s">
        <v>8</v>
      </c>
      <c r="C1106" s="3" t="s">
        <v>491</v>
      </c>
      <c r="D1106" s="3" t="s">
        <v>169</v>
      </c>
    </row>
    <row r="1107" spans="1:4" x14ac:dyDescent="0.2">
      <c r="A1107" s="3" t="s">
        <v>522</v>
      </c>
      <c r="B1107" t="s">
        <v>8</v>
      </c>
      <c r="C1107" s="3" t="s">
        <v>525</v>
      </c>
      <c r="D1107" s="3" t="s">
        <v>169</v>
      </c>
    </row>
    <row r="1108" spans="1:4" x14ac:dyDescent="0.2">
      <c r="A1108" s="3" t="s">
        <v>522</v>
      </c>
      <c r="B1108" t="s">
        <v>8</v>
      </c>
      <c r="C1108" s="3" t="s">
        <v>526</v>
      </c>
      <c r="D1108" s="3" t="s">
        <v>169</v>
      </c>
    </row>
    <row r="1109" spans="1:4" x14ac:dyDescent="0.2">
      <c r="A1109" s="3" t="s">
        <v>527</v>
      </c>
      <c r="B1109" t="s">
        <v>8</v>
      </c>
      <c r="C1109" s="3" t="s">
        <v>528</v>
      </c>
      <c r="D1109" s="3" t="s">
        <v>53</v>
      </c>
    </row>
    <row r="1110" spans="1:4" x14ac:dyDescent="0.2">
      <c r="A1110" s="3" t="s">
        <v>527</v>
      </c>
      <c r="B1110" t="s">
        <v>8</v>
      </c>
      <c r="C1110" s="3" t="s">
        <v>529</v>
      </c>
      <c r="D1110" s="3" t="s">
        <v>53</v>
      </c>
    </row>
    <row r="1111" spans="1:4" x14ac:dyDescent="0.2">
      <c r="A1111" s="3" t="s">
        <v>527</v>
      </c>
      <c r="B1111" t="s">
        <v>8</v>
      </c>
      <c r="C1111" s="3" t="s">
        <v>530</v>
      </c>
      <c r="D1111" s="3" t="s">
        <v>53</v>
      </c>
    </row>
    <row r="1112" spans="1:4" x14ac:dyDescent="0.2">
      <c r="A1112" s="3" t="s">
        <v>527</v>
      </c>
      <c r="B1112" t="s">
        <v>8</v>
      </c>
      <c r="C1112" s="3" t="s">
        <v>531</v>
      </c>
      <c r="D1112" s="3" t="s">
        <v>53</v>
      </c>
    </row>
    <row r="1113" spans="1:4" x14ac:dyDescent="0.2">
      <c r="A1113" s="3" t="s">
        <v>527</v>
      </c>
      <c r="B1113" t="s">
        <v>8</v>
      </c>
      <c r="C1113" s="3" t="s">
        <v>532</v>
      </c>
      <c r="D1113" s="3" t="s">
        <v>53</v>
      </c>
    </row>
    <row r="1114" spans="1:4" x14ac:dyDescent="0.2">
      <c r="A1114" s="3" t="s">
        <v>527</v>
      </c>
      <c r="B1114" t="s">
        <v>8</v>
      </c>
      <c r="C1114" s="3" t="s">
        <v>533</v>
      </c>
      <c r="D1114" s="3" t="s">
        <v>53</v>
      </c>
    </row>
    <row r="1115" spans="1:4" x14ac:dyDescent="0.2">
      <c r="A1115" s="3" t="s">
        <v>527</v>
      </c>
      <c r="B1115" t="s">
        <v>8</v>
      </c>
      <c r="C1115" s="3" t="s">
        <v>534</v>
      </c>
      <c r="D1115" s="3" t="s">
        <v>53</v>
      </c>
    </row>
    <row r="1116" spans="1:4" x14ac:dyDescent="0.2">
      <c r="A1116" s="3" t="s">
        <v>527</v>
      </c>
      <c r="B1116" t="s">
        <v>8</v>
      </c>
      <c r="C1116" s="3" t="s">
        <v>535</v>
      </c>
      <c r="D1116" s="3" t="s">
        <v>53</v>
      </c>
    </row>
    <row r="1117" spans="1:4" x14ac:dyDescent="0.2">
      <c r="A1117" s="3" t="s">
        <v>527</v>
      </c>
      <c r="B1117" t="s">
        <v>8</v>
      </c>
      <c r="C1117" s="3" t="s">
        <v>536</v>
      </c>
      <c r="D1117" s="3" t="s">
        <v>53</v>
      </c>
    </row>
    <row r="1118" spans="1:4" x14ac:dyDescent="0.2">
      <c r="A1118" s="3" t="s">
        <v>527</v>
      </c>
      <c r="B1118" t="s">
        <v>8</v>
      </c>
      <c r="C1118" s="3" t="s">
        <v>537</v>
      </c>
      <c r="D1118" s="3" t="s">
        <v>53</v>
      </c>
    </row>
    <row r="1119" spans="1:4" x14ac:dyDescent="0.2">
      <c r="A1119" s="3" t="s">
        <v>527</v>
      </c>
      <c r="B1119" t="s">
        <v>8</v>
      </c>
      <c r="C1119" s="3" t="s">
        <v>538</v>
      </c>
      <c r="D1119" s="3" t="s">
        <v>53</v>
      </c>
    </row>
    <row r="1120" spans="1:4" x14ac:dyDescent="0.2">
      <c r="A1120" s="3" t="s">
        <v>527</v>
      </c>
      <c r="B1120" t="s">
        <v>8</v>
      </c>
      <c r="C1120" s="3" t="s">
        <v>539</v>
      </c>
      <c r="D1120" s="3" t="s">
        <v>53</v>
      </c>
    </row>
    <row r="1121" spans="1:4" x14ac:dyDescent="0.2">
      <c r="A1121" s="3" t="s">
        <v>527</v>
      </c>
      <c r="B1121" t="s">
        <v>8</v>
      </c>
      <c r="C1121" s="3" t="s">
        <v>540</v>
      </c>
      <c r="D1121" s="3" t="s">
        <v>53</v>
      </c>
    </row>
    <row r="1122" spans="1:4" x14ac:dyDescent="0.2">
      <c r="A1122" s="3" t="s">
        <v>527</v>
      </c>
      <c r="B1122" t="s">
        <v>8</v>
      </c>
      <c r="C1122" s="3" t="s">
        <v>541</v>
      </c>
      <c r="D1122" s="3" t="s">
        <v>53</v>
      </c>
    </row>
    <row r="1123" spans="1:4" x14ac:dyDescent="0.2">
      <c r="A1123" s="3" t="s">
        <v>527</v>
      </c>
      <c r="B1123" t="s">
        <v>8</v>
      </c>
      <c r="C1123" s="3" t="s">
        <v>542</v>
      </c>
      <c r="D1123" s="3" t="s">
        <v>53</v>
      </c>
    </row>
    <row r="1124" spans="1:4" x14ac:dyDescent="0.2">
      <c r="A1124" s="3" t="s">
        <v>527</v>
      </c>
      <c r="B1124" t="s">
        <v>8</v>
      </c>
      <c r="C1124" s="3" t="s">
        <v>543</v>
      </c>
      <c r="D1124" s="3" t="s">
        <v>53</v>
      </c>
    </row>
    <row r="1125" spans="1:4" x14ac:dyDescent="0.2">
      <c r="A1125" s="3" t="s">
        <v>527</v>
      </c>
      <c r="B1125" t="s">
        <v>8</v>
      </c>
      <c r="C1125" s="3" t="s">
        <v>544</v>
      </c>
      <c r="D1125" s="3" t="s">
        <v>53</v>
      </c>
    </row>
    <row r="1126" spans="1:4" x14ac:dyDescent="0.2">
      <c r="A1126" s="3" t="s">
        <v>527</v>
      </c>
      <c r="B1126" t="s">
        <v>8</v>
      </c>
      <c r="C1126" s="3" t="s">
        <v>545</v>
      </c>
      <c r="D1126" s="3" t="s">
        <v>53</v>
      </c>
    </row>
    <row r="1127" spans="1:4" x14ac:dyDescent="0.2">
      <c r="A1127" s="3" t="s">
        <v>527</v>
      </c>
      <c r="B1127" t="s">
        <v>8</v>
      </c>
      <c r="C1127" s="3" t="s">
        <v>546</v>
      </c>
      <c r="D1127" s="3" t="s">
        <v>53</v>
      </c>
    </row>
    <row r="1128" spans="1:4" x14ac:dyDescent="0.2">
      <c r="A1128" s="3" t="s">
        <v>527</v>
      </c>
      <c r="B1128" t="s">
        <v>8</v>
      </c>
      <c r="C1128" s="3" t="s">
        <v>547</v>
      </c>
      <c r="D1128" s="3" t="s">
        <v>53</v>
      </c>
    </row>
    <row r="1129" spans="1:4" x14ac:dyDescent="0.2">
      <c r="A1129" s="3" t="s">
        <v>527</v>
      </c>
      <c r="B1129" t="s">
        <v>8</v>
      </c>
      <c r="C1129" s="3" t="s">
        <v>548</v>
      </c>
      <c r="D1129" s="3" t="s">
        <v>53</v>
      </c>
    </row>
    <row r="1130" spans="1:4" x14ac:dyDescent="0.2">
      <c r="A1130" s="3" t="s">
        <v>527</v>
      </c>
      <c r="B1130" t="s">
        <v>8</v>
      </c>
      <c r="C1130" s="3" t="s">
        <v>549</v>
      </c>
      <c r="D1130" s="3" t="s">
        <v>53</v>
      </c>
    </row>
    <row r="1131" spans="1:4" x14ac:dyDescent="0.2">
      <c r="A1131" s="3" t="s">
        <v>527</v>
      </c>
      <c r="B1131" t="s">
        <v>8</v>
      </c>
      <c r="C1131" s="3" t="s">
        <v>550</v>
      </c>
      <c r="D1131" s="3" t="s">
        <v>53</v>
      </c>
    </row>
    <row r="1132" spans="1:4" x14ac:dyDescent="0.2">
      <c r="A1132" s="3" t="s">
        <v>527</v>
      </c>
      <c r="B1132" t="s">
        <v>8</v>
      </c>
      <c r="C1132" s="3" t="s">
        <v>551</v>
      </c>
      <c r="D1132" s="3" t="s">
        <v>53</v>
      </c>
    </row>
    <row r="1133" spans="1:4" x14ac:dyDescent="0.2">
      <c r="A1133" s="3" t="s">
        <v>527</v>
      </c>
      <c r="B1133" t="s">
        <v>8</v>
      </c>
      <c r="C1133" s="3" t="s">
        <v>528</v>
      </c>
      <c r="D1133" s="3" t="s">
        <v>54</v>
      </c>
    </row>
    <row r="1134" spans="1:4" x14ac:dyDescent="0.2">
      <c r="A1134" s="3" t="s">
        <v>527</v>
      </c>
      <c r="B1134" t="s">
        <v>8</v>
      </c>
      <c r="C1134" s="3" t="s">
        <v>529</v>
      </c>
      <c r="D1134" s="3" t="s">
        <v>54</v>
      </c>
    </row>
    <row r="1135" spans="1:4" x14ac:dyDescent="0.2">
      <c r="A1135" s="3" t="s">
        <v>527</v>
      </c>
      <c r="B1135" t="s">
        <v>8</v>
      </c>
      <c r="C1135" s="3" t="s">
        <v>530</v>
      </c>
      <c r="D1135" s="3" t="s">
        <v>54</v>
      </c>
    </row>
    <row r="1136" spans="1:4" x14ac:dyDescent="0.2">
      <c r="A1136" s="3" t="s">
        <v>527</v>
      </c>
      <c r="B1136" t="s">
        <v>8</v>
      </c>
      <c r="C1136" s="3" t="s">
        <v>531</v>
      </c>
      <c r="D1136" s="3" t="s">
        <v>54</v>
      </c>
    </row>
    <row r="1137" spans="1:4" x14ac:dyDescent="0.2">
      <c r="A1137" s="3" t="s">
        <v>527</v>
      </c>
      <c r="B1137" t="s">
        <v>8</v>
      </c>
      <c r="C1137" s="3" t="s">
        <v>532</v>
      </c>
      <c r="D1137" s="3" t="s">
        <v>54</v>
      </c>
    </row>
    <row r="1138" spans="1:4" x14ac:dyDescent="0.2">
      <c r="A1138" s="3" t="s">
        <v>527</v>
      </c>
      <c r="B1138" t="s">
        <v>8</v>
      </c>
      <c r="C1138" s="3" t="s">
        <v>533</v>
      </c>
      <c r="D1138" s="3" t="s">
        <v>54</v>
      </c>
    </row>
    <row r="1139" spans="1:4" x14ac:dyDescent="0.2">
      <c r="A1139" s="3" t="s">
        <v>527</v>
      </c>
      <c r="B1139" t="s">
        <v>8</v>
      </c>
      <c r="C1139" s="3" t="s">
        <v>534</v>
      </c>
      <c r="D1139" s="3" t="s">
        <v>54</v>
      </c>
    </row>
    <row r="1140" spans="1:4" x14ac:dyDescent="0.2">
      <c r="A1140" s="3" t="s">
        <v>527</v>
      </c>
      <c r="B1140" t="s">
        <v>8</v>
      </c>
      <c r="C1140" s="3" t="s">
        <v>535</v>
      </c>
      <c r="D1140" s="3" t="s">
        <v>54</v>
      </c>
    </row>
    <row r="1141" spans="1:4" x14ac:dyDescent="0.2">
      <c r="A1141" s="3" t="s">
        <v>527</v>
      </c>
      <c r="B1141" t="s">
        <v>8</v>
      </c>
      <c r="C1141" s="3" t="s">
        <v>536</v>
      </c>
      <c r="D1141" s="3" t="s">
        <v>54</v>
      </c>
    </row>
    <row r="1142" spans="1:4" x14ac:dyDescent="0.2">
      <c r="A1142" s="3" t="s">
        <v>527</v>
      </c>
      <c r="B1142" t="s">
        <v>8</v>
      </c>
      <c r="C1142" s="3" t="s">
        <v>537</v>
      </c>
      <c r="D1142" s="3" t="s">
        <v>54</v>
      </c>
    </row>
    <row r="1143" spans="1:4" x14ac:dyDescent="0.2">
      <c r="A1143" s="3" t="s">
        <v>527</v>
      </c>
      <c r="B1143" t="s">
        <v>8</v>
      </c>
      <c r="C1143" s="3" t="s">
        <v>538</v>
      </c>
      <c r="D1143" s="3" t="s">
        <v>54</v>
      </c>
    </row>
    <row r="1144" spans="1:4" x14ac:dyDescent="0.2">
      <c r="A1144" s="3" t="s">
        <v>527</v>
      </c>
      <c r="B1144" t="s">
        <v>8</v>
      </c>
      <c r="C1144" s="3" t="s">
        <v>539</v>
      </c>
      <c r="D1144" s="3" t="s">
        <v>54</v>
      </c>
    </row>
    <row r="1145" spans="1:4" x14ac:dyDescent="0.2">
      <c r="A1145" s="3" t="s">
        <v>527</v>
      </c>
      <c r="B1145" t="s">
        <v>8</v>
      </c>
      <c r="C1145" s="3" t="s">
        <v>540</v>
      </c>
      <c r="D1145" s="3" t="s">
        <v>54</v>
      </c>
    </row>
    <row r="1146" spans="1:4" x14ac:dyDescent="0.2">
      <c r="A1146" s="3" t="s">
        <v>527</v>
      </c>
      <c r="B1146" t="s">
        <v>8</v>
      </c>
      <c r="C1146" s="3" t="s">
        <v>541</v>
      </c>
      <c r="D1146" s="3" t="s">
        <v>54</v>
      </c>
    </row>
    <row r="1147" spans="1:4" x14ac:dyDescent="0.2">
      <c r="A1147" s="3" t="s">
        <v>527</v>
      </c>
      <c r="B1147" t="s">
        <v>8</v>
      </c>
      <c r="C1147" s="3" t="s">
        <v>542</v>
      </c>
      <c r="D1147" s="3" t="s">
        <v>54</v>
      </c>
    </row>
    <row r="1148" spans="1:4" x14ac:dyDescent="0.2">
      <c r="A1148" s="3" t="s">
        <v>527</v>
      </c>
      <c r="B1148" t="s">
        <v>8</v>
      </c>
      <c r="C1148" s="3" t="s">
        <v>543</v>
      </c>
      <c r="D1148" s="3" t="s">
        <v>54</v>
      </c>
    </row>
    <row r="1149" spans="1:4" x14ac:dyDescent="0.2">
      <c r="A1149" s="3" t="s">
        <v>527</v>
      </c>
      <c r="B1149" t="s">
        <v>8</v>
      </c>
      <c r="C1149" s="3" t="s">
        <v>544</v>
      </c>
      <c r="D1149" s="3" t="s">
        <v>54</v>
      </c>
    </row>
    <row r="1150" spans="1:4" x14ac:dyDescent="0.2">
      <c r="A1150" s="3" t="s">
        <v>527</v>
      </c>
      <c r="B1150" t="s">
        <v>8</v>
      </c>
      <c r="C1150" s="3" t="s">
        <v>545</v>
      </c>
      <c r="D1150" s="3" t="s">
        <v>54</v>
      </c>
    </row>
    <row r="1151" spans="1:4" x14ac:dyDescent="0.2">
      <c r="A1151" s="3" t="s">
        <v>527</v>
      </c>
      <c r="B1151" t="s">
        <v>8</v>
      </c>
      <c r="C1151" s="3" t="s">
        <v>546</v>
      </c>
      <c r="D1151" s="3" t="s">
        <v>54</v>
      </c>
    </row>
    <row r="1152" spans="1:4" x14ac:dyDescent="0.2">
      <c r="A1152" s="3" t="s">
        <v>527</v>
      </c>
      <c r="B1152" t="s">
        <v>8</v>
      </c>
      <c r="C1152" s="3" t="s">
        <v>547</v>
      </c>
      <c r="D1152" s="3" t="s">
        <v>54</v>
      </c>
    </row>
    <row r="1153" spans="1:4" x14ac:dyDescent="0.2">
      <c r="A1153" s="3" t="s">
        <v>527</v>
      </c>
      <c r="B1153" t="s">
        <v>8</v>
      </c>
      <c r="C1153" s="3" t="s">
        <v>548</v>
      </c>
      <c r="D1153" s="3" t="s">
        <v>54</v>
      </c>
    </row>
    <row r="1154" spans="1:4" x14ac:dyDescent="0.2">
      <c r="A1154" s="3" t="s">
        <v>527</v>
      </c>
      <c r="B1154" t="s">
        <v>8</v>
      </c>
      <c r="C1154" s="3" t="s">
        <v>549</v>
      </c>
      <c r="D1154" s="3" t="s">
        <v>54</v>
      </c>
    </row>
    <row r="1155" spans="1:4" x14ac:dyDescent="0.2">
      <c r="A1155" s="3" t="s">
        <v>527</v>
      </c>
      <c r="B1155" t="s">
        <v>8</v>
      </c>
      <c r="C1155" s="3" t="s">
        <v>550</v>
      </c>
      <c r="D1155" s="3" t="s">
        <v>54</v>
      </c>
    </row>
    <row r="1156" spans="1:4" x14ac:dyDescent="0.2">
      <c r="A1156" s="3" t="s">
        <v>527</v>
      </c>
      <c r="B1156" t="s">
        <v>8</v>
      </c>
      <c r="C1156" s="3" t="s">
        <v>551</v>
      </c>
      <c r="D1156" s="3" t="s">
        <v>54</v>
      </c>
    </row>
    <row r="1157" spans="1:4" x14ac:dyDescent="0.2">
      <c r="A1157" s="3" t="s">
        <v>527</v>
      </c>
      <c r="B1157" t="s">
        <v>8</v>
      </c>
      <c r="C1157" s="3" t="s">
        <v>528</v>
      </c>
      <c r="D1157" s="3" t="s">
        <v>55</v>
      </c>
    </row>
    <row r="1158" spans="1:4" x14ac:dyDescent="0.2">
      <c r="A1158" s="3" t="s">
        <v>527</v>
      </c>
      <c r="B1158" t="s">
        <v>8</v>
      </c>
      <c r="C1158" s="3" t="s">
        <v>529</v>
      </c>
      <c r="D1158" s="3" t="s">
        <v>55</v>
      </c>
    </row>
    <row r="1159" spans="1:4" x14ac:dyDescent="0.2">
      <c r="A1159" s="3" t="s">
        <v>527</v>
      </c>
      <c r="B1159" t="s">
        <v>8</v>
      </c>
      <c r="C1159" s="3" t="s">
        <v>552</v>
      </c>
      <c r="D1159" s="3" t="s">
        <v>55</v>
      </c>
    </row>
    <row r="1160" spans="1:4" x14ac:dyDescent="0.2">
      <c r="A1160" s="3" t="s">
        <v>527</v>
      </c>
      <c r="B1160" t="s">
        <v>8</v>
      </c>
      <c r="C1160" s="3" t="s">
        <v>553</v>
      </c>
      <c r="D1160" s="3" t="s">
        <v>55</v>
      </c>
    </row>
    <row r="1161" spans="1:4" x14ac:dyDescent="0.2">
      <c r="A1161" s="3" t="s">
        <v>527</v>
      </c>
      <c r="B1161" t="s">
        <v>8</v>
      </c>
      <c r="C1161" s="3" t="s">
        <v>554</v>
      </c>
      <c r="D1161" s="3" t="s">
        <v>55</v>
      </c>
    </row>
    <row r="1162" spans="1:4" x14ac:dyDescent="0.2">
      <c r="A1162" s="3" t="s">
        <v>527</v>
      </c>
      <c r="B1162" t="s">
        <v>8</v>
      </c>
      <c r="C1162" s="3" t="s">
        <v>555</v>
      </c>
      <c r="D1162" s="3" t="s">
        <v>55</v>
      </c>
    </row>
    <row r="1163" spans="1:4" x14ac:dyDescent="0.2">
      <c r="A1163" s="3" t="s">
        <v>527</v>
      </c>
      <c r="B1163" t="s">
        <v>8</v>
      </c>
      <c r="C1163" s="3" t="s">
        <v>530</v>
      </c>
      <c r="D1163" s="3" t="s">
        <v>55</v>
      </c>
    </row>
    <row r="1164" spans="1:4" x14ac:dyDescent="0.2">
      <c r="A1164" s="3" t="s">
        <v>527</v>
      </c>
      <c r="B1164" t="s">
        <v>8</v>
      </c>
      <c r="C1164" s="3" t="s">
        <v>531</v>
      </c>
      <c r="D1164" s="3" t="s">
        <v>55</v>
      </c>
    </row>
    <row r="1165" spans="1:4" x14ac:dyDescent="0.2">
      <c r="A1165" s="3" t="s">
        <v>527</v>
      </c>
      <c r="B1165" t="s">
        <v>8</v>
      </c>
      <c r="C1165" s="3" t="s">
        <v>532</v>
      </c>
      <c r="D1165" s="3" t="s">
        <v>55</v>
      </c>
    </row>
    <row r="1166" spans="1:4" x14ac:dyDescent="0.2">
      <c r="A1166" s="3" t="s">
        <v>527</v>
      </c>
      <c r="B1166" t="s">
        <v>8</v>
      </c>
      <c r="C1166" s="3" t="s">
        <v>533</v>
      </c>
      <c r="D1166" s="3" t="s">
        <v>55</v>
      </c>
    </row>
    <row r="1167" spans="1:4" x14ac:dyDescent="0.2">
      <c r="A1167" s="3" t="s">
        <v>527</v>
      </c>
      <c r="B1167" t="s">
        <v>8</v>
      </c>
      <c r="C1167" s="3" t="s">
        <v>534</v>
      </c>
      <c r="D1167" s="3" t="s">
        <v>55</v>
      </c>
    </row>
    <row r="1168" spans="1:4" x14ac:dyDescent="0.2">
      <c r="A1168" s="3" t="s">
        <v>527</v>
      </c>
      <c r="B1168" t="s">
        <v>8</v>
      </c>
      <c r="C1168" s="3" t="s">
        <v>535</v>
      </c>
      <c r="D1168" s="3" t="s">
        <v>55</v>
      </c>
    </row>
    <row r="1169" spans="1:4" x14ac:dyDescent="0.2">
      <c r="A1169" s="3" t="s">
        <v>527</v>
      </c>
      <c r="B1169" t="s">
        <v>8</v>
      </c>
      <c r="C1169" s="3" t="s">
        <v>536</v>
      </c>
      <c r="D1169" s="3" t="s">
        <v>55</v>
      </c>
    </row>
    <row r="1170" spans="1:4" x14ac:dyDescent="0.2">
      <c r="A1170" s="3" t="s">
        <v>527</v>
      </c>
      <c r="B1170" t="s">
        <v>8</v>
      </c>
      <c r="C1170" s="3" t="s">
        <v>537</v>
      </c>
      <c r="D1170" s="3" t="s">
        <v>55</v>
      </c>
    </row>
    <row r="1171" spans="1:4" x14ac:dyDescent="0.2">
      <c r="A1171" s="3" t="s">
        <v>527</v>
      </c>
      <c r="B1171" t="s">
        <v>8</v>
      </c>
      <c r="C1171" s="3" t="s">
        <v>538</v>
      </c>
      <c r="D1171" s="3" t="s">
        <v>55</v>
      </c>
    </row>
    <row r="1172" spans="1:4" x14ac:dyDescent="0.2">
      <c r="A1172" s="3" t="s">
        <v>527</v>
      </c>
      <c r="B1172" t="s">
        <v>8</v>
      </c>
      <c r="C1172" s="3" t="s">
        <v>539</v>
      </c>
      <c r="D1172" s="3" t="s">
        <v>55</v>
      </c>
    </row>
    <row r="1173" spans="1:4" x14ac:dyDescent="0.2">
      <c r="A1173" s="3" t="s">
        <v>527</v>
      </c>
      <c r="B1173" t="s">
        <v>8</v>
      </c>
      <c r="C1173" s="3" t="s">
        <v>540</v>
      </c>
      <c r="D1173" s="3" t="s">
        <v>55</v>
      </c>
    </row>
    <row r="1174" spans="1:4" x14ac:dyDescent="0.2">
      <c r="A1174" s="3" t="s">
        <v>527</v>
      </c>
      <c r="B1174" t="s">
        <v>8</v>
      </c>
      <c r="C1174" s="3" t="s">
        <v>541</v>
      </c>
      <c r="D1174" s="3" t="s">
        <v>55</v>
      </c>
    </row>
    <row r="1175" spans="1:4" x14ac:dyDescent="0.2">
      <c r="A1175" s="3" t="s">
        <v>527</v>
      </c>
      <c r="B1175" t="s">
        <v>8</v>
      </c>
      <c r="C1175" s="3" t="s">
        <v>542</v>
      </c>
      <c r="D1175" s="3" t="s">
        <v>55</v>
      </c>
    </row>
    <row r="1176" spans="1:4" x14ac:dyDescent="0.2">
      <c r="A1176" s="3" t="s">
        <v>527</v>
      </c>
      <c r="B1176" t="s">
        <v>8</v>
      </c>
      <c r="C1176" s="3" t="s">
        <v>543</v>
      </c>
      <c r="D1176" s="3" t="s">
        <v>55</v>
      </c>
    </row>
    <row r="1177" spans="1:4" x14ac:dyDescent="0.2">
      <c r="A1177" s="3" t="s">
        <v>527</v>
      </c>
      <c r="B1177" t="s">
        <v>8</v>
      </c>
      <c r="C1177" s="3" t="s">
        <v>544</v>
      </c>
      <c r="D1177" s="3" t="s">
        <v>55</v>
      </c>
    </row>
    <row r="1178" spans="1:4" x14ac:dyDescent="0.2">
      <c r="A1178" s="3" t="s">
        <v>527</v>
      </c>
      <c r="B1178" t="s">
        <v>8</v>
      </c>
      <c r="C1178" s="3" t="s">
        <v>545</v>
      </c>
      <c r="D1178" s="3" t="s">
        <v>55</v>
      </c>
    </row>
    <row r="1179" spans="1:4" x14ac:dyDescent="0.2">
      <c r="A1179" s="3" t="s">
        <v>527</v>
      </c>
      <c r="B1179" t="s">
        <v>8</v>
      </c>
      <c r="C1179" s="3" t="s">
        <v>547</v>
      </c>
      <c r="D1179" s="3" t="s">
        <v>55</v>
      </c>
    </row>
    <row r="1180" spans="1:4" x14ac:dyDescent="0.2">
      <c r="A1180" s="3" t="s">
        <v>527</v>
      </c>
      <c r="B1180" t="s">
        <v>8</v>
      </c>
      <c r="C1180" s="3" t="s">
        <v>556</v>
      </c>
      <c r="D1180" s="3" t="s">
        <v>55</v>
      </c>
    </row>
    <row r="1181" spans="1:4" x14ac:dyDescent="0.2">
      <c r="A1181" s="3" t="s">
        <v>527</v>
      </c>
      <c r="B1181" t="s">
        <v>8</v>
      </c>
      <c r="C1181" s="3" t="s">
        <v>528</v>
      </c>
      <c r="D1181" s="3" t="s">
        <v>56</v>
      </c>
    </row>
    <row r="1182" spans="1:4" x14ac:dyDescent="0.2">
      <c r="A1182" s="3" t="s">
        <v>527</v>
      </c>
      <c r="B1182" t="s">
        <v>8</v>
      </c>
      <c r="C1182" s="3" t="s">
        <v>529</v>
      </c>
      <c r="D1182" s="3" t="s">
        <v>56</v>
      </c>
    </row>
    <row r="1183" spans="1:4" x14ac:dyDescent="0.2">
      <c r="A1183" s="3" t="s">
        <v>527</v>
      </c>
      <c r="B1183" t="s">
        <v>8</v>
      </c>
      <c r="C1183" s="3" t="s">
        <v>552</v>
      </c>
      <c r="D1183" s="3" t="s">
        <v>56</v>
      </c>
    </row>
    <row r="1184" spans="1:4" x14ac:dyDescent="0.2">
      <c r="A1184" s="3" t="s">
        <v>527</v>
      </c>
      <c r="B1184" t="s">
        <v>8</v>
      </c>
      <c r="C1184" s="3" t="s">
        <v>553</v>
      </c>
      <c r="D1184" s="3" t="s">
        <v>56</v>
      </c>
    </row>
    <row r="1185" spans="1:4" x14ac:dyDescent="0.2">
      <c r="A1185" s="3" t="s">
        <v>527</v>
      </c>
      <c r="B1185" t="s">
        <v>8</v>
      </c>
      <c r="C1185" s="3" t="s">
        <v>554</v>
      </c>
      <c r="D1185" s="3" t="s">
        <v>56</v>
      </c>
    </row>
    <row r="1186" spans="1:4" x14ac:dyDescent="0.2">
      <c r="A1186" s="3" t="s">
        <v>527</v>
      </c>
      <c r="B1186" t="s">
        <v>8</v>
      </c>
      <c r="C1186" s="3" t="s">
        <v>555</v>
      </c>
      <c r="D1186" s="3" t="s">
        <v>56</v>
      </c>
    </row>
    <row r="1187" spans="1:4" x14ac:dyDescent="0.2">
      <c r="A1187" s="3" t="s">
        <v>527</v>
      </c>
      <c r="B1187" t="s">
        <v>8</v>
      </c>
      <c r="C1187" s="3" t="s">
        <v>530</v>
      </c>
      <c r="D1187" s="3" t="s">
        <v>56</v>
      </c>
    </row>
    <row r="1188" spans="1:4" x14ac:dyDescent="0.2">
      <c r="A1188" s="3" t="s">
        <v>527</v>
      </c>
      <c r="B1188" t="s">
        <v>8</v>
      </c>
      <c r="C1188" s="3" t="s">
        <v>531</v>
      </c>
      <c r="D1188" s="3" t="s">
        <v>56</v>
      </c>
    </row>
    <row r="1189" spans="1:4" x14ac:dyDescent="0.2">
      <c r="A1189" s="3" t="s">
        <v>527</v>
      </c>
      <c r="B1189" t="s">
        <v>8</v>
      </c>
      <c r="C1189" s="3" t="s">
        <v>532</v>
      </c>
      <c r="D1189" s="3" t="s">
        <v>56</v>
      </c>
    </row>
    <row r="1190" spans="1:4" x14ac:dyDescent="0.2">
      <c r="A1190" s="3" t="s">
        <v>527</v>
      </c>
      <c r="B1190" t="s">
        <v>8</v>
      </c>
      <c r="C1190" s="3" t="s">
        <v>533</v>
      </c>
      <c r="D1190" s="3" t="s">
        <v>56</v>
      </c>
    </row>
    <row r="1191" spans="1:4" x14ac:dyDescent="0.2">
      <c r="A1191" s="3" t="s">
        <v>527</v>
      </c>
      <c r="B1191" t="s">
        <v>8</v>
      </c>
      <c r="C1191" s="3" t="s">
        <v>534</v>
      </c>
      <c r="D1191" s="3" t="s">
        <v>56</v>
      </c>
    </row>
    <row r="1192" spans="1:4" x14ac:dyDescent="0.2">
      <c r="A1192" s="3" t="s">
        <v>527</v>
      </c>
      <c r="B1192" t="s">
        <v>8</v>
      </c>
      <c r="C1192" s="3" t="s">
        <v>535</v>
      </c>
      <c r="D1192" s="3" t="s">
        <v>56</v>
      </c>
    </row>
    <row r="1193" spans="1:4" x14ac:dyDescent="0.2">
      <c r="A1193" s="3" t="s">
        <v>527</v>
      </c>
      <c r="B1193" t="s">
        <v>8</v>
      </c>
      <c r="C1193" s="3" t="s">
        <v>536</v>
      </c>
      <c r="D1193" s="3" t="s">
        <v>56</v>
      </c>
    </row>
    <row r="1194" spans="1:4" x14ac:dyDescent="0.2">
      <c r="A1194" s="3" t="s">
        <v>527</v>
      </c>
      <c r="B1194" t="s">
        <v>8</v>
      </c>
      <c r="C1194" s="3" t="s">
        <v>537</v>
      </c>
      <c r="D1194" s="3" t="s">
        <v>56</v>
      </c>
    </row>
    <row r="1195" spans="1:4" x14ac:dyDescent="0.2">
      <c r="A1195" s="3" t="s">
        <v>527</v>
      </c>
      <c r="B1195" t="s">
        <v>8</v>
      </c>
      <c r="C1195" s="3" t="s">
        <v>538</v>
      </c>
      <c r="D1195" s="3" t="s">
        <v>56</v>
      </c>
    </row>
    <row r="1196" spans="1:4" x14ac:dyDescent="0.2">
      <c r="A1196" s="3" t="s">
        <v>527</v>
      </c>
      <c r="B1196" t="s">
        <v>8</v>
      </c>
      <c r="C1196" s="3" t="s">
        <v>539</v>
      </c>
      <c r="D1196" s="3" t="s">
        <v>56</v>
      </c>
    </row>
    <row r="1197" spans="1:4" x14ac:dyDescent="0.2">
      <c r="A1197" s="3" t="s">
        <v>527</v>
      </c>
      <c r="B1197" t="s">
        <v>8</v>
      </c>
      <c r="C1197" s="3" t="s">
        <v>540</v>
      </c>
      <c r="D1197" s="3" t="s">
        <v>56</v>
      </c>
    </row>
    <row r="1198" spans="1:4" x14ac:dyDescent="0.2">
      <c r="A1198" s="3" t="s">
        <v>527</v>
      </c>
      <c r="B1198" t="s">
        <v>8</v>
      </c>
      <c r="C1198" s="3" t="s">
        <v>541</v>
      </c>
      <c r="D1198" s="3" t="s">
        <v>56</v>
      </c>
    </row>
    <row r="1199" spans="1:4" x14ac:dyDescent="0.2">
      <c r="A1199" s="3" t="s">
        <v>527</v>
      </c>
      <c r="B1199" t="s">
        <v>8</v>
      </c>
      <c r="C1199" s="3" t="s">
        <v>542</v>
      </c>
      <c r="D1199" s="3" t="s">
        <v>56</v>
      </c>
    </row>
    <row r="1200" spans="1:4" x14ac:dyDescent="0.2">
      <c r="A1200" s="3" t="s">
        <v>527</v>
      </c>
      <c r="B1200" t="s">
        <v>8</v>
      </c>
      <c r="C1200" s="3" t="s">
        <v>543</v>
      </c>
      <c r="D1200" s="3" t="s">
        <v>56</v>
      </c>
    </row>
    <row r="1201" spans="1:4" x14ac:dyDescent="0.2">
      <c r="A1201" s="3" t="s">
        <v>527</v>
      </c>
      <c r="B1201" t="s">
        <v>8</v>
      </c>
      <c r="C1201" s="3" t="s">
        <v>544</v>
      </c>
      <c r="D1201" s="3" t="s">
        <v>56</v>
      </c>
    </row>
    <row r="1202" spans="1:4" x14ac:dyDescent="0.2">
      <c r="A1202" s="3" t="s">
        <v>527</v>
      </c>
      <c r="B1202" t="s">
        <v>8</v>
      </c>
      <c r="C1202" s="3" t="s">
        <v>545</v>
      </c>
      <c r="D1202" s="3" t="s">
        <v>56</v>
      </c>
    </row>
    <row r="1203" spans="1:4" x14ac:dyDescent="0.2">
      <c r="A1203" s="3" t="s">
        <v>527</v>
      </c>
      <c r="B1203" t="s">
        <v>8</v>
      </c>
      <c r="C1203" s="3" t="s">
        <v>547</v>
      </c>
      <c r="D1203" s="3" t="s">
        <v>56</v>
      </c>
    </row>
    <row r="1204" spans="1:4" x14ac:dyDescent="0.2">
      <c r="A1204" s="3" t="s">
        <v>527</v>
      </c>
      <c r="B1204" t="s">
        <v>8</v>
      </c>
      <c r="C1204" s="3" t="s">
        <v>556</v>
      </c>
      <c r="D1204" s="3" t="s">
        <v>56</v>
      </c>
    </row>
    <row r="1205" spans="1:4" x14ac:dyDescent="0.2">
      <c r="A1205" s="3" t="s">
        <v>527</v>
      </c>
      <c r="B1205" t="s">
        <v>8</v>
      </c>
      <c r="C1205" s="3" t="s">
        <v>528</v>
      </c>
      <c r="D1205" s="3" t="s">
        <v>57</v>
      </c>
    </row>
    <row r="1206" spans="1:4" x14ac:dyDescent="0.2">
      <c r="A1206" s="3" t="s">
        <v>527</v>
      </c>
      <c r="B1206" t="s">
        <v>8</v>
      </c>
      <c r="C1206" s="3" t="s">
        <v>529</v>
      </c>
      <c r="D1206" s="3" t="s">
        <v>57</v>
      </c>
    </row>
    <row r="1207" spans="1:4" x14ac:dyDescent="0.2">
      <c r="A1207" s="3" t="s">
        <v>527</v>
      </c>
      <c r="B1207" t="s">
        <v>8</v>
      </c>
      <c r="C1207" s="3" t="s">
        <v>552</v>
      </c>
      <c r="D1207" s="3" t="s">
        <v>57</v>
      </c>
    </row>
    <row r="1208" spans="1:4" x14ac:dyDescent="0.2">
      <c r="A1208" s="3" t="s">
        <v>527</v>
      </c>
      <c r="B1208" t="s">
        <v>8</v>
      </c>
      <c r="C1208" s="3" t="s">
        <v>553</v>
      </c>
      <c r="D1208" s="3" t="s">
        <v>57</v>
      </c>
    </row>
    <row r="1209" spans="1:4" x14ac:dyDescent="0.2">
      <c r="A1209" s="3" t="s">
        <v>527</v>
      </c>
      <c r="B1209" t="s">
        <v>8</v>
      </c>
      <c r="C1209" s="3" t="s">
        <v>554</v>
      </c>
      <c r="D1209" s="3" t="s">
        <v>57</v>
      </c>
    </row>
    <row r="1210" spans="1:4" x14ac:dyDescent="0.2">
      <c r="A1210" s="3" t="s">
        <v>527</v>
      </c>
      <c r="B1210" t="s">
        <v>8</v>
      </c>
      <c r="C1210" s="3" t="s">
        <v>555</v>
      </c>
      <c r="D1210" s="3" t="s">
        <v>57</v>
      </c>
    </row>
    <row r="1211" spans="1:4" x14ac:dyDescent="0.2">
      <c r="A1211" s="3" t="s">
        <v>527</v>
      </c>
      <c r="B1211" t="s">
        <v>8</v>
      </c>
      <c r="C1211" s="3" t="s">
        <v>530</v>
      </c>
      <c r="D1211" s="3" t="s">
        <v>57</v>
      </c>
    </row>
    <row r="1212" spans="1:4" x14ac:dyDescent="0.2">
      <c r="A1212" s="3" t="s">
        <v>527</v>
      </c>
      <c r="B1212" t="s">
        <v>8</v>
      </c>
      <c r="C1212" s="3" t="s">
        <v>531</v>
      </c>
      <c r="D1212" s="3" t="s">
        <v>57</v>
      </c>
    </row>
    <row r="1213" spans="1:4" x14ac:dyDescent="0.2">
      <c r="A1213" s="3" t="s">
        <v>527</v>
      </c>
      <c r="B1213" t="s">
        <v>8</v>
      </c>
      <c r="C1213" s="3" t="s">
        <v>532</v>
      </c>
      <c r="D1213" s="3" t="s">
        <v>57</v>
      </c>
    </row>
    <row r="1214" spans="1:4" x14ac:dyDescent="0.2">
      <c r="A1214" s="3" t="s">
        <v>527</v>
      </c>
      <c r="B1214" t="s">
        <v>8</v>
      </c>
      <c r="C1214" s="3" t="s">
        <v>533</v>
      </c>
      <c r="D1214" s="3" t="s">
        <v>57</v>
      </c>
    </row>
    <row r="1215" spans="1:4" x14ac:dyDescent="0.2">
      <c r="A1215" s="3" t="s">
        <v>527</v>
      </c>
      <c r="B1215" t="s">
        <v>8</v>
      </c>
      <c r="C1215" s="3" t="s">
        <v>534</v>
      </c>
      <c r="D1215" s="3" t="s">
        <v>57</v>
      </c>
    </row>
    <row r="1216" spans="1:4" x14ac:dyDescent="0.2">
      <c r="A1216" s="3" t="s">
        <v>527</v>
      </c>
      <c r="B1216" t="s">
        <v>8</v>
      </c>
      <c r="C1216" s="3" t="s">
        <v>535</v>
      </c>
      <c r="D1216" s="3" t="s">
        <v>57</v>
      </c>
    </row>
    <row r="1217" spans="1:4" x14ac:dyDescent="0.2">
      <c r="A1217" s="3" t="s">
        <v>527</v>
      </c>
      <c r="B1217" t="s">
        <v>8</v>
      </c>
      <c r="C1217" s="3" t="s">
        <v>536</v>
      </c>
      <c r="D1217" s="3" t="s">
        <v>57</v>
      </c>
    </row>
    <row r="1218" spans="1:4" x14ac:dyDescent="0.2">
      <c r="A1218" s="3" t="s">
        <v>527</v>
      </c>
      <c r="B1218" t="s">
        <v>8</v>
      </c>
      <c r="C1218" s="3" t="s">
        <v>537</v>
      </c>
      <c r="D1218" s="3" t="s">
        <v>57</v>
      </c>
    </row>
    <row r="1219" spans="1:4" x14ac:dyDescent="0.2">
      <c r="A1219" s="3" t="s">
        <v>527</v>
      </c>
      <c r="B1219" t="s">
        <v>8</v>
      </c>
      <c r="C1219" s="3" t="s">
        <v>538</v>
      </c>
      <c r="D1219" s="3" t="s">
        <v>57</v>
      </c>
    </row>
    <row r="1220" spans="1:4" x14ac:dyDescent="0.2">
      <c r="A1220" s="3" t="s">
        <v>527</v>
      </c>
      <c r="B1220" t="s">
        <v>8</v>
      </c>
      <c r="C1220" s="3" t="s">
        <v>539</v>
      </c>
      <c r="D1220" s="3" t="s">
        <v>57</v>
      </c>
    </row>
    <row r="1221" spans="1:4" x14ac:dyDescent="0.2">
      <c r="A1221" s="3" t="s">
        <v>527</v>
      </c>
      <c r="B1221" t="s">
        <v>8</v>
      </c>
      <c r="C1221" s="3" t="s">
        <v>540</v>
      </c>
      <c r="D1221" s="3" t="s">
        <v>57</v>
      </c>
    </row>
    <row r="1222" spans="1:4" x14ac:dyDescent="0.2">
      <c r="A1222" s="3" t="s">
        <v>527</v>
      </c>
      <c r="B1222" t="s">
        <v>8</v>
      </c>
      <c r="C1222" s="3" t="s">
        <v>541</v>
      </c>
      <c r="D1222" s="3" t="s">
        <v>57</v>
      </c>
    </row>
    <row r="1223" spans="1:4" x14ac:dyDescent="0.2">
      <c r="A1223" s="3" t="s">
        <v>527</v>
      </c>
      <c r="B1223" t="s">
        <v>8</v>
      </c>
      <c r="C1223" s="3" t="s">
        <v>542</v>
      </c>
      <c r="D1223" s="3" t="s">
        <v>57</v>
      </c>
    </row>
    <row r="1224" spans="1:4" x14ac:dyDescent="0.2">
      <c r="A1224" s="3" t="s">
        <v>527</v>
      </c>
      <c r="B1224" t="s">
        <v>8</v>
      </c>
      <c r="C1224" s="3" t="s">
        <v>543</v>
      </c>
      <c r="D1224" s="3" t="s">
        <v>57</v>
      </c>
    </row>
    <row r="1225" spans="1:4" x14ac:dyDescent="0.2">
      <c r="A1225" s="3" t="s">
        <v>527</v>
      </c>
      <c r="B1225" t="s">
        <v>8</v>
      </c>
      <c r="C1225" s="3" t="s">
        <v>544</v>
      </c>
      <c r="D1225" s="3" t="s">
        <v>57</v>
      </c>
    </row>
    <row r="1226" spans="1:4" x14ac:dyDescent="0.2">
      <c r="A1226" s="3" t="s">
        <v>527</v>
      </c>
      <c r="B1226" t="s">
        <v>8</v>
      </c>
      <c r="C1226" s="3" t="s">
        <v>545</v>
      </c>
      <c r="D1226" s="3" t="s">
        <v>57</v>
      </c>
    </row>
    <row r="1227" spans="1:4" x14ac:dyDescent="0.2">
      <c r="A1227" s="3" t="s">
        <v>527</v>
      </c>
      <c r="B1227" t="s">
        <v>8</v>
      </c>
      <c r="C1227" s="3" t="s">
        <v>546</v>
      </c>
      <c r="D1227" s="3" t="s">
        <v>57</v>
      </c>
    </row>
    <row r="1228" spans="1:4" x14ac:dyDescent="0.2">
      <c r="A1228" s="3" t="s">
        <v>527</v>
      </c>
      <c r="B1228" t="s">
        <v>8</v>
      </c>
      <c r="C1228" s="3" t="s">
        <v>547</v>
      </c>
      <c r="D1228" s="3" t="s">
        <v>57</v>
      </c>
    </row>
    <row r="1229" spans="1:4" x14ac:dyDescent="0.2">
      <c r="A1229" s="3" t="s">
        <v>527</v>
      </c>
      <c r="B1229" t="s">
        <v>8</v>
      </c>
      <c r="C1229" s="3" t="s">
        <v>556</v>
      </c>
      <c r="D1229" s="3" t="s">
        <v>57</v>
      </c>
    </row>
    <row r="1230" spans="1:4" x14ac:dyDescent="0.2">
      <c r="A1230" s="3" t="s">
        <v>527</v>
      </c>
      <c r="B1230" t="s">
        <v>8</v>
      </c>
      <c r="C1230" s="3" t="s">
        <v>557</v>
      </c>
      <c r="D1230" s="3" t="s">
        <v>169</v>
      </c>
    </row>
    <row r="1231" spans="1:4" x14ac:dyDescent="0.2">
      <c r="A1231" s="3" t="s">
        <v>527</v>
      </c>
      <c r="B1231" t="s">
        <v>8</v>
      </c>
      <c r="C1231" s="3" t="s">
        <v>558</v>
      </c>
      <c r="D1231" s="3" t="s">
        <v>169</v>
      </c>
    </row>
    <row r="1232" spans="1:4" x14ac:dyDescent="0.2">
      <c r="A1232" s="3" t="s">
        <v>527</v>
      </c>
      <c r="B1232" t="s">
        <v>8</v>
      </c>
      <c r="C1232" s="3" t="s">
        <v>559</v>
      </c>
      <c r="D1232" s="3" t="s">
        <v>169</v>
      </c>
    </row>
    <row r="1233" spans="1:4" x14ac:dyDescent="0.2">
      <c r="A1233" s="3" t="s">
        <v>560</v>
      </c>
      <c r="B1233" t="s">
        <v>8</v>
      </c>
      <c r="C1233" s="3" t="s">
        <v>561</v>
      </c>
      <c r="D1233" s="3" t="s">
        <v>53</v>
      </c>
    </row>
    <row r="1234" spans="1:4" x14ac:dyDescent="0.2">
      <c r="A1234" s="3" t="s">
        <v>560</v>
      </c>
      <c r="B1234" t="s">
        <v>8</v>
      </c>
      <c r="C1234" s="3" t="s">
        <v>547</v>
      </c>
      <c r="D1234" s="3" t="s">
        <v>53</v>
      </c>
    </row>
    <row r="1235" spans="1:4" x14ac:dyDescent="0.2">
      <c r="A1235" s="3" t="s">
        <v>560</v>
      </c>
      <c r="B1235" t="s">
        <v>8</v>
      </c>
      <c r="C1235" s="3" t="s">
        <v>548</v>
      </c>
      <c r="D1235" s="3" t="s">
        <v>53</v>
      </c>
    </row>
    <row r="1236" spans="1:4" x14ac:dyDescent="0.2">
      <c r="A1236" s="3" t="s">
        <v>560</v>
      </c>
      <c r="B1236" t="s">
        <v>8</v>
      </c>
      <c r="C1236" s="3" t="s">
        <v>549</v>
      </c>
      <c r="D1236" s="3" t="s">
        <v>53</v>
      </c>
    </row>
    <row r="1237" spans="1:4" x14ac:dyDescent="0.2">
      <c r="A1237" s="3" t="s">
        <v>560</v>
      </c>
      <c r="B1237" t="s">
        <v>8</v>
      </c>
      <c r="C1237" s="3" t="s">
        <v>550</v>
      </c>
      <c r="D1237" s="3" t="s">
        <v>53</v>
      </c>
    </row>
    <row r="1238" spans="1:4" x14ac:dyDescent="0.2">
      <c r="A1238" s="3" t="s">
        <v>560</v>
      </c>
      <c r="B1238" t="s">
        <v>8</v>
      </c>
      <c r="C1238" s="3" t="s">
        <v>551</v>
      </c>
      <c r="D1238" s="3" t="s">
        <v>53</v>
      </c>
    </row>
    <row r="1239" spans="1:4" x14ac:dyDescent="0.2">
      <c r="A1239" s="3" t="s">
        <v>560</v>
      </c>
      <c r="B1239" t="s">
        <v>8</v>
      </c>
      <c r="C1239" s="3" t="s">
        <v>561</v>
      </c>
      <c r="D1239" s="3" t="s">
        <v>54</v>
      </c>
    </row>
    <row r="1240" spans="1:4" x14ac:dyDescent="0.2">
      <c r="A1240" s="3" t="s">
        <v>560</v>
      </c>
      <c r="B1240" t="s">
        <v>8</v>
      </c>
      <c r="C1240" s="3" t="s">
        <v>547</v>
      </c>
      <c r="D1240" s="3" t="s">
        <v>54</v>
      </c>
    </row>
    <row r="1241" spans="1:4" x14ac:dyDescent="0.2">
      <c r="A1241" s="3" t="s">
        <v>560</v>
      </c>
      <c r="B1241" t="s">
        <v>8</v>
      </c>
      <c r="C1241" s="3" t="s">
        <v>548</v>
      </c>
      <c r="D1241" s="3" t="s">
        <v>54</v>
      </c>
    </row>
    <row r="1242" spans="1:4" x14ac:dyDescent="0.2">
      <c r="A1242" s="3" t="s">
        <v>560</v>
      </c>
      <c r="B1242" t="s">
        <v>8</v>
      </c>
      <c r="C1242" s="3" t="s">
        <v>549</v>
      </c>
      <c r="D1242" s="3" t="s">
        <v>54</v>
      </c>
    </row>
    <row r="1243" spans="1:4" x14ac:dyDescent="0.2">
      <c r="A1243" s="3" t="s">
        <v>560</v>
      </c>
      <c r="B1243" t="s">
        <v>8</v>
      </c>
      <c r="C1243" s="3" t="s">
        <v>550</v>
      </c>
      <c r="D1243" s="3" t="s">
        <v>54</v>
      </c>
    </row>
    <row r="1244" spans="1:4" x14ac:dyDescent="0.2">
      <c r="A1244" s="3" t="s">
        <v>560</v>
      </c>
      <c r="B1244" t="s">
        <v>8</v>
      </c>
      <c r="C1244" s="3" t="s">
        <v>551</v>
      </c>
      <c r="D1244" s="3" t="s">
        <v>54</v>
      </c>
    </row>
    <row r="1245" spans="1:4" x14ac:dyDescent="0.2">
      <c r="A1245" s="3" t="s">
        <v>560</v>
      </c>
      <c r="B1245" t="s">
        <v>8</v>
      </c>
      <c r="C1245" s="3" t="s">
        <v>552</v>
      </c>
      <c r="D1245" s="3" t="s">
        <v>55</v>
      </c>
    </row>
    <row r="1246" spans="1:4" x14ac:dyDescent="0.2">
      <c r="A1246" s="3" t="s">
        <v>560</v>
      </c>
      <c r="B1246" t="s">
        <v>8</v>
      </c>
      <c r="C1246" s="3" t="s">
        <v>553</v>
      </c>
      <c r="D1246" s="3" t="s">
        <v>55</v>
      </c>
    </row>
    <row r="1247" spans="1:4" x14ac:dyDescent="0.2">
      <c r="A1247" s="3" t="s">
        <v>560</v>
      </c>
      <c r="B1247" t="s">
        <v>8</v>
      </c>
      <c r="C1247" s="3" t="s">
        <v>554</v>
      </c>
      <c r="D1247" s="3" t="s">
        <v>55</v>
      </c>
    </row>
    <row r="1248" spans="1:4" x14ac:dyDescent="0.2">
      <c r="A1248" s="3" t="s">
        <v>560</v>
      </c>
      <c r="B1248" t="s">
        <v>8</v>
      </c>
      <c r="C1248" s="3" t="s">
        <v>555</v>
      </c>
      <c r="D1248" s="3" t="s">
        <v>55</v>
      </c>
    </row>
    <row r="1249" spans="1:4" x14ac:dyDescent="0.2">
      <c r="A1249" s="3" t="s">
        <v>560</v>
      </c>
      <c r="B1249" t="s">
        <v>8</v>
      </c>
      <c r="C1249" s="3" t="s">
        <v>561</v>
      </c>
      <c r="D1249" s="3" t="s">
        <v>55</v>
      </c>
    </row>
    <row r="1250" spans="1:4" x14ac:dyDescent="0.2">
      <c r="A1250" s="3" t="s">
        <v>560</v>
      </c>
      <c r="B1250" t="s">
        <v>8</v>
      </c>
      <c r="C1250" s="3" t="s">
        <v>547</v>
      </c>
      <c r="D1250" s="3" t="s">
        <v>55</v>
      </c>
    </row>
    <row r="1251" spans="1:4" x14ac:dyDescent="0.2">
      <c r="A1251" s="3" t="s">
        <v>560</v>
      </c>
      <c r="B1251" t="s">
        <v>8</v>
      </c>
      <c r="C1251" s="3" t="s">
        <v>552</v>
      </c>
      <c r="D1251" s="3" t="s">
        <v>56</v>
      </c>
    </row>
    <row r="1252" spans="1:4" x14ac:dyDescent="0.2">
      <c r="A1252" s="3" t="s">
        <v>560</v>
      </c>
      <c r="B1252" t="s">
        <v>8</v>
      </c>
      <c r="C1252" s="3" t="s">
        <v>553</v>
      </c>
      <c r="D1252" s="3" t="s">
        <v>56</v>
      </c>
    </row>
    <row r="1253" spans="1:4" x14ac:dyDescent="0.2">
      <c r="A1253" s="3" t="s">
        <v>560</v>
      </c>
      <c r="B1253" t="s">
        <v>8</v>
      </c>
      <c r="C1253" s="3" t="s">
        <v>554</v>
      </c>
      <c r="D1253" s="3" t="s">
        <v>56</v>
      </c>
    </row>
    <row r="1254" spans="1:4" x14ac:dyDescent="0.2">
      <c r="A1254" s="3" t="s">
        <v>560</v>
      </c>
      <c r="B1254" t="s">
        <v>8</v>
      </c>
      <c r="C1254" s="3" t="s">
        <v>555</v>
      </c>
      <c r="D1254" s="3" t="s">
        <v>56</v>
      </c>
    </row>
    <row r="1255" spans="1:4" x14ac:dyDescent="0.2">
      <c r="A1255" s="3" t="s">
        <v>560</v>
      </c>
      <c r="B1255" t="s">
        <v>8</v>
      </c>
      <c r="C1255" s="3" t="s">
        <v>561</v>
      </c>
      <c r="D1255" s="3" t="s">
        <v>56</v>
      </c>
    </row>
    <row r="1256" spans="1:4" x14ac:dyDescent="0.2">
      <c r="A1256" s="3" t="s">
        <v>560</v>
      </c>
      <c r="B1256" t="s">
        <v>8</v>
      </c>
      <c r="C1256" s="3" t="s">
        <v>547</v>
      </c>
      <c r="D1256" s="3" t="s">
        <v>56</v>
      </c>
    </row>
    <row r="1257" spans="1:4" x14ac:dyDescent="0.2">
      <c r="A1257" s="3" t="s">
        <v>560</v>
      </c>
      <c r="B1257" t="s">
        <v>8</v>
      </c>
      <c r="C1257" s="3" t="s">
        <v>552</v>
      </c>
      <c r="D1257" s="3" t="s">
        <v>57</v>
      </c>
    </row>
    <row r="1258" spans="1:4" x14ac:dyDescent="0.2">
      <c r="A1258" s="3" t="s">
        <v>560</v>
      </c>
      <c r="B1258" t="s">
        <v>8</v>
      </c>
      <c r="C1258" s="3" t="s">
        <v>553</v>
      </c>
      <c r="D1258" s="3" t="s">
        <v>57</v>
      </c>
    </row>
    <row r="1259" spans="1:4" x14ac:dyDescent="0.2">
      <c r="A1259" s="3" t="s">
        <v>560</v>
      </c>
      <c r="B1259" t="s">
        <v>8</v>
      </c>
      <c r="C1259" s="3" t="s">
        <v>554</v>
      </c>
      <c r="D1259" s="3" t="s">
        <v>57</v>
      </c>
    </row>
    <row r="1260" spans="1:4" x14ac:dyDescent="0.2">
      <c r="A1260" s="3" t="s">
        <v>560</v>
      </c>
      <c r="B1260" t="s">
        <v>8</v>
      </c>
      <c r="C1260" s="3" t="s">
        <v>555</v>
      </c>
      <c r="D1260" s="3" t="s">
        <v>57</v>
      </c>
    </row>
    <row r="1261" spans="1:4" x14ac:dyDescent="0.2">
      <c r="A1261" s="3" t="s">
        <v>560</v>
      </c>
      <c r="B1261" t="s">
        <v>8</v>
      </c>
      <c r="C1261" s="3" t="s">
        <v>561</v>
      </c>
      <c r="D1261" s="3" t="s">
        <v>57</v>
      </c>
    </row>
    <row r="1262" spans="1:4" x14ac:dyDescent="0.2">
      <c r="A1262" s="3" t="s">
        <v>560</v>
      </c>
      <c r="B1262" t="s">
        <v>8</v>
      </c>
      <c r="C1262" s="3" t="s">
        <v>547</v>
      </c>
      <c r="D1262" s="3" t="s">
        <v>57</v>
      </c>
    </row>
    <row r="1263" spans="1:4" x14ac:dyDescent="0.2">
      <c r="A1263" s="3" t="s">
        <v>560</v>
      </c>
      <c r="B1263" t="s">
        <v>8</v>
      </c>
      <c r="C1263" s="3" t="s">
        <v>557</v>
      </c>
      <c r="D1263" s="3" t="s">
        <v>169</v>
      </c>
    </row>
    <row r="1264" spans="1:4" x14ac:dyDescent="0.2">
      <c r="A1264" s="3" t="s">
        <v>560</v>
      </c>
      <c r="B1264" t="s">
        <v>8</v>
      </c>
      <c r="C1264" s="3" t="s">
        <v>558</v>
      </c>
      <c r="D1264" s="3" t="s">
        <v>169</v>
      </c>
    </row>
    <row r="1265" spans="1:4" x14ac:dyDescent="0.2">
      <c r="A1265" s="3" t="s">
        <v>560</v>
      </c>
      <c r="B1265" t="s">
        <v>8</v>
      </c>
      <c r="C1265" s="3" t="s">
        <v>559</v>
      </c>
      <c r="D1265" s="3" t="s">
        <v>169</v>
      </c>
    </row>
    <row r="1266" spans="1:4" x14ac:dyDescent="0.2">
      <c r="A1266" s="3" t="s">
        <v>562</v>
      </c>
      <c r="B1266" t="s">
        <v>8</v>
      </c>
      <c r="C1266" s="3" t="s">
        <v>529</v>
      </c>
      <c r="D1266" s="3" t="s">
        <v>53</v>
      </c>
    </row>
    <row r="1267" spans="1:4" x14ac:dyDescent="0.2">
      <c r="A1267" s="3" t="s">
        <v>562</v>
      </c>
      <c r="B1267" t="s">
        <v>8</v>
      </c>
      <c r="C1267" s="3" t="s">
        <v>563</v>
      </c>
      <c r="D1267" s="3" t="s">
        <v>53</v>
      </c>
    </row>
    <row r="1268" spans="1:4" x14ac:dyDescent="0.2">
      <c r="A1268" s="3" t="s">
        <v>562</v>
      </c>
      <c r="B1268" t="s">
        <v>8</v>
      </c>
      <c r="C1268" s="3" t="s">
        <v>535</v>
      </c>
      <c r="D1268" s="3" t="s">
        <v>53</v>
      </c>
    </row>
    <row r="1269" spans="1:4" x14ac:dyDescent="0.2">
      <c r="A1269" s="3" t="s">
        <v>562</v>
      </c>
      <c r="B1269" t="s">
        <v>8</v>
      </c>
      <c r="C1269" s="3" t="s">
        <v>536</v>
      </c>
      <c r="D1269" s="3" t="s">
        <v>53</v>
      </c>
    </row>
    <row r="1270" spans="1:4" x14ac:dyDescent="0.2">
      <c r="A1270" s="3" t="s">
        <v>562</v>
      </c>
      <c r="B1270" t="s">
        <v>8</v>
      </c>
      <c r="C1270" s="3" t="s">
        <v>537</v>
      </c>
      <c r="D1270" s="3" t="s">
        <v>53</v>
      </c>
    </row>
    <row r="1271" spans="1:4" x14ac:dyDescent="0.2">
      <c r="A1271" s="3" t="s">
        <v>562</v>
      </c>
      <c r="B1271" t="s">
        <v>8</v>
      </c>
      <c r="C1271" s="3" t="s">
        <v>540</v>
      </c>
      <c r="D1271" s="3" t="s">
        <v>53</v>
      </c>
    </row>
    <row r="1272" spans="1:4" x14ac:dyDescent="0.2">
      <c r="A1272" s="3" t="s">
        <v>562</v>
      </c>
      <c r="B1272" t="s">
        <v>8</v>
      </c>
      <c r="C1272" s="3" t="s">
        <v>541</v>
      </c>
      <c r="D1272" s="3" t="s">
        <v>53</v>
      </c>
    </row>
    <row r="1273" spans="1:4" x14ac:dyDescent="0.2">
      <c r="A1273" s="3" t="s">
        <v>562</v>
      </c>
      <c r="B1273" t="s">
        <v>8</v>
      </c>
      <c r="C1273" s="3" t="s">
        <v>543</v>
      </c>
      <c r="D1273" s="3" t="s">
        <v>53</v>
      </c>
    </row>
    <row r="1274" spans="1:4" x14ac:dyDescent="0.2">
      <c r="A1274" s="3" t="s">
        <v>562</v>
      </c>
      <c r="B1274" t="s">
        <v>8</v>
      </c>
      <c r="C1274" s="3" t="s">
        <v>545</v>
      </c>
      <c r="D1274" s="3" t="s">
        <v>53</v>
      </c>
    </row>
    <row r="1275" spans="1:4" x14ac:dyDescent="0.2">
      <c r="A1275" s="3" t="s">
        <v>562</v>
      </c>
      <c r="B1275" t="s">
        <v>8</v>
      </c>
      <c r="C1275" s="3" t="s">
        <v>529</v>
      </c>
      <c r="D1275" s="3" t="s">
        <v>54</v>
      </c>
    </row>
    <row r="1276" spans="1:4" x14ac:dyDescent="0.2">
      <c r="A1276" s="3" t="s">
        <v>562</v>
      </c>
      <c r="B1276" t="s">
        <v>8</v>
      </c>
      <c r="C1276" s="3" t="s">
        <v>563</v>
      </c>
      <c r="D1276" s="3" t="s">
        <v>54</v>
      </c>
    </row>
    <row r="1277" spans="1:4" x14ac:dyDescent="0.2">
      <c r="A1277" s="3" t="s">
        <v>562</v>
      </c>
      <c r="B1277" t="s">
        <v>8</v>
      </c>
      <c r="C1277" s="3" t="s">
        <v>535</v>
      </c>
      <c r="D1277" s="3" t="s">
        <v>54</v>
      </c>
    </row>
    <row r="1278" spans="1:4" x14ac:dyDescent="0.2">
      <c r="A1278" s="3" t="s">
        <v>562</v>
      </c>
      <c r="B1278" t="s">
        <v>8</v>
      </c>
      <c r="C1278" s="3" t="s">
        <v>536</v>
      </c>
      <c r="D1278" s="3" t="s">
        <v>54</v>
      </c>
    </row>
    <row r="1279" spans="1:4" x14ac:dyDescent="0.2">
      <c r="A1279" s="3" t="s">
        <v>562</v>
      </c>
      <c r="B1279" t="s">
        <v>8</v>
      </c>
      <c r="C1279" s="3" t="s">
        <v>537</v>
      </c>
      <c r="D1279" s="3" t="s">
        <v>54</v>
      </c>
    </row>
    <row r="1280" spans="1:4" x14ac:dyDescent="0.2">
      <c r="A1280" s="3" t="s">
        <v>562</v>
      </c>
      <c r="B1280" t="s">
        <v>8</v>
      </c>
      <c r="C1280" s="3" t="s">
        <v>540</v>
      </c>
      <c r="D1280" s="3" t="s">
        <v>54</v>
      </c>
    </row>
    <row r="1281" spans="1:4" x14ac:dyDescent="0.2">
      <c r="A1281" s="3" t="s">
        <v>562</v>
      </c>
      <c r="B1281" t="s">
        <v>8</v>
      </c>
      <c r="C1281" s="3" t="s">
        <v>541</v>
      </c>
      <c r="D1281" s="3" t="s">
        <v>54</v>
      </c>
    </row>
    <row r="1282" spans="1:4" x14ac:dyDescent="0.2">
      <c r="A1282" s="3" t="s">
        <v>562</v>
      </c>
      <c r="B1282" t="s">
        <v>8</v>
      </c>
      <c r="C1282" s="3" t="s">
        <v>543</v>
      </c>
      <c r="D1282" s="3" t="s">
        <v>54</v>
      </c>
    </row>
    <row r="1283" spans="1:4" x14ac:dyDescent="0.2">
      <c r="A1283" s="3" t="s">
        <v>562</v>
      </c>
      <c r="B1283" t="s">
        <v>8</v>
      </c>
      <c r="C1283" s="3" t="s">
        <v>545</v>
      </c>
      <c r="D1283" s="3" t="s">
        <v>54</v>
      </c>
    </row>
    <row r="1284" spans="1:4" x14ac:dyDescent="0.2">
      <c r="A1284" s="3" t="s">
        <v>562</v>
      </c>
      <c r="B1284" t="s">
        <v>8</v>
      </c>
      <c r="C1284" s="3" t="s">
        <v>529</v>
      </c>
      <c r="D1284" s="3" t="s">
        <v>55</v>
      </c>
    </row>
    <row r="1285" spans="1:4" x14ac:dyDescent="0.2">
      <c r="A1285" s="3" t="s">
        <v>562</v>
      </c>
      <c r="B1285" t="s">
        <v>8</v>
      </c>
      <c r="C1285" s="3" t="s">
        <v>563</v>
      </c>
      <c r="D1285" s="3" t="s">
        <v>55</v>
      </c>
    </row>
    <row r="1286" spans="1:4" x14ac:dyDescent="0.2">
      <c r="A1286" s="3" t="s">
        <v>562</v>
      </c>
      <c r="B1286" t="s">
        <v>8</v>
      </c>
      <c r="C1286" s="3" t="s">
        <v>535</v>
      </c>
      <c r="D1286" s="3" t="s">
        <v>55</v>
      </c>
    </row>
    <row r="1287" spans="1:4" x14ac:dyDescent="0.2">
      <c r="A1287" s="3" t="s">
        <v>562</v>
      </c>
      <c r="B1287" t="s">
        <v>8</v>
      </c>
      <c r="C1287" s="3" t="s">
        <v>536</v>
      </c>
      <c r="D1287" s="3" t="s">
        <v>55</v>
      </c>
    </row>
    <row r="1288" spans="1:4" x14ac:dyDescent="0.2">
      <c r="A1288" s="3" t="s">
        <v>562</v>
      </c>
      <c r="B1288" t="s">
        <v>8</v>
      </c>
      <c r="C1288" s="3" t="s">
        <v>537</v>
      </c>
      <c r="D1288" s="3" t="s">
        <v>55</v>
      </c>
    </row>
    <row r="1289" spans="1:4" x14ac:dyDescent="0.2">
      <c r="A1289" s="3" t="s">
        <v>562</v>
      </c>
      <c r="B1289" t="s">
        <v>8</v>
      </c>
      <c r="C1289" s="3" t="s">
        <v>540</v>
      </c>
      <c r="D1289" s="3" t="s">
        <v>55</v>
      </c>
    </row>
    <row r="1290" spans="1:4" x14ac:dyDescent="0.2">
      <c r="A1290" s="3" t="s">
        <v>562</v>
      </c>
      <c r="B1290" t="s">
        <v>8</v>
      </c>
      <c r="C1290" s="3" t="s">
        <v>541</v>
      </c>
      <c r="D1290" s="3" t="s">
        <v>55</v>
      </c>
    </row>
    <row r="1291" spans="1:4" x14ac:dyDescent="0.2">
      <c r="A1291" s="3" t="s">
        <v>562</v>
      </c>
      <c r="B1291" t="s">
        <v>8</v>
      </c>
      <c r="C1291" s="3" t="s">
        <v>543</v>
      </c>
      <c r="D1291" s="3" t="s">
        <v>55</v>
      </c>
    </row>
    <row r="1292" spans="1:4" x14ac:dyDescent="0.2">
      <c r="A1292" s="3" t="s">
        <v>562</v>
      </c>
      <c r="B1292" t="s">
        <v>8</v>
      </c>
      <c r="C1292" s="3" t="s">
        <v>545</v>
      </c>
      <c r="D1292" s="3" t="s">
        <v>55</v>
      </c>
    </row>
    <row r="1293" spans="1:4" x14ac:dyDescent="0.2">
      <c r="A1293" s="3" t="s">
        <v>562</v>
      </c>
      <c r="B1293" t="s">
        <v>8</v>
      </c>
      <c r="C1293" s="3" t="s">
        <v>529</v>
      </c>
      <c r="D1293" s="3" t="s">
        <v>56</v>
      </c>
    </row>
    <row r="1294" spans="1:4" x14ac:dyDescent="0.2">
      <c r="A1294" s="3" t="s">
        <v>562</v>
      </c>
      <c r="B1294" t="s">
        <v>8</v>
      </c>
      <c r="C1294" s="3" t="s">
        <v>563</v>
      </c>
      <c r="D1294" s="3" t="s">
        <v>56</v>
      </c>
    </row>
    <row r="1295" spans="1:4" x14ac:dyDescent="0.2">
      <c r="A1295" s="3" t="s">
        <v>562</v>
      </c>
      <c r="B1295" t="s">
        <v>8</v>
      </c>
      <c r="C1295" s="3" t="s">
        <v>535</v>
      </c>
      <c r="D1295" s="3" t="s">
        <v>56</v>
      </c>
    </row>
    <row r="1296" spans="1:4" x14ac:dyDescent="0.2">
      <c r="A1296" s="3" t="s">
        <v>562</v>
      </c>
      <c r="B1296" t="s">
        <v>8</v>
      </c>
      <c r="C1296" s="3" t="s">
        <v>536</v>
      </c>
      <c r="D1296" s="3" t="s">
        <v>56</v>
      </c>
    </row>
    <row r="1297" spans="1:4" x14ac:dyDescent="0.2">
      <c r="A1297" s="3" t="s">
        <v>562</v>
      </c>
      <c r="B1297" t="s">
        <v>8</v>
      </c>
      <c r="C1297" s="3" t="s">
        <v>537</v>
      </c>
      <c r="D1297" s="3" t="s">
        <v>56</v>
      </c>
    </row>
    <row r="1298" spans="1:4" x14ac:dyDescent="0.2">
      <c r="A1298" s="3" t="s">
        <v>562</v>
      </c>
      <c r="B1298" t="s">
        <v>8</v>
      </c>
      <c r="C1298" s="3" t="s">
        <v>540</v>
      </c>
      <c r="D1298" s="3" t="s">
        <v>56</v>
      </c>
    </row>
    <row r="1299" spans="1:4" x14ac:dyDescent="0.2">
      <c r="A1299" s="3" t="s">
        <v>562</v>
      </c>
      <c r="B1299" t="s">
        <v>8</v>
      </c>
      <c r="C1299" s="3" t="s">
        <v>541</v>
      </c>
      <c r="D1299" s="3" t="s">
        <v>56</v>
      </c>
    </row>
    <row r="1300" spans="1:4" x14ac:dyDescent="0.2">
      <c r="A1300" s="3" t="s">
        <v>562</v>
      </c>
      <c r="B1300" t="s">
        <v>8</v>
      </c>
      <c r="C1300" s="3" t="s">
        <v>543</v>
      </c>
      <c r="D1300" s="3" t="s">
        <v>56</v>
      </c>
    </row>
    <row r="1301" spans="1:4" x14ac:dyDescent="0.2">
      <c r="A1301" s="3" t="s">
        <v>562</v>
      </c>
      <c r="B1301" t="s">
        <v>8</v>
      </c>
      <c r="C1301" s="3" t="s">
        <v>545</v>
      </c>
      <c r="D1301" s="3" t="s">
        <v>56</v>
      </c>
    </row>
    <row r="1302" spans="1:4" x14ac:dyDescent="0.2">
      <c r="A1302" s="3" t="s">
        <v>562</v>
      </c>
      <c r="B1302" t="s">
        <v>8</v>
      </c>
      <c r="C1302" s="3" t="s">
        <v>529</v>
      </c>
      <c r="D1302" s="3" t="s">
        <v>57</v>
      </c>
    </row>
    <row r="1303" spans="1:4" x14ac:dyDescent="0.2">
      <c r="A1303" s="3" t="s">
        <v>562</v>
      </c>
      <c r="B1303" t="s">
        <v>8</v>
      </c>
      <c r="C1303" s="3" t="s">
        <v>563</v>
      </c>
      <c r="D1303" s="3" t="s">
        <v>57</v>
      </c>
    </row>
    <row r="1304" spans="1:4" x14ac:dyDescent="0.2">
      <c r="A1304" s="3" t="s">
        <v>562</v>
      </c>
      <c r="B1304" t="s">
        <v>8</v>
      </c>
      <c r="C1304" s="3" t="s">
        <v>535</v>
      </c>
      <c r="D1304" s="3" t="s">
        <v>57</v>
      </c>
    </row>
    <row r="1305" spans="1:4" x14ac:dyDescent="0.2">
      <c r="A1305" s="3" t="s">
        <v>562</v>
      </c>
      <c r="B1305" t="s">
        <v>8</v>
      </c>
      <c r="C1305" s="3" t="s">
        <v>536</v>
      </c>
      <c r="D1305" s="3" t="s">
        <v>57</v>
      </c>
    </row>
    <row r="1306" spans="1:4" x14ac:dyDescent="0.2">
      <c r="A1306" s="3" t="s">
        <v>562</v>
      </c>
      <c r="B1306" t="s">
        <v>8</v>
      </c>
      <c r="C1306" s="3" t="s">
        <v>537</v>
      </c>
      <c r="D1306" s="3" t="s">
        <v>57</v>
      </c>
    </row>
    <row r="1307" spans="1:4" x14ac:dyDescent="0.2">
      <c r="A1307" s="3" t="s">
        <v>562</v>
      </c>
      <c r="B1307" t="s">
        <v>8</v>
      </c>
      <c r="C1307" s="3" t="s">
        <v>540</v>
      </c>
      <c r="D1307" s="3" t="s">
        <v>57</v>
      </c>
    </row>
    <row r="1308" spans="1:4" x14ac:dyDescent="0.2">
      <c r="A1308" s="3" t="s">
        <v>562</v>
      </c>
      <c r="B1308" t="s">
        <v>8</v>
      </c>
      <c r="C1308" s="3" t="s">
        <v>541</v>
      </c>
      <c r="D1308" s="3" t="s">
        <v>57</v>
      </c>
    </row>
    <row r="1309" spans="1:4" x14ac:dyDescent="0.2">
      <c r="A1309" s="3" t="s">
        <v>562</v>
      </c>
      <c r="B1309" t="s">
        <v>8</v>
      </c>
      <c r="C1309" s="3" t="s">
        <v>543</v>
      </c>
      <c r="D1309" s="3" t="s">
        <v>57</v>
      </c>
    </row>
    <row r="1310" spans="1:4" x14ac:dyDescent="0.2">
      <c r="A1310" s="3" t="s">
        <v>562</v>
      </c>
      <c r="B1310" t="s">
        <v>8</v>
      </c>
      <c r="C1310" s="3" t="s">
        <v>545</v>
      </c>
      <c r="D1310" s="3" t="s">
        <v>57</v>
      </c>
    </row>
    <row r="1311" spans="1:4" x14ac:dyDescent="0.2">
      <c r="A1311" s="3" t="s">
        <v>564</v>
      </c>
      <c r="B1311" t="s">
        <v>8</v>
      </c>
      <c r="C1311" s="3" t="s">
        <v>565</v>
      </c>
      <c r="D1311" s="3" t="s">
        <v>53</v>
      </c>
    </row>
    <row r="1312" spans="1:4" x14ac:dyDescent="0.2">
      <c r="A1312" s="3" t="s">
        <v>564</v>
      </c>
      <c r="B1312" t="s">
        <v>8</v>
      </c>
      <c r="C1312" s="3" t="s">
        <v>566</v>
      </c>
      <c r="D1312" s="3" t="s">
        <v>53</v>
      </c>
    </row>
    <row r="1313" spans="1:4" x14ac:dyDescent="0.2">
      <c r="A1313" s="3" t="s">
        <v>564</v>
      </c>
      <c r="B1313" t="s">
        <v>8</v>
      </c>
      <c r="C1313" s="3" t="s">
        <v>561</v>
      </c>
      <c r="D1313" s="3" t="s">
        <v>53</v>
      </c>
    </row>
    <row r="1314" spans="1:4" x14ac:dyDescent="0.2">
      <c r="A1314" s="3" t="s">
        <v>564</v>
      </c>
      <c r="B1314" t="s">
        <v>8</v>
      </c>
      <c r="C1314" s="3" t="s">
        <v>567</v>
      </c>
      <c r="D1314" s="3" t="s">
        <v>53</v>
      </c>
    </row>
    <row r="1315" spans="1:4" x14ac:dyDescent="0.2">
      <c r="A1315" s="3" t="s">
        <v>564</v>
      </c>
      <c r="B1315" t="s">
        <v>8</v>
      </c>
      <c r="C1315" s="3" t="s">
        <v>568</v>
      </c>
      <c r="D1315" s="3" t="s">
        <v>53</v>
      </c>
    </row>
    <row r="1316" spans="1:4" x14ac:dyDescent="0.2">
      <c r="A1316" s="3" t="s">
        <v>564</v>
      </c>
      <c r="B1316" t="s">
        <v>8</v>
      </c>
      <c r="C1316" s="3" t="s">
        <v>569</v>
      </c>
      <c r="D1316" s="3" t="s">
        <v>53</v>
      </c>
    </row>
    <row r="1317" spans="1:4" x14ac:dyDescent="0.2">
      <c r="A1317" s="3" t="s">
        <v>564</v>
      </c>
      <c r="B1317" t="s">
        <v>8</v>
      </c>
      <c r="C1317" s="3" t="s">
        <v>570</v>
      </c>
      <c r="D1317" s="3" t="s">
        <v>53</v>
      </c>
    </row>
    <row r="1318" spans="1:4" x14ac:dyDescent="0.2">
      <c r="A1318" s="3" t="s">
        <v>564</v>
      </c>
      <c r="B1318" t="s">
        <v>8</v>
      </c>
      <c r="C1318" s="3" t="s">
        <v>571</v>
      </c>
      <c r="D1318" s="3" t="s">
        <v>53</v>
      </c>
    </row>
    <row r="1319" spans="1:4" x14ac:dyDescent="0.2">
      <c r="A1319" s="3" t="s">
        <v>564</v>
      </c>
      <c r="B1319" t="s">
        <v>8</v>
      </c>
      <c r="C1319" s="3" t="s">
        <v>565</v>
      </c>
      <c r="D1319" s="3" t="s">
        <v>54</v>
      </c>
    </row>
    <row r="1320" spans="1:4" x14ac:dyDescent="0.2">
      <c r="A1320" s="3" t="s">
        <v>564</v>
      </c>
      <c r="B1320" t="s">
        <v>8</v>
      </c>
      <c r="C1320" s="3" t="s">
        <v>566</v>
      </c>
      <c r="D1320" s="3" t="s">
        <v>54</v>
      </c>
    </row>
    <row r="1321" spans="1:4" x14ac:dyDescent="0.2">
      <c r="A1321" s="3" t="s">
        <v>564</v>
      </c>
      <c r="B1321" t="s">
        <v>8</v>
      </c>
      <c r="C1321" s="3" t="s">
        <v>561</v>
      </c>
      <c r="D1321" s="3" t="s">
        <v>54</v>
      </c>
    </row>
    <row r="1322" spans="1:4" x14ac:dyDescent="0.2">
      <c r="A1322" s="3" t="s">
        <v>564</v>
      </c>
      <c r="B1322" t="s">
        <v>8</v>
      </c>
      <c r="C1322" s="3" t="s">
        <v>567</v>
      </c>
      <c r="D1322" s="3" t="s">
        <v>54</v>
      </c>
    </row>
    <row r="1323" spans="1:4" x14ac:dyDescent="0.2">
      <c r="A1323" s="3" t="s">
        <v>564</v>
      </c>
      <c r="B1323" t="s">
        <v>8</v>
      </c>
      <c r="C1323" s="3" t="s">
        <v>568</v>
      </c>
      <c r="D1323" s="3" t="s">
        <v>54</v>
      </c>
    </row>
    <row r="1324" spans="1:4" x14ac:dyDescent="0.2">
      <c r="A1324" s="3" t="s">
        <v>564</v>
      </c>
      <c r="B1324" t="s">
        <v>8</v>
      </c>
      <c r="C1324" s="3" t="s">
        <v>569</v>
      </c>
      <c r="D1324" s="3" t="s">
        <v>54</v>
      </c>
    </row>
    <row r="1325" spans="1:4" x14ac:dyDescent="0.2">
      <c r="A1325" s="3" t="s">
        <v>564</v>
      </c>
      <c r="B1325" t="s">
        <v>8</v>
      </c>
      <c r="C1325" s="3" t="s">
        <v>570</v>
      </c>
      <c r="D1325" s="3" t="s">
        <v>54</v>
      </c>
    </row>
    <row r="1326" spans="1:4" x14ac:dyDescent="0.2">
      <c r="A1326" s="3" t="s">
        <v>564</v>
      </c>
      <c r="B1326" t="s">
        <v>8</v>
      </c>
      <c r="C1326" s="3" t="s">
        <v>571</v>
      </c>
      <c r="D1326" s="3" t="s">
        <v>54</v>
      </c>
    </row>
    <row r="1327" spans="1:4" x14ac:dyDescent="0.2">
      <c r="A1327" s="3" t="s">
        <v>564</v>
      </c>
      <c r="B1327" t="s">
        <v>8</v>
      </c>
      <c r="C1327" s="3" t="s">
        <v>565</v>
      </c>
      <c r="D1327" s="3" t="s">
        <v>55</v>
      </c>
    </row>
    <row r="1328" spans="1:4" x14ac:dyDescent="0.2">
      <c r="A1328" s="3" t="s">
        <v>564</v>
      </c>
      <c r="B1328" t="s">
        <v>8</v>
      </c>
      <c r="C1328" s="3" t="s">
        <v>566</v>
      </c>
      <c r="D1328" s="3" t="s">
        <v>55</v>
      </c>
    </row>
    <row r="1329" spans="1:4" x14ac:dyDescent="0.2">
      <c r="A1329" s="3" t="s">
        <v>564</v>
      </c>
      <c r="B1329" t="s">
        <v>8</v>
      </c>
      <c r="C1329" s="3" t="s">
        <v>561</v>
      </c>
      <c r="D1329" s="3" t="s">
        <v>55</v>
      </c>
    </row>
    <row r="1330" spans="1:4" x14ac:dyDescent="0.2">
      <c r="A1330" s="3" t="s">
        <v>564</v>
      </c>
      <c r="B1330" t="s">
        <v>8</v>
      </c>
      <c r="C1330" s="3" t="s">
        <v>567</v>
      </c>
      <c r="D1330" s="3" t="s">
        <v>55</v>
      </c>
    </row>
    <row r="1331" spans="1:4" x14ac:dyDescent="0.2">
      <c r="A1331" s="3" t="s">
        <v>564</v>
      </c>
      <c r="B1331" t="s">
        <v>8</v>
      </c>
      <c r="C1331" s="3" t="s">
        <v>568</v>
      </c>
      <c r="D1331" s="3" t="s">
        <v>55</v>
      </c>
    </row>
    <row r="1332" spans="1:4" x14ac:dyDescent="0.2">
      <c r="A1332" s="3" t="s">
        <v>564</v>
      </c>
      <c r="B1332" t="s">
        <v>8</v>
      </c>
      <c r="C1332" s="3" t="s">
        <v>569</v>
      </c>
      <c r="D1332" s="3" t="s">
        <v>55</v>
      </c>
    </row>
    <row r="1333" spans="1:4" x14ac:dyDescent="0.2">
      <c r="A1333" s="3" t="s">
        <v>564</v>
      </c>
      <c r="B1333" t="s">
        <v>8</v>
      </c>
      <c r="C1333" s="3" t="s">
        <v>570</v>
      </c>
      <c r="D1333" s="3" t="s">
        <v>55</v>
      </c>
    </row>
    <row r="1334" spans="1:4" x14ac:dyDescent="0.2">
      <c r="A1334" s="3" t="s">
        <v>564</v>
      </c>
      <c r="B1334" t="s">
        <v>8</v>
      </c>
      <c r="C1334" s="3" t="s">
        <v>565</v>
      </c>
      <c r="D1334" s="3" t="s">
        <v>56</v>
      </c>
    </row>
    <row r="1335" spans="1:4" x14ac:dyDescent="0.2">
      <c r="A1335" s="3" t="s">
        <v>564</v>
      </c>
      <c r="B1335" t="s">
        <v>8</v>
      </c>
      <c r="C1335" s="3" t="s">
        <v>566</v>
      </c>
      <c r="D1335" s="3" t="s">
        <v>56</v>
      </c>
    </row>
    <row r="1336" spans="1:4" x14ac:dyDescent="0.2">
      <c r="A1336" s="3" t="s">
        <v>564</v>
      </c>
      <c r="B1336" t="s">
        <v>8</v>
      </c>
      <c r="C1336" s="3" t="s">
        <v>561</v>
      </c>
      <c r="D1336" s="3" t="s">
        <v>56</v>
      </c>
    </row>
    <row r="1337" spans="1:4" x14ac:dyDescent="0.2">
      <c r="A1337" s="3" t="s">
        <v>564</v>
      </c>
      <c r="B1337" t="s">
        <v>8</v>
      </c>
      <c r="C1337" s="3" t="s">
        <v>567</v>
      </c>
      <c r="D1337" s="3" t="s">
        <v>56</v>
      </c>
    </row>
    <row r="1338" spans="1:4" x14ac:dyDescent="0.2">
      <c r="A1338" s="3" t="s">
        <v>564</v>
      </c>
      <c r="B1338" t="s">
        <v>8</v>
      </c>
      <c r="C1338" s="3" t="s">
        <v>568</v>
      </c>
      <c r="D1338" s="3" t="s">
        <v>56</v>
      </c>
    </row>
    <row r="1339" spans="1:4" x14ac:dyDescent="0.2">
      <c r="A1339" s="3" t="s">
        <v>564</v>
      </c>
      <c r="B1339" t="s">
        <v>8</v>
      </c>
      <c r="C1339" s="3" t="s">
        <v>569</v>
      </c>
      <c r="D1339" s="3" t="s">
        <v>56</v>
      </c>
    </row>
    <row r="1340" spans="1:4" x14ac:dyDescent="0.2">
      <c r="A1340" s="3" t="s">
        <v>564</v>
      </c>
      <c r="B1340" t="s">
        <v>8</v>
      </c>
      <c r="C1340" s="3" t="s">
        <v>570</v>
      </c>
      <c r="D1340" s="3" t="s">
        <v>56</v>
      </c>
    </row>
    <row r="1341" spans="1:4" x14ac:dyDescent="0.2">
      <c r="A1341" s="3" t="s">
        <v>564</v>
      </c>
      <c r="B1341" t="s">
        <v>8</v>
      </c>
      <c r="C1341" s="3" t="s">
        <v>565</v>
      </c>
      <c r="D1341" s="3" t="s">
        <v>57</v>
      </c>
    </row>
    <row r="1342" spans="1:4" x14ac:dyDescent="0.2">
      <c r="A1342" s="3" t="s">
        <v>564</v>
      </c>
      <c r="B1342" t="s">
        <v>8</v>
      </c>
      <c r="C1342" s="3" t="s">
        <v>566</v>
      </c>
      <c r="D1342" s="3" t="s">
        <v>57</v>
      </c>
    </row>
    <row r="1343" spans="1:4" x14ac:dyDescent="0.2">
      <c r="A1343" s="3" t="s">
        <v>564</v>
      </c>
      <c r="B1343" t="s">
        <v>8</v>
      </c>
      <c r="C1343" s="3" t="s">
        <v>561</v>
      </c>
      <c r="D1343" s="3" t="s">
        <v>57</v>
      </c>
    </row>
    <row r="1344" spans="1:4" x14ac:dyDescent="0.2">
      <c r="A1344" s="3" t="s">
        <v>564</v>
      </c>
      <c r="B1344" t="s">
        <v>8</v>
      </c>
      <c r="C1344" s="3" t="s">
        <v>567</v>
      </c>
      <c r="D1344" s="3" t="s">
        <v>57</v>
      </c>
    </row>
    <row r="1345" spans="1:4" x14ac:dyDescent="0.2">
      <c r="A1345" s="3" t="s">
        <v>564</v>
      </c>
      <c r="B1345" t="s">
        <v>8</v>
      </c>
      <c r="C1345" s="3" t="s">
        <v>568</v>
      </c>
      <c r="D1345" s="3" t="s">
        <v>57</v>
      </c>
    </row>
    <row r="1346" spans="1:4" x14ac:dyDescent="0.2">
      <c r="A1346" s="3" t="s">
        <v>564</v>
      </c>
      <c r="B1346" t="s">
        <v>8</v>
      </c>
      <c r="C1346" s="3" t="s">
        <v>569</v>
      </c>
      <c r="D1346" s="3" t="s">
        <v>57</v>
      </c>
    </row>
    <row r="1347" spans="1:4" x14ac:dyDescent="0.2">
      <c r="A1347" s="3" t="s">
        <v>564</v>
      </c>
      <c r="B1347" t="s">
        <v>8</v>
      </c>
      <c r="C1347" s="3" t="s">
        <v>570</v>
      </c>
      <c r="D1347" s="3" t="s">
        <v>57</v>
      </c>
    </row>
    <row r="1348" spans="1:4" x14ac:dyDescent="0.2">
      <c r="A1348" s="3" t="s">
        <v>564</v>
      </c>
      <c r="B1348" t="s">
        <v>8</v>
      </c>
      <c r="C1348" s="3" t="s">
        <v>572</v>
      </c>
      <c r="D1348" s="3" t="s">
        <v>169</v>
      </c>
    </row>
    <row r="1349" spans="1:4" x14ac:dyDescent="0.2">
      <c r="A1349" s="3" t="s">
        <v>564</v>
      </c>
      <c r="B1349" t="s">
        <v>8</v>
      </c>
      <c r="C1349" s="3" t="s">
        <v>573</v>
      </c>
      <c r="D1349" s="3" t="s">
        <v>169</v>
      </c>
    </row>
    <row r="1350" spans="1:4" x14ac:dyDescent="0.2">
      <c r="A1350" s="3" t="s">
        <v>564</v>
      </c>
      <c r="B1350" t="s">
        <v>8</v>
      </c>
      <c r="C1350" s="3" t="s">
        <v>574</v>
      </c>
      <c r="D1350" s="3" t="s">
        <v>169</v>
      </c>
    </row>
    <row r="1351" spans="1:4" x14ac:dyDescent="0.2">
      <c r="A1351" s="3" t="s">
        <v>564</v>
      </c>
      <c r="B1351" t="s">
        <v>8</v>
      </c>
      <c r="C1351" s="3" t="s">
        <v>575</v>
      </c>
      <c r="D1351" s="3" t="s">
        <v>169</v>
      </c>
    </row>
    <row r="1352" spans="1:4" x14ac:dyDescent="0.2">
      <c r="A1352" s="3" t="s">
        <v>564</v>
      </c>
      <c r="B1352" t="s">
        <v>8</v>
      </c>
      <c r="C1352" s="3" t="s">
        <v>576</v>
      </c>
      <c r="D1352" s="3" t="s">
        <v>169</v>
      </c>
    </row>
    <row r="1353" spans="1:4" x14ac:dyDescent="0.2">
      <c r="A1353" s="3" t="s">
        <v>564</v>
      </c>
      <c r="B1353" t="s">
        <v>8</v>
      </c>
      <c r="C1353" s="3" t="s">
        <v>577</v>
      </c>
      <c r="D1353" s="3" t="s">
        <v>169</v>
      </c>
    </row>
    <row r="1354" spans="1:4" x14ac:dyDescent="0.2">
      <c r="A1354" s="3" t="s">
        <v>564</v>
      </c>
      <c r="B1354" t="s">
        <v>8</v>
      </c>
      <c r="C1354" s="3" t="s">
        <v>578</v>
      </c>
      <c r="D1354" s="3" t="s">
        <v>169</v>
      </c>
    </row>
    <row r="1355" spans="1:4" x14ac:dyDescent="0.2">
      <c r="A1355" s="3" t="s">
        <v>564</v>
      </c>
      <c r="B1355" t="s">
        <v>8</v>
      </c>
      <c r="C1355" s="3" t="s">
        <v>579</v>
      </c>
      <c r="D1355" s="3" t="s">
        <v>169</v>
      </c>
    </row>
    <row r="1356" spans="1:4" x14ac:dyDescent="0.2">
      <c r="A1356" s="3" t="s">
        <v>564</v>
      </c>
      <c r="B1356" t="s">
        <v>8</v>
      </c>
      <c r="C1356" s="3" t="s">
        <v>580</v>
      </c>
      <c r="D1356" s="3" t="s">
        <v>169</v>
      </c>
    </row>
    <row r="1357" spans="1:4" x14ac:dyDescent="0.2">
      <c r="A1357" s="3" t="s">
        <v>564</v>
      </c>
      <c r="B1357" t="s">
        <v>8</v>
      </c>
      <c r="C1357" s="3" t="s">
        <v>581</v>
      </c>
      <c r="D1357" s="3" t="s">
        <v>169</v>
      </c>
    </row>
    <row r="1358" spans="1:4" x14ac:dyDescent="0.2">
      <c r="A1358" s="3" t="s">
        <v>564</v>
      </c>
      <c r="B1358" t="s">
        <v>8</v>
      </c>
      <c r="C1358" s="3" t="s">
        <v>582</v>
      </c>
      <c r="D1358" s="3" t="s">
        <v>169</v>
      </c>
    </row>
    <row r="1359" spans="1:4" x14ac:dyDescent="0.2">
      <c r="A1359" s="3" t="s">
        <v>564</v>
      </c>
      <c r="B1359" t="s">
        <v>8</v>
      </c>
      <c r="C1359" s="3" t="s">
        <v>583</v>
      </c>
      <c r="D1359" s="3" t="s">
        <v>169</v>
      </c>
    </row>
    <row r="1360" spans="1:4" x14ac:dyDescent="0.2">
      <c r="A1360" s="3" t="s">
        <v>564</v>
      </c>
      <c r="B1360" t="s">
        <v>8</v>
      </c>
      <c r="C1360" s="3" t="s">
        <v>584</v>
      </c>
      <c r="D1360" s="3" t="s">
        <v>169</v>
      </c>
    </row>
    <row r="1361" spans="1:4" x14ac:dyDescent="0.2">
      <c r="A1361" s="3" t="s">
        <v>564</v>
      </c>
      <c r="B1361" t="s">
        <v>8</v>
      </c>
      <c r="C1361" s="3" t="s">
        <v>585</v>
      </c>
      <c r="D1361" s="3" t="s">
        <v>169</v>
      </c>
    </row>
    <row r="1362" spans="1:4" x14ac:dyDescent="0.2">
      <c r="A1362" s="3" t="s">
        <v>564</v>
      </c>
      <c r="B1362" t="s">
        <v>8</v>
      </c>
      <c r="C1362" s="3" t="s">
        <v>586</v>
      </c>
      <c r="D1362" s="3" t="s">
        <v>169</v>
      </c>
    </row>
    <row r="1363" spans="1:4" x14ac:dyDescent="0.2">
      <c r="A1363" s="3" t="s">
        <v>564</v>
      </c>
      <c r="B1363" t="s">
        <v>8</v>
      </c>
      <c r="C1363" s="3" t="s">
        <v>587</v>
      </c>
      <c r="D1363" s="3" t="s">
        <v>169</v>
      </c>
    </row>
    <row r="1364" spans="1:4" x14ac:dyDescent="0.2">
      <c r="A1364" s="3" t="s">
        <v>564</v>
      </c>
      <c r="B1364" t="s">
        <v>8</v>
      </c>
      <c r="C1364" s="3" t="s">
        <v>176</v>
      </c>
      <c r="D1364" s="3" t="s">
        <v>169</v>
      </c>
    </row>
    <row r="1365" spans="1:4" x14ac:dyDescent="0.2">
      <c r="A1365" s="3" t="s">
        <v>588</v>
      </c>
      <c r="B1365" t="s">
        <v>8</v>
      </c>
      <c r="C1365" s="3" t="s">
        <v>589</v>
      </c>
      <c r="D1365" s="3" t="s">
        <v>169</v>
      </c>
    </row>
    <row r="1366" spans="1:4" x14ac:dyDescent="0.2">
      <c r="A1366" s="3" t="s">
        <v>588</v>
      </c>
      <c r="B1366" t="s">
        <v>8</v>
      </c>
      <c r="C1366" s="3" t="s">
        <v>590</v>
      </c>
      <c r="D1366" s="3" t="s">
        <v>169</v>
      </c>
    </row>
    <row r="1367" spans="1:4" x14ac:dyDescent="0.2">
      <c r="A1367" s="3" t="s">
        <v>588</v>
      </c>
      <c r="B1367" t="s">
        <v>8</v>
      </c>
      <c r="C1367" s="3" t="s">
        <v>591</v>
      </c>
      <c r="D1367" s="3" t="s">
        <v>169</v>
      </c>
    </row>
    <row r="1368" spans="1:4" x14ac:dyDescent="0.2">
      <c r="A1368" s="3" t="s">
        <v>588</v>
      </c>
      <c r="B1368" t="s">
        <v>8</v>
      </c>
      <c r="C1368" s="3" t="s">
        <v>592</v>
      </c>
      <c r="D1368" s="3" t="s">
        <v>169</v>
      </c>
    </row>
    <row r="1369" spans="1:4" x14ac:dyDescent="0.2">
      <c r="A1369" s="3" t="s">
        <v>588</v>
      </c>
      <c r="B1369" t="s">
        <v>8</v>
      </c>
      <c r="C1369" s="3" t="s">
        <v>176</v>
      </c>
      <c r="D1369" s="3" t="s">
        <v>169</v>
      </c>
    </row>
    <row r="1370" spans="1:4" x14ac:dyDescent="0.2">
      <c r="A1370" s="3" t="s">
        <v>588</v>
      </c>
      <c r="B1370" t="s">
        <v>8</v>
      </c>
      <c r="C1370" s="3" t="s">
        <v>593</v>
      </c>
      <c r="D1370" s="3" t="s">
        <v>169</v>
      </c>
    </row>
    <row r="1371" spans="1:4" x14ac:dyDescent="0.2">
      <c r="A1371" s="3" t="s">
        <v>588</v>
      </c>
      <c r="B1371" t="s">
        <v>8</v>
      </c>
      <c r="C1371" s="3" t="s">
        <v>594</v>
      </c>
      <c r="D1371" s="3" t="s">
        <v>169</v>
      </c>
    </row>
    <row r="1372" spans="1:4" x14ac:dyDescent="0.2">
      <c r="A1372" s="3" t="s">
        <v>588</v>
      </c>
      <c r="B1372" t="s">
        <v>8</v>
      </c>
      <c r="C1372" s="3" t="s">
        <v>595</v>
      </c>
      <c r="D1372" s="3" t="s">
        <v>169</v>
      </c>
    </row>
    <row r="1373" spans="1:4" x14ac:dyDescent="0.2">
      <c r="A1373" s="3" t="s">
        <v>596</v>
      </c>
      <c r="B1373" t="s">
        <v>8</v>
      </c>
      <c r="C1373" s="3" t="s">
        <v>597</v>
      </c>
      <c r="D1373" s="3" t="s">
        <v>53</v>
      </c>
    </row>
    <row r="1374" spans="1:4" x14ac:dyDescent="0.2">
      <c r="A1374" s="3" t="s">
        <v>596</v>
      </c>
      <c r="B1374" t="s">
        <v>8</v>
      </c>
      <c r="C1374" s="3" t="s">
        <v>598</v>
      </c>
      <c r="D1374" s="3" t="s">
        <v>53</v>
      </c>
    </row>
    <row r="1375" spans="1:4" x14ac:dyDescent="0.2">
      <c r="A1375" s="3" t="s">
        <v>596</v>
      </c>
      <c r="B1375" t="s">
        <v>8</v>
      </c>
      <c r="C1375" s="3" t="s">
        <v>183</v>
      </c>
      <c r="D1375" s="3" t="s">
        <v>53</v>
      </c>
    </row>
    <row r="1376" spans="1:4" x14ac:dyDescent="0.2">
      <c r="A1376" s="3" t="s">
        <v>596</v>
      </c>
      <c r="B1376" t="s">
        <v>8</v>
      </c>
      <c r="C1376" s="3" t="s">
        <v>597</v>
      </c>
      <c r="D1376" s="3" t="s">
        <v>54</v>
      </c>
    </row>
    <row r="1377" spans="1:4" x14ac:dyDescent="0.2">
      <c r="A1377" s="3" t="s">
        <v>596</v>
      </c>
      <c r="B1377" t="s">
        <v>8</v>
      </c>
      <c r="C1377" s="3" t="s">
        <v>598</v>
      </c>
      <c r="D1377" s="3" t="s">
        <v>54</v>
      </c>
    </row>
    <row r="1378" spans="1:4" x14ac:dyDescent="0.2">
      <c r="A1378" s="3" t="s">
        <v>596</v>
      </c>
      <c r="B1378" t="s">
        <v>8</v>
      </c>
      <c r="C1378" s="3" t="s">
        <v>183</v>
      </c>
      <c r="D1378" s="3" t="s">
        <v>54</v>
      </c>
    </row>
    <row r="1379" spans="1:4" x14ac:dyDescent="0.2">
      <c r="A1379" s="3" t="s">
        <v>596</v>
      </c>
      <c r="B1379" t="s">
        <v>8</v>
      </c>
      <c r="C1379" s="3" t="s">
        <v>597</v>
      </c>
      <c r="D1379" s="3" t="s">
        <v>55</v>
      </c>
    </row>
    <row r="1380" spans="1:4" x14ac:dyDescent="0.2">
      <c r="A1380" s="3" t="s">
        <v>596</v>
      </c>
      <c r="B1380" t="s">
        <v>8</v>
      </c>
      <c r="C1380" s="3" t="s">
        <v>598</v>
      </c>
      <c r="D1380" s="3" t="s">
        <v>55</v>
      </c>
    </row>
    <row r="1381" spans="1:4" x14ac:dyDescent="0.2">
      <c r="A1381" s="3" t="s">
        <v>596</v>
      </c>
      <c r="B1381" t="s">
        <v>8</v>
      </c>
      <c r="C1381" s="3" t="s">
        <v>183</v>
      </c>
      <c r="D1381" s="3" t="s">
        <v>55</v>
      </c>
    </row>
    <row r="1382" spans="1:4" x14ac:dyDescent="0.2">
      <c r="A1382" s="3" t="s">
        <v>596</v>
      </c>
      <c r="B1382" t="s">
        <v>8</v>
      </c>
      <c r="C1382" s="3" t="s">
        <v>597</v>
      </c>
      <c r="D1382" s="3" t="s">
        <v>56</v>
      </c>
    </row>
    <row r="1383" spans="1:4" x14ac:dyDescent="0.2">
      <c r="A1383" s="3" t="s">
        <v>596</v>
      </c>
      <c r="B1383" t="s">
        <v>8</v>
      </c>
      <c r="C1383" s="3" t="s">
        <v>598</v>
      </c>
      <c r="D1383" s="3" t="s">
        <v>56</v>
      </c>
    </row>
    <row r="1384" spans="1:4" x14ac:dyDescent="0.2">
      <c r="A1384" s="3" t="s">
        <v>596</v>
      </c>
      <c r="B1384" t="s">
        <v>8</v>
      </c>
      <c r="C1384" s="3" t="s">
        <v>183</v>
      </c>
      <c r="D1384" s="3" t="s">
        <v>56</v>
      </c>
    </row>
    <row r="1385" spans="1:4" x14ac:dyDescent="0.2">
      <c r="A1385" s="3" t="s">
        <v>596</v>
      </c>
      <c r="B1385" t="s">
        <v>8</v>
      </c>
      <c r="C1385" s="3" t="s">
        <v>597</v>
      </c>
      <c r="D1385" s="3" t="s">
        <v>57</v>
      </c>
    </row>
    <row r="1386" spans="1:4" x14ac:dyDescent="0.2">
      <c r="A1386" s="3" t="s">
        <v>596</v>
      </c>
      <c r="B1386" t="s">
        <v>8</v>
      </c>
      <c r="C1386" s="3" t="s">
        <v>598</v>
      </c>
      <c r="D1386" s="3" t="s">
        <v>57</v>
      </c>
    </row>
    <row r="1387" spans="1:4" x14ac:dyDescent="0.2">
      <c r="A1387" s="3" t="s">
        <v>596</v>
      </c>
      <c r="B1387" t="s">
        <v>8</v>
      </c>
      <c r="C1387" s="3" t="s">
        <v>183</v>
      </c>
      <c r="D1387" s="3" t="s">
        <v>57</v>
      </c>
    </row>
    <row r="1388" spans="1:4" x14ac:dyDescent="0.2">
      <c r="A1388" s="3" t="s">
        <v>596</v>
      </c>
      <c r="B1388" t="s">
        <v>8</v>
      </c>
      <c r="C1388" s="3" t="s">
        <v>599</v>
      </c>
      <c r="D1388" s="3" t="s">
        <v>169</v>
      </c>
    </row>
    <row r="1389" spans="1:4" x14ac:dyDescent="0.2">
      <c r="A1389" s="3" t="s">
        <v>596</v>
      </c>
      <c r="B1389" t="s">
        <v>8</v>
      </c>
      <c r="C1389" s="3" t="s">
        <v>600</v>
      </c>
      <c r="D1389" s="3" t="s">
        <v>169</v>
      </c>
    </row>
    <row r="1390" spans="1:4" x14ac:dyDescent="0.2">
      <c r="A1390" s="3" t="s">
        <v>596</v>
      </c>
      <c r="B1390" t="s">
        <v>8</v>
      </c>
      <c r="C1390" s="3" t="s">
        <v>601</v>
      </c>
      <c r="D1390" s="3" t="s">
        <v>169</v>
      </c>
    </row>
    <row r="1391" spans="1:4" x14ac:dyDescent="0.2">
      <c r="A1391" s="3" t="s">
        <v>602</v>
      </c>
      <c r="B1391" t="s">
        <v>8</v>
      </c>
      <c r="C1391" s="3" t="s">
        <v>603</v>
      </c>
      <c r="D1391" s="3" t="s">
        <v>53</v>
      </c>
    </row>
    <row r="1392" spans="1:4" x14ac:dyDescent="0.2">
      <c r="A1392" s="3" t="s">
        <v>602</v>
      </c>
      <c r="B1392" t="s">
        <v>8</v>
      </c>
      <c r="C1392" s="3" t="s">
        <v>604</v>
      </c>
      <c r="D1392" s="3" t="s">
        <v>53</v>
      </c>
    </row>
    <row r="1393" spans="1:4" x14ac:dyDescent="0.2">
      <c r="A1393" s="3" t="s">
        <v>602</v>
      </c>
      <c r="B1393" t="s">
        <v>8</v>
      </c>
      <c r="C1393" s="3" t="s">
        <v>603</v>
      </c>
      <c r="D1393" s="3" t="s">
        <v>54</v>
      </c>
    </row>
    <row r="1394" spans="1:4" x14ac:dyDescent="0.2">
      <c r="A1394" s="3" t="s">
        <v>602</v>
      </c>
      <c r="B1394" t="s">
        <v>8</v>
      </c>
      <c r="C1394" s="3" t="s">
        <v>604</v>
      </c>
      <c r="D1394" s="3" t="s">
        <v>54</v>
      </c>
    </row>
    <row r="1395" spans="1:4" x14ac:dyDescent="0.2">
      <c r="A1395" s="3" t="s">
        <v>602</v>
      </c>
      <c r="B1395" t="s">
        <v>8</v>
      </c>
      <c r="C1395" s="3" t="s">
        <v>603</v>
      </c>
      <c r="D1395" s="3" t="s">
        <v>55</v>
      </c>
    </row>
    <row r="1396" spans="1:4" x14ac:dyDescent="0.2">
      <c r="A1396" s="3" t="s">
        <v>602</v>
      </c>
      <c r="B1396" t="s">
        <v>8</v>
      </c>
      <c r="C1396" s="3" t="s">
        <v>604</v>
      </c>
      <c r="D1396" s="3" t="s">
        <v>55</v>
      </c>
    </row>
    <row r="1397" spans="1:4" x14ac:dyDescent="0.2">
      <c r="A1397" s="3" t="s">
        <v>602</v>
      </c>
      <c r="B1397" t="s">
        <v>8</v>
      </c>
      <c r="C1397" s="3" t="s">
        <v>603</v>
      </c>
      <c r="D1397" s="3" t="s">
        <v>56</v>
      </c>
    </row>
    <row r="1398" spans="1:4" x14ac:dyDescent="0.2">
      <c r="A1398" s="3" t="s">
        <v>602</v>
      </c>
      <c r="B1398" t="s">
        <v>8</v>
      </c>
      <c r="C1398" s="3" t="s">
        <v>604</v>
      </c>
      <c r="D1398" s="3" t="s">
        <v>56</v>
      </c>
    </row>
    <row r="1399" spans="1:4" x14ac:dyDescent="0.2">
      <c r="A1399" s="3" t="s">
        <v>602</v>
      </c>
      <c r="B1399" t="s">
        <v>8</v>
      </c>
      <c r="C1399" s="3" t="s">
        <v>603</v>
      </c>
      <c r="D1399" s="3" t="s">
        <v>57</v>
      </c>
    </row>
    <row r="1400" spans="1:4" x14ac:dyDescent="0.2">
      <c r="A1400" s="3" t="s">
        <v>602</v>
      </c>
      <c r="B1400" t="s">
        <v>8</v>
      </c>
      <c r="C1400" s="3" t="s">
        <v>604</v>
      </c>
      <c r="D1400" s="3" t="s">
        <v>57</v>
      </c>
    </row>
    <row r="1401" spans="1:4" x14ac:dyDescent="0.2">
      <c r="A1401" s="3" t="s">
        <v>602</v>
      </c>
      <c r="B1401" t="s">
        <v>8</v>
      </c>
      <c r="C1401" s="3" t="s">
        <v>605</v>
      </c>
      <c r="D1401" s="3" t="s">
        <v>169</v>
      </c>
    </row>
    <row r="1402" spans="1:4" x14ac:dyDescent="0.2">
      <c r="A1402" s="3" t="s">
        <v>606</v>
      </c>
      <c r="B1402" t="s">
        <v>8</v>
      </c>
      <c r="C1402" s="3" t="s">
        <v>603</v>
      </c>
      <c r="D1402" s="3" t="s">
        <v>53</v>
      </c>
    </row>
    <row r="1403" spans="1:4" x14ac:dyDescent="0.2">
      <c r="A1403" s="3" t="s">
        <v>606</v>
      </c>
      <c r="B1403" t="s">
        <v>8</v>
      </c>
      <c r="C1403" s="3" t="s">
        <v>167</v>
      </c>
      <c r="D1403" s="3" t="s">
        <v>53</v>
      </c>
    </row>
    <row r="1404" spans="1:4" x14ac:dyDescent="0.2">
      <c r="A1404" s="3" t="s">
        <v>606</v>
      </c>
      <c r="B1404" t="s">
        <v>8</v>
      </c>
      <c r="C1404" s="3" t="s">
        <v>603</v>
      </c>
      <c r="D1404" s="3" t="s">
        <v>54</v>
      </c>
    </row>
    <row r="1405" spans="1:4" x14ac:dyDescent="0.2">
      <c r="A1405" s="3" t="s">
        <v>606</v>
      </c>
      <c r="B1405" t="s">
        <v>8</v>
      </c>
      <c r="C1405" s="3" t="s">
        <v>167</v>
      </c>
      <c r="D1405" s="3" t="s">
        <v>54</v>
      </c>
    </row>
    <row r="1406" spans="1:4" x14ac:dyDescent="0.2">
      <c r="A1406" s="3" t="s">
        <v>606</v>
      </c>
      <c r="B1406" t="s">
        <v>8</v>
      </c>
      <c r="C1406" s="3" t="s">
        <v>603</v>
      </c>
      <c r="D1406" s="3" t="s">
        <v>55</v>
      </c>
    </row>
    <row r="1407" spans="1:4" x14ac:dyDescent="0.2">
      <c r="A1407" s="3" t="s">
        <v>606</v>
      </c>
      <c r="B1407" t="s">
        <v>8</v>
      </c>
      <c r="C1407" s="3" t="s">
        <v>167</v>
      </c>
      <c r="D1407" s="3" t="s">
        <v>55</v>
      </c>
    </row>
    <row r="1408" spans="1:4" x14ac:dyDescent="0.2">
      <c r="A1408" s="3" t="s">
        <v>606</v>
      </c>
      <c r="B1408" t="s">
        <v>8</v>
      </c>
      <c r="C1408" s="3" t="s">
        <v>603</v>
      </c>
      <c r="D1408" s="3" t="s">
        <v>56</v>
      </c>
    </row>
    <row r="1409" spans="1:4" x14ac:dyDescent="0.2">
      <c r="A1409" s="3" t="s">
        <v>606</v>
      </c>
      <c r="B1409" t="s">
        <v>8</v>
      </c>
      <c r="C1409" s="3" t="s">
        <v>167</v>
      </c>
      <c r="D1409" s="3" t="s">
        <v>56</v>
      </c>
    </row>
    <row r="1410" spans="1:4" x14ac:dyDescent="0.2">
      <c r="A1410" s="3" t="s">
        <v>606</v>
      </c>
      <c r="B1410" t="s">
        <v>8</v>
      </c>
      <c r="C1410" s="3" t="s">
        <v>603</v>
      </c>
      <c r="D1410" s="3" t="s">
        <v>57</v>
      </c>
    </row>
    <row r="1411" spans="1:4" x14ac:dyDescent="0.2">
      <c r="A1411" s="3" t="s">
        <v>606</v>
      </c>
      <c r="B1411" t="s">
        <v>8</v>
      </c>
      <c r="C1411" s="3" t="s">
        <v>167</v>
      </c>
      <c r="D1411" s="3" t="s">
        <v>57</v>
      </c>
    </row>
    <row r="1412" spans="1:4" x14ac:dyDescent="0.2">
      <c r="A1412" s="3" t="s">
        <v>606</v>
      </c>
      <c r="B1412" t="s">
        <v>8</v>
      </c>
      <c r="C1412" s="3" t="s">
        <v>607</v>
      </c>
      <c r="D1412" s="3" t="s">
        <v>169</v>
      </c>
    </row>
    <row r="1413" spans="1:4" x14ac:dyDescent="0.2">
      <c r="A1413" s="3" t="s">
        <v>606</v>
      </c>
      <c r="B1413" t="s">
        <v>8</v>
      </c>
      <c r="C1413" s="3" t="s">
        <v>608</v>
      </c>
      <c r="D1413" s="3" t="s">
        <v>11</v>
      </c>
    </row>
    <row r="1414" spans="1:4" x14ac:dyDescent="0.2">
      <c r="A1414" s="3" t="s">
        <v>609</v>
      </c>
      <c r="B1414" t="s">
        <v>8</v>
      </c>
      <c r="C1414" s="3" t="s">
        <v>604</v>
      </c>
      <c r="D1414" s="3" t="s">
        <v>53</v>
      </c>
    </row>
    <row r="1415" spans="1:4" x14ac:dyDescent="0.2">
      <c r="A1415" s="3" t="s">
        <v>609</v>
      </c>
      <c r="B1415" t="s">
        <v>8</v>
      </c>
      <c r="C1415" s="3" t="s">
        <v>610</v>
      </c>
      <c r="D1415" s="3" t="s">
        <v>53</v>
      </c>
    </row>
    <row r="1416" spans="1:4" x14ac:dyDescent="0.2">
      <c r="A1416" s="3" t="s">
        <v>609</v>
      </c>
      <c r="B1416" t="s">
        <v>8</v>
      </c>
      <c r="C1416" s="3" t="s">
        <v>611</v>
      </c>
      <c r="D1416" s="3" t="s">
        <v>53</v>
      </c>
    </row>
    <row r="1417" spans="1:4" x14ac:dyDescent="0.2">
      <c r="A1417" s="3" t="s">
        <v>609</v>
      </c>
      <c r="B1417" t="s">
        <v>8</v>
      </c>
      <c r="C1417" s="3" t="s">
        <v>612</v>
      </c>
      <c r="D1417" s="3" t="s">
        <v>53</v>
      </c>
    </row>
    <row r="1418" spans="1:4" x14ac:dyDescent="0.2">
      <c r="A1418" s="3" t="s">
        <v>609</v>
      </c>
      <c r="B1418" t="s">
        <v>8</v>
      </c>
      <c r="C1418" s="3" t="s">
        <v>604</v>
      </c>
      <c r="D1418" s="3" t="s">
        <v>54</v>
      </c>
    </row>
    <row r="1419" spans="1:4" x14ac:dyDescent="0.2">
      <c r="A1419" s="3" t="s">
        <v>609</v>
      </c>
      <c r="B1419" t="s">
        <v>8</v>
      </c>
      <c r="C1419" s="3" t="s">
        <v>610</v>
      </c>
      <c r="D1419" s="3" t="s">
        <v>54</v>
      </c>
    </row>
    <row r="1420" spans="1:4" x14ac:dyDescent="0.2">
      <c r="A1420" s="3" t="s">
        <v>609</v>
      </c>
      <c r="B1420" t="s">
        <v>8</v>
      </c>
      <c r="C1420" s="3" t="s">
        <v>611</v>
      </c>
      <c r="D1420" s="3" t="s">
        <v>54</v>
      </c>
    </row>
    <row r="1421" spans="1:4" x14ac:dyDescent="0.2">
      <c r="A1421" s="3" t="s">
        <v>609</v>
      </c>
      <c r="B1421" t="s">
        <v>8</v>
      </c>
      <c r="C1421" s="3" t="s">
        <v>612</v>
      </c>
      <c r="D1421" s="3" t="s">
        <v>54</v>
      </c>
    </row>
    <row r="1422" spans="1:4" x14ac:dyDescent="0.2">
      <c r="A1422" s="3" t="s">
        <v>609</v>
      </c>
      <c r="B1422" t="s">
        <v>8</v>
      </c>
      <c r="C1422" s="3" t="s">
        <v>604</v>
      </c>
      <c r="D1422" s="3" t="s">
        <v>55</v>
      </c>
    </row>
    <row r="1423" spans="1:4" x14ac:dyDescent="0.2">
      <c r="A1423" s="3" t="s">
        <v>609</v>
      </c>
      <c r="B1423" t="s">
        <v>8</v>
      </c>
      <c r="C1423" s="3" t="s">
        <v>610</v>
      </c>
      <c r="D1423" s="3" t="s">
        <v>55</v>
      </c>
    </row>
    <row r="1424" spans="1:4" x14ac:dyDescent="0.2">
      <c r="A1424" s="3" t="s">
        <v>609</v>
      </c>
      <c r="B1424" t="s">
        <v>8</v>
      </c>
      <c r="C1424" s="3" t="s">
        <v>611</v>
      </c>
      <c r="D1424" s="3" t="s">
        <v>55</v>
      </c>
    </row>
    <row r="1425" spans="1:4" x14ac:dyDescent="0.2">
      <c r="A1425" s="3" t="s">
        <v>609</v>
      </c>
      <c r="B1425" t="s">
        <v>8</v>
      </c>
      <c r="C1425" s="3" t="s">
        <v>612</v>
      </c>
      <c r="D1425" s="3" t="s">
        <v>55</v>
      </c>
    </row>
    <row r="1426" spans="1:4" x14ac:dyDescent="0.2">
      <c r="A1426" s="3" t="s">
        <v>609</v>
      </c>
      <c r="B1426" t="s">
        <v>8</v>
      </c>
      <c r="C1426" s="3" t="s">
        <v>604</v>
      </c>
      <c r="D1426" s="3" t="s">
        <v>56</v>
      </c>
    </row>
    <row r="1427" spans="1:4" x14ac:dyDescent="0.2">
      <c r="A1427" s="3" t="s">
        <v>609</v>
      </c>
      <c r="B1427" t="s">
        <v>8</v>
      </c>
      <c r="C1427" s="3" t="s">
        <v>610</v>
      </c>
      <c r="D1427" s="3" t="s">
        <v>56</v>
      </c>
    </row>
    <row r="1428" spans="1:4" x14ac:dyDescent="0.2">
      <c r="A1428" s="3" t="s">
        <v>609</v>
      </c>
      <c r="B1428" t="s">
        <v>8</v>
      </c>
      <c r="C1428" s="3" t="s">
        <v>611</v>
      </c>
      <c r="D1428" s="3" t="s">
        <v>56</v>
      </c>
    </row>
    <row r="1429" spans="1:4" x14ac:dyDescent="0.2">
      <c r="A1429" s="3" t="s">
        <v>609</v>
      </c>
      <c r="B1429" t="s">
        <v>8</v>
      </c>
      <c r="C1429" s="3" t="s">
        <v>612</v>
      </c>
      <c r="D1429" s="3" t="s">
        <v>56</v>
      </c>
    </row>
    <row r="1430" spans="1:4" x14ac:dyDescent="0.2">
      <c r="A1430" s="3" t="s">
        <v>609</v>
      </c>
      <c r="B1430" t="s">
        <v>8</v>
      </c>
      <c r="C1430" s="3" t="s">
        <v>613</v>
      </c>
      <c r="D1430" s="3" t="s">
        <v>56</v>
      </c>
    </row>
    <row r="1431" spans="1:4" x14ac:dyDescent="0.2">
      <c r="A1431" s="3" t="s">
        <v>609</v>
      </c>
      <c r="B1431" t="s">
        <v>8</v>
      </c>
      <c r="C1431" s="3" t="s">
        <v>614</v>
      </c>
      <c r="D1431" s="3" t="s">
        <v>56</v>
      </c>
    </row>
    <row r="1432" spans="1:4" x14ac:dyDescent="0.2">
      <c r="A1432" s="3" t="s">
        <v>609</v>
      </c>
      <c r="B1432" t="s">
        <v>8</v>
      </c>
      <c r="C1432" s="3" t="s">
        <v>604</v>
      </c>
      <c r="D1432" s="3" t="s">
        <v>57</v>
      </c>
    </row>
    <row r="1433" spans="1:4" x14ac:dyDescent="0.2">
      <c r="A1433" s="3" t="s">
        <v>609</v>
      </c>
      <c r="B1433" t="s">
        <v>8</v>
      </c>
      <c r="C1433" s="3" t="s">
        <v>610</v>
      </c>
      <c r="D1433" s="3" t="s">
        <v>57</v>
      </c>
    </row>
    <row r="1434" spans="1:4" x14ac:dyDescent="0.2">
      <c r="A1434" s="3" t="s">
        <v>609</v>
      </c>
      <c r="B1434" t="s">
        <v>8</v>
      </c>
      <c r="C1434" s="3" t="s">
        <v>611</v>
      </c>
      <c r="D1434" s="3" t="s">
        <v>57</v>
      </c>
    </row>
    <row r="1435" spans="1:4" x14ac:dyDescent="0.2">
      <c r="A1435" s="3" t="s">
        <v>609</v>
      </c>
      <c r="B1435" t="s">
        <v>8</v>
      </c>
      <c r="C1435" s="3" t="s">
        <v>612</v>
      </c>
      <c r="D1435" s="3" t="s">
        <v>57</v>
      </c>
    </row>
    <row r="1436" spans="1:4" x14ac:dyDescent="0.2">
      <c r="A1436" s="3" t="s">
        <v>609</v>
      </c>
      <c r="B1436" t="s">
        <v>8</v>
      </c>
      <c r="C1436" s="3" t="s">
        <v>613</v>
      </c>
      <c r="D1436" s="3" t="s">
        <v>57</v>
      </c>
    </row>
    <row r="1437" spans="1:4" x14ac:dyDescent="0.2">
      <c r="A1437" s="3" t="s">
        <v>609</v>
      </c>
      <c r="B1437" t="s">
        <v>8</v>
      </c>
      <c r="C1437" s="3" t="s">
        <v>614</v>
      </c>
      <c r="D1437" s="3" t="s">
        <v>57</v>
      </c>
    </row>
    <row r="1438" spans="1:4" x14ac:dyDescent="0.2">
      <c r="A1438" s="3" t="s">
        <v>615</v>
      </c>
      <c r="B1438" t="s">
        <v>8</v>
      </c>
      <c r="C1438" s="3" t="s">
        <v>616</v>
      </c>
      <c r="D1438" s="3" t="s">
        <v>53</v>
      </c>
    </row>
    <row r="1439" spans="1:4" x14ac:dyDescent="0.2">
      <c r="A1439" s="3" t="s">
        <v>615</v>
      </c>
      <c r="B1439" t="s">
        <v>8</v>
      </c>
      <c r="C1439" s="3" t="s">
        <v>616</v>
      </c>
      <c r="D1439" s="3" t="s">
        <v>54</v>
      </c>
    </row>
    <row r="1440" spans="1:4" x14ac:dyDescent="0.2">
      <c r="A1440" s="3" t="s">
        <v>615</v>
      </c>
      <c r="B1440" t="s">
        <v>8</v>
      </c>
      <c r="C1440" s="3" t="s">
        <v>616</v>
      </c>
      <c r="D1440" s="3" t="s">
        <v>55</v>
      </c>
    </row>
    <row r="1441" spans="1:4" x14ac:dyDescent="0.2">
      <c r="A1441" s="3" t="s">
        <v>615</v>
      </c>
      <c r="B1441" t="s">
        <v>8</v>
      </c>
      <c r="C1441" s="3" t="s">
        <v>616</v>
      </c>
      <c r="D1441" s="3" t="s">
        <v>56</v>
      </c>
    </row>
    <row r="1442" spans="1:4" x14ac:dyDescent="0.2">
      <c r="A1442" s="3" t="s">
        <v>615</v>
      </c>
      <c r="B1442" t="s">
        <v>8</v>
      </c>
      <c r="C1442" s="3" t="s">
        <v>616</v>
      </c>
      <c r="D1442" s="3" t="s">
        <v>57</v>
      </c>
    </row>
    <row r="1443" spans="1:4" x14ac:dyDescent="0.2">
      <c r="A1443" s="3" t="s">
        <v>615</v>
      </c>
      <c r="B1443" t="s">
        <v>8</v>
      </c>
      <c r="C1443" s="3" t="s">
        <v>617</v>
      </c>
      <c r="D1443" s="3" t="s">
        <v>10</v>
      </c>
    </row>
    <row r="1444" spans="1:4" x14ac:dyDescent="0.2">
      <c r="A1444" s="3" t="s">
        <v>615</v>
      </c>
      <c r="B1444" t="s">
        <v>8</v>
      </c>
      <c r="C1444" s="3" t="s">
        <v>618</v>
      </c>
      <c r="D1444" s="3" t="s">
        <v>10</v>
      </c>
    </row>
    <row r="1445" spans="1:4" x14ac:dyDescent="0.2">
      <c r="A1445" s="3" t="s">
        <v>615</v>
      </c>
      <c r="B1445" t="s">
        <v>8</v>
      </c>
      <c r="C1445" s="3" t="s">
        <v>617</v>
      </c>
      <c r="D1445" s="3" t="s">
        <v>11</v>
      </c>
    </row>
    <row r="1446" spans="1:4" x14ac:dyDescent="0.2">
      <c r="A1446" s="3" t="s">
        <v>615</v>
      </c>
      <c r="B1446" t="s">
        <v>8</v>
      </c>
      <c r="C1446" s="3" t="s">
        <v>619</v>
      </c>
      <c r="D1446" s="3" t="s">
        <v>11</v>
      </c>
    </row>
    <row r="1447" spans="1:4" x14ac:dyDescent="0.2">
      <c r="A1447" s="3" t="s">
        <v>615</v>
      </c>
      <c r="B1447" t="s">
        <v>8</v>
      </c>
      <c r="C1447" s="3" t="s">
        <v>620</v>
      </c>
      <c r="D1447" s="3" t="s">
        <v>11</v>
      </c>
    </row>
    <row r="1448" spans="1:4" x14ac:dyDescent="0.2">
      <c r="A1448" s="3" t="s">
        <v>621</v>
      </c>
      <c r="B1448" t="s">
        <v>8</v>
      </c>
      <c r="C1448" s="3" t="s">
        <v>603</v>
      </c>
      <c r="D1448" s="3" t="s">
        <v>53</v>
      </c>
    </row>
    <row r="1449" spans="1:4" x14ac:dyDescent="0.2">
      <c r="A1449" s="3" t="s">
        <v>621</v>
      </c>
      <c r="B1449" t="s">
        <v>8</v>
      </c>
      <c r="C1449" s="3" t="s">
        <v>604</v>
      </c>
      <c r="D1449" s="3" t="s">
        <v>53</v>
      </c>
    </row>
    <row r="1450" spans="1:4" x14ac:dyDescent="0.2">
      <c r="A1450" s="3" t="s">
        <v>621</v>
      </c>
      <c r="B1450" t="s">
        <v>8</v>
      </c>
      <c r="C1450" s="3" t="s">
        <v>603</v>
      </c>
      <c r="D1450" s="3" t="s">
        <v>54</v>
      </c>
    </row>
    <row r="1451" spans="1:4" x14ac:dyDescent="0.2">
      <c r="A1451" s="3" t="s">
        <v>621</v>
      </c>
      <c r="B1451" t="s">
        <v>8</v>
      </c>
      <c r="C1451" s="3" t="s">
        <v>604</v>
      </c>
      <c r="D1451" s="3" t="s">
        <v>54</v>
      </c>
    </row>
    <row r="1452" spans="1:4" x14ac:dyDescent="0.2">
      <c r="A1452" s="3" t="s">
        <v>621</v>
      </c>
      <c r="B1452" t="s">
        <v>8</v>
      </c>
      <c r="C1452" s="3" t="s">
        <v>603</v>
      </c>
      <c r="D1452" s="3" t="s">
        <v>55</v>
      </c>
    </row>
    <row r="1453" spans="1:4" x14ac:dyDescent="0.2">
      <c r="A1453" s="3" t="s">
        <v>621</v>
      </c>
      <c r="B1453" t="s">
        <v>8</v>
      </c>
      <c r="C1453" s="3" t="s">
        <v>604</v>
      </c>
      <c r="D1453" s="3" t="s">
        <v>55</v>
      </c>
    </row>
    <row r="1454" spans="1:4" x14ac:dyDescent="0.2">
      <c r="A1454" s="3" t="s">
        <v>621</v>
      </c>
      <c r="B1454" t="s">
        <v>8</v>
      </c>
      <c r="C1454" s="3" t="s">
        <v>603</v>
      </c>
      <c r="D1454" s="3" t="s">
        <v>56</v>
      </c>
    </row>
    <row r="1455" spans="1:4" x14ac:dyDescent="0.2">
      <c r="A1455" s="3" t="s">
        <v>621</v>
      </c>
      <c r="B1455" t="s">
        <v>8</v>
      </c>
      <c r="C1455" s="3" t="s">
        <v>604</v>
      </c>
      <c r="D1455" s="3" t="s">
        <v>56</v>
      </c>
    </row>
    <row r="1456" spans="1:4" x14ac:dyDescent="0.2">
      <c r="A1456" s="3" t="s">
        <v>621</v>
      </c>
      <c r="B1456" t="s">
        <v>8</v>
      </c>
      <c r="C1456" s="3" t="s">
        <v>603</v>
      </c>
      <c r="D1456" s="3" t="s">
        <v>57</v>
      </c>
    </row>
    <row r="1457" spans="1:4" x14ac:dyDescent="0.2">
      <c r="A1457" s="3" t="s">
        <v>621</v>
      </c>
      <c r="B1457" t="s">
        <v>8</v>
      </c>
      <c r="C1457" s="3" t="s">
        <v>604</v>
      </c>
      <c r="D1457" s="3" t="s">
        <v>57</v>
      </c>
    </row>
    <row r="1458" spans="1:4" x14ac:dyDescent="0.2">
      <c r="A1458" s="3" t="s">
        <v>622</v>
      </c>
      <c r="B1458" t="s">
        <v>8</v>
      </c>
      <c r="C1458" s="3" t="s">
        <v>604</v>
      </c>
      <c r="D1458" s="3" t="s">
        <v>53</v>
      </c>
    </row>
    <row r="1459" spans="1:4" x14ac:dyDescent="0.2">
      <c r="A1459" s="3" t="s">
        <v>622</v>
      </c>
      <c r="B1459" t="s">
        <v>8</v>
      </c>
      <c r="C1459" s="3" t="s">
        <v>623</v>
      </c>
      <c r="D1459" s="3" t="s">
        <v>53</v>
      </c>
    </row>
    <row r="1460" spans="1:4" x14ac:dyDescent="0.2">
      <c r="A1460" s="3" t="s">
        <v>622</v>
      </c>
      <c r="B1460" t="s">
        <v>8</v>
      </c>
      <c r="C1460" s="3" t="s">
        <v>624</v>
      </c>
      <c r="D1460" s="3" t="s">
        <v>53</v>
      </c>
    </row>
    <row r="1461" spans="1:4" x14ac:dyDescent="0.2">
      <c r="A1461" s="3" t="s">
        <v>622</v>
      </c>
      <c r="B1461" t="s">
        <v>8</v>
      </c>
      <c r="C1461" s="3" t="s">
        <v>625</v>
      </c>
      <c r="D1461" s="3" t="s">
        <v>53</v>
      </c>
    </row>
    <row r="1462" spans="1:4" x14ac:dyDescent="0.2">
      <c r="A1462" s="3" t="s">
        <v>622</v>
      </c>
      <c r="B1462" t="s">
        <v>8</v>
      </c>
      <c r="C1462" s="3" t="s">
        <v>604</v>
      </c>
      <c r="D1462" s="3" t="s">
        <v>54</v>
      </c>
    </row>
    <row r="1463" spans="1:4" x14ac:dyDescent="0.2">
      <c r="A1463" s="3" t="s">
        <v>622</v>
      </c>
      <c r="B1463" t="s">
        <v>8</v>
      </c>
      <c r="C1463" s="3" t="s">
        <v>624</v>
      </c>
      <c r="D1463" s="3" t="s">
        <v>54</v>
      </c>
    </row>
    <row r="1464" spans="1:4" x14ac:dyDescent="0.2">
      <c r="A1464" s="3" t="s">
        <v>622</v>
      </c>
      <c r="B1464" t="s">
        <v>8</v>
      </c>
      <c r="C1464" s="3" t="s">
        <v>625</v>
      </c>
      <c r="D1464" s="3" t="s">
        <v>54</v>
      </c>
    </row>
    <row r="1465" spans="1:4" x14ac:dyDescent="0.2">
      <c r="A1465" s="3" t="s">
        <v>622</v>
      </c>
      <c r="B1465" t="s">
        <v>8</v>
      </c>
      <c r="C1465" s="3" t="s">
        <v>604</v>
      </c>
      <c r="D1465" s="3" t="s">
        <v>55</v>
      </c>
    </row>
    <row r="1466" spans="1:4" x14ac:dyDescent="0.2">
      <c r="A1466" s="3" t="s">
        <v>622</v>
      </c>
      <c r="B1466" t="s">
        <v>8</v>
      </c>
      <c r="C1466" s="3" t="s">
        <v>623</v>
      </c>
      <c r="D1466" s="3" t="s">
        <v>55</v>
      </c>
    </row>
    <row r="1467" spans="1:4" x14ac:dyDescent="0.2">
      <c r="A1467" s="3" t="s">
        <v>622</v>
      </c>
      <c r="B1467" t="s">
        <v>8</v>
      </c>
      <c r="C1467" s="3" t="s">
        <v>624</v>
      </c>
      <c r="D1467" s="3" t="s">
        <v>55</v>
      </c>
    </row>
    <row r="1468" spans="1:4" x14ac:dyDescent="0.2">
      <c r="A1468" s="3" t="s">
        <v>622</v>
      </c>
      <c r="B1468" t="s">
        <v>8</v>
      </c>
      <c r="C1468" s="3" t="s">
        <v>625</v>
      </c>
      <c r="D1468" s="3" t="s">
        <v>55</v>
      </c>
    </row>
    <row r="1469" spans="1:4" x14ac:dyDescent="0.2">
      <c r="A1469" s="3" t="s">
        <v>622</v>
      </c>
      <c r="B1469" t="s">
        <v>8</v>
      </c>
      <c r="C1469" s="3" t="s">
        <v>604</v>
      </c>
      <c r="D1469" s="3" t="s">
        <v>56</v>
      </c>
    </row>
    <row r="1470" spans="1:4" x14ac:dyDescent="0.2">
      <c r="A1470" s="3" t="s">
        <v>622</v>
      </c>
      <c r="B1470" t="s">
        <v>8</v>
      </c>
      <c r="C1470" s="3" t="s">
        <v>623</v>
      </c>
      <c r="D1470" s="3" t="s">
        <v>56</v>
      </c>
    </row>
    <row r="1471" spans="1:4" x14ac:dyDescent="0.2">
      <c r="A1471" s="3" t="s">
        <v>622</v>
      </c>
      <c r="B1471" t="s">
        <v>8</v>
      </c>
      <c r="C1471" s="3" t="s">
        <v>624</v>
      </c>
      <c r="D1471" s="3" t="s">
        <v>56</v>
      </c>
    </row>
    <row r="1472" spans="1:4" x14ac:dyDescent="0.2">
      <c r="A1472" s="3" t="s">
        <v>622</v>
      </c>
      <c r="B1472" t="s">
        <v>8</v>
      </c>
      <c r="C1472" s="3" t="s">
        <v>625</v>
      </c>
      <c r="D1472" s="3" t="s">
        <v>56</v>
      </c>
    </row>
    <row r="1473" spans="1:4" x14ac:dyDescent="0.2">
      <c r="A1473" s="3" t="s">
        <v>622</v>
      </c>
      <c r="B1473" t="s">
        <v>8</v>
      </c>
      <c r="C1473" s="3" t="s">
        <v>604</v>
      </c>
      <c r="D1473" s="3" t="s">
        <v>57</v>
      </c>
    </row>
    <row r="1474" spans="1:4" x14ac:dyDescent="0.2">
      <c r="A1474" s="3" t="s">
        <v>622</v>
      </c>
      <c r="B1474" t="s">
        <v>8</v>
      </c>
      <c r="C1474" s="3" t="s">
        <v>623</v>
      </c>
      <c r="D1474" s="3" t="s">
        <v>57</v>
      </c>
    </row>
    <row r="1475" spans="1:4" x14ac:dyDescent="0.2">
      <c r="A1475" s="3" t="s">
        <v>622</v>
      </c>
      <c r="B1475" t="s">
        <v>8</v>
      </c>
      <c r="C1475" s="3" t="s">
        <v>624</v>
      </c>
      <c r="D1475" s="3" t="s">
        <v>57</v>
      </c>
    </row>
    <row r="1476" spans="1:4" x14ac:dyDescent="0.2">
      <c r="A1476" s="3" t="s">
        <v>622</v>
      </c>
      <c r="B1476" t="s">
        <v>8</v>
      </c>
      <c r="C1476" s="3" t="s">
        <v>625</v>
      </c>
      <c r="D1476" s="3" t="s">
        <v>57</v>
      </c>
    </row>
    <row r="1477" spans="1:4" x14ac:dyDescent="0.2">
      <c r="A1477" s="3" t="s">
        <v>626</v>
      </c>
      <c r="B1477" t="s">
        <v>8</v>
      </c>
      <c r="C1477" s="3" t="s">
        <v>610</v>
      </c>
      <c r="D1477" s="3" t="s">
        <v>53</v>
      </c>
    </row>
    <row r="1478" spans="1:4" x14ac:dyDescent="0.2">
      <c r="A1478" s="3" t="s">
        <v>626</v>
      </c>
      <c r="B1478" t="s">
        <v>8</v>
      </c>
      <c r="C1478" s="3" t="s">
        <v>611</v>
      </c>
      <c r="D1478" s="3" t="s">
        <v>53</v>
      </c>
    </row>
    <row r="1479" spans="1:4" x14ac:dyDescent="0.2">
      <c r="A1479" s="3" t="s">
        <v>626</v>
      </c>
      <c r="B1479" t="s">
        <v>8</v>
      </c>
      <c r="C1479" s="3" t="s">
        <v>612</v>
      </c>
      <c r="D1479" s="3" t="s">
        <v>53</v>
      </c>
    </row>
    <row r="1480" spans="1:4" x14ac:dyDescent="0.2">
      <c r="A1480" s="3" t="s">
        <v>626</v>
      </c>
      <c r="B1480" t="s">
        <v>8</v>
      </c>
      <c r="C1480" s="3" t="s">
        <v>610</v>
      </c>
      <c r="D1480" s="3" t="s">
        <v>54</v>
      </c>
    </row>
    <row r="1481" spans="1:4" x14ac:dyDescent="0.2">
      <c r="A1481" s="3" t="s">
        <v>626</v>
      </c>
      <c r="B1481" t="s">
        <v>8</v>
      </c>
      <c r="C1481" s="3" t="s">
        <v>611</v>
      </c>
      <c r="D1481" s="3" t="s">
        <v>54</v>
      </c>
    </row>
    <row r="1482" spans="1:4" x14ac:dyDescent="0.2">
      <c r="A1482" s="3" t="s">
        <v>626</v>
      </c>
      <c r="B1482" t="s">
        <v>8</v>
      </c>
      <c r="C1482" s="3" t="s">
        <v>612</v>
      </c>
      <c r="D1482" s="3" t="s">
        <v>54</v>
      </c>
    </row>
    <row r="1483" spans="1:4" x14ac:dyDescent="0.2">
      <c r="A1483" s="3" t="s">
        <v>626</v>
      </c>
      <c r="B1483" t="s">
        <v>8</v>
      </c>
      <c r="C1483" s="3" t="s">
        <v>610</v>
      </c>
      <c r="D1483" s="3" t="s">
        <v>55</v>
      </c>
    </row>
    <row r="1484" spans="1:4" x14ac:dyDescent="0.2">
      <c r="A1484" s="3" t="s">
        <v>626</v>
      </c>
      <c r="B1484" t="s">
        <v>8</v>
      </c>
      <c r="C1484" s="3" t="s">
        <v>611</v>
      </c>
      <c r="D1484" s="3" t="s">
        <v>55</v>
      </c>
    </row>
    <row r="1485" spans="1:4" x14ac:dyDescent="0.2">
      <c r="A1485" s="3" t="s">
        <v>626</v>
      </c>
      <c r="B1485" t="s">
        <v>8</v>
      </c>
      <c r="C1485" s="3" t="s">
        <v>612</v>
      </c>
      <c r="D1485" s="3" t="s">
        <v>55</v>
      </c>
    </row>
    <row r="1486" spans="1:4" x14ac:dyDescent="0.2">
      <c r="A1486" s="3" t="s">
        <v>626</v>
      </c>
      <c r="B1486" t="s">
        <v>8</v>
      </c>
      <c r="C1486" s="3" t="s">
        <v>610</v>
      </c>
      <c r="D1486" s="3" t="s">
        <v>56</v>
      </c>
    </row>
    <row r="1487" spans="1:4" x14ac:dyDescent="0.2">
      <c r="A1487" s="3" t="s">
        <v>626</v>
      </c>
      <c r="B1487" t="s">
        <v>8</v>
      </c>
      <c r="C1487" s="3" t="s">
        <v>611</v>
      </c>
      <c r="D1487" s="3" t="s">
        <v>56</v>
      </c>
    </row>
    <row r="1488" spans="1:4" x14ac:dyDescent="0.2">
      <c r="A1488" s="3" t="s">
        <v>626</v>
      </c>
      <c r="B1488" t="s">
        <v>8</v>
      </c>
      <c r="C1488" s="3" t="s">
        <v>612</v>
      </c>
      <c r="D1488" s="3" t="s">
        <v>56</v>
      </c>
    </row>
    <row r="1489" spans="1:4" x14ac:dyDescent="0.2">
      <c r="A1489" s="3" t="s">
        <v>626</v>
      </c>
      <c r="B1489" t="s">
        <v>8</v>
      </c>
      <c r="C1489" s="3" t="s">
        <v>610</v>
      </c>
      <c r="D1489" s="3" t="s">
        <v>57</v>
      </c>
    </row>
    <row r="1490" spans="1:4" x14ac:dyDescent="0.2">
      <c r="A1490" s="3" t="s">
        <v>626</v>
      </c>
      <c r="B1490" t="s">
        <v>8</v>
      </c>
      <c r="C1490" s="3" t="s">
        <v>611</v>
      </c>
      <c r="D1490" s="3" t="s">
        <v>57</v>
      </c>
    </row>
    <row r="1491" spans="1:4" x14ac:dyDescent="0.2">
      <c r="A1491" s="3" t="s">
        <v>626</v>
      </c>
      <c r="B1491" t="s">
        <v>8</v>
      </c>
      <c r="C1491" s="3" t="s">
        <v>612</v>
      </c>
      <c r="D1491" s="3" t="s">
        <v>57</v>
      </c>
    </row>
    <row r="1492" spans="1:4" x14ac:dyDescent="0.2">
      <c r="A1492" s="3" t="s">
        <v>627</v>
      </c>
      <c r="B1492" t="s">
        <v>8</v>
      </c>
      <c r="C1492" s="3" t="s">
        <v>603</v>
      </c>
      <c r="D1492" s="3" t="s">
        <v>53</v>
      </c>
    </row>
    <row r="1493" spans="1:4" x14ac:dyDescent="0.2">
      <c r="A1493" s="3" t="s">
        <v>627</v>
      </c>
      <c r="B1493" t="s">
        <v>8</v>
      </c>
      <c r="C1493" s="3" t="s">
        <v>603</v>
      </c>
      <c r="D1493" s="3" t="s">
        <v>54</v>
      </c>
    </row>
    <row r="1494" spans="1:4" x14ac:dyDescent="0.2">
      <c r="A1494" s="3" t="s">
        <v>627</v>
      </c>
      <c r="B1494" t="s">
        <v>8</v>
      </c>
      <c r="C1494" s="3" t="s">
        <v>603</v>
      </c>
      <c r="D1494" s="3" t="s">
        <v>55</v>
      </c>
    </row>
    <row r="1495" spans="1:4" x14ac:dyDescent="0.2">
      <c r="A1495" s="3" t="s">
        <v>627</v>
      </c>
      <c r="B1495" t="s">
        <v>8</v>
      </c>
      <c r="C1495" s="3" t="s">
        <v>603</v>
      </c>
      <c r="D1495" s="3" t="s">
        <v>56</v>
      </c>
    </row>
    <row r="1496" spans="1:4" x14ac:dyDescent="0.2">
      <c r="A1496" s="3" t="s">
        <v>627</v>
      </c>
      <c r="B1496" t="s">
        <v>8</v>
      </c>
      <c r="C1496" s="3" t="s">
        <v>613</v>
      </c>
      <c r="D1496" s="3" t="s">
        <v>56</v>
      </c>
    </row>
    <row r="1497" spans="1:4" x14ac:dyDescent="0.2">
      <c r="A1497" s="3" t="s">
        <v>627</v>
      </c>
      <c r="B1497" t="s">
        <v>8</v>
      </c>
      <c r="C1497" s="3" t="s">
        <v>628</v>
      </c>
      <c r="D1497" s="3" t="s">
        <v>56</v>
      </c>
    </row>
    <row r="1498" spans="1:4" x14ac:dyDescent="0.2">
      <c r="A1498" s="3" t="s">
        <v>627</v>
      </c>
      <c r="B1498" t="s">
        <v>8</v>
      </c>
      <c r="C1498" s="3" t="s">
        <v>614</v>
      </c>
      <c r="D1498" s="3" t="s">
        <v>56</v>
      </c>
    </row>
    <row r="1499" spans="1:4" x14ac:dyDescent="0.2">
      <c r="A1499" s="3" t="s">
        <v>627</v>
      </c>
      <c r="B1499" t="s">
        <v>8</v>
      </c>
      <c r="C1499" s="3" t="s">
        <v>603</v>
      </c>
      <c r="D1499" s="3" t="s">
        <v>57</v>
      </c>
    </row>
    <row r="1500" spans="1:4" x14ac:dyDescent="0.2">
      <c r="A1500" s="3" t="s">
        <v>627</v>
      </c>
      <c r="B1500" t="s">
        <v>8</v>
      </c>
      <c r="C1500" s="3" t="s">
        <v>613</v>
      </c>
      <c r="D1500" s="3" t="s">
        <v>57</v>
      </c>
    </row>
    <row r="1501" spans="1:4" x14ac:dyDescent="0.2">
      <c r="A1501" s="3" t="s">
        <v>627</v>
      </c>
      <c r="B1501" t="s">
        <v>8</v>
      </c>
      <c r="C1501" s="3" t="s">
        <v>628</v>
      </c>
      <c r="D1501" s="3" t="s">
        <v>57</v>
      </c>
    </row>
    <row r="1502" spans="1:4" x14ac:dyDescent="0.2">
      <c r="A1502" s="3" t="s">
        <v>627</v>
      </c>
      <c r="B1502" t="s">
        <v>8</v>
      </c>
      <c r="C1502" s="3" t="s">
        <v>614</v>
      </c>
      <c r="D1502" s="3" t="s">
        <v>57</v>
      </c>
    </row>
    <row r="1503" spans="1:4" x14ac:dyDescent="0.2">
      <c r="A1503" s="3" t="s">
        <v>629</v>
      </c>
      <c r="B1503" t="s">
        <v>8</v>
      </c>
      <c r="C1503" s="3" t="s">
        <v>630</v>
      </c>
      <c r="D1503" s="3" t="s">
        <v>53</v>
      </c>
    </row>
    <row r="1504" spans="1:4" x14ac:dyDescent="0.2">
      <c r="A1504" s="3" t="s">
        <v>629</v>
      </c>
      <c r="B1504" t="s">
        <v>8</v>
      </c>
      <c r="C1504" s="3" t="s">
        <v>630</v>
      </c>
      <c r="D1504" s="3" t="s">
        <v>54</v>
      </c>
    </row>
    <row r="1505" spans="1:4" x14ac:dyDescent="0.2">
      <c r="A1505" s="3" t="s">
        <v>629</v>
      </c>
      <c r="B1505" t="s">
        <v>8</v>
      </c>
      <c r="C1505" s="3" t="s">
        <v>630</v>
      </c>
      <c r="D1505" s="3" t="s">
        <v>55</v>
      </c>
    </row>
    <row r="1506" spans="1:4" x14ac:dyDescent="0.2">
      <c r="A1506" s="3" t="s">
        <v>629</v>
      </c>
      <c r="B1506" t="s">
        <v>8</v>
      </c>
      <c r="C1506" s="3" t="s">
        <v>630</v>
      </c>
      <c r="D1506" s="3" t="s">
        <v>56</v>
      </c>
    </row>
    <row r="1507" spans="1:4" x14ac:dyDescent="0.2">
      <c r="A1507" s="3" t="s">
        <v>629</v>
      </c>
      <c r="B1507" t="s">
        <v>8</v>
      </c>
      <c r="C1507" s="3" t="s">
        <v>630</v>
      </c>
      <c r="D1507" s="3" t="s">
        <v>57</v>
      </c>
    </row>
    <row r="1508" spans="1:4" x14ac:dyDescent="0.2">
      <c r="A1508" s="3" t="s">
        <v>631</v>
      </c>
      <c r="B1508" t="s">
        <v>8</v>
      </c>
      <c r="C1508" s="3" t="s">
        <v>632</v>
      </c>
      <c r="D1508" s="3" t="s">
        <v>53</v>
      </c>
    </row>
    <row r="1509" spans="1:4" x14ac:dyDescent="0.2">
      <c r="A1509" s="3" t="s">
        <v>631</v>
      </c>
      <c r="B1509" t="s">
        <v>8</v>
      </c>
      <c r="C1509" s="3" t="s">
        <v>633</v>
      </c>
      <c r="D1509" s="3" t="s">
        <v>53</v>
      </c>
    </row>
    <row r="1510" spans="1:4" x14ac:dyDescent="0.2">
      <c r="A1510" s="3" t="s">
        <v>631</v>
      </c>
      <c r="B1510" t="s">
        <v>8</v>
      </c>
      <c r="C1510" s="3" t="s">
        <v>634</v>
      </c>
      <c r="D1510" s="3" t="s">
        <v>53</v>
      </c>
    </row>
    <row r="1511" spans="1:4" x14ac:dyDescent="0.2">
      <c r="A1511" s="3" t="s">
        <v>631</v>
      </c>
      <c r="B1511" t="s">
        <v>8</v>
      </c>
      <c r="C1511" s="3" t="s">
        <v>635</v>
      </c>
      <c r="D1511" s="3" t="s">
        <v>53</v>
      </c>
    </row>
    <row r="1512" spans="1:4" x14ac:dyDescent="0.2">
      <c r="A1512" s="3" t="s">
        <v>631</v>
      </c>
      <c r="B1512" t="s">
        <v>8</v>
      </c>
      <c r="C1512" s="3" t="s">
        <v>636</v>
      </c>
      <c r="D1512" s="3" t="s">
        <v>53</v>
      </c>
    </row>
    <row r="1513" spans="1:4" x14ac:dyDescent="0.2">
      <c r="A1513" s="3" t="s">
        <v>631</v>
      </c>
      <c r="B1513" t="s">
        <v>8</v>
      </c>
      <c r="C1513" s="3" t="s">
        <v>637</v>
      </c>
      <c r="D1513" s="3" t="s">
        <v>53</v>
      </c>
    </row>
    <row r="1514" spans="1:4" x14ac:dyDescent="0.2">
      <c r="A1514" s="3" t="s">
        <v>631</v>
      </c>
      <c r="B1514" t="s">
        <v>8</v>
      </c>
      <c r="C1514" s="3" t="s">
        <v>638</v>
      </c>
      <c r="D1514" s="3" t="s">
        <v>53</v>
      </c>
    </row>
    <row r="1515" spans="1:4" x14ac:dyDescent="0.2">
      <c r="A1515" s="3" t="s">
        <v>631</v>
      </c>
      <c r="B1515" t="s">
        <v>8</v>
      </c>
      <c r="C1515" s="3" t="s">
        <v>632</v>
      </c>
      <c r="D1515" s="3" t="s">
        <v>54</v>
      </c>
    </row>
    <row r="1516" spans="1:4" x14ac:dyDescent="0.2">
      <c r="A1516" s="3" t="s">
        <v>631</v>
      </c>
      <c r="B1516" t="s">
        <v>8</v>
      </c>
      <c r="C1516" s="3" t="s">
        <v>633</v>
      </c>
      <c r="D1516" s="3" t="s">
        <v>54</v>
      </c>
    </row>
    <row r="1517" spans="1:4" x14ac:dyDescent="0.2">
      <c r="A1517" s="3" t="s">
        <v>631</v>
      </c>
      <c r="B1517" t="s">
        <v>8</v>
      </c>
      <c r="C1517" s="3" t="s">
        <v>634</v>
      </c>
      <c r="D1517" s="3" t="s">
        <v>54</v>
      </c>
    </row>
    <row r="1518" spans="1:4" x14ac:dyDescent="0.2">
      <c r="A1518" s="3" t="s">
        <v>631</v>
      </c>
      <c r="B1518" t="s">
        <v>8</v>
      </c>
      <c r="C1518" s="3" t="s">
        <v>635</v>
      </c>
      <c r="D1518" s="3" t="s">
        <v>54</v>
      </c>
    </row>
    <row r="1519" spans="1:4" x14ac:dyDescent="0.2">
      <c r="A1519" s="3" t="s">
        <v>631</v>
      </c>
      <c r="B1519" t="s">
        <v>8</v>
      </c>
      <c r="C1519" s="3" t="s">
        <v>636</v>
      </c>
      <c r="D1519" s="3" t="s">
        <v>54</v>
      </c>
    </row>
    <row r="1520" spans="1:4" x14ac:dyDescent="0.2">
      <c r="A1520" s="3" t="s">
        <v>631</v>
      </c>
      <c r="B1520" t="s">
        <v>8</v>
      </c>
      <c r="C1520" s="3" t="s">
        <v>637</v>
      </c>
      <c r="D1520" s="3" t="s">
        <v>54</v>
      </c>
    </row>
    <row r="1521" spans="1:4" x14ac:dyDescent="0.2">
      <c r="A1521" s="3" t="s">
        <v>631</v>
      </c>
      <c r="B1521" t="s">
        <v>8</v>
      </c>
      <c r="C1521" s="3" t="s">
        <v>638</v>
      </c>
      <c r="D1521" s="3" t="s">
        <v>54</v>
      </c>
    </row>
    <row r="1522" spans="1:4" x14ac:dyDescent="0.2">
      <c r="A1522" s="3" t="s">
        <v>631</v>
      </c>
      <c r="B1522" t="s">
        <v>8</v>
      </c>
      <c r="C1522" s="3" t="s">
        <v>632</v>
      </c>
      <c r="D1522" s="3" t="s">
        <v>55</v>
      </c>
    </row>
    <row r="1523" spans="1:4" x14ac:dyDescent="0.2">
      <c r="A1523" s="3" t="s">
        <v>631</v>
      </c>
      <c r="B1523" t="s">
        <v>8</v>
      </c>
      <c r="C1523" s="3" t="s">
        <v>633</v>
      </c>
      <c r="D1523" s="3" t="s">
        <v>55</v>
      </c>
    </row>
    <row r="1524" spans="1:4" x14ac:dyDescent="0.2">
      <c r="A1524" s="3" t="s">
        <v>631</v>
      </c>
      <c r="B1524" t="s">
        <v>8</v>
      </c>
      <c r="C1524" s="3" t="s">
        <v>634</v>
      </c>
      <c r="D1524" s="3" t="s">
        <v>55</v>
      </c>
    </row>
    <row r="1525" spans="1:4" x14ac:dyDescent="0.2">
      <c r="A1525" s="3" t="s">
        <v>631</v>
      </c>
      <c r="B1525" t="s">
        <v>8</v>
      </c>
      <c r="C1525" s="3" t="s">
        <v>635</v>
      </c>
      <c r="D1525" s="3" t="s">
        <v>55</v>
      </c>
    </row>
    <row r="1526" spans="1:4" x14ac:dyDescent="0.2">
      <c r="A1526" s="3" t="s">
        <v>631</v>
      </c>
      <c r="B1526" t="s">
        <v>8</v>
      </c>
      <c r="C1526" s="3" t="s">
        <v>636</v>
      </c>
      <c r="D1526" s="3" t="s">
        <v>55</v>
      </c>
    </row>
    <row r="1527" spans="1:4" x14ac:dyDescent="0.2">
      <c r="A1527" s="3" t="s">
        <v>631</v>
      </c>
      <c r="B1527" t="s">
        <v>8</v>
      </c>
      <c r="C1527" s="3" t="s">
        <v>637</v>
      </c>
      <c r="D1527" s="3" t="s">
        <v>55</v>
      </c>
    </row>
    <row r="1528" spans="1:4" x14ac:dyDescent="0.2">
      <c r="A1528" s="3" t="s">
        <v>631</v>
      </c>
      <c r="B1528" t="s">
        <v>8</v>
      </c>
      <c r="C1528" s="3" t="s">
        <v>638</v>
      </c>
      <c r="D1528" s="3" t="s">
        <v>55</v>
      </c>
    </row>
    <row r="1529" spans="1:4" x14ac:dyDescent="0.2">
      <c r="A1529" s="3" t="s">
        <v>631</v>
      </c>
      <c r="B1529" t="s">
        <v>8</v>
      </c>
      <c r="C1529" s="3" t="s">
        <v>632</v>
      </c>
      <c r="D1529" s="3" t="s">
        <v>56</v>
      </c>
    </row>
    <row r="1530" spans="1:4" x14ac:dyDescent="0.2">
      <c r="A1530" s="3" t="s">
        <v>631</v>
      </c>
      <c r="B1530" t="s">
        <v>8</v>
      </c>
      <c r="C1530" s="3" t="s">
        <v>633</v>
      </c>
      <c r="D1530" s="3" t="s">
        <v>56</v>
      </c>
    </row>
    <row r="1531" spans="1:4" x14ac:dyDescent="0.2">
      <c r="A1531" s="3" t="s">
        <v>631</v>
      </c>
      <c r="B1531" t="s">
        <v>8</v>
      </c>
      <c r="C1531" s="3" t="s">
        <v>634</v>
      </c>
      <c r="D1531" s="3" t="s">
        <v>56</v>
      </c>
    </row>
    <row r="1532" spans="1:4" x14ac:dyDescent="0.2">
      <c r="A1532" s="3" t="s">
        <v>631</v>
      </c>
      <c r="B1532" t="s">
        <v>8</v>
      </c>
      <c r="C1532" s="3" t="s">
        <v>635</v>
      </c>
      <c r="D1532" s="3" t="s">
        <v>56</v>
      </c>
    </row>
    <row r="1533" spans="1:4" x14ac:dyDescent="0.2">
      <c r="A1533" s="3" t="s">
        <v>631</v>
      </c>
      <c r="B1533" t="s">
        <v>8</v>
      </c>
      <c r="C1533" s="3" t="s">
        <v>636</v>
      </c>
      <c r="D1533" s="3" t="s">
        <v>56</v>
      </c>
    </row>
    <row r="1534" spans="1:4" x14ac:dyDescent="0.2">
      <c r="A1534" s="3" t="s">
        <v>631</v>
      </c>
      <c r="B1534" t="s">
        <v>8</v>
      </c>
      <c r="C1534" s="3" t="s">
        <v>637</v>
      </c>
      <c r="D1534" s="3" t="s">
        <v>56</v>
      </c>
    </row>
    <row r="1535" spans="1:4" x14ac:dyDescent="0.2">
      <c r="A1535" s="3" t="s">
        <v>631</v>
      </c>
      <c r="B1535" t="s">
        <v>8</v>
      </c>
      <c r="C1535" s="3" t="s">
        <v>638</v>
      </c>
      <c r="D1535" s="3" t="s">
        <v>56</v>
      </c>
    </row>
    <row r="1536" spans="1:4" x14ac:dyDescent="0.2">
      <c r="A1536" s="3" t="s">
        <v>631</v>
      </c>
      <c r="B1536" t="s">
        <v>8</v>
      </c>
      <c r="C1536" s="3" t="s">
        <v>632</v>
      </c>
      <c r="D1536" s="3" t="s">
        <v>57</v>
      </c>
    </row>
    <row r="1537" spans="1:4" x14ac:dyDescent="0.2">
      <c r="A1537" s="3" t="s">
        <v>631</v>
      </c>
      <c r="B1537" t="s">
        <v>8</v>
      </c>
      <c r="C1537" s="3" t="s">
        <v>633</v>
      </c>
      <c r="D1537" s="3" t="s">
        <v>57</v>
      </c>
    </row>
    <row r="1538" spans="1:4" x14ac:dyDescent="0.2">
      <c r="A1538" s="3" t="s">
        <v>631</v>
      </c>
      <c r="B1538" t="s">
        <v>8</v>
      </c>
      <c r="C1538" s="3" t="s">
        <v>634</v>
      </c>
      <c r="D1538" s="3" t="s">
        <v>57</v>
      </c>
    </row>
    <row r="1539" spans="1:4" x14ac:dyDescent="0.2">
      <c r="A1539" s="3" t="s">
        <v>631</v>
      </c>
      <c r="B1539" t="s">
        <v>8</v>
      </c>
      <c r="C1539" s="3" t="s">
        <v>635</v>
      </c>
      <c r="D1539" s="3" t="s">
        <v>57</v>
      </c>
    </row>
    <row r="1540" spans="1:4" x14ac:dyDescent="0.2">
      <c r="A1540" s="3" t="s">
        <v>631</v>
      </c>
      <c r="B1540" t="s">
        <v>8</v>
      </c>
      <c r="C1540" s="3" t="s">
        <v>636</v>
      </c>
      <c r="D1540" s="3" t="s">
        <v>57</v>
      </c>
    </row>
    <row r="1541" spans="1:4" x14ac:dyDescent="0.2">
      <c r="A1541" s="3" t="s">
        <v>631</v>
      </c>
      <c r="B1541" t="s">
        <v>8</v>
      </c>
      <c r="C1541" s="3" t="s">
        <v>637</v>
      </c>
      <c r="D1541" s="3" t="s">
        <v>57</v>
      </c>
    </row>
    <row r="1542" spans="1:4" x14ac:dyDescent="0.2">
      <c r="A1542" s="3" t="s">
        <v>631</v>
      </c>
      <c r="B1542" t="s">
        <v>8</v>
      </c>
      <c r="C1542" s="3" t="s">
        <v>638</v>
      </c>
      <c r="D1542" s="3" t="s">
        <v>57</v>
      </c>
    </row>
    <row r="1543" spans="1:4" x14ac:dyDescent="0.2">
      <c r="A1543" s="3" t="s">
        <v>631</v>
      </c>
      <c r="B1543" t="s">
        <v>8</v>
      </c>
      <c r="C1543" s="3" t="s">
        <v>639</v>
      </c>
      <c r="D1543" s="3" t="s">
        <v>169</v>
      </c>
    </row>
    <row r="1544" spans="1:4" x14ac:dyDescent="0.2">
      <c r="A1544" s="3" t="s">
        <v>631</v>
      </c>
      <c r="B1544" t="s">
        <v>8</v>
      </c>
      <c r="C1544" s="3" t="s">
        <v>640</v>
      </c>
      <c r="D1544" s="3" t="s">
        <v>169</v>
      </c>
    </row>
    <row r="1545" spans="1:4" x14ac:dyDescent="0.2">
      <c r="A1545" s="3" t="s">
        <v>631</v>
      </c>
      <c r="B1545" t="s">
        <v>8</v>
      </c>
      <c r="C1545" s="3" t="s">
        <v>641</v>
      </c>
      <c r="D1545" s="3" t="s">
        <v>169</v>
      </c>
    </row>
    <row r="1546" spans="1:4" x14ac:dyDescent="0.2">
      <c r="A1546" s="3" t="s">
        <v>631</v>
      </c>
      <c r="B1546" t="s">
        <v>8</v>
      </c>
      <c r="C1546" s="3" t="s">
        <v>642</v>
      </c>
      <c r="D1546" s="3" t="s">
        <v>169</v>
      </c>
    </row>
    <row r="1547" spans="1:4" x14ac:dyDescent="0.2">
      <c r="A1547" s="3" t="s">
        <v>631</v>
      </c>
      <c r="B1547" t="s">
        <v>8</v>
      </c>
      <c r="C1547" s="3" t="s">
        <v>643</v>
      </c>
      <c r="D1547" s="3" t="s">
        <v>169</v>
      </c>
    </row>
    <row r="1548" spans="1:4" x14ac:dyDescent="0.2">
      <c r="A1548" s="3" t="s">
        <v>631</v>
      </c>
      <c r="B1548" t="s">
        <v>8</v>
      </c>
      <c r="C1548" s="3" t="s">
        <v>644</v>
      </c>
      <c r="D1548" s="3" t="s">
        <v>169</v>
      </c>
    </row>
    <row r="1549" spans="1:4" x14ac:dyDescent="0.2">
      <c r="A1549" s="3" t="s">
        <v>645</v>
      </c>
      <c r="B1549" t="s">
        <v>8</v>
      </c>
      <c r="C1549" s="3" t="s">
        <v>644</v>
      </c>
      <c r="D1549" s="3" t="s">
        <v>169</v>
      </c>
    </row>
    <row r="1550" spans="1:4" x14ac:dyDescent="0.2">
      <c r="A1550" s="3" t="s">
        <v>645</v>
      </c>
      <c r="B1550" t="s">
        <v>8</v>
      </c>
      <c r="C1550" s="3" t="s">
        <v>646</v>
      </c>
      <c r="D1550" s="3" t="s">
        <v>169</v>
      </c>
    </row>
    <row r="1551" spans="1:4" x14ac:dyDescent="0.2">
      <c r="A1551" s="3" t="s">
        <v>647</v>
      </c>
      <c r="B1551" t="s">
        <v>8</v>
      </c>
      <c r="C1551" s="3" t="s">
        <v>648</v>
      </c>
      <c r="D1551" s="3" t="s">
        <v>169</v>
      </c>
    </row>
    <row r="1552" spans="1:4" x14ac:dyDescent="0.2">
      <c r="A1552" s="3" t="s">
        <v>647</v>
      </c>
      <c r="B1552" t="s">
        <v>8</v>
      </c>
      <c r="C1552" s="3" t="s">
        <v>640</v>
      </c>
      <c r="D1552" s="3" t="s">
        <v>169</v>
      </c>
    </row>
    <row r="1553" spans="1:4" x14ac:dyDescent="0.2">
      <c r="A1553" s="3" t="s">
        <v>647</v>
      </c>
      <c r="B1553" t="s">
        <v>8</v>
      </c>
      <c r="C1553" s="3" t="s">
        <v>649</v>
      </c>
      <c r="D1553" s="3" t="s">
        <v>169</v>
      </c>
    </row>
    <row r="1554" spans="1:4" x14ac:dyDescent="0.2">
      <c r="A1554" s="3" t="s">
        <v>647</v>
      </c>
      <c r="B1554" t="s">
        <v>8</v>
      </c>
      <c r="C1554" s="3" t="s">
        <v>641</v>
      </c>
      <c r="D1554" s="3" t="s">
        <v>169</v>
      </c>
    </row>
    <row r="1555" spans="1:4" x14ac:dyDescent="0.2">
      <c r="A1555" s="3" t="s">
        <v>647</v>
      </c>
      <c r="B1555" t="s">
        <v>8</v>
      </c>
      <c r="C1555" s="3" t="s">
        <v>642</v>
      </c>
      <c r="D1555" s="3" t="s">
        <v>169</v>
      </c>
    </row>
    <row r="1556" spans="1:4" x14ac:dyDescent="0.2">
      <c r="A1556" s="3" t="s">
        <v>647</v>
      </c>
      <c r="B1556" t="s">
        <v>8</v>
      </c>
      <c r="C1556" s="3" t="s">
        <v>643</v>
      </c>
      <c r="D1556" s="3" t="s">
        <v>169</v>
      </c>
    </row>
    <row r="1557" spans="1:4" x14ac:dyDescent="0.2">
      <c r="A1557" s="3" t="s">
        <v>647</v>
      </c>
      <c r="B1557" t="s">
        <v>8</v>
      </c>
      <c r="C1557" s="3" t="s">
        <v>650</v>
      </c>
      <c r="D1557" s="3" t="s">
        <v>169</v>
      </c>
    </row>
    <row r="1558" spans="1:4" x14ac:dyDescent="0.2">
      <c r="A1558" s="3" t="s">
        <v>647</v>
      </c>
      <c r="B1558" t="s">
        <v>8</v>
      </c>
      <c r="C1558" s="3" t="s">
        <v>644</v>
      </c>
      <c r="D1558" s="3" t="s">
        <v>169</v>
      </c>
    </row>
    <row r="1559" spans="1:4" x14ac:dyDescent="0.2">
      <c r="A1559" s="3" t="s">
        <v>647</v>
      </c>
      <c r="B1559" t="s">
        <v>8</v>
      </c>
      <c r="C1559" s="3" t="s">
        <v>651</v>
      </c>
      <c r="D1559" s="3" t="s">
        <v>169</v>
      </c>
    </row>
    <row r="1560" spans="1:4" x14ac:dyDescent="0.2">
      <c r="A1560" s="3" t="s">
        <v>647</v>
      </c>
      <c r="B1560" t="s">
        <v>8</v>
      </c>
      <c r="C1560" s="3" t="s">
        <v>652</v>
      </c>
      <c r="D1560" s="3" t="s">
        <v>169</v>
      </c>
    </row>
    <row r="1561" spans="1:4" x14ac:dyDescent="0.2">
      <c r="A1561" s="3" t="s">
        <v>653</v>
      </c>
      <c r="B1561" t="s">
        <v>8</v>
      </c>
      <c r="C1561" s="3" t="s">
        <v>654</v>
      </c>
      <c r="D1561" s="3" t="s">
        <v>169</v>
      </c>
    </row>
    <row r="1562" spans="1:4" x14ac:dyDescent="0.2">
      <c r="A1562" s="3" t="s">
        <v>655</v>
      </c>
      <c r="B1562" t="s">
        <v>8</v>
      </c>
      <c r="C1562" s="3" t="s">
        <v>656</v>
      </c>
      <c r="D1562" s="3" t="s">
        <v>53</v>
      </c>
    </row>
    <row r="1563" spans="1:4" x14ac:dyDescent="0.2">
      <c r="A1563" s="3" t="s">
        <v>655</v>
      </c>
      <c r="B1563" t="s">
        <v>8</v>
      </c>
      <c r="C1563" s="3" t="s">
        <v>657</v>
      </c>
      <c r="D1563" s="3" t="s">
        <v>53</v>
      </c>
    </row>
    <row r="1564" spans="1:4" x14ac:dyDescent="0.2">
      <c r="A1564" s="3" t="s">
        <v>655</v>
      </c>
      <c r="B1564" t="s">
        <v>8</v>
      </c>
      <c r="C1564" s="3" t="s">
        <v>658</v>
      </c>
      <c r="D1564" s="3" t="s">
        <v>53</v>
      </c>
    </row>
    <row r="1565" spans="1:4" x14ac:dyDescent="0.2">
      <c r="A1565" s="3" t="s">
        <v>655</v>
      </c>
      <c r="B1565" t="s">
        <v>8</v>
      </c>
      <c r="C1565" s="3" t="s">
        <v>659</v>
      </c>
      <c r="D1565" s="3" t="s">
        <v>53</v>
      </c>
    </row>
    <row r="1566" spans="1:4" x14ac:dyDescent="0.2">
      <c r="A1566" s="3" t="s">
        <v>655</v>
      </c>
      <c r="B1566" t="s">
        <v>8</v>
      </c>
      <c r="C1566" s="3" t="s">
        <v>660</v>
      </c>
      <c r="D1566" s="3" t="s">
        <v>53</v>
      </c>
    </row>
    <row r="1567" spans="1:4" x14ac:dyDescent="0.2">
      <c r="A1567" s="3" t="s">
        <v>655</v>
      </c>
      <c r="B1567" t="s">
        <v>8</v>
      </c>
      <c r="C1567" s="3" t="s">
        <v>661</v>
      </c>
      <c r="D1567" s="3" t="s">
        <v>53</v>
      </c>
    </row>
    <row r="1568" spans="1:4" x14ac:dyDescent="0.2">
      <c r="A1568" s="3" t="s">
        <v>655</v>
      </c>
      <c r="B1568" t="s">
        <v>8</v>
      </c>
      <c r="C1568" s="3" t="s">
        <v>662</v>
      </c>
      <c r="D1568" s="3" t="s">
        <v>53</v>
      </c>
    </row>
    <row r="1569" spans="1:4" x14ac:dyDescent="0.2">
      <c r="A1569" s="3" t="s">
        <v>655</v>
      </c>
      <c r="B1569" t="s">
        <v>8</v>
      </c>
      <c r="C1569" s="3" t="s">
        <v>663</v>
      </c>
      <c r="D1569" s="3" t="s">
        <v>53</v>
      </c>
    </row>
    <row r="1570" spans="1:4" x14ac:dyDescent="0.2">
      <c r="A1570" s="3" t="s">
        <v>655</v>
      </c>
      <c r="B1570" t="s">
        <v>8</v>
      </c>
      <c r="C1570" s="3" t="s">
        <v>664</v>
      </c>
      <c r="D1570" s="3" t="s">
        <v>53</v>
      </c>
    </row>
    <row r="1571" spans="1:4" x14ac:dyDescent="0.2">
      <c r="A1571" s="3" t="s">
        <v>655</v>
      </c>
      <c r="B1571" t="s">
        <v>8</v>
      </c>
      <c r="C1571" s="3" t="s">
        <v>665</v>
      </c>
      <c r="D1571" s="3" t="s">
        <v>53</v>
      </c>
    </row>
    <row r="1572" spans="1:4" x14ac:dyDescent="0.2">
      <c r="A1572" s="3" t="s">
        <v>655</v>
      </c>
      <c r="B1572" t="s">
        <v>8</v>
      </c>
      <c r="C1572" s="3" t="s">
        <v>666</v>
      </c>
      <c r="D1572" s="3" t="s">
        <v>53</v>
      </c>
    </row>
    <row r="1573" spans="1:4" x14ac:dyDescent="0.2">
      <c r="A1573" s="3" t="s">
        <v>655</v>
      </c>
      <c r="B1573" t="s">
        <v>8</v>
      </c>
      <c r="C1573" s="3" t="s">
        <v>667</v>
      </c>
      <c r="D1573" s="3" t="s">
        <v>53</v>
      </c>
    </row>
    <row r="1574" spans="1:4" x14ac:dyDescent="0.2">
      <c r="A1574" s="3" t="s">
        <v>655</v>
      </c>
      <c r="B1574" t="s">
        <v>8</v>
      </c>
      <c r="C1574" s="3" t="s">
        <v>668</v>
      </c>
      <c r="D1574" s="3" t="s">
        <v>53</v>
      </c>
    </row>
    <row r="1575" spans="1:4" x14ac:dyDescent="0.2">
      <c r="A1575" s="3" t="s">
        <v>655</v>
      </c>
      <c r="B1575" t="s">
        <v>8</v>
      </c>
      <c r="C1575" s="3" t="s">
        <v>669</v>
      </c>
      <c r="D1575" s="3" t="s">
        <v>53</v>
      </c>
    </row>
    <row r="1576" spans="1:4" x14ac:dyDescent="0.2">
      <c r="A1576" s="3" t="s">
        <v>655</v>
      </c>
      <c r="B1576" t="s">
        <v>8</v>
      </c>
      <c r="C1576" s="3" t="s">
        <v>670</v>
      </c>
      <c r="D1576" s="3" t="s">
        <v>53</v>
      </c>
    </row>
    <row r="1577" spans="1:4" x14ac:dyDescent="0.2">
      <c r="A1577" s="3" t="s">
        <v>655</v>
      </c>
      <c r="B1577" t="s">
        <v>8</v>
      </c>
      <c r="C1577" s="3" t="s">
        <v>671</v>
      </c>
      <c r="D1577" s="3" t="s">
        <v>53</v>
      </c>
    </row>
    <row r="1578" spans="1:4" x14ac:dyDescent="0.2">
      <c r="A1578" s="3" t="s">
        <v>655</v>
      </c>
      <c r="B1578" t="s">
        <v>8</v>
      </c>
      <c r="C1578" s="3" t="s">
        <v>672</v>
      </c>
      <c r="D1578" s="3" t="s">
        <v>53</v>
      </c>
    </row>
    <row r="1579" spans="1:4" x14ac:dyDescent="0.2">
      <c r="A1579" s="3" t="s">
        <v>655</v>
      </c>
      <c r="B1579" t="s">
        <v>8</v>
      </c>
      <c r="C1579" s="3" t="s">
        <v>656</v>
      </c>
      <c r="D1579" s="3" t="s">
        <v>54</v>
      </c>
    </row>
    <row r="1580" spans="1:4" x14ac:dyDescent="0.2">
      <c r="A1580" s="3" t="s">
        <v>655</v>
      </c>
      <c r="B1580" t="s">
        <v>8</v>
      </c>
      <c r="C1580" s="3" t="s">
        <v>657</v>
      </c>
      <c r="D1580" s="3" t="s">
        <v>54</v>
      </c>
    </row>
    <row r="1581" spans="1:4" x14ac:dyDescent="0.2">
      <c r="A1581" s="3" t="s">
        <v>655</v>
      </c>
      <c r="B1581" t="s">
        <v>8</v>
      </c>
      <c r="C1581" s="3" t="s">
        <v>658</v>
      </c>
      <c r="D1581" s="3" t="s">
        <v>54</v>
      </c>
    </row>
    <row r="1582" spans="1:4" x14ac:dyDescent="0.2">
      <c r="A1582" s="3" t="s">
        <v>655</v>
      </c>
      <c r="B1582" t="s">
        <v>8</v>
      </c>
      <c r="C1582" s="3" t="s">
        <v>659</v>
      </c>
      <c r="D1582" s="3" t="s">
        <v>54</v>
      </c>
    </row>
    <row r="1583" spans="1:4" x14ac:dyDescent="0.2">
      <c r="A1583" s="3" t="s">
        <v>655</v>
      </c>
      <c r="B1583" t="s">
        <v>8</v>
      </c>
      <c r="C1583" s="3" t="s">
        <v>660</v>
      </c>
      <c r="D1583" s="3" t="s">
        <v>54</v>
      </c>
    </row>
    <row r="1584" spans="1:4" x14ac:dyDescent="0.2">
      <c r="A1584" s="3" t="s">
        <v>655</v>
      </c>
      <c r="B1584" t="s">
        <v>8</v>
      </c>
      <c r="C1584" s="3" t="s">
        <v>661</v>
      </c>
      <c r="D1584" s="3" t="s">
        <v>54</v>
      </c>
    </row>
    <row r="1585" spans="1:4" x14ac:dyDescent="0.2">
      <c r="A1585" s="3" t="s">
        <v>655</v>
      </c>
      <c r="B1585" t="s">
        <v>8</v>
      </c>
      <c r="C1585" s="3" t="s">
        <v>662</v>
      </c>
      <c r="D1585" s="3" t="s">
        <v>54</v>
      </c>
    </row>
    <row r="1586" spans="1:4" x14ac:dyDescent="0.2">
      <c r="A1586" s="3" t="s">
        <v>655</v>
      </c>
      <c r="B1586" t="s">
        <v>8</v>
      </c>
      <c r="C1586" s="3" t="s">
        <v>663</v>
      </c>
      <c r="D1586" s="3" t="s">
        <v>54</v>
      </c>
    </row>
    <row r="1587" spans="1:4" x14ac:dyDescent="0.2">
      <c r="A1587" s="3" t="s">
        <v>655</v>
      </c>
      <c r="B1587" t="s">
        <v>8</v>
      </c>
      <c r="C1587" s="3" t="s">
        <v>664</v>
      </c>
      <c r="D1587" s="3" t="s">
        <v>54</v>
      </c>
    </row>
    <row r="1588" spans="1:4" x14ac:dyDescent="0.2">
      <c r="A1588" s="3" t="s">
        <v>655</v>
      </c>
      <c r="B1588" t="s">
        <v>8</v>
      </c>
      <c r="C1588" s="3" t="s">
        <v>665</v>
      </c>
      <c r="D1588" s="3" t="s">
        <v>54</v>
      </c>
    </row>
    <row r="1589" spans="1:4" x14ac:dyDescent="0.2">
      <c r="A1589" s="3" t="s">
        <v>655</v>
      </c>
      <c r="B1589" t="s">
        <v>8</v>
      </c>
      <c r="C1589" s="3" t="s">
        <v>666</v>
      </c>
      <c r="D1589" s="3" t="s">
        <v>54</v>
      </c>
    </row>
    <row r="1590" spans="1:4" x14ac:dyDescent="0.2">
      <c r="A1590" s="3" t="s">
        <v>655</v>
      </c>
      <c r="B1590" t="s">
        <v>8</v>
      </c>
      <c r="C1590" s="3" t="s">
        <v>667</v>
      </c>
      <c r="D1590" s="3" t="s">
        <v>54</v>
      </c>
    </row>
    <row r="1591" spans="1:4" x14ac:dyDescent="0.2">
      <c r="A1591" s="3" t="s">
        <v>655</v>
      </c>
      <c r="B1591" t="s">
        <v>8</v>
      </c>
      <c r="C1591" s="3" t="s">
        <v>668</v>
      </c>
      <c r="D1591" s="3" t="s">
        <v>54</v>
      </c>
    </row>
    <row r="1592" spans="1:4" x14ac:dyDescent="0.2">
      <c r="A1592" s="3" t="s">
        <v>655</v>
      </c>
      <c r="B1592" t="s">
        <v>8</v>
      </c>
      <c r="C1592" s="3" t="s">
        <v>669</v>
      </c>
      <c r="D1592" s="3" t="s">
        <v>54</v>
      </c>
    </row>
    <row r="1593" spans="1:4" x14ac:dyDescent="0.2">
      <c r="A1593" s="3" t="s">
        <v>655</v>
      </c>
      <c r="B1593" t="s">
        <v>8</v>
      </c>
      <c r="C1593" s="3" t="s">
        <v>670</v>
      </c>
      <c r="D1593" s="3" t="s">
        <v>54</v>
      </c>
    </row>
    <row r="1594" spans="1:4" x14ac:dyDescent="0.2">
      <c r="A1594" s="3" t="s">
        <v>655</v>
      </c>
      <c r="B1594" t="s">
        <v>8</v>
      </c>
      <c r="C1594" s="3" t="s">
        <v>671</v>
      </c>
      <c r="D1594" s="3" t="s">
        <v>54</v>
      </c>
    </row>
    <row r="1595" spans="1:4" x14ac:dyDescent="0.2">
      <c r="A1595" s="3" t="s">
        <v>655</v>
      </c>
      <c r="B1595" t="s">
        <v>8</v>
      </c>
      <c r="C1595" s="3" t="s">
        <v>672</v>
      </c>
      <c r="D1595" s="3" t="s">
        <v>54</v>
      </c>
    </row>
    <row r="1596" spans="1:4" x14ac:dyDescent="0.2">
      <c r="A1596" s="3" t="s">
        <v>655</v>
      </c>
      <c r="B1596" t="s">
        <v>8</v>
      </c>
      <c r="C1596" s="3" t="s">
        <v>656</v>
      </c>
      <c r="D1596" s="3" t="s">
        <v>55</v>
      </c>
    </row>
    <row r="1597" spans="1:4" x14ac:dyDescent="0.2">
      <c r="A1597" s="3" t="s">
        <v>655</v>
      </c>
      <c r="B1597" t="s">
        <v>8</v>
      </c>
      <c r="C1597" s="3" t="s">
        <v>657</v>
      </c>
      <c r="D1597" s="3" t="s">
        <v>55</v>
      </c>
    </row>
    <row r="1598" spans="1:4" x14ac:dyDescent="0.2">
      <c r="A1598" s="3" t="s">
        <v>655</v>
      </c>
      <c r="B1598" t="s">
        <v>8</v>
      </c>
      <c r="C1598" s="3" t="s">
        <v>656</v>
      </c>
      <c r="D1598" s="3" t="s">
        <v>56</v>
      </c>
    </row>
    <row r="1599" spans="1:4" x14ac:dyDescent="0.2">
      <c r="A1599" s="3" t="s">
        <v>655</v>
      </c>
      <c r="B1599" t="s">
        <v>8</v>
      </c>
      <c r="C1599" s="3" t="s">
        <v>657</v>
      </c>
      <c r="D1599" s="3" t="s">
        <v>56</v>
      </c>
    </row>
    <row r="1600" spans="1:4" x14ac:dyDescent="0.2">
      <c r="A1600" s="3" t="s">
        <v>655</v>
      </c>
      <c r="B1600" t="s">
        <v>8</v>
      </c>
      <c r="C1600" s="3" t="s">
        <v>656</v>
      </c>
      <c r="D1600" s="3" t="s">
        <v>57</v>
      </c>
    </row>
    <row r="1601" spans="1:4" x14ac:dyDescent="0.2">
      <c r="A1601" s="3" t="s">
        <v>655</v>
      </c>
      <c r="B1601" t="s">
        <v>8</v>
      </c>
      <c r="C1601" s="3" t="s">
        <v>657</v>
      </c>
      <c r="D1601" s="3" t="s">
        <v>57</v>
      </c>
    </row>
    <row r="1602" spans="1:4" x14ac:dyDescent="0.2">
      <c r="A1602" s="3" t="s">
        <v>673</v>
      </c>
      <c r="B1602" t="s">
        <v>8</v>
      </c>
      <c r="C1602" s="3" t="s">
        <v>674</v>
      </c>
      <c r="D1602" s="3" t="s">
        <v>53</v>
      </c>
    </row>
    <row r="1603" spans="1:4" x14ac:dyDescent="0.2">
      <c r="A1603" s="3" t="s">
        <v>673</v>
      </c>
      <c r="B1603" t="s">
        <v>8</v>
      </c>
      <c r="C1603" s="3" t="s">
        <v>656</v>
      </c>
      <c r="D1603" s="3" t="s">
        <v>53</v>
      </c>
    </row>
    <row r="1604" spans="1:4" x14ac:dyDescent="0.2">
      <c r="A1604" s="3" t="s">
        <v>673</v>
      </c>
      <c r="B1604" t="s">
        <v>8</v>
      </c>
      <c r="C1604" s="3" t="s">
        <v>657</v>
      </c>
      <c r="D1604" s="3" t="s">
        <v>53</v>
      </c>
    </row>
    <row r="1605" spans="1:4" x14ac:dyDescent="0.2">
      <c r="A1605" s="3" t="s">
        <v>673</v>
      </c>
      <c r="B1605" t="s">
        <v>8</v>
      </c>
      <c r="C1605" s="3" t="s">
        <v>675</v>
      </c>
      <c r="D1605" s="3" t="s">
        <v>53</v>
      </c>
    </row>
    <row r="1606" spans="1:4" x14ac:dyDescent="0.2">
      <c r="A1606" s="3" t="s">
        <v>673</v>
      </c>
      <c r="B1606" t="s">
        <v>8</v>
      </c>
      <c r="C1606" s="3" t="s">
        <v>674</v>
      </c>
      <c r="D1606" s="3" t="s">
        <v>54</v>
      </c>
    </row>
    <row r="1607" spans="1:4" x14ac:dyDescent="0.2">
      <c r="A1607" s="3" t="s">
        <v>673</v>
      </c>
      <c r="B1607" t="s">
        <v>8</v>
      </c>
      <c r="C1607" s="3" t="s">
        <v>656</v>
      </c>
      <c r="D1607" s="3" t="s">
        <v>54</v>
      </c>
    </row>
    <row r="1608" spans="1:4" x14ac:dyDescent="0.2">
      <c r="A1608" s="3" t="s">
        <v>673</v>
      </c>
      <c r="B1608" t="s">
        <v>8</v>
      </c>
      <c r="C1608" s="3" t="s">
        <v>657</v>
      </c>
      <c r="D1608" s="3" t="s">
        <v>54</v>
      </c>
    </row>
    <row r="1609" spans="1:4" x14ac:dyDescent="0.2">
      <c r="A1609" s="3" t="s">
        <v>673</v>
      </c>
      <c r="B1609" t="s">
        <v>8</v>
      </c>
      <c r="C1609" s="3" t="s">
        <v>675</v>
      </c>
      <c r="D1609" s="3" t="s">
        <v>54</v>
      </c>
    </row>
    <row r="1610" spans="1:4" x14ac:dyDescent="0.2">
      <c r="A1610" s="3" t="s">
        <v>673</v>
      </c>
      <c r="B1610" t="s">
        <v>8</v>
      </c>
      <c r="C1610" s="3" t="s">
        <v>674</v>
      </c>
      <c r="D1610" s="3" t="s">
        <v>55</v>
      </c>
    </row>
    <row r="1611" spans="1:4" x14ac:dyDescent="0.2">
      <c r="A1611" s="3" t="s">
        <v>673</v>
      </c>
      <c r="B1611" t="s">
        <v>8</v>
      </c>
      <c r="C1611" s="3" t="s">
        <v>656</v>
      </c>
      <c r="D1611" s="3" t="s">
        <v>55</v>
      </c>
    </row>
    <row r="1612" spans="1:4" x14ac:dyDescent="0.2">
      <c r="A1612" s="3" t="s">
        <v>673</v>
      </c>
      <c r="B1612" t="s">
        <v>8</v>
      </c>
      <c r="C1612" s="3" t="s">
        <v>657</v>
      </c>
      <c r="D1612" s="3" t="s">
        <v>55</v>
      </c>
    </row>
    <row r="1613" spans="1:4" x14ac:dyDescent="0.2">
      <c r="A1613" s="3" t="s">
        <v>673</v>
      </c>
      <c r="B1613" t="s">
        <v>8</v>
      </c>
      <c r="C1613" s="3" t="s">
        <v>675</v>
      </c>
      <c r="D1613" s="3" t="s">
        <v>55</v>
      </c>
    </row>
    <row r="1614" spans="1:4" x14ac:dyDescent="0.2">
      <c r="A1614" s="3" t="s">
        <v>673</v>
      </c>
      <c r="B1614" t="s">
        <v>8</v>
      </c>
      <c r="C1614" s="3" t="s">
        <v>674</v>
      </c>
      <c r="D1614" s="3" t="s">
        <v>56</v>
      </c>
    </row>
    <row r="1615" spans="1:4" x14ac:dyDescent="0.2">
      <c r="A1615" s="3" t="s">
        <v>673</v>
      </c>
      <c r="B1615" t="s">
        <v>8</v>
      </c>
      <c r="C1615" s="3" t="s">
        <v>656</v>
      </c>
      <c r="D1615" s="3" t="s">
        <v>56</v>
      </c>
    </row>
    <row r="1616" spans="1:4" x14ac:dyDescent="0.2">
      <c r="A1616" s="3" t="s">
        <v>673</v>
      </c>
      <c r="B1616" t="s">
        <v>8</v>
      </c>
      <c r="C1616" s="3" t="s">
        <v>657</v>
      </c>
      <c r="D1616" s="3" t="s">
        <v>56</v>
      </c>
    </row>
    <row r="1617" spans="1:4" x14ac:dyDescent="0.2">
      <c r="A1617" s="3" t="s">
        <v>673</v>
      </c>
      <c r="B1617" t="s">
        <v>8</v>
      </c>
      <c r="C1617" s="3" t="s">
        <v>675</v>
      </c>
      <c r="D1617" s="3" t="s">
        <v>56</v>
      </c>
    </row>
    <row r="1618" spans="1:4" x14ac:dyDescent="0.2">
      <c r="A1618" s="3" t="s">
        <v>673</v>
      </c>
      <c r="B1618" t="s">
        <v>8</v>
      </c>
      <c r="C1618" s="3" t="s">
        <v>674</v>
      </c>
      <c r="D1618" s="3" t="s">
        <v>57</v>
      </c>
    </row>
    <row r="1619" spans="1:4" x14ac:dyDescent="0.2">
      <c r="A1619" s="3" t="s">
        <v>673</v>
      </c>
      <c r="B1619" t="s">
        <v>8</v>
      </c>
      <c r="C1619" s="3" t="s">
        <v>656</v>
      </c>
      <c r="D1619" s="3" t="s">
        <v>57</v>
      </c>
    </row>
    <row r="1620" spans="1:4" x14ac:dyDescent="0.2">
      <c r="A1620" s="3" t="s">
        <v>673</v>
      </c>
      <c r="B1620" t="s">
        <v>8</v>
      </c>
      <c r="C1620" s="3" t="s">
        <v>657</v>
      </c>
      <c r="D1620" s="3" t="s">
        <v>57</v>
      </c>
    </row>
    <row r="1621" spans="1:4" x14ac:dyDescent="0.2">
      <c r="A1621" s="3" t="s">
        <v>673</v>
      </c>
      <c r="B1621" t="s">
        <v>8</v>
      </c>
      <c r="C1621" s="3" t="s">
        <v>675</v>
      </c>
      <c r="D1621" s="3" t="s">
        <v>57</v>
      </c>
    </row>
    <row r="1622" spans="1:4" x14ac:dyDescent="0.2">
      <c r="A1622" s="3" t="s">
        <v>676</v>
      </c>
      <c r="B1622" t="s">
        <v>8</v>
      </c>
      <c r="C1622" s="3" t="s">
        <v>677</v>
      </c>
      <c r="D1622" s="3" t="s">
        <v>53</v>
      </c>
    </row>
    <row r="1623" spans="1:4" x14ac:dyDescent="0.2">
      <c r="A1623" s="3" t="s">
        <v>676</v>
      </c>
      <c r="B1623" t="s">
        <v>8</v>
      </c>
      <c r="C1623" s="3" t="s">
        <v>657</v>
      </c>
      <c r="D1623" s="3" t="s">
        <v>53</v>
      </c>
    </row>
    <row r="1624" spans="1:4" x14ac:dyDescent="0.2">
      <c r="A1624" s="3" t="s">
        <v>676</v>
      </c>
      <c r="B1624" t="s">
        <v>8</v>
      </c>
      <c r="C1624" s="3" t="s">
        <v>675</v>
      </c>
      <c r="D1624" s="3" t="s">
        <v>53</v>
      </c>
    </row>
    <row r="1625" spans="1:4" x14ac:dyDescent="0.2">
      <c r="A1625" s="3" t="s">
        <v>676</v>
      </c>
      <c r="B1625" t="s">
        <v>8</v>
      </c>
      <c r="C1625" s="3" t="s">
        <v>678</v>
      </c>
      <c r="D1625" s="3" t="s">
        <v>53</v>
      </c>
    </row>
    <row r="1626" spans="1:4" x14ac:dyDescent="0.2">
      <c r="A1626" s="3" t="s">
        <v>676</v>
      </c>
      <c r="B1626" t="s">
        <v>8</v>
      </c>
      <c r="C1626" s="3" t="s">
        <v>677</v>
      </c>
      <c r="D1626" s="3" t="s">
        <v>54</v>
      </c>
    </row>
    <row r="1627" spans="1:4" x14ac:dyDescent="0.2">
      <c r="A1627" s="3" t="s">
        <v>676</v>
      </c>
      <c r="B1627" t="s">
        <v>8</v>
      </c>
      <c r="C1627" s="3" t="s">
        <v>657</v>
      </c>
      <c r="D1627" s="3" t="s">
        <v>54</v>
      </c>
    </row>
    <row r="1628" spans="1:4" x14ac:dyDescent="0.2">
      <c r="A1628" s="3" t="s">
        <v>676</v>
      </c>
      <c r="B1628" t="s">
        <v>8</v>
      </c>
      <c r="C1628" s="3" t="s">
        <v>675</v>
      </c>
      <c r="D1628" s="3" t="s">
        <v>54</v>
      </c>
    </row>
    <row r="1629" spans="1:4" x14ac:dyDescent="0.2">
      <c r="A1629" s="3" t="s">
        <v>676</v>
      </c>
      <c r="B1629" t="s">
        <v>8</v>
      </c>
      <c r="C1629" s="3" t="s">
        <v>678</v>
      </c>
      <c r="D1629" s="3" t="s">
        <v>54</v>
      </c>
    </row>
    <row r="1630" spans="1:4" x14ac:dyDescent="0.2">
      <c r="A1630" s="3" t="s">
        <v>676</v>
      </c>
      <c r="B1630" t="s">
        <v>8</v>
      </c>
      <c r="C1630" s="3" t="s">
        <v>677</v>
      </c>
      <c r="D1630" s="3" t="s">
        <v>55</v>
      </c>
    </row>
    <row r="1631" spans="1:4" x14ac:dyDescent="0.2">
      <c r="A1631" s="3" t="s">
        <v>676</v>
      </c>
      <c r="B1631" t="s">
        <v>8</v>
      </c>
      <c r="C1631" s="3" t="s">
        <v>657</v>
      </c>
      <c r="D1631" s="3" t="s">
        <v>55</v>
      </c>
    </row>
    <row r="1632" spans="1:4" x14ac:dyDescent="0.2">
      <c r="A1632" s="3" t="s">
        <v>676</v>
      </c>
      <c r="B1632" t="s">
        <v>8</v>
      </c>
      <c r="C1632" s="3" t="s">
        <v>675</v>
      </c>
      <c r="D1632" s="3" t="s">
        <v>55</v>
      </c>
    </row>
    <row r="1633" spans="1:4" x14ac:dyDescent="0.2">
      <c r="A1633" s="3" t="s">
        <v>676</v>
      </c>
      <c r="B1633" t="s">
        <v>8</v>
      </c>
      <c r="C1633" s="3" t="s">
        <v>678</v>
      </c>
      <c r="D1633" s="3" t="s">
        <v>55</v>
      </c>
    </row>
    <row r="1634" spans="1:4" x14ac:dyDescent="0.2">
      <c r="A1634" s="3" t="s">
        <v>676</v>
      </c>
      <c r="B1634" t="s">
        <v>8</v>
      </c>
      <c r="C1634" s="3" t="s">
        <v>677</v>
      </c>
      <c r="D1634" s="3" t="s">
        <v>56</v>
      </c>
    </row>
    <row r="1635" spans="1:4" x14ac:dyDescent="0.2">
      <c r="A1635" s="3" t="s">
        <v>676</v>
      </c>
      <c r="B1635" t="s">
        <v>8</v>
      </c>
      <c r="C1635" s="3" t="s">
        <v>657</v>
      </c>
      <c r="D1635" s="3" t="s">
        <v>56</v>
      </c>
    </row>
    <row r="1636" spans="1:4" x14ac:dyDescent="0.2">
      <c r="A1636" s="3" t="s">
        <v>676</v>
      </c>
      <c r="B1636" t="s">
        <v>8</v>
      </c>
      <c r="C1636" s="3" t="s">
        <v>675</v>
      </c>
      <c r="D1636" s="3" t="s">
        <v>56</v>
      </c>
    </row>
    <row r="1637" spans="1:4" x14ac:dyDescent="0.2">
      <c r="A1637" s="3" t="s">
        <v>676</v>
      </c>
      <c r="B1637" t="s">
        <v>8</v>
      </c>
      <c r="C1637" s="3" t="s">
        <v>678</v>
      </c>
      <c r="D1637" s="3" t="s">
        <v>56</v>
      </c>
    </row>
    <row r="1638" spans="1:4" x14ac:dyDescent="0.2">
      <c r="A1638" s="3" t="s">
        <v>676</v>
      </c>
      <c r="B1638" t="s">
        <v>8</v>
      </c>
      <c r="C1638" s="3" t="s">
        <v>677</v>
      </c>
      <c r="D1638" s="3" t="s">
        <v>57</v>
      </c>
    </row>
    <row r="1639" spans="1:4" x14ac:dyDescent="0.2">
      <c r="A1639" s="3" t="s">
        <v>676</v>
      </c>
      <c r="B1639" t="s">
        <v>8</v>
      </c>
      <c r="C1639" s="3" t="s">
        <v>657</v>
      </c>
      <c r="D1639" s="3" t="s">
        <v>57</v>
      </c>
    </row>
    <row r="1640" spans="1:4" x14ac:dyDescent="0.2">
      <c r="A1640" s="3" t="s">
        <v>676</v>
      </c>
      <c r="B1640" t="s">
        <v>8</v>
      </c>
      <c r="C1640" s="3" t="s">
        <v>675</v>
      </c>
      <c r="D1640" s="3" t="s">
        <v>57</v>
      </c>
    </row>
    <row r="1641" spans="1:4" x14ac:dyDescent="0.2">
      <c r="A1641" s="3" t="s">
        <v>676</v>
      </c>
      <c r="B1641" t="s">
        <v>8</v>
      </c>
      <c r="C1641" s="3" t="s">
        <v>678</v>
      </c>
      <c r="D1641" s="3" t="s">
        <v>57</v>
      </c>
    </row>
    <row r="1642" spans="1:4" x14ac:dyDescent="0.2">
      <c r="A1642" s="3" t="s">
        <v>679</v>
      </c>
      <c r="B1642" t="s">
        <v>8</v>
      </c>
      <c r="C1642" s="3" t="s">
        <v>680</v>
      </c>
      <c r="D1642" s="3" t="s">
        <v>53</v>
      </c>
    </row>
    <row r="1643" spans="1:4" x14ac:dyDescent="0.2">
      <c r="A1643" s="3" t="s">
        <v>679</v>
      </c>
      <c r="B1643" t="s">
        <v>8</v>
      </c>
      <c r="C1643" s="3" t="s">
        <v>681</v>
      </c>
      <c r="D1643" s="3" t="s">
        <v>53</v>
      </c>
    </row>
    <row r="1644" spans="1:4" x14ac:dyDescent="0.2">
      <c r="A1644" s="3" t="s">
        <v>679</v>
      </c>
      <c r="B1644" t="s">
        <v>8</v>
      </c>
      <c r="C1644" s="3" t="s">
        <v>682</v>
      </c>
      <c r="D1644" s="3" t="s">
        <v>53</v>
      </c>
    </row>
    <row r="1645" spans="1:4" x14ac:dyDescent="0.2">
      <c r="A1645" s="3" t="s">
        <v>679</v>
      </c>
      <c r="B1645" t="s">
        <v>8</v>
      </c>
      <c r="C1645" s="3" t="s">
        <v>683</v>
      </c>
      <c r="D1645" s="3" t="s">
        <v>53</v>
      </c>
    </row>
    <row r="1646" spans="1:4" x14ac:dyDescent="0.2">
      <c r="A1646" s="3" t="s">
        <v>679</v>
      </c>
      <c r="B1646" t="s">
        <v>8</v>
      </c>
      <c r="C1646" s="3" t="s">
        <v>684</v>
      </c>
      <c r="D1646" s="3" t="s">
        <v>53</v>
      </c>
    </row>
    <row r="1647" spans="1:4" x14ac:dyDescent="0.2">
      <c r="A1647" s="3" t="s">
        <v>679</v>
      </c>
      <c r="B1647" t="s">
        <v>8</v>
      </c>
      <c r="C1647" s="3" t="s">
        <v>685</v>
      </c>
      <c r="D1647" s="3" t="s">
        <v>53</v>
      </c>
    </row>
    <row r="1648" spans="1:4" x14ac:dyDescent="0.2">
      <c r="A1648" s="3" t="s">
        <v>679</v>
      </c>
      <c r="B1648" t="s">
        <v>8</v>
      </c>
      <c r="C1648" s="3" t="s">
        <v>680</v>
      </c>
      <c r="D1648" s="3" t="s">
        <v>54</v>
      </c>
    </row>
    <row r="1649" spans="1:4" x14ac:dyDescent="0.2">
      <c r="A1649" s="3" t="s">
        <v>679</v>
      </c>
      <c r="B1649" t="s">
        <v>8</v>
      </c>
      <c r="C1649" s="3" t="s">
        <v>681</v>
      </c>
      <c r="D1649" s="3" t="s">
        <v>54</v>
      </c>
    </row>
    <row r="1650" spans="1:4" x14ac:dyDescent="0.2">
      <c r="A1650" s="3" t="s">
        <v>679</v>
      </c>
      <c r="B1650" t="s">
        <v>8</v>
      </c>
      <c r="C1650" s="3" t="s">
        <v>682</v>
      </c>
      <c r="D1650" s="3" t="s">
        <v>54</v>
      </c>
    </row>
    <row r="1651" spans="1:4" x14ac:dyDescent="0.2">
      <c r="A1651" s="3" t="s">
        <v>679</v>
      </c>
      <c r="B1651" t="s">
        <v>8</v>
      </c>
      <c r="C1651" s="3" t="s">
        <v>683</v>
      </c>
      <c r="D1651" s="3" t="s">
        <v>54</v>
      </c>
    </row>
    <row r="1652" spans="1:4" x14ac:dyDescent="0.2">
      <c r="A1652" s="3" t="s">
        <v>679</v>
      </c>
      <c r="B1652" t="s">
        <v>8</v>
      </c>
      <c r="C1652" s="3" t="s">
        <v>684</v>
      </c>
      <c r="D1652" s="3" t="s">
        <v>54</v>
      </c>
    </row>
    <row r="1653" spans="1:4" x14ac:dyDescent="0.2">
      <c r="A1653" s="3" t="s">
        <v>679</v>
      </c>
      <c r="B1653" t="s">
        <v>8</v>
      </c>
      <c r="C1653" s="3" t="s">
        <v>685</v>
      </c>
      <c r="D1653" s="3" t="s">
        <v>54</v>
      </c>
    </row>
    <row r="1654" spans="1:4" x14ac:dyDescent="0.2">
      <c r="A1654" s="3" t="s">
        <v>679</v>
      </c>
      <c r="B1654" t="s">
        <v>8</v>
      </c>
      <c r="C1654" s="3" t="s">
        <v>680</v>
      </c>
      <c r="D1654" s="3" t="s">
        <v>55</v>
      </c>
    </row>
    <row r="1655" spans="1:4" x14ac:dyDescent="0.2">
      <c r="A1655" s="3" t="s">
        <v>679</v>
      </c>
      <c r="B1655" t="s">
        <v>8</v>
      </c>
      <c r="C1655" s="3" t="s">
        <v>681</v>
      </c>
      <c r="D1655" s="3" t="s">
        <v>55</v>
      </c>
    </row>
    <row r="1656" spans="1:4" x14ac:dyDescent="0.2">
      <c r="A1656" s="3" t="s">
        <v>679</v>
      </c>
      <c r="B1656" t="s">
        <v>8</v>
      </c>
      <c r="C1656" s="3" t="s">
        <v>682</v>
      </c>
      <c r="D1656" s="3" t="s">
        <v>55</v>
      </c>
    </row>
    <row r="1657" spans="1:4" x14ac:dyDescent="0.2">
      <c r="A1657" s="3" t="s">
        <v>679</v>
      </c>
      <c r="B1657" t="s">
        <v>8</v>
      </c>
      <c r="C1657" s="3" t="s">
        <v>683</v>
      </c>
      <c r="D1657" s="3" t="s">
        <v>55</v>
      </c>
    </row>
    <row r="1658" spans="1:4" x14ac:dyDescent="0.2">
      <c r="A1658" s="3" t="s">
        <v>679</v>
      </c>
      <c r="B1658" t="s">
        <v>8</v>
      </c>
      <c r="C1658" s="3" t="s">
        <v>684</v>
      </c>
      <c r="D1658" s="3" t="s">
        <v>55</v>
      </c>
    </row>
    <row r="1659" spans="1:4" x14ac:dyDescent="0.2">
      <c r="A1659" s="3" t="s">
        <v>679</v>
      </c>
      <c r="B1659" t="s">
        <v>8</v>
      </c>
      <c r="C1659" s="3" t="s">
        <v>685</v>
      </c>
      <c r="D1659" s="3" t="s">
        <v>55</v>
      </c>
    </row>
    <row r="1660" spans="1:4" x14ac:dyDescent="0.2">
      <c r="A1660" s="3" t="s">
        <v>679</v>
      </c>
      <c r="B1660" t="s">
        <v>8</v>
      </c>
      <c r="C1660" s="3" t="s">
        <v>680</v>
      </c>
      <c r="D1660" s="3" t="s">
        <v>56</v>
      </c>
    </row>
    <row r="1661" spans="1:4" x14ac:dyDescent="0.2">
      <c r="A1661" s="3" t="s">
        <v>679</v>
      </c>
      <c r="B1661" t="s">
        <v>8</v>
      </c>
      <c r="C1661" s="3" t="s">
        <v>681</v>
      </c>
      <c r="D1661" s="3" t="s">
        <v>56</v>
      </c>
    </row>
    <row r="1662" spans="1:4" x14ac:dyDescent="0.2">
      <c r="A1662" s="3" t="s">
        <v>679</v>
      </c>
      <c r="B1662" t="s">
        <v>8</v>
      </c>
      <c r="C1662" s="3" t="s">
        <v>682</v>
      </c>
      <c r="D1662" s="3" t="s">
        <v>56</v>
      </c>
    </row>
    <row r="1663" spans="1:4" x14ac:dyDescent="0.2">
      <c r="A1663" s="3" t="s">
        <v>679</v>
      </c>
      <c r="B1663" t="s">
        <v>8</v>
      </c>
      <c r="C1663" s="3" t="s">
        <v>683</v>
      </c>
      <c r="D1663" s="3" t="s">
        <v>56</v>
      </c>
    </row>
    <row r="1664" spans="1:4" x14ac:dyDescent="0.2">
      <c r="A1664" s="3" t="s">
        <v>679</v>
      </c>
      <c r="B1664" t="s">
        <v>8</v>
      </c>
      <c r="C1664" s="3" t="s">
        <v>684</v>
      </c>
      <c r="D1664" s="3" t="s">
        <v>56</v>
      </c>
    </row>
    <row r="1665" spans="1:4" x14ac:dyDescent="0.2">
      <c r="A1665" s="3" t="s">
        <v>679</v>
      </c>
      <c r="B1665" t="s">
        <v>8</v>
      </c>
      <c r="C1665" s="3" t="s">
        <v>685</v>
      </c>
      <c r="D1665" s="3" t="s">
        <v>56</v>
      </c>
    </row>
    <row r="1666" spans="1:4" x14ac:dyDescent="0.2">
      <c r="A1666" s="3" t="s">
        <v>679</v>
      </c>
      <c r="B1666" t="s">
        <v>8</v>
      </c>
      <c r="C1666" s="3" t="s">
        <v>680</v>
      </c>
      <c r="D1666" s="3" t="s">
        <v>57</v>
      </c>
    </row>
    <row r="1667" spans="1:4" x14ac:dyDescent="0.2">
      <c r="A1667" s="3" t="s">
        <v>679</v>
      </c>
      <c r="B1667" t="s">
        <v>8</v>
      </c>
      <c r="C1667" s="3" t="s">
        <v>681</v>
      </c>
      <c r="D1667" s="3" t="s">
        <v>57</v>
      </c>
    </row>
    <row r="1668" spans="1:4" x14ac:dyDescent="0.2">
      <c r="A1668" s="3" t="s">
        <v>679</v>
      </c>
      <c r="B1668" t="s">
        <v>8</v>
      </c>
      <c r="C1668" s="3" t="s">
        <v>682</v>
      </c>
      <c r="D1668" s="3" t="s">
        <v>57</v>
      </c>
    </row>
    <row r="1669" spans="1:4" x14ac:dyDescent="0.2">
      <c r="A1669" s="3" t="s">
        <v>679</v>
      </c>
      <c r="B1669" t="s">
        <v>8</v>
      </c>
      <c r="C1669" s="3" t="s">
        <v>683</v>
      </c>
      <c r="D1669" s="3" t="s">
        <v>57</v>
      </c>
    </row>
    <row r="1670" spans="1:4" x14ac:dyDescent="0.2">
      <c r="A1670" s="3" t="s">
        <v>679</v>
      </c>
      <c r="B1670" t="s">
        <v>8</v>
      </c>
      <c r="C1670" s="3" t="s">
        <v>684</v>
      </c>
      <c r="D1670" s="3" t="s">
        <v>57</v>
      </c>
    </row>
    <row r="1671" spans="1:4" x14ac:dyDescent="0.2">
      <c r="A1671" s="3" t="s">
        <v>679</v>
      </c>
      <c r="B1671" t="s">
        <v>8</v>
      </c>
      <c r="C1671" s="3" t="s">
        <v>685</v>
      </c>
      <c r="D1671" s="3" t="s">
        <v>57</v>
      </c>
    </row>
    <row r="1672" spans="1:4" x14ac:dyDescent="0.2">
      <c r="A1672" s="3" t="s">
        <v>686</v>
      </c>
      <c r="B1672" t="s">
        <v>8</v>
      </c>
      <c r="C1672" s="3" t="s">
        <v>687</v>
      </c>
      <c r="D1672" s="3" t="s">
        <v>53</v>
      </c>
    </row>
    <row r="1673" spans="1:4" x14ac:dyDescent="0.2">
      <c r="A1673" s="3" t="s">
        <v>686</v>
      </c>
      <c r="B1673" t="s">
        <v>8</v>
      </c>
      <c r="C1673" s="3" t="s">
        <v>688</v>
      </c>
      <c r="D1673" s="3" t="s">
        <v>53</v>
      </c>
    </row>
    <row r="1674" spans="1:4" x14ac:dyDescent="0.2">
      <c r="A1674" s="3" t="s">
        <v>686</v>
      </c>
      <c r="B1674" t="s">
        <v>8</v>
      </c>
      <c r="C1674" s="3" t="s">
        <v>687</v>
      </c>
      <c r="D1674" s="3" t="s">
        <v>54</v>
      </c>
    </row>
    <row r="1675" spans="1:4" x14ac:dyDescent="0.2">
      <c r="A1675" s="3" t="s">
        <v>686</v>
      </c>
      <c r="B1675" t="s">
        <v>8</v>
      </c>
      <c r="C1675" s="3" t="s">
        <v>688</v>
      </c>
      <c r="D1675" s="3" t="s">
        <v>54</v>
      </c>
    </row>
    <row r="1676" spans="1:4" x14ac:dyDescent="0.2">
      <c r="A1676" s="3" t="s">
        <v>686</v>
      </c>
      <c r="B1676" t="s">
        <v>8</v>
      </c>
      <c r="C1676" s="3" t="s">
        <v>687</v>
      </c>
      <c r="D1676" s="3" t="s">
        <v>55</v>
      </c>
    </row>
    <row r="1677" spans="1:4" x14ac:dyDescent="0.2">
      <c r="A1677" s="3" t="s">
        <v>686</v>
      </c>
      <c r="B1677" t="s">
        <v>8</v>
      </c>
      <c r="C1677" s="3" t="s">
        <v>688</v>
      </c>
      <c r="D1677" s="3" t="s">
        <v>55</v>
      </c>
    </row>
    <row r="1678" spans="1:4" x14ac:dyDescent="0.2">
      <c r="A1678" s="3" t="s">
        <v>686</v>
      </c>
      <c r="B1678" t="s">
        <v>8</v>
      </c>
      <c r="C1678" s="3" t="s">
        <v>687</v>
      </c>
      <c r="D1678" s="3" t="s">
        <v>56</v>
      </c>
    </row>
    <row r="1679" spans="1:4" x14ac:dyDescent="0.2">
      <c r="A1679" s="3" t="s">
        <v>686</v>
      </c>
      <c r="B1679" t="s">
        <v>8</v>
      </c>
      <c r="C1679" s="3" t="s">
        <v>688</v>
      </c>
      <c r="D1679" s="3" t="s">
        <v>56</v>
      </c>
    </row>
    <row r="1680" spans="1:4" x14ac:dyDescent="0.2">
      <c r="A1680" s="3" t="s">
        <v>686</v>
      </c>
      <c r="B1680" t="s">
        <v>8</v>
      </c>
      <c r="C1680" s="3" t="s">
        <v>687</v>
      </c>
      <c r="D1680" s="3" t="s">
        <v>57</v>
      </c>
    </row>
    <row r="1681" spans="1:4" x14ac:dyDescent="0.2">
      <c r="A1681" s="3" t="s">
        <v>686</v>
      </c>
      <c r="B1681" t="s">
        <v>8</v>
      </c>
      <c r="C1681" s="3" t="s">
        <v>688</v>
      </c>
      <c r="D1681" s="3" t="s">
        <v>57</v>
      </c>
    </row>
    <row r="1682" spans="1:4" x14ac:dyDescent="0.2">
      <c r="A1682" s="3" t="s">
        <v>686</v>
      </c>
      <c r="B1682" t="s">
        <v>8</v>
      </c>
      <c r="C1682" s="3" t="s">
        <v>689</v>
      </c>
      <c r="D1682" s="3" t="s">
        <v>169</v>
      </c>
    </row>
    <row r="1683" spans="1:4" x14ac:dyDescent="0.2">
      <c r="A1683" s="3" t="s">
        <v>686</v>
      </c>
      <c r="B1683" t="s">
        <v>8</v>
      </c>
      <c r="C1683" s="3" t="s">
        <v>690</v>
      </c>
      <c r="D1683" s="3" t="s">
        <v>169</v>
      </c>
    </row>
    <row r="1684" spans="1:4" x14ac:dyDescent="0.2">
      <c r="A1684" s="3" t="s">
        <v>686</v>
      </c>
      <c r="B1684" t="s">
        <v>8</v>
      </c>
      <c r="C1684" s="3" t="s">
        <v>337</v>
      </c>
      <c r="D1684" s="3" t="s">
        <v>169</v>
      </c>
    </row>
    <row r="1685" spans="1:4" x14ac:dyDescent="0.2">
      <c r="A1685" s="3" t="s">
        <v>686</v>
      </c>
      <c r="B1685" t="s">
        <v>8</v>
      </c>
      <c r="C1685" s="3" t="s">
        <v>338</v>
      </c>
      <c r="D1685" s="3" t="s">
        <v>169</v>
      </c>
    </row>
    <row r="1686" spans="1:4" x14ac:dyDescent="0.2">
      <c r="A1686" s="3" t="s">
        <v>686</v>
      </c>
      <c r="B1686" t="s">
        <v>8</v>
      </c>
      <c r="C1686" s="3" t="s">
        <v>339</v>
      </c>
      <c r="D1686" s="3" t="s">
        <v>169</v>
      </c>
    </row>
    <row r="1687" spans="1:4" x14ac:dyDescent="0.2">
      <c r="A1687" s="3" t="s">
        <v>686</v>
      </c>
      <c r="B1687" t="s">
        <v>8</v>
      </c>
      <c r="C1687" s="3" t="s">
        <v>340</v>
      </c>
      <c r="D1687" s="3" t="s">
        <v>169</v>
      </c>
    </row>
    <row r="1688" spans="1:4" x14ac:dyDescent="0.2">
      <c r="A1688" s="3" t="s">
        <v>686</v>
      </c>
      <c r="B1688" t="s">
        <v>8</v>
      </c>
      <c r="C1688" s="3" t="s">
        <v>691</v>
      </c>
      <c r="D1688" s="3" t="s">
        <v>169</v>
      </c>
    </row>
    <row r="1689" spans="1:4" x14ac:dyDescent="0.2">
      <c r="A1689" s="3" t="s">
        <v>686</v>
      </c>
      <c r="B1689" t="s">
        <v>8</v>
      </c>
      <c r="C1689" s="3" t="s">
        <v>692</v>
      </c>
      <c r="D1689" s="3" t="s">
        <v>169</v>
      </c>
    </row>
    <row r="1690" spans="1:4" x14ac:dyDescent="0.2">
      <c r="A1690" s="3" t="s">
        <v>686</v>
      </c>
      <c r="B1690" t="s">
        <v>8</v>
      </c>
      <c r="C1690" s="3" t="s">
        <v>693</v>
      </c>
      <c r="D1690" s="3" t="s">
        <v>169</v>
      </c>
    </row>
    <row r="1691" spans="1:4" x14ac:dyDescent="0.2">
      <c r="A1691" s="3" t="s">
        <v>694</v>
      </c>
      <c r="B1691" t="s">
        <v>8</v>
      </c>
      <c r="C1691" s="3" t="s">
        <v>658</v>
      </c>
      <c r="D1691" s="3" t="s">
        <v>53</v>
      </c>
    </row>
    <row r="1692" spans="1:4" x14ac:dyDescent="0.2">
      <c r="A1692" s="3" t="s">
        <v>694</v>
      </c>
      <c r="B1692" t="s">
        <v>8</v>
      </c>
      <c r="C1692" s="3" t="s">
        <v>658</v>
      </c>
      <c r="D1692" s="3" t="s">
        <v>54</v>
      </c>
    </row>
    <row r="1693" spans="1:4" x14ac:dyDescent="0.2">
      <c r="A1693" s="3" t="s">
        <v>694</v>
      </c>
      <c r="B1693" t="s">
        <v>8</v>
      </c>
      <c r="C1693" s="3" t="s">
        <v>695</v>
      </c>
      <c r="D1693" s="3" t="s">
        <v>169</v>
      </c>
    </row>
    <row r="1694" spans="1:4" x14ac:dyDescent="0.2">
      <c r="A1694" s="3" t="s">
        <v>694</v>
      </c>
      <c r="B1694" t="s">
        <v>8</v>
      </c>
      <c r="C1694" s="3" t="s">
        <v>696</v>
      </c>
      <c r="D1694" s="3" t="s">
        <v>169</v>
      </c>
    </row>
    <row r="1695" spans="1:4" x14ac:dyDescent="0.2">
      <c r="A1695" s="3" t="s">
        <v>694</v>
      </c>
      <c r="B1695" t="s">
        <v>8</v>
      </c>
      <c r="C1695" s="3" t="s">
        <v>697</v>
      </c>
      <c r="D1695" s="3" t="s">
        <v>169</v>
      </c>
    </row>
    <row r="1696" spans="1:4" x14ac:dyDescent="0.2">
      <c r="A1696" s="3" t="s">
        <v>694</v>
      </c>
      <c r="B1696" t="s">
        <v>8</v>
      </c>
      <c r="C1696" s="3" t="s">
        <v>698</v>
      </c>
      <c r="D1696" s="3" t="s">
        <v>169</v>
      </c>
    </row>
    <row r="1697" spans="1:4" x14ac:dyDescent="0.2">
      <c r="A1697" s="3" t="s">
        <v>694</v>
      </c>
      <c r="B1697" t="s">
        <v>8</v>
      </c>
      <c r="C1697" s="3" t="s">
        <v>699</v>
      </c>
      <c r="D1697" s="3" t="s">
        <v>169</v>
      </c>
    </row>
    <row r="1698" spans="1:4" x14ac:dyDescent="0.2">
      <c r="A1698" s="3" t="s">
        <v>694</v>
      </c>
      <c r="B1698" t="s">
        <v>8</v>
      </c>
      <c r="C1698" s="3" t="s">
        <v>700</v>
      </c>
      <c r="D1698" s="3" t="s">
        <v>169</v>
      </c>
    </row>
    <row r="1699" spans="1:4" x14ac:dyDescent="0.2">
      <c r="A1699" s="3" t="s">
        <v>694</v>
      </c>
      <c r="B1699" t="s">
        <v>8</v>
      </c>
      <c r="C1699" s="3" t="s">
        <v>701</v>
      </c>
      <c r="D1699" s="3" t="s">
        <v>169</v>
      </c>
    </row>
    <row r="1700" spans="1:4" x14ac:dyDescent="0.2">
      <c r="A1700" s="3" t="s">
        <v>694</v>
      </c>
      <c r="B1700" t="s">
        <v>8</v>
      </c>
      <c r="C1700" s="3" t="s">
        <v>702</v>
      </c>
      <c r="D1700" s="3" t="s">
        <v>169</v>
      </c>
    </row>
    <row r="1701" spans="1:4" x14ac:dyDescent="0.2">
      <c r="A1701" s="3" t="s">
        <v>694</v>
      </c>
      <c r="B1701" t="s">
        <v>8</v>
      </c>
      <c r="C1701" s="3" t="s">
        <v>703</v>
      </c>
      <c r="D1701" s="3" t="s">
        <v>169</v>
      </c>
    </row>
    <row r="1702" spans="1:4" x14ac:dyDescent="0.2">
      <c r="A1702" s="3" t="s">
        <v>694</v>
      </c>
      <c r="B1702" t="s">
        <v>8</v>
      </c>
      <c r="C1702" s="3" t="s">
        <v>704</v>
      </c>
      <c r="D1702" s="3" t="s">
        <v>169</v>
      </c>
    </row>
    <row r="1703" spans="1:4" x14ac:dyDescent="0.2">
      <c r="A1703" s="3" t="s">
        <v>705</v>
      </c>
      <c r="B1703" t="s">
        <v>8</v>
      </c>
      <c r="C1703" s="3" t="s">
        <v>675</v>
      </c>
      <c r="D1703" s="3" t="s">
        <v>53</v>
      </c>
    </row>
    <row r="1704" spans="1:4" x14ac:dyDescent="0.2">
      <c r="A1704" s="3" t="s">
        <v>705</v>
      </c>
      <c r="B1704" t="s">
        <v>8</v>
      </c>
      <c r="C1704" s="3" t="s">
        <v>183</v>
      </c>
      <c r="D1704" s="3" t="s">
        <v>53</v>
      </c>
    </row>
    <row r="1705" spans="1:4" x14ac:dyDescent="0.2">
      <c r="A1705" s="3" t="s">
        <v>705</v>
      </c>
      <c r="B1705" t="s">
        <v>8</v>
      </c>
      <c r="C1705" s="3" t="s">
        <v>675</v>
      </c>
      <c r="D1705" s="3" t="s">
        <v>54</v>
      </c>
    </row>
    <row r="1706" spans="1:4" x14ac:dyDescent="0.2">
      <c r="A1706" s="3" t="s">
        <v>705</v>
      </c>
      <c r="B1706" t="s">
        <v>8</v>
      </c>
      <c r="C1706" s="3" t="s">
        <v>183</v>
      </c>
      <c r="D1706" s="3" t="s">
        <v>54</v>
      </c>
    </row>
    <row r="1707" spans="1:4" x14ac:dyDescent="0.2">
      <c r="A1707" s="3" t="s">
        <v>705</v>
      </c>
      <c r="B1707" t="s">
        <v>8</v>
      </c>
      <c r="C1707" s="3" t="s">
        <v>675</v>
      </c>
      <c r="D1707" s="3" t="s">
        <v>55</v>
      </c>
    </row>
    <row r="1708" spans="1:4" x14ac:dyDescent="0.2">
      <c r="A1708" s="3" t="s">
        <v>705</v>
      </c>
      <c r="B1708" t="s">
        <v>8</v>
      </c>
      <c r="C1708" s="3" t="s">
        <v>183</v>
      </c>
      <c r="D1708" s="3" t="s">
        <v>55</v>
      </c>
    </row>
    <row r="1709" spans="1:4" x14ac:dyDescent="0.2">
      <c r="A1709" s="3" t="s">
        <v>705</v>
      </c>
      <c r="B1709" t="s">
        <v>8</v>
      </c>
      <c r="C1709" s="3" t="s">
        <v>675</v>
      </c>
      <c r="D1709" s="3" t="s">
        <v>56</v>
      </c>
    </row>
    <row r="1710" spans="1:4" x14ac:dyDescent="0.2">
      <c r="A1710" s="3" t="s">
        <v>705</v>
      </c>
      <c r="B1710" t="s">
        <v>8</v>
      </c>
      <c r="C1710" s="3" t="s">
        <v>183</v>
      </c>
      <c r="D1710" s="3" t="s">
        <v>56</v>
      </c>
    </row>
    <row r="1711" spans="1:4" x14ac:dyDescent="0.2">
      <c r="A1711" s="3" t="s">
        <v>705</v>
      </c>
      <c r="B1711" t="s">
        <v>8</v>
      </c>
      <c r="C1711" s="3" t="s">
        <v>675</v>
      </c>
      <c r="D1711" s="3" t="s">
        <v>57</v>
      </c>
    </row>
    <row r="1712" spans="1:4" x14ac:dyDescent="0.2">
      <c r="A1712" s="3" t="s">
        <v>705</v>
      </c>
      <c r="B1712" t="s">
        <v>8</v>
      </c>
      <c r="C1712" s="3" t="s">
        <v>183</v>
      </c>
      <c r="D1712" s="3" t="s">
        <v>57</v>
      </c>
    </row>
    <row r="1713" spans="1:4" x14ac:dyDescent="0.2">
      <c r="A1713" s="3" t="s">
        <v>705</v>
      </c>
      <c r="B1713" t="s">
        <v>8</v>
      </c>
      <c r="C1713" s="3" t="s">
        <v>295</v>
      </c>
      <c r="D1713" s="3" t="s">
        <v>10</v>
      </c>
    </row>
    <row r="1714" spans="1:4" x14ac:dyDescent="0.2">
      <c r="A1714" s="3" t="s">
        <v>705</v>
      </c>
      <c r="B1714" t="s">
        <v>8</v>
      </c>
      <c r="C1714" s="3" t="s">
        <v>296</v>
      </c>
      <c r="D1714" s="3" t="s">
        <v>10</v>
      </c>
    </row>
    <row r="1715" spans="1:4" x14ac:dyDescent="0.2">
      <c r="A1715" s="3" t="s">
        <v>705</v>
      </c>
      <c r="B1715" t="s">
        <v>8</v>
      </c>
      <c r="C1715" s="3" t="s">
        <v>297</v>
      </c>
      <c r="D1715" s="3" t="s">
        <v>10</v>
      </c>
    </row>
    <row r="1716" spans="1:4" x14ac:dyDescent="0.2">
      <c r="A1716" s="3" t="s">
        <v>706</v>
      </c>
      <c r="B1716" t="s">
        <v>8</v>
      </c>
      <c r="C1716" s="3" t="s">
        <v>707</v>
      </c>
      <c r="D1716" s="3" t="s">
        <v>53</v>
      </c>
    </row>
    <row r="1717" spans="1:4" x14ac:dyDescent="0.2">
      <c r="A1717" s="3" t="s">
        <v>706</v>
      </c>
      <c r="B1717" t="s">
        <v>8</v>
      </c>
      <c r="C1717" s="3" t="s">
        <v>707</v>
      </c>
      <c r="D1717" s="3" t="s">
        <v>54</v>
      </c>
    </row>
    <row r="1718" spans="1:4" x14ac:dyDescent="0.2">
      <c r="A1718" s="3" t="s">
        <v>706</v>
      </c>
      <c r="B1718" t="s">
        <v>8</v>
      </c>
      <c r="C1718" s="3" t="s">
        <v>295</v>
      </c>
      <c r="D1718" s="3" t="s">
        <v>10</v>
      </c>
    </row>
    <row r="1719" spans="1:4" x14ac:dyDescent="0.2">
      <c r="A1719" s="3" t="s">
        <v>706</v>
      </c>
      <c r="B1719" t="s">
        <v>8</v>
      </c>
      <c r="C1719" s="3" t="s">
        <v>296</v>
      </c>
      <c r="D1719" s="3" t="s">
        <v>10</v>
      </c>
    </row>
    <row r="1720" spans="1:4" x14ac:dyDescent="0.2">
      <c r="A1720" s="3" t="s">
        <v>706</v>
      </c>
      <c r="B1720" t="s">
        <v>8</v>
      </c>
      <c r="C1720" s="3" t="s">
        <v>297</v>
      </c>
      <c r="D1720" s="3" t="s">
        <v>10</v>
      </c>
    </row>
    <row r="1721" spans="1:4" x14ac:dyDescent="0.2">
      <c r="A1721" s="3" t="s">
        <v>708</v>
      </c>
      <c r="B1721" t="s">
        <v>8</v>
      </c>
      <c r="C1721" s="3" t="s">
        <v>670</v>
      </c>
      <c r="D1721" s="3" t="s">
        <v>53</v>
      </c>
    </row>
    <row r="1722" spans="1:4" x14ac:dyDescent="0.2">
      <c r="A1722" s="3" t="s">
        <v>708</v>
      </c>
      <c r="B1722" t="s">
        <v>8</v>
      </c>
      <c r="C1722" s="3" t="s">
        <v>672</v>
      </c>
      <c r="D1722" s="3" t="s">
        <v>53</v>
      </c>
    </row>
    <row r="1723" spans="1:4" x14ac:dyDescent="0.2">
      <c r="A1723" s="3" t="s">
        <v>708</v>
      </c>
      <c r="B1723" t="s">
        <v>8</v>
      </c>
      <c r="C1723" s="3" t="s">
        <v>670</v>
      </c>
      <c r="D1723" s="3" t="s">
        <v>54</v>
      </c>
    </row>
    <row r="1724" spans="1:4" x14ac:dyDescent="0.2">
      <c r="A1724" s="3" t="s">
        <v>708</v>
      </c>
      <c r="B1724" t="s">
        <v>8</v>
      </c>
      <c r="C1724" s="3" t="s">
        <v>672</v>
      </c>
      <c r="D1724" s="3" t="s">
        <v>54</v>
      </c>
    </row>
    <row r="1725" spans="1:4" x14ac:dyDescent="0.2">
      <c r="A1725" s="3" t="s">
        <v>708</v>
      </c>
      <c r="B1725" t="s">
        <v>8</v>
      </c>
      <c r="C1725" s="3" t="s">
        <v>295</v>
      </c>
      <c r="D1725" s="3" t="s">
        <v>10</v>
      </c>
    </row>
    <row r="1726" spans="1:4" x14ac:dyDescent="0.2">
      <c r="A1726" s="3" t="s">
        <v>708</v>
      </c>
      <c r="B1726" t="s">
        <v>8</v>
      </c>
      <c r="C1726" s="3" t="s">
        <v>297</v>
      </c>
      <c r="D1726" s="3" t="s">
        <v>10</v>
      </c>
    </row>
    <row r="1727" spans="1:4" x14ac:dyDescent="0.2">
      <c r="A1727" s="3" t="s">
        <v>709</v>
      </c>
      <c r="B1727" t="s">
        <v>8</v>
      </c>
      <c r="C1727" s="3" t="s">
        <v>710</v>
      </c>
      <c r="D1727" s="3" t="s">
        <v>53</v>
      </c>
    </row>
    <row r="1728" spans="1:4" x14ac:dyDescent="0.2">
      <c r="A1728" s="3" t="s">
        <v>709</v>
      </c>
      <c r="B1728" t="s">
        <v>8</v>
      </c>
      <c r="C1728" s="3" t="s">
        <v>711</v>
      </c>
      <c r="D1728" s="3" t="s">
        <v>53</v>
      </c>
    </row>
    <row r="1729" spans="1:4" x14ac:dyDescent="0.2">
      <c r="A1729" s="3" t="s">
        <v>709</v>
      </c>
      <c r="B1729" t="s">
        <v>8</v>
      </c>
      <c r="C1729" s="3" t="s">
        <v>710</v>
      </c>
      <c r="D1729" s="3" t="s">
        <v>54</v>
      </c>
    </row>
    <row r="1730" spans="1:4" x14ac:dyDescent="0.2">
      <c r="A1730" s="3" t="s">
        <v>709</v>
      </c>
      <c r="B1730" t="s">
        <v>8</v>
      </c>
      <c r="C1730" s="3" t="s">
        <v>711</v>
      </c>
      <c r="D1730" s="3" t="s">
        <v>54</v>
      </c>
    </row>
    <row r="1731" spans="1:4" x14ac:dyDescent="0.2">
      <c r="A1731" s="3" t="s">
        <v>709</v>
      </c>
      <c r="B1731" t="s">
        <v>8</v>
      </c>
      <c r="C1731" s="3" t="s">
        <v>710</v>
      </c>
      <c r="D1731" s="3" t="s">
        <v>55</v>
      </c>
    </row>
    <row r="1732" spans="1:4" x14ac:dyDescent="0.2">
      <c r="A1732" s="3" t="s">
        <v>709</v>
      </c>
      <c r="B1732" t="s">
        <v>8</v>
      </c>
      <c r="C1732" s="3" t="s">
        <v>711</v>
      </c>
      <c r="D1732" s="3" t="s">
        <v>55</v>
      </c>
    </row>
    <row r="1733" spans="1:4" x14ac:dyDescent="0.2">
      <c r="A1733" s="3" t="s">
        <v>709</v>
      </c>
      <c r="B1733" t="s">
        <v>8</v>
      </c>
      <c r="C1733" s="3" t="s">
        <v>710</v>
      </c>
      <c r="D1733" s="3" t="s">
        <v>56</v>
      </c>
    </row>
    <row r="1734" spans="1:4" x14ac:dyDescent="0.2">
      <c r="A1734" s="3" t="s">
        <v>709</v>
      </c>
      <c r="B1734" t="s">
        <v>8</v>
      </c>
      <c r="C1734" s="3" t="s">
        <v>711</v>
      </c>
      <c r="D1734" s="3" t="s">
        <v>56</v>
      </c>
    </row>
    <row r="1735" spans="1:4" x14ac:dyDescent="0.2">
      <c r="A1735" s="3" t="s">
        <v>709</v>
      </c>
      <c r="B1735" t="s">
        <v>8</v>
      </c>
      <c r="C1735" s="3" t="s">
        <v>710</v>
      </c>
      <c r="D1735" s="3" t="s">
        <v>57</v>
      </c>
    </row>
    <row r="1736" spans="1:4" x14ac:dyDescent="0.2">
      <c r="A1736" s="3" t="s">
        <v>709</v>
      </c>
      <c r="B1736" t="s">
        <v>8</v>
      </c>
      <c r="C1736" s="3" t="s">
        <v>711</v>
      </c>
      <c r="D1736" s="3" t="s">
        <v>57</v>
      </c>
    </row>
    <row r="1737" spans="1:4" x14ac:dyDescent="0.2">
      <c r="A1737" s="3" t="s">
        <v>712</v>
      </c>
      <c r="B1737" t="s">
        <v>8</v>
      </c>
      <c r="C1737" s="3" t="s">
        <v>713</v>
      </c>
      <c r="D1737" s="3" t="s">
        <v>53</v>
      </c>
    </row>
    <row r="1738" spans="1:4" x14ac:dyDescent="0.2">
      <c r="A1738" s="3" t="s">
        <v>712</v>
      </c>
      <c r="B1738" t="s">
        <v>8</v>
      </c>
      <c r="C1738" s="3" t="s">
        <v>711</v>
      </c>
      <c r="D1738" s="3" t="s">
        <v>53</v>
      </c>
    </row>
    <row r="1739" spans="1:4" x14ac:dyDescent="0.2">
      <c r="A1739" s="3" t="s">
        <v>712</v>
      </c>
      <c r="B1739" t="s">
        <v>8</v>
      </c>
      <c r="C1739" s="3" t="s">
        <v>713</v>
      </c>
      <c r="D1739" s="3" t="s">
        <v>54</v>
      </c>
    </row>
    <row r="1740" spans="1:4" x14ac:dyDescent="0.2">
      <c r="A1740" s="3" t="s">
        <v>712</v>
      </c>
      <c r="B1740" t="s">
        <v>8</v>
      </c>
      <c r="C1740" s="3" t="s">
        <v>711</v>
      </c>
      <c r="D1740" s="3" t="s">
        <v>54</v>
      </c>
    </row>
    <row r="1741" spans="1:4" x14ac:dyDescent="0.2">
      <c r="A1741" s="3" t="s">
        <v>712</v>
      </c>
      <c r="B1741" t="s">
        <v>8</v>
      </c>
      <c r="C1741" s="3" t="s">
        <v>713</v>
      </c>
      <c r="D1741" s="3" t="s">
        <v>55</v>
      </c>
    </row>
    <row r="1742" spans="1:4" x14ac:dyDescent="0.2">
      <c r="A1742" s="3" t="s">
        <v>712</v>
      </c>
      <c r="B1742" t="s">
        <v>8</v>
      </c>
      <c r="C1742" s="3" t="s">
        <v>711</v>
      </c>
      <c r="D1742" s="3" t="s">
        <v>55</v>
      </c>
    </row>
    <row r="1743" spans="1:4" x14ac:dyDescent="0.2">
      <c r="A1743" s="3" t="s">
        <v>712</v>
      </c>
      <c r="B1743" t="s">
        <v>8</v>
      </c>
      <c r="C1743" s="3" t="s">
        <v>713</v>
      </c>
      <c r="D1743" s="3" t="s">
        <v>56</v>
      </c>
    </row>
    <row r="1744" spans="1:4" x14ac:dyDescent="0.2">
      <c r="A1744" s="3" t="s">
        <v>712</v>
      </c>
      <c r="B1744" t="s">
        <v>8</v>
      </c>
      <c r="C1744" s="3" t="s">
        <v>711</v>
      </c>
      <c r="D1744" s="3" t="s">
        <v>56</v>
      </c>
    </row>
    <row r="1745" spans="1:4" x14ac:dyDescent="0.2">
      <c r="A1745" s="3" t="s">
        <v>712</v>
      </c>
      <c r="B1745" t="s">
        <v>8</v>
      </c>
      <c r="C1745" s="3" t="s">
        <v>713</v>
      </c>
      <c r="D1745" s="3" t="s">
        <v>57</v>
      </c>
    </row>
    <row r="1746" spans="1:4" x14ac:dyDescent="0.2">
      <c r="A1746" s="3" t="s">
        <v>712</v>
      </c>
      <c r="B1746" t="s">
        <v>8</v>
      </c>
      <c r="C1746" s="3" t="s">
        <v>711</v>
      </c>
      <c r="D1746" s="3" t="s">
        <v>57</v>
      </c>
    </row>
    <row r="1747" spans="1:4" x14ac:dyDescent="0.2">
      <c r="A1747" s="3" t="s">
        <v>712</v>
      </c>
      <c r="B1747" t="s">
        <v>8</v>
      </c>
      <c r="C1747" s="3" t="s">
        <v>714</v>
      </c>
      <c r="D1747" s="3" t="s">
        <v>169</v>
      </c>
    </row>
    <row r="1748" spans="1:4" x14ac:dyDescent="0.2">
      <c r="A1748" s="3" t="s">
        <v>712</v>
      </c>
      <c r="B1748" t="s">
        <v>8</v>
      </c>
      <c r="C1748" s="3" t="s">
        <v>715</v>
      </c>
      <c r="D1748" s="3" t="s">
        <v>169</v>
      </c>
    </row>
    <row r="1749" spans="1:4" x14ac:dyDescent="0.2">
      <c r="A1749" s="3" t="s">
        <v>712</v>
      </c>
      <c r="B1749" t="s">
        <v>8</v>
      </c>
      <c r="C1749" s="3" t="s">
        <v>716</v>
      </c>
      <c r="D1749" s="3" t="s">
        <v>169</v>
      </c>
    </row>
    <row r="1750" spans="1:4" x14ac:dyDescent="0.2">
      <c r="A1750" s="3" t="s">
        <v>712</v>
      </c>
      <c r="B1750" t="s">
        <v>8</v>
      </c>
      <c r="C1750" s="3" t="s">
        <v>717</v>
      </c>
      <c r="D1750" s="3" t="s">
        <v>22</v>
      </c>
    </row>
    <row r="1751" spans="1:4" x14ac:dyDescent="0.2">
      <c r="A1751" s="3" t="s">
        <v>718</v>
      </c>
      <c r="B1751" t="s">
        <v>8</v>
      </c>
      <c r="C1751" s="3" t="s">
        <v>719</v>
      </c>
      <c r="D1751" s="3" t="s">
        <v>53</v>
      </c>
    </row>
    <row r="1752" spans="1:4" x14ac:dyDescent="0.2">
      <c r="A1752" s="3" t="s">
        <v>718</v>
      </c>
      <c r="B1752" t="s">
        <v>8</v>
      </c>
      <c r="C1752" s="3" t="s">
        <v>720</v>
      </c>
      <c r="D1752" s="3" t="s">
        <v>53</v>
      </c>
    </row>
    <row r="1753" spans="1:4" x14ac:dyDescent="0.2">
      <c r="A1753" s="3" t="s">
        <v>718</v>
      </c>
      <c r="B1753" t="s">
        <v>8</v>
      </c>
      <c r="C1753" s="3" t="s">
        <v>721</v>
      </c>
      <c r="D1753" s="3" t="s">
        <v>53</v>
      </c>
    </row>
    <row r="1754" spans="1:4" x14ac:dyDescent="0.2">
      <c r="A1754" s="3" t="s">
        <v>718</v>
      </c>
      <c r="B1754" t="s">
        <v>8</v>
      </c>
      <c r="C1754" s="3" t="s">
        <v>722</v>
      </c>
      <c r="D1754" s="3" t="s">
        <v>53</v>
      </c>
    </row>
    <row r="1755" spans="1:4" x14ac:dyDescent="0.2">
      <c r="A1755" s="3" t="s">
        <v>718</v>
      </c>
      <c r="B1755" t="s">
        <v>8</v>
      </c>
      <c r="C1755" s="3" t="s">
        <v>723</v>
      </c>
      <c r="D1755" s="3" t="s">
        <v>53</v>
      </c>
    </row>
    <row r="1756" spans="1:4" x14ac:dyDescent="0.2">
      <c r="A1756" s="3" t="s">
        <v>718</v>
      </c>
      <c r="B1756" t="s">
        <v>8</v>
      </c>
      <c r="C1756" s="3" t="s">
        <v>724</v>
      </c>
      <c r="D1756" s="3" t="s">
        <v>53</v>
      </c>
    </row>
    <row r="1757" spans="1:4" x14ac:dyDescent="0.2">
      <c r="A1757" s="3" t="s">
        <v>718</v>
      </c>
      <c r="B1757" t="s">
        <v>8</v>
      </c>
      <c r="C1757" s="3" t="s">
        <v>725</v>
      </c>
      <c r="D1757" s="3" t="s">
        <v>53</v>
      </c>
    </row>
    <row r="1758" spans="1:4" x14ac:dyDescent="0.2">
      <c r="A1758" s="3" t="s">
        <v>718</v>
      </c>
      <c r="B1758" t="s">
        <v>8</v>
      </c>
      <c r="C1758" s="3" t="s">
        <v>726</v>
      </c>
      <c r="D1758" s="3" t="s">
        <v>53</v>
      </c>
    </row>
    <row r="1759" spans="1:4" x14ac:dyDescent="0.2">
      <c r="A1759" s="3" t="s">
        <v>718</v>
      </c>
      <c r="B1759" t="s">
        <v>8</v>
      </c>
      <c r="C1759" s="3" t="s">
        <v>727</v>
      </c>
      <c r="D1759" s="3" t="s">
        <v>53</v>
      </c>
    </row>
    <row r="1760" spans="1:4" x14ac:dyDescent="0.2">
      <c r="A1760" s="3" t="s">
        <v>718</v>
      </c>
      <c r="B1760" t="s">
        <v>8</v>
      </c>
      <c r="C1760" s="3" t="s">
        <v>728</v>
      </c>
      <c r="D1760" s="3" t="s">
        <v>53</v>
      </c>
    </row>
    <row r="1761" spans="1:4" x14ac:dyDescent="0.2">
      <c r="A1761" s="3" t="s">
        <v>718</v>
      </c>
      <c r="B1761" t="s">
        <v>8</v>
      </c>
      <c r="C1761" s="3" t="s">
        <v>729</v>
      </c>
      <c r="D1761" s="3" t="s">
        <v>53</v>
      </c>
    </row>
    <row r="1762" spans="1:4" x14ac:dyDescent="0.2">
      <c r="A1762" s="3" t="s">
        <v>718</v>
      </c>
      <c r="B1762" t="s">
        <v>8</v>
      </c>
      <c r="C1762" s="3" t="s">
        <v>730</v>
      </c>
      <c r="D1762" s="3" t="s">
        <v>53</v>
      </c>
    </row>
    <row r="1763" spans="1:4" x14ac:dyDescent="0.2">
      <c r="A1763" s="3" t="s">
        <v>718</v>
      </c>
      <c r="B1763" t="s">
        <v>8</v>
      </c>
      <c r="C1763" s="3" t="s">
        <v>719</v>
      </c>
      <c r="D1763" s="3" t="s">
        <v>54</v>
      </c>
    </row>
    <row r="1764" spans="1:4" x14ac:dyDescent="0.2">
      <c r="A1764" s="3" t="s">
        <v>718</v>
      </c>
      <c r="B1764" t="s">
        <v>8</v>
      </c>
      <c r="C1764" s="3" t="s">
        <v>720</v>
      </c>
      <c r="D1764" s="3" t="s">
        <v>54</v>
      </c>
    </row>
    <row r="1765" spans="1:4" x14ac:dyDescent="0.2">
      <c r="A1765" s="3" t="s">
        <v>718</v>
      </c>
      <c r="B1765" t="s">
        <v>8</v>
      </c>
      <c r="C1765" s="3" t="s">
        <v>721</v>
      </c>
      <c r="D1765" s="3" t="s">
        <v>54</v>
      </c>
    </row>
    <row r="1766" spans="1:4" x14ac:dyDescent="0.2">
      <c r="A1766" s="3" t="s">
        <v>718</v>
      </c>
      <c r="B1766" t="s">
        <v>8</v>
      </c>
      <c r="C1766" s="3" t="s">
        <v>722</v>
      </c>
      <c r="D1766" s="3" t="s">
        <v>54</v>
      </c>
    </row>
    <row r="1767" spans="1:4" x14ac:dyDescent="0.2">
      <c r="A1767" s="3" t="s">
        <v>718</v>
      </c>
      <c r="B1767" t="s">
        <v>8</v>
      </c>
      <c r="C1767" s="3" t="s">
        <v>723</v>
      </c>
      <c r="D1767" s="3" t="s">
        <v>54</v>
      </c>
    </row>
    <row r="1768" spans="1:4" x14ac:dyDescent="0.2">
      <c r="A1768" s="3" t="s">
        <v>718</v>
      </c>
      <c r="B1768" t="s">
        <v>8</v>
      </c>
      <c r="C1768" s="3" t="s">
        <v>724</v>
      </c>
      <c r="D1768" s="3" t="s">
        <v>54</v>
      </c>
    </row>
    <row r="1769" spans="1:4" x14ac:dyDescent="0.2">
      <c r="A1769" s="3" t="s">
        <v>718</v>
      </c>
      <c r="B1769" t="s">
        <v>8</v>
      </c>
      <c r="C1769" s="3" t="s">
        <v>725</v>
      </c>
      <c r="D1769" s="3" t="s">
        <v>54</v>
      </c>
    </row>
    <row r="1770" spans="1:4" x14ac:dyDescent="0.2">
      <c r="A1770" s="3" t="s">
        <v>718</v>
      </c>
      <c r="B1770" t="s">
        <v>8</v>
      </c>
      <c r="C1770" s="3" t="s">
        <v>726</v>
      </c>
      <c r="D1770" s="3" t="s">
        <v>54</v>
      </c>
    </row>
    <row r="1771" spans="1:4" x14ac:dyDescent="0.2">
      <c r="A1771" s="3" t="s">
        <v>718</v>
      </c>
      <c r="B1771" t="s">
        <v>8</v>
      </c>
      <c r="C1771" s="3" t="s">
        <v>727</v>
      </c>
      <c r="D1771" s="3" t="s">
        <v>54</v>
      </c>
    </row>
    <row r="1772" spans="1:4" x14ac:dyDescent="0.2">
      <c r="A1772" s="3" t="s">
        <v>718</v>
      </c>
      <c r="B1772" t="s">
        <v>8</v>
      </c>
      <c r="C1772" s="3" t="s">
        <v>728</v>
      </c>
      <c r="D1772" s="3" t="s">
        <v>54</v>
      </c>
    </row>
    <row r="1773" spans="1:4" x14ac:dyDescent="0.2">
      <c r="A1773" s="3" t="s">
        <v>718</v>
      </c>
      <c r="B1773" t="s">
        <v>8</v>
      </c>
      <c r="C1773" s="3" t="s">
        <v>729</v>
      </c>
      <c r="D1773" s="3" t="s">
        <v>54</v>
      </c>
    </row>
    <row r="1774" spans="1:4" x14ac:dyDescent="0.2">
      <c r="A1774" s="3" t="s">
        <v>718</v>
      </c>
      <c r="B1774" t="s">
        <v>8</v>
      </c>
      <c r="C1774" s="3" t="s">
        <v>730</v>
      </c>
      <c r="D1774" s="3" t="s">
        <v>54</v>
      </c>
    </row>
    <row r="1775" spans="1:4" x14ac:dyDescent="0.2">
      <c r="A1775" s="3" t="s">
        <v>718</v>
      </c>
      <c r="B1775" t="s">
        <v>8</v>
      </c>
      <c r="C1775" s="3" t="s">
        <v>719</v>
      </c>
      <c r="D1775" s="3" t="s">
        <v>55</v>
      </c>
    </row>
    <row r="1776" spans="1:4" x14ac:dyDescent="0.2">
      <c r="A1776" s="3" t="s">
        <v>718</v>
      </c>
      <c r="B1776" t="s">
        <v>8</v>
      </c>
      <c r="C1776" s="3" t="s">
        <v>720</v>
      </c>
      <c r="D1776" s="3" t="s">
        <v>55</v>
      </c>
    </row>
    <row r="1777" spans="1:4" x14ac:dyDescent="0.2">
      <c r="A1777" s="3" t="s">
        <v>718</v>
      </c>
      <c r="B1777" t="s">
        <v>8</v>
      </c>
      <c r="C1777" s="3" t="s">
        <v>721</v>
      </c>
      <c r="D1777" s="3" t="s">
        <v>55</v>
      </c>
    </row>
    <row r="1778" spans="1:4" x14ac:dyDescent="0.2">
      <c r="A1778" s="3" t="s">
        <v>718</v>
      </c>
      <c r="B1778" t="s">
        <v>8</v>
      </c>
      <c r="C1778" s="3" t="s">
        <v>722</v>
      </c>
      <c r="D1778" s="3" t="s">
        <v>55</v>
      </c>
    </row>
    <row r="1779" spans="1:4" x14ac:dyDescent="0.2">
      <c r="A1779" s="3" t="s">
        <v>718</v>
      </c>
      <c r="B1779" t="s">
        <v>8</v>
      </c>
      <c r="C1779" s="3" t="s">
        <v>723</v>
      </c>
      <c r="D1779" s="3" t="s">
        <v>55</v>
      </c>
    </row>
    <row r="1780" spans="1:4" x14ac:dyDescent="0.2">
      <c r="A1780" s="3" t="s">
        <v>718</v>
      </c>
      <c r="B1780" t="s">
        <v>8</v>
      </c>
      <c r="C1780" s="3" t="s">
        <v>724</v>
      </c>
      <c r="D1780" s="3" t="s">
        <v>55</v>
      </c>
    </row>
    <row r="1781" spans="1:4" x14ac:dyDescent="0.2">
      <c r="A1781" s="3" t="s">
        <v>718</v>
      </c>
      <c r="B1781" t="s">
        <v>8</v>
      </c>
      <c r="C1781" s="3" t="s">
        <v>725</v>
      </c>
      <c r="D1781" s="3" t="s">
        <v>55</v>
      </c>
    </row>
    <row r="1782" spans="1:4" x14ac:dyDescent="0.2">
      <c r="A1782" s="3" t="s">
        <v>718</v>
      </c>
      <c r="B1782" t="s">
        <v>8</v>
      </c>
      <c r="C1782" s="3" t="s">
        <v>726</v>
      </c>
      <c r="D1782" s="3" t="s">
        <v>55</v>
      </c>
    </row>
    <row r="1783" spans="1:4" x14ac:dyDescent="0.2">
      <c r="A1783" s="3" t="s">
        <v>718</v>
      </c>
      <c r="B1783" t="s">
        <v>8</v>
      </c>
      <c r="C1783" s="3" t="s">
        <v>727</v>
      </c>
      <c r="D1783" s="3" t="s">
        <v>55</v>
      </c>
    </row>
    <row r="1784" spans="1:4" x14ac:dyDescent="0.2">
      <c r="A1784" s="3" t="s">
        <v>718</v>
      </c>
      <c r="B1784" t="s">
        <v>8</v>
      </c>
      <c r="C1784" s="3" t="s">
        <v>728</v>
      </c>
      <c r="D1784" s="3" t="s">
        <v>55</v>
      </c>
    </row>
    <row r="1785" spans="1:4" x14ac:dyDescent="0.2">
      <c r="A1785" s="3" t="s">
        <v>718</v>
      </c>
      <c r="B1785" t="s">
        <v>8</v>
      </c>
      <c r="C1785" s="3" t="s">
        <v>729</v>
      </c>
      <c r="D1785" s="3" t="s">
        <v>55</v>
      </c>
    </row>
    <row r="1786" spans="1:4" x14ac:dyDescent="0.2">
      <c r="A1786" s="3" t="s">
        <v>718</v>
      </c>
      <c r="B1786" t="s">
        <v>8</v>
      </c>
      <c r="C1786" s="3" t="s">
        <v>719</v>
      </c>
      <c r="D1786" s="3" t="s">
        <v>56</v>
      </c>
    </row>
    <row r="1787" spans="1:4" x14ac:dyDescent="0.2">
      <c r="A1787" s="3" t="s">
        <v>718</v>
      </c>
      <c r="B1787" t="s">
        <v>8</v>
      </c>
      <c r="C1787" s="3" t="s">
        <v>720</v>
      </c>
      <c r="D1787" s="3" t="s">
        <v>56</v>
      </c>
    </row>
    <row r="1788" spans="1:4" x14ac:dyDescent="0.2">
      <c r="A1788" s="3" t="s">
        <v>718</v>
      </c>
      <c r="B1788" t="s">
        <v>8</v>
      </c>
      <c r="C1788" s="3" t="s">
        <v>721</v>
      </c>
      <c r="D1788" s="3" t="s">
        <v>56</v>
      </c>
    </row>
    <row r="1789" spans="1:4" x14ac:dyDescent="0.2">
      <c r="A1789" s="3" t="s">
        <v>718</v>
      </c>
      <c r="B1789" t="s">
        <v>8</v>
      </c>
      <c r="C1789" s="3" t="s">
        <v>722</v>
      </c>
      <c r="D1789" s="3" t="s">
        <v>56</v>
      </c>
    </row>
    <row r="1790" spans="1:4" x14ac:dyDescent="0.2">
      <c r="A1790" s="3" t="s">
        <v>718</v>
      </c>
      <c r="B1790" t="s">
        <v>8</v>
      </c>
      <c r="C1790" s="3" t="s">
        <v>723</v>
      </c>
      <c r="D1790" s="3" t="s">
        <v>56</v>
      </c>
    </row>
    <row r="1791" spans="1:4" x14ac:dyDescent="0.2">
      <c r="A1791" s="3" t="s">
        <v>718</v>
      </c>
      <c r="B1791" t="s">
        <v>8</v>
      </c>
      <c r="C1791" s="3" t="s">
        <v>724</v>
      </c>
      <c r="D1791" s="3" t="s">
        <v>56</v>
      </c>
    </row>
    <row r="1792" spans="1:4" x14ac:dyDescent="0.2">
      <c r="A1792" s="3" t="s">
        <v>718</v>
      </c>
      <c r="B1792" t="s">
        <v>8</v>
      </c>
      <c r="C1792" s="3" t="s">
        <v>725</v>
      </c>
      <c r="D1792" s="3" t="s">
        <v>56</v>
      </c>
    </row>
    <row r="1793" spans="1:4" x14ac:dyDescent="0.2">
      <c r="A1793" s="3" t="s">
        <v>718</v>
      </c>
      <c r="B1793" t="s">
        <v>8</v>
      </c>
      <c r="C1793" s="3" t="s">
        <v>726</v>
      </c>
      <c r="D1793" s="3" t="s">
        <v>56</v>
      </c>
    </row>
    <row r="1794" spans="1:4" x14ac:dyDescent="0.2">
      <c r="A1794" s="3" t="s">
        <v>718</v>
      </c>
      <c r="B1794" t="s">
        <v>8</v>
      </c>
      <c r="C1794" s="3" t="s">
        <v>727</v>
      </c>
      <c r="D1794" s="3" t="s">
        <v>56</v>
      </c>
    </row>
    <row r="1795" spans="1:4" x14ac:dyDescent="0.2">
      <c r="A1795" s="3" t="s">
        <v>718</v>
      </c>
      <c r="B1795" t="s">
        <v>8</v>
      </c>
      <c r="C1795" s="3" t="s">
        <v>728</v>
      </c>
      <c r="D1795" s="3" t="s">
        <v>56</v>
      </c>
    </row>
    <row r="1796" spans="1:4" x14ac:dyDescent="0.2">
      <c r="A1796" s="3" t="s">
        <v>718</v>
      </c>
      <c r="B1796" t="s">
        <v>8</v>
      </c>
      <c r="C1796" s="3" t="s">
        <v>729</v>
      </c>
      <c r="D1796" s="3" t="s">
        <v>56</v>
      </c>
    </row>
    <row r="1797" spans="1:4" x14ac:dyDescent="0.2">
      <c r="A1797" s="3" t="s">
        <v>718</v>
      </c>
      <c r="B1797" t="s">
        <v>8</v>
      </c>
      <c r="C1797" s="3" t="s">
        <v>719</v>
      </c>
      <c r="D1797" s="3" t="s">
        <v>57</v>
      </c>
    </row>
    <row r="1798" spans="1:4" x14ac:dyDescent="0.2">
      <c r="A1798" s="3" t="s">
        <v>718</v>
      </c>
      <c r="B1798" t="s">
        <v>8</v>
      </c>
      <c r="C1798" s="3" t="s">
        <v>720</v>
      </c>
      <c r="D1798" s="3" t="s">
        <v>57</v>
      </c>
    </row>
    <row r="1799" spans="1:4" x14ac:dyDescent="0.2">
      <c r="A1799" s="3" t="s">
        <v>718</v>
      </c>
      <c r="B1799" t="s">
        <v>8</v>
      </c>
      <c r="C1799" s="3" t="s">
        <v>721</v>
      </c>
      <c r="D1799" s="3" t="s">
        <v>57</v>
      </c>
    </row>
    <row r="1800" spans="1:4" x14ac:dyDescent="0.2">
      <c r="A1800" s="3" t="s">
        <v>718</v>
      </c>
      <c r="B1800" t="s">
        <v>8</v>
      </c>
      <c r="C1800" s="3" t="s">
        <v>722</v>
      </c>
      <c r="D1800" s="3" t="s">
        <v>57</v>
      </c>
    </row>
    <row r="1801" spans="1:4" x14ac:dyDescent="0.2">
      <c r="A1801" s="3" t="s">
        <v>718</v>
      </c>
      <c r="B1801" t="s">
        <v>8</v>
      </c>
      <c r="C1801" s="3" t="s">
        <v>723</v>
      </c>
      <c r="D1801" s="3" t="s">
        <v>57</v>
      </c>
    </row>
    <row r="1802" spans="1:4" x14ac:dyDescent="0.2">
      <c r="A1802" s="3" t="s">
        <v>718</v>
      </c>
      <c r="B1802" t="s">
        <v>8</v>
      </c>
      <c r="C1802" s="3" t="s">
        <v>724</v>
      </c>
      <c r="D1802" s="3" t="s">
        <v>57</v>
      </c>
    </row>
    <row r="1803" spans="1:4" x14ac:dyDescent="0.2">
      <c r="A1803" s="3" t="s">
        <v>718</v>
      </c>
      <c r="B1803" t="s">
        <v>8</v>
      </c>
      <c r="C1803" s="3" t="s">
        <v>725</v>
      </c>
      <c r="D1803" s="3" t="s">
        <v>57</v>
      </c>
    </row>
    <row r="1804" spans="1:4" x14ac:dyDescent="0.2">
      <c r="A1804" s="3" t="s">
        <v>718</v>
      </c>
      <c r="B1804" t="s">
        <v>8</v>
      </c>
      <c r="C1804" s="3" t="s">
        <v>726</v>
      </c>
      <c r="D1804" s="3" t="s">
        <v>57</v>
      </c>
    </row>
    <row r="1805" spans="1:4" x14ac:dyDescent="0.2">
      <c r="A1805" s="3" t="s">
        <v>718</v>
      </c>
      <c r="B1805" t="s">
        <v>8</v>
      </c>
      <c r="C1805" s="3" t="s">
        <v>727</v>
      </c>
      <c r="D1805" s="3" t="s">
        <v>57</v>
      </c>
    </row>
    <row r="1806" spans="1:4" x14ac:dyDescent="0.2">
      <c r="A1806" s="3" t="s">
        <v>718</v>
      </c>
      <c r="B1806" t="s">
        <v>8</v>
      </c>
      <c r="C1806" s="3" t="s">
        <v>728</v>
      </c>
      <c r="D1806" s="3" t="s">
        <v>57</v>
      </c>
    </row>
    <row r="1807" spans="1:4" x14ac:dyDescent="0.2">
      <c r="A1807" s="3" t="s">
        <v>718</v>
      </c>
      <c r="B1807" t="s">
        <v>8</v>
      </c>
      <c r="C1807" s="3" t="s">
        <v>729</v>
      </c>
      <c r="D1807" s="3" t="s">
        <v>57</v>
      </c>
    </row>
    <row r="1808" spans="1:4" x14ac:dyDescent="0.2">
      <c r="A1808" s="3" t="s">
        <v>718</v>
      </c>
      <c r="B1808" t="s">
        <v>8</v>
      </c>
      <c r="C1808" s="3" t="s">
        <v>731</v>
      </c>
      <c r="D1808" s="3" t="s">
        <v>22</v>
      </c>
    </row>
    <row r="1809" spans="1:4" x14ac:dyDescent="0.2">
      <c r="A1809" s="3" t="s">
        <v>718</v>
      </c>
      <c r="B1809" t="s">
        <v>8</v>
      </c>
      <c r="C1809" s="3" t="s">
        <v>732</v>
      </c>
      <c r="D1809" s="3" t="s">
        <v>22</v>
      </c>
    </row>
    <row r="1810" spans="1:4" x14ac:dyDescent="0.2">
      <c r="A1810" s="3" t="s">
        <v>718</v>
      </c>
      <c r="B1810" t="s">
        <v>8</v>
      </c>
      <c r="C1810" s="3" t="s">
        <v>733</v>
      </c>
      <c r="D1810" s="3" t="s">
        <v>22</v>
      </c>
    </row>
    <row r="1811" spans="1:4" x14ac:dyDescent="0.2">
      <c r="A1811" s="3" t="s">
        <v>718</v>
      </c>
      <c r="B1811" t="s">
        <v>8</v>
      </c>
      <c r="C1811" s="3" t="s">
        <v>734</v>
      </c>
      <c r="D1811" s="3" t="s">
        <v>22</v>
      </c>
    </row>
    <row r="1812" spans="1:4" x14ac:dyDescent="0.2">
      <c r="A1812" s="3" t="s">
        <v>718</v>
      </c>
      <c r="B1812" t="s">
        <v>8</v>
      </c>
      <c r="C1812" s="3" t="s">
        <v>470</v>
      </c>
      <c r="D1812" s="3" t="s">
        <v>22</v>
      </c>
    </row>
    <row r="1813" spans="1:4" x14ac:dyDescent="0.2">
      <c r="A1813" s="3" t="s">
        <v>718</v>
      </c>
      <c r="B1813" t="s">
        <v>8</v>
      </c>
      <c r="C1813" s="3" t="s">
        <v>735</v>
      </c>
      <c r="D1813" s="3" t="s">
        <v>22</v>
      </c>
    </row>
    <row r="1814" spans="1:4" x14ac:dyDescent="0.2">
      <c r="A1814" s="3" t="s">
        <v>718</v>
      </c>
      <c r="B1814" t="s">
        <v>8</v>
      </c>
      <c r="C1814" s="3" t="s">
        <v>736</v>
      </c>
      <c r="D1814" s="3" t="s">
        <v>22</v>
      </c>
    </row>
    <row r="1815" spans="1:4" x14ac:dyDescent="0.2">
      <c r="A1815" s="3" t="s">
        <v>718</v>
      </c>
      <c r="B1815" t="s">
        <v>8</v>
      </c>
      <c r="C1815" s="3" t="s">
        <v>737</v>
      </c>
      <c r="D1815" s="3" t="s">
        <v>22</v>
      </c>
    </row>
    <row r="1816" spans="1:4" x14ac:dyDescent="0.2">
      <c r="A1816" s="3" t="s">
        <v>718</v>
      </c>
      <c r="B1816" t="s">
        <v>8</v>
      </c>
      <c r="C1816" s="3" t="s">
        <v>479</v>
      </c>
      <c r="D1816" s="3" t="s">
        <v>22</v>
      </c>
    </row>
    <row r="1817" spans="1:4" x14ac:dyDescent="0.2">
      <c r="A1817" s="3" t="s">
        <v>718</v>
      </c>
      <c r="B1817" t="s">
        <v>8</v>
      </c>
      <c r="C1817" s="3" t="s">
        <v>738</v>
      </c>
      <c r="D1817" s="3" t="s">
        <v>22</v>
      </c>
    </row>
    <row r="1818" spans="1:4" x14ac:dyDescent="0.2">
      <c r="A1818" s="3" t="s">
        <v>718</v>
      </c>
      <c r="B1818" t="s">
        <v>8</v>
      </c>
      <c r="C1818" s="3" t="s">
        <v>739</v>
      </c>
      <c r="D1818" s="3" t="s">
        <v>22</v>
      </c>
    </row>
    <row r="1819" spans="1:4" x14ac:dyDescent="0.2">
      <c r="A1819" s="3" t="s">
        <v>718</v>
      </c>
      <c r="B1819" t="s">
        <v>8</v>
      </c>
      <c r="C1819" s="3" t="s">
        <v>480</v>
      </c>
      <c r="D1819" s="3" t="s">
        <v>22</v>
      </c>
    </row>
    <row r="1820" spans="1:4" x14ac:dyDescent="0.2">
      <c r="A1820" s="3" t="s">
        <v>718</v>
      </c>
      <c r="B1820" t="s">
        <v>8</v>
      </c>
      <c r="C1820" s="3" t="s">
        <v>481</v>
      </c>
      <c r="D1820" s="3" t="s">
        <v>22</v>
      </c>
    </row>
    <row r="1821" spans="1:4" x14ac:dyDescent="0.2">
      <c r="A1821" s="3" t="s">
        <v>718</v>
      </c>
      <c r="B1821" t="s">
        <v>8</v>
      </c>
      <c r="C1821" s="3" t="s">
        <v>740</v>
      </c>
      <c r="D1821" s="3" t="s">
        <v>22</v>
      </c>
    </row>
    <row r="1822" spans="1:4" x14ac:dyDescent="0.2">
      <c r="A1822" s="3" t="s">
        <v>718</v>
      </c>
      <c r="B1822" t="s">
        <v>8</v>
      </c>
      <c r="C1822" s="3" t="s">
        <v>280</v>
      </c>
      <c r="D1822" s="3" t="s">
        <v>22</v>
      </c>
    </row>
    <row r="1823" spans="1:4" x14ac:dyDescent="0.2">
      <c r="A1823" s="3" t="s">
        <v>718</v>
      </c>
      <c r="B1823" t="s">
        <v>8</v>
      </c>
      <c r="C1823" s="3" t="s">
        <v>281</v>
      </c>
      <c r="D1823" s="3" t="s">
        <v>22</v>
      </c>
    </row>
    <row r="1824" spans="1:4" x14ac:dyDescent="0.2">
      <c r="A1824" s="3" t="s">
        <v>718</v>
      </c>
      <c r="B1824" t="s">
        <v>8</v>
      </c>
      <c r="C1824" s="3" t="s">
        <v>282</v>
      </c>
      <c r="D1824" s="3" t="s">
        <v>22</v>
      </c>
    </row>
    <row r="1825" spans="1:4" x14ac:dyDescent="0.2">
      <c r="A1825" s="3" t="s">
        <v>718</v>
      </c>
      <c r="B1825" t="s">
        <v>8</v>
      </c>
      <c r="C1825" s="3" t="s">
        <v>283</v>
      </c>
      <c r="D1825" s="3" t="s">
        <v>22</v>
      </c>
    </row>
    <row r="1826" spans="1:4" x14ac:dyDescent="0.2">
      <c r="A1826" s="3" t="s">
        <v>718</v>
      </c>
      <c r="B1826" t="s">
        <v>8</v>
      </c>
      <c r="C1826" s="3" t="s">
        <v>741</v>
      </c>
      <c r="D1826" s="3" t="s">
        <v>22</v>
      </c>
    </row>
    <row r="1827" spans="1:4" x14ac:dyDescent="0.2">
      <c r="A1827" s="3" t="s">
        <v>718</v>
      </c>
      <c r="B1827" t="s">
        <v>8</v>
      </c>
      <c r="C1827" s="3" t="s">
        <v>742</v>
      </c>
      <c r="D1827" s="3" t="s">
        <v>22</v>
      </c>
    </row>
    <row r="1828" spans="1:4" x14ac:dyDescent="0.2">
      <c r="A1828" s="3" t="s">
        <v>718</v>
      </c>
      <c r="B1828" t="s">
        <v>8</v>
      </c>
      <c r="C1828" s="3" t="s">
        <v>743</v>
      </c>
      <c r="D1828" s="3" t="s">
        <v>22</v>
      </c>
    </row>
    <row r="1829" spans="1:4" x14ac:dyDescent="0.2">
      <c r="A1829" s="3" t="s">
        <v>744</v>
      </c>
      <c r="B1829" t="s">
        <v>8</v>
      </c>
      <c r="C1829" s="3" t="s">
        <v>199</v>
      </c>
      <c r="D1829" s="3" t="s">
        <v>53</v>
      </c>
    </row>
    <row r="1830" spans="1:4" x14ac:dyDescent="0.2">
      <c r="A1830" s="3" t="s">
        <v>744</v>
      </c>
      <c r="B1830" t="s">
        <v>8</v>
      </c>
      <c r="C1830" s="3" t="s">
        <v>221</v>
      </c>
      <c r="D1830" s="3" t="s">
        <v>54</v>
      </c>
    </row>
    <row r="1831" spans="1:4" x14ac:dyDescent="0.2">
      <c r="A1831" s="3" t="s">
        <v>744</v>
      </c>
      <c r="B1831" t="s">
        <v>8</v>
      </c>
      <c r="C1831" s="3" t="s">
        <v>199</v>
      </c>
      <c r="D1831" s="3" t="s">
        <v>54</v>
      </c>
    </row>
    <row r="1832" spans="1:4" x14ac:dyDescent="0.2">
      <c r="A1832" s="3" t="s">
        <v>744</v>
      </c>
      <c r="B1832" t="s">
        <v>8</v>
      </c>
      <c r="C1832" s="3" t="s">
        <v>221</v>
      </c>
      <c r="D1832" s="3" t="s">
        <v>55</v>
      </c>
    </row>
    <row r="1833" spans="1:4" x14ac:dyDescent="0.2">
      <c r="A1833" s="3" t="s">
        <v>744</v>
      </c>
      <c r="B1833" t="s">
        <v>8</v>
      </c>
      <c r="C1833" s="3" t="s">
        <v>221</v>
      </c>
      <c r="D1833" s="3" t="s">
        <v>56</v>
      </c>
    </row>
    <row r="1834" spans="1:4" x14ac:dyDescent="0.2">
      <c r="A1834" s="3" t="s">
        <v>744</v>
      </c>
      <c r="B1834" t="s">
        <v>8</v>
      </c>
      <c r="C1834" s="3" t="s">
        <v>199</v>
      </c>
      <c r="D1834" s="3" t="s">
        <v>56</v>
      </c>
    </row>
    <row r="1835" spans="1:4" x14ac:dyDescent="0.2">
      <c r="A1835" s="3" t="s">
        <v>744</v>
      </c>
      <c r="B1835" t="s">
        <v>8</v>
      </c>
      <c r="C1835" s="3" t="s">
        <v>221</v>
      </c>
      <c r="D1835" s="3" t="s">
        <v>57</v>
      </c>
    </row>
    <row r="1836" spans="1:4" x14ac:dyDescent="0.2">
      <c r="A1836" s="3" t="s">
        <v>744</v>
      </c>
      <c r="B1836" t="s">
        <v>8</v>
      </c>
      <c r="C1836" s="3" t="s">
        <v>199</v>
      </c>
      <c r="D1836" s="3" t="s">
        <v>57</v>
      </c>
    </row>
    <row r="1837" spans="1:4" x14ac:dyDescent="0.2">
      <c r="A1837" s="3" t="s">
        <v>744</v>
      </c>
      <c r="B1837" t="s">
        <v>8</v>
      </c>
      <c r="C1837" s="3" t="s">
        <v>745</v>
      </c>
      <c r="D1837" s="3" t="s">
        <v>169</v>
      </c>
    </row>
    <row r="1838" spans="1:4" x14ac:dyDescent="0.2">
      <c r="A1838" s="3" t="s">
        <v>744</v>
      </c>
      <c r="B1838" t="s">
        <v>8</v>
      </c>
      <c r="C1838" s="3" t="s">
        <v>733</v>
      </c>
      <c r="D1838" s="3" t="s">
        <v>22</v>
      </c>
    </row>
    <row r="1839" spans="1:4" x14ac:dyDescent="0.2">
      <c r="A1839" s="3" t="s">
        <v>744</v>
      </c>
      <c r="B1839" t="s">
        <v>8</v>
      </c>
      <c r="C1839" s="3" t="s">
        <v>734</v>
      </c>
      <c r="D1839" s="3" t="s">
        <v>22</v>
      </c>
    </row>
    <row r="1840" spans="1:4" x14ac:dyDescent="0.2">
      <c r="A1840" s="3" t="s">
        <v>744</v>
      </c>
      <c r="B1840" t="s">
        <v>8</v>
      </c>
      <c r="C1840" s="3" t="s">
        <v>741</v>
      </c>
      <c r="D1840" s="3" t="s">
        <v>22</v>
      </c>
    </row>
    <row r="1841" spans="1:4" x14ac:dyDescent="0.2">
      <c r="A1841" s="3" t="s">
        <v>746</v>
      </c>
      <c r="B1841" t="s">
        <v>8</v>
      </c>
      <c r="C1841" s="3" t="s">
        <v>747</v>
      </c>
      <c r="D1841" s="3" t="s">
        <v>53</v>
      </c>
    </row>
    <row r="1842" spans="1:4" x14ac:dyDescent="0.2">
      <c r="A1842" s="3" t="s">
        <v>746</v>
      </c>
      <c r="B1842" t="s">
        <v>8</v>
      </c>
      <c r="C1842" s="3" t="s">
        <v>748</v>
      </c>
      <c r="D1842" s="3" t="s">
        <v>53</v>
      </c>
    </row>
    <row r="1843" spans="1:4" x14ac:dyDescent="0.2">
      <c r="A1843" s="3" t="s">
        <v>746</v>
      </c>
      <c r="B1843" t="s">
        <v>8</v>
      </c>
      <c r="C1843" s="3" t="s">
        <v>749</v>
      </c>
      <c r="D1843" s="3" t="s">
        <v>53</v>
      </c>
    </row>
    <row r="1844" spans="1:4" x14ac:dyDescent="0.2">
      <c r="A1844" s="3" t="s">
        <v>746</v>
      </c>
      <c r="B1844" t="s">
        <v>8</v>
      </c>
      <c r="C1844" s="3" t="s">
        <v>747</v>
      </c>
      <c r="D1844" s="3" t="s">
        <v>54</v>
      </c>
    </row>
    <row r="1845" spans="1:4" x14ac:dyDescent="0.2">
      <c r="A1845" s="3" t="s">
        <v>746</v>
      </c>
      <c r="B1845" t="s">
        <v>8</v>
      </c>
      <c r="C1845" s="3" t="s">
        <v>748</v>
      </c>
      <c r="D1845" s="3" t="s">
        <v>54</v>
      </c>
    </row>
    <row r="1846" spans="1:4" x14ac:dyDescent="0.2">
      <c r="A1846" s="3" t="s">
        <v>746</v>
      </c>
      <c r="B1846" t="s">
        <v>8</v>
      </c>
      <c r="C1846" s="3" t="s">
        <v>749</v>
      </c>
      <c r="D1846" s="3" t="s">
        <v>54</v>
      </c>
    </row>
    <row r="1847" spans="1:4" x14ac:dyDescent="0.2">
      <c r="A1847" s="3" t="s">
        <v>746</v>
      </c>
      <c r="B1847" t="s">
        <v>8</v>
      </c>
      <c r="C1847" s="3" t="s">
        <v>747</v>
      </c>
      <c r="D1847" s="3" t="s">
        <v>55</v>
      </c>
    </row>
    <row r="1848" spans="1:4" x14ac:dyDescent="0.2">
      <c r="A1848" s="3" t="s">
        <v>746</v>
      </c>
      <c r="B1848" t="s">
        <v>8</v>
      </c>
      <c r="C1848" s="3" t="s">
        <v>747</v>
      </c>
      <c r="D1848" s="3" t="s">
        <v>56</v>
      </c>
    </row>
    <row r="1849" spans="1:4" x14ac:dyDescent="0.2">
      <c r="A1849" s="3" t="s">
        <v>746</v>
      </c>
      <c r="B1849" t="s">
        <v>8</v>
      </c>
      <c r="C1849" s="3" t="s">
        <v>747</v>
      </c>
      <c r="D1849" s="3" t="s">
        <v>57</v>
      </c>
    </row>
    <row r="1850" spans="1:4" x14ac:dyDescent="0.2">
      <c r="A1850" s="3" t="s">
        <v>750</v>
      </c>
      <c r="B1850" t="s">
        <v>8</v>
      </c>
      <c r="C1850" s="3" t="s">
        <v>289</v>
      </c>
      <c r="D1850" s="3" t="s">
        <v>53</v>
      </c>
    </row>
    <row r="1851" spans="1:4" x14ac:dyDescent="0.2">
      <c r="A1851" s="3" t="s">
        <v>750</v>
      </c>
      <c r="B1851" t="s">
        <v>8</v>
      </c>
      <c r="C1851" s="3" t="s">
        <v>290</v>
      </c>
      <c r="D1851" s="3" t="s">
        <v>53</v>
      </c>
    </row>
    <row r="1852" spans="1:4" x14ac:dyDescent="0.2">
      <c r="A1852" s="3" t="s">
        <v>750</v>
      </c>
      <c r="B1852" t="s">
        <v>8</v>
      </c>
      <c r="C1852" s="3" t="s">
        <v>291</v>
      </c>
      <c r="D1852" s="3" t="s">
        <v>53</v>
      </c>
    </row>
    <row r="1853" spans="1:4" x14ac:dyDescent="0.2">
      <c r="A1853" s="3" t="s">
        <v>750</v>
      </c>
      <c r="B1853" t="s">
        <v>8</v>
      </c>
      <c r="C1853" s="3" t="s">
        <v>747</v>
      </c>
      <c r="D1853" s="3" t="s">
        <v>53</v>
      </c>
    </row>
    <row r="1854" spans="1:4" x14ac:dyDescent="0.2">
      <c r="A1854" s="3" t="s">
        <v>750</v>
      </c>
      <c r="B1854" t="s">
        <v>8</v>
      </c>
      <c r="C1854" s="3" t="s">
        <v>748</v>
      </c>
      <c r="D1854" s="3" t="s">
        <v>53</v>
      </c>
    </row>
    <row r="1855" spans="1:4" x14ac:dyDescent="0.2">
      <c r="A1855" s="3" t="s">
        <v>750</v>
      </c>
      <c r="B1855" t="s">
        <v>8</v>
      </c>
      <c r="C1855" s="3" t="s">
        <v>289</v>
      </c>
      <c r="D1855" s="3" t="s">
        <v>54</v>
      </c>
    </row>
    <row r="1856" spans="1:4" x14ac:dyDescent="0.2">
      <c r="A1856" s="3" t="s">
        <v>750</v>
      </c>
      <c r="B1856" t="s">
        <v>8</v>
      </c>
      <c r="C1856" s="3" t="s">
        <v>290</v>
      </c>
      <c r="D1856" s="3" t="s">
        <v>54</v>
      </c>
    </row>
    <row r="1857" spans="1:4" x14ac:dyDescent="0.2">
      <c r="A1857" s="3" t="s">
        <v>750</v>
      </c>
      <c r="B1857" t="s">
        <v>8</v>
      </c>
      <c r="C1857" s="3" t="s">
        <v>291</v>
      </c>
      <c r="D1857" s="3" t="s">
        <v>54</v>
      </c>
    </row>
    <row r="1858" spans="1:4" x14ac:dyDescent="0.2">
      <c r="A1858" s="3" t="s">
        <v>750</v>
      </c>
      <c r="B1858" t="s">
        <v>8</v>
      </c>
      <c r="C1858" s="3" t="s">
        <v>747</v>
      </c>
      <c r="D1858" s="3" t="s">
        <v>54</v>
      </c>
    </row>
    <row r="1859" spans="1:4" x14ac:dyDescent="0.2">
      <c r="A1859" s="3" t="s">
        <v>750</v>
      </c>
      <c r="B1859" t="s">
        <v>8</v>
      </c>
      <c r="C1859" s="3" t="s">
        <v>748</v>
      </c>
      <c r="D1859" s="3" t="s">
        <v>54</v>
      </c>
    </row>
    <row r="1860" spans="1:4" x14ac:dyDescent="0.2">
      <c r="A1860" s="3" t="s">
        <v>750</v>
      </c>
      <c r="B1860" t="s">
        <v>8</v>
      </c>
      <c r="C1860" s="3" t="s">
        <v>289</v>
      </c>
      <c r="D1860" s="3" t="s">
        <v>55</v>
      </c>
    </row>
    <row r="1861" spans="1:4" x14ac:dyDescent="0.2">
      <c r="A1861" s="3" t="s">
        <v>750</v>
      </c>
      <c r="B1861" t="s">
        <v>8</v>
      </c>
      <c r="C1861" s="3" t="s">
        <v>290</v>
      </c>
      <c r="D1861" s="3" t="s">
        <v>55</v>
      </c>
    </row>
    <row r="1862" spans="1:4" x14ac:dyDescent="0.2">
      <c r="A1862" s="3" t="s">
        <v>750</v>
      </c>
      <c r="B1862" t="s">
        <v>8</v>
      </c>
      <c r="C1862" s="3" t="s">
        <v>291</v>
      </c>
      <c r="D1862" s="3" t="s">
        <v>55</v>
      </c>
    </row>
    <row r="1863" spans="1:4" x14ac:dyDescent="0.2">
      <c r="A1863" s="3" t="s">
        <v>750</v>
      </c>
      <c r="B1863" t="s">
        <v>8</v>
      </c>
      <c r="C1863" s="3" t="s">
        <v>747</v>
      </c>
      <c r="D1863" s="3" t="s">
        <v>55</v>
      </c>
    </row>
    <row r="1864" spans="1:4" x14ac:dyDescent="0.2">
      <c r="A1864" s="3" t="s">
        <v>750</v>
      </c>
      <c r="B1864" t="s">
        <v>8</v>
      </c>
      <c r="C1864" s="3" t="s">
        <v>289</v>
      </c>
      <c r="D1864" s="3" t="s">
        <v>56</v>
      </c>
    </row>
    <row r="1865" spans="1:4" x14ac:dyDescent="0.2">
      <c r="A1865" s="3" t="s">
        <v>750</v>
      </c>
      <c r="B1865" t="s">
        <v>8</v>
      </c>
      <c r="C1865" s="3" t="s">
        <v>290</v>
      </c>
      <c r="D1865" s="3" t="s">
        <v>56</v>
      </c>
    </row>
    <row r="1866" spans="1:4" x14ac:dyDescent="0.2">
      <c r="A1866" s="3" t="s">
        <v>750</v>
      </c>
      <c r="B1866" t="s">
        <v>8</v>
      </c>
      <c r="C1866" s="3" t="s">
        <v>291</v>
      </c>
      <c r="D1866" s="3" t="s">
        <v>56</v>
      </c>
    </row>
    <row r="1867" spans="1:4" x14ac:dyDescent="0.2">
      <c r="A1867" s="3" t="s">
        <v>750</v>
      </c>
      <c r="B1867" t="s">
        <v>8</v>
      </c>
      <c r="C1867" s="3" t="s">
        <v>747</v>
      </c>
      <c r="D1867" s="3" t="s">
        <v>56</v>
      </c>
    </row>
    <row r="1868" spans="1:4" x14ac:dyDescent="0.2">
      <c r="A1868" s="3" t="s">
        <v>750</v>
      </c>
      <c r="B1868" t="s">
        <v>8</v>
      </c>
      <c r="C1868" s="3" t="s">
        <v>289</v>
      </c>
      <c r="D1868" s="3" t="s">
        <v>57</v>
      </c>
    </row>
    <row r="1869" spans="1:4" x14ac:dyDescent="0.2">
      <c r="A1869" s="3" t="s">
        <v>750</v>
      </c>
      <c r="B1869" t="s">
        <v>8</v>
      </c>
      <c r="C1869" s="3" t="s">
        <v>290</v>
      </c>
      <c r="D1869" s="3" t="s">
        <v>57</v>
      </c>
    </row>
    <row r="1870" spans="1:4" x14ac:dyDescent="0.2">
      <c r="A1870" s="3" t="s">
        <v>750</v>
      </c>
      <c r="B1870" t="s">
        <v>8</v>
      </c>
      <c r="C1870" s="3" t="s">
        <v>291</v>
      </c>
      <c r="D1870" s="3" t="s">
        <v>57</v>
      </c>
    </row>
    <row r="1871" spans="1:4" x14ac:dyDescent="0.2">
      <c r="A1871" s="3" t="s">
        <v>750</v>
      </c>
      <c r="B1871" t="s">
        <v>8</v>
      </c>
      <c r="C1871" s="3" t="s">
        <v>747</v>
      </c>
      <c r="D1871" s="3" t="s">
        <v>57</v>
      </c>
    </row>
    <row r="1872" spans="1:4" x14ac:dyDescent="0.2">
      <c r="A1872" s="3" t="s">
        <v>751</v>
      </c>
      <c r="B1872" t="s">
        <v>8</v>
      </c>
      <c r="C1872" s="3" t="s">
        <v>748</v>
      </c>
      <c r="D1872" s="3" t="s">
        <v>53</v>
      </c>
    </row>
    <row r="1873" spans="1:4" x14ac:dyDescent="0.2">
      <c r="A1873" s="3" t="s">
        <v>751</v>
      </c>
      <c r="B1873" t="s">
        <v>8</v>
      </c>
      <c r="C1873" s="3" t="s">
        <v>748</v>
      </c>
      <c r="D1873" s="3" t="s">
        <v>54</v>
      </c>
    </row>
    <row r="1874" spans="1:4" x14ac:dyDescent="0.2">
      <c r="A1874" s="3" t="s">
        <v>752</v>
      </c>
      <c r="B1874" t="s">
        <v>8</v>
      </c>
      <c r="C1874" s="3" t="s">
        <v>753</v>
      </c>
      <c r="D1874" s="3" t="s">
        <v>53</v>
      </c>
    </row>
    <row r="1875" spans="1:4" x14ac:dyDescent="0.2">
      <c r="A1875" s="3" t="s">
        <v>752</v>
      </c>
      <c r="B1875" t="s">
        <v>8</v>
      </c>
      <c r="C1875" s="3" t="s">
        <v>754</v>
      </c>
      <c r="D1875" s="3" t="s">
        <v>53</v>
      </c>
    </row>
    <row r="1876" spans="1:4" x14ac:dyDescent="0.2">
      <c r="A1876" s="3" t="s">
        <v>752</v>
      </c>
      <c r="B1876" t="s">
        <v>8</v>
      </c>
      <c r="C1876" s="3" t="s">
        <v>755</v>
      </c>
      <c r="D1876" s="3" t="s">
        <v>53</v>
      </c>
    </row>
    <row r="1877" spans="1:4" x14ac:dyDescent="0.2">
      <c r="A1877" s="3" t="s">
        <v>752</v>
      </c>
      <c r="B1877" t="s">
        <v>8</v>
      </c>
      <c r="C1877" s="3" t="s">
        <v>756</v>
      </c>
      <c r="D1877" s="3" t="s">
        <v>53</v>
      </c>
    </row>
    <row r="1878" spans="1:4" x14ac:dyDescent="0.2">
      <c r="A1878" s="3" t="s">
        <v>752</v>
      </c>
      <c r="B1878" t="s">
        <v>8</v>
      </c>
      <c r="C1878" s="3" t="s">
        <v>757</v>
      </c>
      <c r="D1878" s="3" t="s">
        <v>53</v>
      </c>
    </row>
    <row r="1879" spans="1:4" x14ac:dyDescent="0.2">
      <c r="A1879" s="3" t="s">
        <v>752</v>
      </c>
      <c r="B1879" t="s">
        <v>8</v>
      </c>
      <c r="C1879" s="3" t="s">
        <v>758</v>
      </c>
      <c r="D1879" s="3" t="s">
        <v>53</v>
      </c>
    </row>
    <row r="1880" spans="1:4" x14ac:dyDescent="0.2">
      <c r="A1880" s="3" t="s">
        <v>752</v>
      </c>
      <c r="B1880" t="s">
        <v>8</v>
      </c>
      <c r="C1880" s="3" t="s">
        <v>759</v>
      </c>
      <c r="D1880" s="3" t="s">
        <v>53</v>
      </c>
    </row>
    <row r="1881" spans="1:4" x14ac:dyDescent="0.2">
      <c r="A1881" s="3" t="s">
        <v>752</v>
      </c>
      <c r="B1881" t="s">
        <v>8</v>
      </c>
      <c r="C1881" s="3" t="s">
        <v>760</v>
      </c>
      <c r="D1881" s="3" t="s">
        <v>53</v>
      </c>
    </row>
    <row r="1882" spans="1:4" x14ac:dyDescent="0.2">
      <c r="A1882" s="3" t="s">
        <v>752</v>
      </c>
      <c r="B1882" t="s">
        <v>8</v>
      </c>
      <c r="C1882" s="3" t="s">
        <v>761</v>
      </c>
      <c r="D1882" s="3" t="s">
        <v>53</v>
      </c>
    </row>
    <row r="1883" spans="1:4" x14ac:dyDescent="0.2">
      <c r="A1883" s="3" t="s">
        <v>752</v>
      </c>
      <c r="B1883" t="s">
        <v>8</v>
      </c>
      <c r="C1883" s="3" t="s">
        <v>762</v>
      </c>
      <c r="D1883" s="3" t="s">
        <v>53</v>
      </c>
    </row>
    <row r="1884" spans="1:4" x14ac:dyDescent="0.2">
      <c r="A1884" s="3" t="s">
        <v>752</v>
      </c>
      <c r="B1884" t="s">
        <v>8</v>
      </c>
      <c r="C1884" s="3" t="s">
        <v>763</v>
      </c>
      <c r="D1884" s="3" t="s">
        <v>53</v>
      </c>
    </row>
    <row r="1885" spans="1:4" x14ac:dyDescent="0.2">
      <c r="A1885" s="3" t="s">
        <v>752</v>
      </c>
      <c r="B1885" t="s">
        <v>8</v>
      </c>
      <c r="C1885" s="3" t="s">
        <v>764</v>
      </c>
      <c r="D1885" s="3" t="s">
        <v>53</v>
      </c>
    </row>
    <row r="1886" spans="1:4" x14ac:dyDescent="0.2">
      <c r="A1886" s="3" t="s">
        <v>752</v>
      </c>
      <c r="B1886" t="s">
        <v>8</v>
      </c>
      <c r="C1886" s="3" t="s">
        <v>765</v>
      </c>
      <c r="D1886" s="3" t="s">
        <v>53</v>
      </c>
    </row>
    <row r="1887" spans="1:4" x14ac:dyDescent="0.2">
      <c r="A1887" s="3" t="s">
        <v>752</v>
      </c>
      <c r="B1887" t="s">
        <v>8</v>
      </c>
      <c r="C1887" s="3" t="s">
        <v>766</v>
      </c>
      <c r="D1887" s="3" t="s">
        <v>53</v>
      </c>
    </row>
    <row r="1888" spans="1:4" x14ac:dyDescent="0.2">
      <c r="A1888" s="3" t="s">
        <v>752</v>
      </c>
      <c r="B1888" t="s">
        <v>8</v>
      </c>
      <c r="C1888" s="3" t="s">
        <v>767</v>
      </c>
      <c r="D1888" s="3" t="s">
        <v>53</v>
      </c>
    </row>
    <row r="1889" spans="1:4" x14ac:dyDescent="0.2">
      <c r="A1889" s="3" t="s">
        <v>752</v>
      </c>
      <c r="B1889" t="s">
        <v>8</v>
      </c>
      <c r="C1889" s="3" t="s">
        <v>768</v>
      </c>
      <c r="D1889" s="3" t="s">
        <v>53</v>
      </c>
    </row>
    <row r="1890" spans="1:4" x14ac:dyDescent="0.2">
      <c r="A1890" s="3" t="s">
        <v>752</v>
      </c>
      <c r="B1890" t="s">
        <v>8</v>
      </c>
      <c r="C1890" s="3" t="s">
        <v>769</v>
      </c>
      <c r="D1890" s="3" t="s">
        <v>53</v>
      </c>
    </row>
    <row r="1891" spans="1:4" x14ac:dyDescent="0.2">
      <c r="A1891" s="3" t="s">
        <v>752</v>
      </c>
      <c r="B1891" t="s">
        <v>8</v>
      </c>
      <c r="C1891" s="3" t="s">
        <v>770</v>
      </c>
      <c r="D1891" s="3" t="s">
        <v>53</v>
      </c>
    </row>
    <row r="1892" spans="1:4" x14ac:dyDescent="0.2">
      <c r="A1892" s="3" t="s">
        <v>752</v>
      </c>
      <c r="B1892" t="s">
        <v>8</v>
      </c>
      <c r="C1892" s="3" t="s">
        <v>771</v>
      </c>
      <c r="D1892" s="3" t="s">
        <v>53</v>
      </c>
    </row>
    <row r="1893" spans="1:4" x14ac:dyDescent="0.2">
      <c r="A1893" s="3" t="s">
        <v>752</v>
      </c>
      <c r="B1893" t="s">
        <v>8</v>
      </c>
      <c r="C1893" s="3" t="s">
        <v>753</v>
      </c>
      <c r="D1893" s="3" t="s">
        <v>54</v>
      </c>
    </row>
    <row r="1894" spans="1:4" x14ac:dyDescent="0.2">
      <c r="A1894" s="3" t="s">
        <v>752</v>
      </c>
      <c r="B1894" t="s">
        <v>8</v>
      </c>
      <c r="C1894" s="3" t="s">
        <v>754</v>
      </c>
      <c r="D1894" s="3" t="s">
        <v>54</v>
      </c>
    </row>
    <row r="1895" spans="1:4" x14ac:dyDescent="0.2">
      <c r="A1895" s="3" t="s">
        <v>752</v>
      </c>
      <c r="B1895" t="s">
        <v>8</v>
      </c>
      <c r="C1895" s="3" t="s">
        <v>755</v>
      </c>
      <c r="D1895" s="3" t="s">
        <v>54</v>
      </c>
    </row>
    <row r="1896" spans="1:4" x14ac:dyDescent="0.2">
      <c r="A1896" s="3" t="s">
        <v>752</v>
      </c>
      <c r="B1896" t="s">
        <v>8</v>
      </c>
      <c r="C1896" s="3" t="s">
        <v>756</v>
      </c>
      <c r="D1896" s="3" t="s">
        <v>54</v>
      </c>
    </row>
    <row r="1897" spans="1:4" x14ac:dyDescent="0.2">
      <c r="A1897" s="3" t="s">
        <v>752</v>
      </c>
      <c r="B1897" t="s">
        <v>8</v>
      </c>
      <c r="C1897" s="3" t="s">
        <v>757</v>
      </c>
      <c r="D1897" s="3" t="s">
        <v>54</v>
      </c>
    </row>
    <row r="1898" spans="1:4" x14ac:dyDescent="0.2">
      <c r="A1898" s="3" t="s">
        <v>752</v>
      </c>
      <c r="B1898" t="s">
        <v>8</v>
      </c>
      <c r="C1898" s="3" t="s">
        <v>758</v>
      </c>
      <c r="D1898" s="3" t="s">
        <v>54</v>
      </c>
    </row>
    <row r="1899" spans="1:4" x14ac:dyDescent="0.2">
      <c r="A1899" s="3" t="s">
        <v>752</v>
      </c>
      <c r="B1899" t="s">
        <v>8</v>
      </c>
      <c r="C1899" s="3" t="s">
        <v>759</v>
      </c>
      <c r="D1899" s="3" t="s">
        <v>54</v>
      </c>
    </row>
    <row r="1900" spans="1:4" x14ac:dyDescent="0.2">
      <c r="A1900" s="3" t="s">
        <v>752</v>
      </c>
      <c r="B1900" t="s">
        <v>8</v>
      </c>
      <c r="C1900" s="3" t="s">
        <v>760</v>
      </c>
      <c r="D1900" s="3" t="s">
        <v>54</v>
      </c>
    </row>
    <row r="1901" spans="1:4" x14ac:dyDescent="0.2">
      <c r="A1901" s="3" t="s">
        <v>752</v>
      </c>
      <c r="B1901" t="s">
        <v>8</v>
      </c>
      <c r="C1901" s="3" t="s">
        <v>761</v>
      </c>
      <c r="D1901" s="3" t="s">
        <v>54</v>
      </c>
    </row>
    <row r="1902" spans="1:4" x14ac:dyDescent="0.2">
      <c r="A1902" s="3" t="s">
        <v>752</v>
      </c>
      <c r="B1902" t="s">
        <v>8</v>
      </c>
      <c r="C1902" s="3" t="s">
        <v>762</v>
      </c>
      <c r="D1902" s="3" t="s">
        <v>54</v>
      </c>
    </row>
    <row r="1903" spans="1:4" x14ac:dyDescent="0.2">
      <c r="A1903" s="3" t="s">
        <v>752</v>
      </c>
      <c r="B1903" t="s">
        <v>8</v>
      </c>
      <c r="C1903" s="3" t="s">
        <v>763</v>
      </c>
      <c r="D1903" s="3" t="s">
        <v>54</v>
      </c>
    </row>
    <row r="1904" spans="1:4" x14ac:dyDescent="0.2">
      <c r="A1904" s="3" t="s">
        <v>752</v>
      </c>
      <c r="B1904" t="s">
        <v>8</v>
      </c>
      <c r="C1904" s="3" t="s">
        <v>764</v>
      </c>
      <c r="D1904" s="3" t="s">
        <v>54</v>
      </c>
    </row>
    <row r="1905" spans="1:4" x14ac:dyDescent="0.2">
      <c r="A1905" s="3" t="s">
        <v>752</v>
      </c>
      <c r="B1905" t="s">
        <v>8</v>
      </c>
      <c r="C1905" s="3" t="s">
        <v>765</v>
      </c>
      <c r="D1905" s="3" t="s">
        <v>54</v>
      </c>
    </row>
    <row r="1906" spans="1:4" x14ac:dyDescent="0.2">
      <c r="A1906" s="3" t="s">
        <v>752</v>
      </c>
      <c r="B1906" t="s">
        <v>8</v>
      </c>
      <c r="C1906" s="3" t="s">
        <v>766</v>
      </c>
      <c r="D1906" s="3" t="s">
        <v>54</v>
      </c>
    </row>
    <row r="1907" spans="1:4" x14ac:dyDescent="0.2">
      <c r="A1907" s="3" t="s">
        <v>752</v>
      </c>
      <c r="B1907" t="s">
        <v>8</v>
      </c>
      <c r="C1907" s="3" t="s">
        <v>767</v>
      </c>
      <c r="D1907" s="3" t="s">
        <v>54</v>
      </c>
    </row>
    <row r="1908" spans="1:4" x14ac:dyDescent="0.2">
      <c r="A1908" s="3" t="s">
        <v>752</v>
      </c>
      <c r="B1908" t="s">
        <v>8</v>
      </c>
      <c r="C1908" s="3" t="s">
        <v>768</v>
      </c>
      <c r="D1908" s="3" t="s">
        <v>54</v>
      </c>
    </row>
    <row r="1909" spans="1:4" x14ac:dyDescent="0.2">
      <c r="A1909" s="3" t="s">
        <v>752</v>
      </c>
      <c r="B1909" t="s">
        <v>8</v>
      </c>
      <c r="C1909" s="3" t="s">
        <v>769</v>
      </c>
      <c r="D1909" s="3" t="s">
        <v>54</v>
      </c>
    </row>
    <row r="1910" spans="1:4" x14ac:dyDescent="0.2">
      <c r="A1910" s="3" t="s">
        <v>752</v>
      </c>
      <c r="B1910" t="s">
        <v>8</v>
      </c>
      <c r="C1910" s="3" t="s">
        <v>770</v>
      </c>
      <c r="D1910" s="3" t="s">
        <v>54</v>
      </c>
    </row>
    <row r="1911" spans="1:4" x14ac:dyDescent="0.2">
      <c r="A1911" s="3" t="s">
        <v>752</v>
      </c>
      <c r="B1911" t="s">
        <v>8</v>
      </c>
      <c r="C1911" s="3" t="s">
        <v>771</v>
      </c>
      <c r="D1911" s="3" t="s">
        <v>54</v>
      </c>
    </row>
    <row r="1912" spans="1:4" x14ac:dyDescent="0.2">
      <c r="A1912" s="3" t="s">
        <v>752</v>
      </c>
      <c r="B1912" t="s">
        <v>8</v>
      </c>
      <c r="C1912" s="3" t="s">
        <v>753</v>
      </c>
      <c r="D1912" s="3" t="s">
        <v>55</v>
      </c>
    </row>
    <row r="1913" spans="1:4" x14ac:dyDescent="0.2">
      <c r="A1913" s="3" t="s">
        <v>752</v>
      </c>
      <c r="B1913" t="s">
        <v>8</v>
      </c>
      <c r="C1913" s="3" t="s">
        <v>754</v>
      </c>
      <c r="D1913" s="3" t="s">
        <v>55</v>
      </c>
    </row>
    <row r="1914" spans="1:4" x14ac:dyDescent="0.2">
      <c r="A1914" s="3" t="s">
        <v>752</v>
      </c>
      <c r="B1914" t="s">
        <v>8</v>
      </c>
      <c r="C1914" s="3" t="s">
        <v>755</v>
      </c>
      <c r="D1914" s="3" t="s">
        <v>55</v>
      </c>
    </row>
    <row r="1915" spans="1:4" x14ac:dyDescent="0.2">
      <c r="A1915" s="3" t="s">
        <v>752</v>
      </c>
      <c r="B1915" t="s">
        <v>8</v>
      </c>
      <c r="C1915" s="3" t="s">
        <v>757</v>
      </c>
      <c r="D1915" s="3" t="s">
        <v>55</v>
      </c>
    </row>
    <row r="1916" spans="1:4" x14ac:dyDescent="0.2">
      <c r="A1916" s="3" t="s">
        <v>752</v>
      </c>
      <c r="B1916" t="s">
        <v>8</v>
      </c>
      <c r="C1916" s="3" t="s">
        <v>758</v>
      </c>
      <c r="D1916" s="3" t="s">
        <v>55</v>
      </c>
    </row>
    <row r="1917" spans="1:4" x14ac:dyDescent="0.2">
      <c r="A1917" s="3" t="s">
        <v>752</v>
      </c>
      <c r="B1917" t="s">
        <v>8</v>
      </c>
      <c r="C1917" s="3" t="s">
        <v>759</v>
      </c>
      <c r="D1917" s="3" t="s">
        <v>55</v>
      </c>
    </row>
    <row r="1918" spans="1:4" x14ac:dyDescent="0.2">
      <c r="A1918" s="3" t="s">
        <v>752</v>
      </c>
      <c r="B1918" t="s">
        <v>8</v>
      </c>
      <c r="C1918" s="3" t="s">
        <v>760</v>
      </c>
      <c r="D1918" s="3" t="s">
        <v>55</v>
      </c>
    </row>
    <row r="1919" spans="1:4" x14ac:dyDescent="0.2">
      <c r="A1919" s="3" t="s">
        <v>752</v>
      </c>
      <c r="B1919" t="s">
        <v>8</v>
      </c>
      <c r="C1919" s="3" t="s">
        <v>761</v>
      </c>
      <c r="D1919" s="3" t="s">
        <v>55</v>
      </c>
    </row>
    <row r="1920" spans="1:4" x14ac:dyDescent="0.2">
      <c r="A1920" s="3" t="s">
        <v>752</v>
      </c>
      <c r="B1920" t="s">
        <v>8</v>
      </c>
      <c r="C1920" s="3" t="s">
        <v>762</v>
      </c>
      <c r="D1920" s="3" t="s">
        <v>55</v>
      </c>
    </row>
    <row r="1921" spans="1:4" x14ac:dyDescent="0.2">
      <c r="A1921" s="3" t="s">
        <v>752</v>
      </c>
      <c r="B1921" t="s">
        <v>8</v>
      </c>
      <c r="C1921" s="3" t="s">
        <v>764</v>
      </c>
      <c r="D1921" s="3" t="s">
        <v>55</v>
      </c>
    </row>
    <row r="1922" spans="1:4" x14ac:dyDescent="0.2">
      <c r="A1922" s="3" t="s">
        <v>752</v>
      </c>
      <c r="B1922" t="s">
        <v>8</v>
      </c>
      <c r="C1922" s="3" t="s">
        <v>765</v>
      </c>
      <c r="D1922" s="3" t="s">
        <v>55</v>
      </c>
    </row>
    <row r="1923" spans="1:4" x14ac:dyDescent="0.2">
      <c r="A1923" s="3" t="s">
        <v>752</v>
      </c>
      <c r="B1923" t="s">
        <v>8</v>
      </c>
      <c r="C1923" s="3" t="s">
        <v>766</v>
      </c>
      <c r="D1923" s="3" t="s">
        <v>55</v>
      </c>
    </row>
    <row r="1924" spans="1:4" x14ac:dyDescent="0.2">
      <c r="A1924" s="3" t="s">
        <v>752</v>
      </c>
      <c r="B1924" t="s">
        <v>8</v>
      </c>
      <c r="C1924" s="3" t="s">
        <v>767</v>
      </c>
      <c r="D1924" s="3" t="s">
        <v>55</v>
      </c>
    </row>
    <row r="1925" spans="1:4" x14ac:dyDescent="0.2">
      <c r="A1925" s="3" t="s">
        <v>752</v>
      </c>
      <c r="B1925" t="s">
        <v>8</v>
      </c>
      <c r="C1925" s="3" t="s">
        <v>768</v>
      </c>
      <c r="D1925" s="3" t="s">
        <v>55</v>
      </c>
    </row>
    <row r="1926" spans="1:4" x14ac:dyDescent="0.2">
      <c r="A1926" s="3" t="s">
        <v>752</v>
      </c>
      <c r="B1926" t="s">
        <v>8</v>
      </c>
      <c r="C1926" s="3" t="s">
        <v>769</v>
      </c>
      <c r="D1926" s="3" t="s">
        <v>55</v>
      </c>
    </row>
    <row r="1927" spans="1:4" x14ac:dyDescent="0.2">
      <c r="A1927" s="3" t="s">
        <v>752</v>
      </c>
      <c r="B1927" t="s">
        <v>8</v>
      </c>
      <c r="C1927" s="3" t="s">
        <v>770</v>
      </c>
      <c r="D1927" s="3" t="s">
        <v>55</v>
      </c>
    </row>
    <row r="1928" spans="1:4" x14ac:dyDescent="0.2">
      <c r="A1928" s="3" t="s">
        <v>752</v>
      </c>
      <c r="B1928" t="s">
        <v>8</v>
      </c>
      <c r="C1928" s="3" t="s">
        <v>771</v>
      </c>
      <c r="D1928" s="3" t="s">
        <v>55</v>
      </c>
    </row>
    <row r="1929" spans="1:4" x14ac:dyDescent="0.2">
      <c r="A1929" s="3" t="s">
        <v>752</v>
      </c>
      <c r="B1929" t="s">
        <v>8</v>
      </c>
      <c r="C1929" s="3" t="s">
        <v>753</v>
      </c>
      <c r="D1929" s="3" t="s">
        <v>56</v>
      </c>
    </row>
    <row r="1930" spans="1:4" x14ac:dyDescent="0.2">
      <c r="A1930" s="3" t="s">
        <v>752</v>
      </c>
      <c r="B1930" t="s">
        <v>8</v>
      </c>
      <c r="C1930" s="3" t="s">
        <v>754</v>
      </c>
      <c r="D1930" s="3" t="s">
        <v>56</v>
      </c>
    </row>
    <row r="1931" spans="1:4" x14ac:dyDescent="0.2">
      <c r="A1931" s="3" t="s">
        <v>752</v>
      </c>
      <c r="B1931" t="s">
        <v>8</v>
      </c>
      <c r="C1931" s="3" t="s">
        <v>755</v>
      </c>
      <c r="D1931" s="3" t="s">
        <v>56</v>
      </c>
    </row>
    <row r="1932" spans="1:4" x14ac:dyDescent="0.2">
      <c r="A1932" s="3" t="s">
        <v>752</v>
      </c>
      <c r="B1932" t="s">
        <v>8</v>
      </c>
      <c r="C1932" s="3" t="s">
        <v>757</v>
      </c>
      <c r="D1932" s="3" t="s">
        <v>56</v>
      </c>
    </row>
    <row r="1933" spans="1:4" x14ac:dyDescent="0.2">
      <c r="A1933" s="3" t="s">
        <v>752</v>
      </c>
      <c r="B1933" t="s">
        <v>8</v>
      </c>
      <c r="C1933" s="3" t="s">
        <v>758</v>
      </c>
      <c r="D1933" s="3" t="s">
        <v>56</v>
      </c>
    </row>
    <row r="1934" spans="1:4" x14ac:dyDescent="0.2">
      <c r="A1934" s="3" t="s">
        <v>752</v>
      </c>
      <c r="B1934" t="s">
        <v>8</v>
      </c>
      <c r="C1934" s="3" t="s">
        <v>759</v>
      </c>
      <c r="D1934" s="3" t="s">
        <v>56</v>
      </c>
    </row>
    <row r="1935" spans="1:4" x14ac:dyDescent="0.2">
      <c r="A1935" s="3" t="s">
        <v>752</v>
      </c>
      <c r="B1935" t="s">
        <v>8</v>
      </c>
      <c r="C1935" s="3" t="s">
        <v>760</v>
      </c>
      <c r="D1935" s="3" t="s">
        <v>56</v>
      </c>
    </row>
    <row r="1936" spans="1:4" x14ac:dyDescent="0.2">
      <c r="A1936" s="3" t="s">
        <v>752</v>
      </c>
      <c r="B1936" t="s">
        <v>8</v>
      </c>
      <c r="C1936" s="3" t="s">
        <v>761</v>
      </c>
      <c r="D1936" s="3" t="s">
        <v>56</v>
      </c>
    </row>
    <row r="1937" spans="1:4" x14ac:dyDescent="0.2">
      <c r="A1937" s="3" t="s">
        <v>752</v>
      </c>
      <c r="B1937" t="s">
        <v>8</v>
      </c>
      <c r="C1937" s="3" t="s">
        <v>762</v>
      </c>
      <c r="D1937" s="3" t="s">
        <v>56</v>
      </c>
    </row>
    <row r="1938" spans="1:4" x14ac:dyDescent="0.2">
      <c r="A1938" s="3" t="s">
        <v>752</v>
      </c>
      <c r="B1938" t="s">
        <v>8</v>
      </c>
      <c r="C1938" s="3" t="s">
        <v>764</v>
      </c>
      <c r="D1938" s="3" t="s">
        <v>56</v>
      </c>
    </row>
    <row r="1939" spans="1:4" x14ac:dyDescent="0.2">
      <c r="A1939" s="3" t="s">
        <v>752</v>
      </c>
      <c r="B1939" t="s">
        <v>8</v>
      </c>
      <c r="C1939" s="3" t="s">
        <v>765</v>
      </c>
      <c r="D1939" s="3" t="s">
        <v>56</v>
      </c>
    </row>
    <row r="1940" spans="1:4" x14ac:dyDescent="0.2">
      <c r="A1940" s="3" t="s">
        <v>752</v>
      </c>
      <c r="B1940" t="s">
        <v>8</v>
      </c>
      <c r="C1940" s="3" t="s">
        <v>766</v>
      </c>
      <c r="D1940" s="3" t="s">
        <v>56</v>
      </c>
    </row>
    <row r="1941" spans="1:4" x14ac:dyDescent="0.2">
      <c r="A1941" s="3" t="s">
        <v>752</v>
      </c>
      <c r="B1941" t="s">
        <v>8</v>
      </c>
      <c r="C1941" s="3" t="s">
        <v>767</v>
      </c>
      <c r="D1941" s="3" t="s">
        <v>56</v>
      </c>
    </row>
    <row r="1942" spans="1:4" x14ac:dyDescent="0.2">
      <c r="A1942" s="3" t="s">
        <v>752</v>
      </c>
      <c r="B1942" t="s">
        <v>8</v>
      </c>
      <c r="C1942" s="3" t="s">
        <v>768</v>
      </c>
      <c r="D1942" s="3" t="s">
        <v>56</v>
      </c>
    </row>
    <row r="1943" spans="1:4" x14ac:dyDescent="0.2">
      <c r="A1943" s="3" t="s">
        <v>752</v>
      </c>
      <c r="B1943" t="s">
        <v>8</v>
      </c>
      <c r="C1943" s="3" t="s">
        <v>769</v>
      </c>
      <c r="D1943" s="3" t="s">
        <v>56</v>
      </c>
    </row>
    <row r="1944" spans="1:4" x14ac:dyDescent="0.2">
      <c r="A1944" s="3" t="s">
        <v>752</v>
      </c>
      <c r="B1944" t="s">
        <v>8</v>
      </c>
      <c r="C1944" s="3" t="s">
        <v>770</v>
      </c>
      <c r="D1944" s="3" t="s">
        <v>56</v>
      </c>
    </row>
    <row r="1945" spans="1:4" x14ac:dyDescent="0.2">
      <c r="A1945" s="3" t="s">
        <v>752</v>
      </c>
      <c r="B1945" t="s">
        <v>8</v>
      </c>
      <c r="C1945" s="3" t="s">
        <v>771</v>
      </c>
      <c r="D1945" s="3" t="s">
        <v>56</v>
      </c>
    </row>
    <row r="1946" spans="1:4" x14ac:dyDescent="0.2">
      <c r="A1946" s="3" t="s">
        <v>752</v>
      </c>
      <c r="B1946" t="s">
        <v>8</v>
      </c>
      <c r="C1946" s="3" t="s">
        <v>753</v>
      </c>
      <c r="D1946" s="3" t="s">
        <v>57</v>
      </c>
    </row>
    <row r="1947" spans="1:4" x14ac:dyDescent="0.2">
      <c r="A1947" s="3" t="s">
        <v>752</v>
      </c>
      <c r="B1947" t="s">
        <v>8</v>
      </c>
      <c r="C1947" s="3" t="s">
        <v>754</v>
      </c>
      <c r="D1947" s="3" t="s">
        <v>57</v>
      </c>
    </row>
    <row r="1948" spans="1:4" x14ac:dyDescent="0.2">
      <c r="A1948" s="3" t="s">
        <v>752</v>
      </c>
      <c r="B1948" t="s">
        <v>8</v>
      </c>
      <c r="C1948" s="3" t="s">
        <v>755</v>
      </c>
      <c r="D1948" s="3" t="s">
        <v>57</v>
      </c>
    </row>
    <row r="1949" spans="1:4" x14ac:dyDescent="0.2">
      <c r="A1949" s="3" t="s">
        <v>752</v>
      </c>
      <c r="B1949" t="s">
        <v>8</v>
      </c>
      <c r="C1949" s="3" t="s">
        <v>757</v>
      </c>
      <c r="D1949" s="3" t="s">
        <v>57</v>
      </c>
    </row>
    <row r="1950" spans="1:4" x14ac:dyDescent="0.2">
      <c r="A1950" s="3" t="s">
        <v>752</v>
      </c>
      <c r="B1950" t="s">
        <v>8</v>
      </c>
      <c r="C1950" s="3" t="s">
        <v>758</v>
      </c>
      <c r="D1950" s="3" t="s">
        <v>57</v>
      </c>
    </row>
    <row r="1951" spans="1:4" x14ac:dyDescent="0.2">
      <c r="A1951" s="3" t="s">
        <v>752</v>
      </c>
      <c r="B1951" t="s">
        <v>8</v>
      </c>
      <c r="C1951" s="3" t="s">
        <v>759</v>
      </c>
      <c r="D1951" s="3" t="s">
        <v>57</v>
      </c>
    </row>
    <row r="1952" spans="1:4" x14ac:dyDescent="0.2">
      <c r="A1952" s="3" t="s">
        <v>752</v>
      </c>
      <c r="B1952" t="s">
        <v>8</v>
      </c>
      <c r="C1952" s="3" t="s">
        <v>760</v>
      </c>
      <c r="D1952" s="3" t="s">
        <v>57</v>
      </c>
    </row>
    <row r="1953" spans="1:4" x14ac:dyDescent="0.2">
      <c r="A1953" s="3" t="s">
        <v>752</v>
      </c>
      <c r="B1953" t="s">
        <v>8</v>
      </c>
      <c r="C1953" s="3" t="s">
        <v>761</v>
      </c>
      <c r="D1953" s="3" t="s">
        <v>57</v>
      </c>
    </row>
    <row r="1954" spans="1:4" x14ac:dyDescent="0.2">
      <c r="A1954" s="3" t="s">
        <v>752</v>
      </c>
      <c r="B1954" t="s">
        <v>8</v>
      </c>
      <c r="C1954" s="3" t="s">
        <v>762</v>
      </c>
      <c r="D1954" s="3" t="s">
        <v>57</v>
      </c>
    </row>
    <row r="1955" spans="1:4" x14ac:dyDescent="0.2">
      <c r="A1955" s="3" t="s">
        <v>752</v>
      </c>
      <c r="B1955" t="s">
        <v>8</v>
      </c>
      <c r="C1955" s="3" t="s">
        <v>764</v>
      </c>
      <c r="D1955" s="3" t="s">
        <v>57</v>
      </c>
    </row>
    <row r="1956" spans="1:4" x14ac:dyDescent="0.2">
      <c r="A1956" s="3" t="s">
        <v>752</v>
      </c>
      <c r="B1956" t="s">
        <v>8</v>
      </c>
      <c r="C1956" s="3" t="s">
        <v>765</v>
      </c>
      <c r="D1956" s="3" t="s">
        <v>57</v>
      </c>
    </row>
    <row r="1957" spans="1:4" x14ac:dyDescent="0.2">
      <c r="A1957" s="3" t="s">
        <v>752</v>
      </c>
      <c r="B1957" t="s">
        <v>8</v>
      </c>
      <c r="C1957" s="3" t="s">
        <v>766</v>
      </c>
      <c r="D1957" s="3" t="s">
        <v>57</v>
      </c>
    </row>
    <row r="1958" spans="1:4" x14ac:dyDescent="0.2">
      <c r="A1958" s="3" t="s">
        <v>752</v>
      </c>
      <c r="B1958" t="s">
        <v>8</v>
      </c>
      <c r="C1958" s="3" t="s">
        <v>767</v>
      </c>
      <c r="D1958" s="3" t="s">
        <v>57</v>
      </c>
    </row>
    <row r="1959" spans="1:4" x14ac:dyDescent="0.2">
      <c r="A1959" s="3" t="s">
        <v>752</v>
      </c>
      <c r="B1959" t="s">
        <v>8</v>
      </c>
      <c r="C1959" s="3" t="s">
        <v>768</v>
      </c>
      <c r="D1959" s="3" t="s">
        <v>57</v>
      </c>
    </row>
    <row r="1960" spans="1:4" x14ac:dyDescent="0.2">
      <c r="A1960" s="3" t="s">
        <v>752</v>
      </c>
      <c r="B1960" t="s">
        <v>8</v>
      </c>
      <c r="C1960" s="3" t="s">
        <v>769</v>
      </c>
      <c r="D1960" s="3" t="s">
        <v>57</v>
      </c>
    </row>
    <row r="1961" spans="1:4" x14ac:dyDescent="0.2">
      <c r="A1961" s="3" t="s">
        <v>752</v>
      </c>
      <c r="B1961" t="s">
        <v>8</v>
      </c>
      <c r="C1961" s="3" t="s">
        <v>770</v>
      </c>
      <c r="D1961" s="3" t="s">
        <v>57</v>
      </c>
    </row>
    <row r="1962" spans="1:4" x14ac:dyDescent="0.2">
      <c r="A1962" s="3" t="s">
        <v>752</v>
      </c>
      <c r="B1962" t="s">
        <v>8</v>
      </c>
      <c r="C1962" s="3" t="s">
        <v>771</v>
      </c>
      <c r="D1962" s="3" t="s">
        <v>57</v>
      </c>
    </row>
    <row r="1963" spans="1:4" x14ac:dyDescent="0.2">
      <c r="A1963" s="3" t="s">
        <v>752</v>
      </c>
      <c r="B1963" t="s">
        <v>8</v>
      </c>
      <c r="C1963" s="3" t="s">
        <v>772</v>
      </c>
      <c r="D1963" s="3" t="s">
        <v>169</v>
      </c>
    </row>
    <row r="1964" spans="1:4" x14ac:dyDescent="0.2">
      <c r="A1964" s="3" t="s">
        <v>752</v>
      </c>
      <c r="B1964" t="s">
        <v>8</v>
      </c>
      <c r="C1964" s="3" t="s">
        <v>773</v>
      </c>
      <c r="D1964" s="3" t="s">
        <v>169</v>
      </c>
    </row>
    <row r="1965" spans="1:4" x14ac:dyDescent="0.2">
      <c r="A1965" s="3" t="s">
        <v>774</v>
      </c>
      <c r="B1965" t="s">
        <v>8</v>
      </c>
      <c r="C1965" s="3" t="s">
        <v>775</v>
      </c>
      <c r="D1965" s="3" t="s">
        <v>53</v>
      </c>
    </row>
    <row r="1966" spans="1:4" x14ac:dyDescent="0.2">
      <c r="A1966" s="3" t="s">
        <v>774</v>
      </c>
      <c r="B1966" t="s">
        <v>8</v>
      </c>
      <c r="C1966" s="3" t="s">
        <v>775</v>
      </c>
      <c r="D1966" s="3" t="s">
        <v>54</v>
      </c>
    </row>
    <row r="1967" spans="1:4" x14ac:dyDescent="0.2">
      <c r="A1967" s="3" t="s">
        <v>774</v>
      </c>
      <c r="B1967" t="s">
        <v>8</v>
      </c>
      <c r="C1967" s="3" t="s">
        <v>776</v>
      </c>
      <c r="D1967" s="3" t="s">
        <v>169</v>
      </c>
    </row>
    <row r="1968" spans="1:4" x14ac:dyDescent="0.2">
      <c r="A1968" s="3" t="s">
        <v>774</v>
      </c>
      <c r="B1968" t="s">
        <v>8</v>
      </c>
      <c r="C1968" s="3" t="s">
        <v>777</v>
      </c>
      <c r="D1968" s="3" t="s">
        <v>169</v>
      </c>
    </row>
    <row r="1969" spans="1:4" x14ac:dyDescent="0.2">
      <c r="A1969" s="3" t="s">
        <v>778</v>
      </c>
      <c r="B1969" t="s">
        <v>8</v>
      </c>
      <c r="C1969" s="3" t="s">
        <v>757</v>
      </c>
      <c r="D1969" s="3" t="s">
        <v>53</v>
      </c>
    </row>
    <row r="1970" spans="1:4" x14ac:dyDescent="0.2">
      <c r="A1970" s="3" t="s">
        <v>778</v>
      </c>
      <c r="B1970" t="s">
        <v>8</v>
      </c>
      <c r="C1970" s="3" t="s">
        <v>779</v>
      </c>
      <c r="D1970" s="3" t="s">
        <v>53</v>
      </c>
    </row>
    <row r="1971" spans="1:4" x14ac:dyDescent="0.2">
      <c r="A1971" s="3" t="s">
        <v>778</v>
      </c>
      <c r="B1971" t="s">
        <v>8</v>
      </c>
      <c r="C1971" s="3" t="s">
        <v>758</v>
      </c>
      <c r="D1971" s="3" t="s">
        <v>53</v>
      </c>
    </row>
    <row r="1972" spans="1:4" x14ac:dyDescent="0.2">
      <c r="A1972" s="3" t="s">
        <v>778</v>
      </c>
      <c r="B1972" t="s">
        <v>8</v>
      </c>
      <c r="C1972" s="3" t="s">
        <v>760</v>
      </c>
      <c r="D1972" s="3" t="s">
        <v>53</v>
      </c>
    </row>
    <row r="1973" spans="1:4" x14ac:dyDescent="0.2">
      <c r="A1973" s="3" t="s">
        <v>778</v>
      </c>
      <c r="B1973" t="s">
        <v>8</v>
      </c>
      <c r="C1973" s="3" t="s">
        <v>757</v>
      </c>
      <c r="D1973" s="3" t="s">
        <v>54</v>
      </c>
    </row>
    <row r="1974" spans="1:4" x14ac:dyDescent="0.2">
      <c r="A1974" s="3" t="s">
        <v>778</v>
      </c>
      <c r="B1974" t="s">
        <v>8</v>
      </c>
      <c r="C1974" s="3" t="s">
        <v>779</v>
      </c>
      <c r="D1974" s="3" t="s">
        <v>54</v>
      </c>
    </row>
    <row r="1975" spans="1:4" x14ac:dyDescent="0.2">
      <c r="A1975" s="3" t="s">
        <v>778</v>
      </c>
      <c r="B1975" t="s">
        <v>8</v>
      </c>
      <c r="C1975" s="3" t="s">
        <v>758</v>
      </c>
      <c r="D1975" s="3" t="s">
        <v>54</v>
      </c>
    </row>
    <row r="1976" spans="1:4" x14ac:dyDescent="0.2">
      <c r="A1976" s="3" t="s">
        <v>778</v>
      </c>
      <c r="B1976" t="s">
        <v>8</v>
      </c>
      <c r="C1976" s="3" t="s">
        <v>760</v>
      </c>
      <c r="D1976" s="3" t="s">
        <v>54</v>
      </c>
    </row>
    <row r="1977" spans="1:4" x14ac:dyDescent="0.2">
      <c r="A1977" s="3" t="s">
        <v>778</v>
      </c>
      <c r="B1977" t="s">
        <v>8</v>
      </c>
      <c r="C1977" s="3" t="s">
        <v>757</v>
      </c>
      <c r="D1977" s="3" t="s">
        <v>55</v>
      </c>
    </row>
    <row r="1978" spans="1:4" x14ac:dyDescent="0.2">
      <c r="A1978" s="3" t="s">
        <v>778</v>
      </c>
      <c r="B1978" t="s">
        <v>8</v>
      </c>
      <c r="C1978" s="3" t="s">
        <v>779</v>
      </c>
      <c r="D1978" s="3" t="s">
        <v>55</v>
      </c>
    </row>
    <row r="1979" spans="1:4" x14ac:dyDescent="0.2">
      <c r="A1979" s="3" t="s">
        <v>778</v>
      </c>
      <c r="B1979" t="s">
        <v>8</v>
      </c>
      <c r="C1979" s="3" t="s">
        <v>758</v>
      </c>
      <c r="D1979" s="3" t="s">
        <v>55</v>
      </c>
    </row>
    <row r="1980" spans="1:4" x14ac:dyDescent="0.2">
      <c r="A1980" s="3" t="s">
        <v>778</v>
      </c>
      <c r="B1980" t="s">
        <v>8</v>
      </c>
      <c r="C1980" s="3" t="s">
        <v>760</v>
      </c>
      <c r="D1980" s="3" t="s">
        <v>55</v>
      </c>
    </row>
    <row r="1981" spans="1:4" x14ac:dyDescent="0.2">
      <c r="A1981" s="3" t="s">
        <v>778</v>
      </c>
      <c r="B1981" t="s">
        <v>8</v>
      </c>
      <c r="C1981" s="3" t="s">
        <v>757</v>
      </c>
      <c r="D1981" s="3" t="s">
        <v>56</v>
      </c>
    </row>
    <row r="1982" spans="1:4" x14ac:dyDescent="0.2">
      <c r="A1982" s="3" t="s">
        <v>778</v>
      </c>
      <c r="B1982" t="s">
        <v>8</v>
      </c>
      <c r="C1982" s="3" t="s">
        <v>779</v>
      </c>
      <c r="D1982" s="3" t="s">
        <v>56</v>
      </c>
    </row>
    <row r="1983" spans="1:4" x14ac:dyDescent="0.2">
      <c r="A1983" s="3" t="s">
        <v>778</v>
      </c>
      <c r="B1983" t="s">
        <v>8</v>
      </c>
      <c r="C1983" s="3" t="s">
        <v>758</v>
      </c>
      <c r="D1983" s="3" t="s">
        <v>56</v>
      </c>
    </row>
    <row r="1984" spans="1:4" x14ac:dyDescent="0.2">
      <c r="A1984" s="3" t="s">
        <v>778</v>
      </c>
      <c r="B1984" t="s">
        <v>8</v>
      </c>
      <c r="C1984" s="3" t="s">
        <v>760</v>
      </c>
      <c r="D1984" s="3" t="s">
        <v>56</v>
      </c>
    </row>
    <row r="1985" spans="1:4" x14ac:dyDescent="0.2">
      <c r="A1985" s="3" t="s">
        <v>778</v>
      </c>
      <c r="B1985" t="s">
        <v>8</v>
      </c>
      <c r="C1985" s="3" t="s">
        <v>757</v>
      </c>
      <c r="D1985" s="3" t="s">
        <v>57</v>
      </c>
    </row>
    <row r="1986" spans="1:4" x14ac:dyDescent="0.2">
      <c r="A1986" s="3" t="s">
        <v>778</v>
      </c>
      <c r="B1986" t="s">
        <v>8</v>
      </c>
      <c r="C1986" s="3" t="s">
        <v>779</v>
      </c>
      <c r="D1986" s="3" t="s">
        <v>57</v>
      </c>
    </row>
    <row r="1987" spans="1:4" x14ac:dyDescent="0.2">
      <c r="A1987" s="3" t="s">
        <v>778</v>
      </c>
      <c r="B1987" t="s">
        <v>8</v>
      </c>
      <c r="C1987" s="3" t="s">
        <v>758</v>
      </c>
      <c r="D1987" s="3" t="s">
        <v>57</v>
      </c>
    </row>
    <row r="1988" spans="1:4" x14ac:dyDescent="0.2">
      <c r="A1988" s="3" t="s">
        <v>778</v>
      </c>
      <c r="B1988" t="s">
        <v>8</v>
      </c>
      <c r="C1988" s="3" t="s">
        <v>760</v>
      </c>
      <c r="D1988" s="3" t="s">
        <v>57</v>
      </c>
    </row>
    <row r="1989" spans="1:4" x14ac:dyDescent="0.2">
      <c r="A1989" s="3" t="s">
        <v>778</v>
      </c>
      <c r="B1989" t="s">
        <v>8</v>
      </c>
      <c r="C1989" s="3" t="s">
        <v>780</v>
      </c>
      <c r="D1989" s="3" t="s">
        <v>169</v>
      </c>
    </row>
    <row r="1990" spans="1:4" x14ac:dyDescent="0.2">
      <c r="A1990" s="3" t="s">
        <v>778</v>
      </c>
      <c r="B1990" t="s">
        <v>8</v>
      </c>
      <c r="C1990" s="3" t="s">
        <v>781</v>
      </c>
      <c r="D1990" s="3" t="s">
        <v>169</v>
      </c>
    </row>
    <row r="1991" spans="1:4" x14ac:dyDescent="0.2">
      <c r="A1991" s="3" t="s">
        <v>778</v>
      </c>
      <c r="B1991" t="s">
        <v>8</v>
      </c>
      <c r="C1991" s="3" t="s">
        <v>782</v>
      </c>
      <c r="D1991" s="3" t="s">
        <v>169</v>
      </c>
    </row>
    <row r="1992" spans="1:4" x14ac:dyDescent="0.2">
      <c r="A1992" s="3" t="s">
        <v>778</v>
      </c>
      <c r="B1992" t="s">
        <v>8</v>
      </c>
      <c r="C1992" s="3" t="s">
        <v>783</v>
      </c>
      <c r="D1992" s="3" t="s">
        <v>169</v>
      </c>
    </row>
    <row r="1993" spans="1:4" x14ac:dyDescent="0.2">
      <c r="A1993" s="3" t="s">
        <v>778</v>
      </c>
      <c r="B1993" t="s">
        <v>8</v>
      </c>
      <c r="C1993" s="3" t="s">
        <v>784</v>
      </c>
      <c r="D1993" s="3" t="s">
        <v>169</v>
      </c>
    </row>
    <row r="1994" spans="1:4" x14ac:dyDescent="0.2">
      <c r="A1994" s="3" t="s">
        <v>778</v>
      </c>
      <c r="B1994" t="s">
        <v>8</v>
      </c>
      <c r="C1994" s="3" t="s">
        <v>785</v>
      </c>
      <c r="D1994" s="3" t="s">
        <v>169</v>
      </c>
    </row>
    <row r="1995" spans="1:4" x14ac:dyDescent="0.2">
      <c r="A1995" s="3" t="s">
        <v>778</v>
      </c>
      <c r="B1995" t="s">
        <v>8</v>
      </c>
      <c r="C1995" s="3" t="s">
        <v>786</v>
      </c>
      <c r="D1995" s="3" t="s">
        <v>169</v>
      </c>
    </row>
    <row r="1996" spans="1:4" x14ac:dyDescent="0.2">
      <c r="A1996" s="3" t="s">
        <v>778</v>
      </c>
      <c r="B1996" t="s">
        <v>8</v>
      </c>
      <c r="C1996" s="3" t="s">
        <v>787</v>
      </c>
      <c r="D1996" s="3" t="s">
        <v>169</v>
      </c>
    </row>
    <row r="1997" spans="1:4" x14ac:dyDescent="0.2">
      <c r="A1997" s="3" t="s">
        <v>778</v>
      </c>
      <c r="B1997" t="s">
        <v>8</v>
      </c>
      <c r="C1997" s="3" t="s">
        <v>788</v>
      </c>
      <c r="D1997" s="3" t="s">
        <v>169</v>
      </c>
    </row>
    <row r="1998" spans="1:4" x14ac:dyDescent="0.2">
      <c r="A1998" s="3" t="s">
        <v>778</v>
      </c>
      <c r="B1998" t="s">
        <v>8</v>
      </c>
      <c r="C1998" s="3" t="s">
        <v>789</v>
      </c>
      <c r="D1998" s="3" t="s">
        <v>169</v>
      </c>
    </row>
    <row r="1999" spans="1:4" x14ac:dyDescent="0.2">
      <c r="A1999" s="3" t="s">
        <v>778</v>
      </c>
      <c r="B1999" t="s">
        <v>8</v>
      </c>
      <c r="C1999" s="3" t="s">
        <v>790</v>
      </c>
      <c r="D1999" s="3" t="s">
        <v>169</v>
      </c>
    </row>
    <row r="2000" spans="1:4" x14ac:dyDescent="0.2">
      <c r="A2000" s="3" t="s">
        <v>778</v>
      </c>
      <c r="B2000" t="s">
        <v>8</v>
      </c>
      <c r="C2000" s="3" t="s">
        <v>791</v>
      </c>
      <c r="D2000" s="3" t="s">
        <v>169</v>
      </c>
    </row>
    <row r="2001" spans="1:4" x14ac:dyDescent="0.2">
      <c r="A2001" s="3" t="s">
        <v>792</v>
      </c>
      <c r="B2001" t="s">
        <v>8</v>
      </c>
      <c r="C2001" s="3" t="s">
        <v>758</v>
      </c>
      <c r="D2001" s="3" t="s">
        <v>53</v>
      </c>
    </row>
    <row r="2002" spans="1:4" x14ac:dyDescent="0.2">
      <c r="A2002" s="3" t="s">
        <v>792</v>
      </c>
      <c r="B2002" t="s">
        <v>8</v>
      </c>
      <c r="C2002" s="3" t="s">
        <v>758</v>
      </c>
      <c r="D2002" s="3" t="s">
        <v>54</v>
      </c>
    </row>
    <row r="2003" spans="1:4" x14ac:dyDescent="0.2">
      <c r="A2003" s="3" t="s">
        <v>792</v>
      </c>
      <c r="B2003" t="s">
        <v>8</v>
      </c>
      <c r="C2003" s="3" t="s">
        <v>758</v>
      </c>
      <c r="D2003" s="3" t="s">
        <v>55</v>
      </c>
    </row>
    <row r="2004" spans="1:4" x14ac:dyDescent="0.2">
      <c r="A2004" s="3" t="s">
        <v>792</v>
      </c>
      <c r="B2004" t="s">
        <v>8</v>
      </c>
      <c r="C2004" s="3" t="s">
        <v>758</v>
      </c>
      <c r="D2004" s="3" t="s">
        <v>56</v>
      </c>
    </row>
    <row r="2005" spans="1:4" x14ac:dyDescent="0.2">
      <c r="A2005" s="3" t="s">
        <v>792</v>
      </c>
      <c r="B2005" t="s">
        <v>8</v>
      </c>
      <c r="C2005" s="3" t="s">
        <v>758</v>
      </c>
      <c r="D2005" s="3" t="s">
        <v>57</v>
      </c>
    </row>
    <row r="2006" spans="1:4" x14ac:dyDescent="0.2">
      <c r="A2006" s="3" t="s">
        <v>793</v>
      </c>
      <c r="B2006" t="s">
        <v>8</v>
      </c>
      <c r="C2006" s="3" t="s">
        <v>794</v>
      </c>
      <c r="D2006" s="3" t="s">
        <v>169</v>
      </c>
    </row>
    <row r="2007" spans="1:4" x14ac:dyDescent="0.2">
      <c r="A2007" s="3" t="s">
        <v>795</v>
      </c>
      <c r="B2007" t="s">
        <v>8</v>
      </c>
      <c r="C2007" s="3" t="s">
        <v>761</v>
      </c>
      <c r="D2007" s="3" t="s">
        <v>53</v>
      </c>
    </row>
    <row r="2008" spans="1:4" x14ac:dyDescent="0.2">
      <c r="A2008" s="3" t="s">
        <v>795</v>
      </c>
      <c r="B2008" t="s">
        <v>8</v>
      </c>
      <c r="C2008" s="3" t="s">
        <v>762</v>
      </c>
      <c r="D2008" s="3" t="s">
        <v>53</v>
      </c>
    </row>
    <row r="2009" spans="1:4" x14ac:dyDescent="0.2">
      <c r="A2009" s="3" t="s">
        <v>795</v>
      </c>
      <c r="B2009" t="s">
        <v>8</v>
      </c>
      <c r="C2009" s="3" t="s">
        <v>765</v>
      </c>
      <c r="D2009" s="3" t="s">
        <v>53</v>
      </c>
    </row>
    <row r="2010" spans="1:4" x14ac:dyDescent="0.2">
      <c r="A2010" s="3" t="s">
        <v>795</v>
      </c>
      <c r="B2010" t="s">
        <v>8</v>
      </c>
      <c r="C2010" s="3" t="s">
        <v>761</v>
      </c>
      <c r="D2010" s="3" t="s">
        <v>54</v>
      </c>
    </row>
    <row r="2011" spans="1:4" x14ac:dyDescent="0.2">
      <c r="A2011" s="3" t="s">
        <v>795</v>
      </c>
      <c r="B2011" t="s">
        <v>8</v>
      </c>
      <c r="C2011" s="3" t="s">
        <v>762</v>
      </c>
      <c r="D2011" s="3" t="s">
        <v>54</v>
      </c>
    </row>
    <row r="2012" spans="1:4" x14ac:dyDescent="0.2">
      <c r="A2012" s="3" t="s">
        <v>795</v>
      </c>
      <c r="B2012" t="s">
        <v>8</v>
      </c>
      <c r="C2012" s="3" t="s">
        <v>765</v>
      </c>
      <c r="D2012" s="3" t="s">
        <v>54</v>
      </c>
    </row>
    <row r="2013" spans="1:4" x14ac:dyDescent="0.2">
      <c r="A2013" s="3" t="s">
        <v>795</v>
      </c>
      <c r="B2013" t="s">
        <v>8</v>
      </c>
      <c r="C2013" s="3" t="s">
        <v>761</v>
      </c>
      <c r="D2013" s="3" t="s">
        <v>55</v>
      </c>
    </row>
    <row r="2014" spans="1:4" x14ac:dyDescent="0.2">
      <c r="A2014" s="3" t="s">
        <v>795</v>
      </c>
      <c r="B2014" t="s">
        <v>8</v>
      </c>
      <c r="C2014" s="3" t="s">
        <v>762</v>
      </c>
      <c r="D2014" s="3" t="s">
        <v>55</v>
      </c>
    </row>
    <row r="2015" spans="1:4" x14ac:dyDescent="0.2">
      <c r="A2015" s="3" t="s">
        <v>795</v>
      </c>
      <c r="B2015" t="s">
        <v>8</v>
      </c>
      <c r="C2015" s="3" t="s">
        <v>765</v>
      </c>
      <c r="D2015" s="3" t="s">
        <v>55</v>
      </c>
    </row>
    <row r="2016" spans="1:4" x14ac:dyDescent="0.2">
      <c r="A2016" s="3" t="s">
        <v>795</v>
      </c>
      <c r="B2016" t="s">
        <v>8</v>
      </c>
      <c r="C2016" s="3" t="s">
        <v>761</v>
      </c>
      <c r="D2016" s="3" t="s">
        <v>56</v>
      </c>
    </row>
    <row r="2017" spans="1:4" x14ac:dyDescent="0.2">
      <c r="A2017" s="3" t="s">
        <v>795</v>
      </c>
      <c r="B2017" t="s">
        <v>8</v>
      </c>
      <c r="C2017" s="3" t="s">
        <v>762</v>
      </c>
      <c r="D2017" s="3" t="s">
        <v>56</v>
      </c>
    </row>
    <row r="2018" spans="1:4" x14ac:dyDescent="0.2">
      <c r="A2018" s="3" t="s">
        <v>795</v>
      </c>
      <c r="B2018" t="s">
        <v>8</v>
      </c>
      <c r="C2018" s="3" t="s">
        <v>765</v>
      </c>
      <c r="D2018" s="3" t="s">
        <v>56</v>
      </c>
    </row>
    <row r="2019" spans="1:4" x14ac:dyDescent="0.2">
      <c r="A2019" s="3" t="s">
        <v>795</v>
      </c>
      <c r="B2019" t="s">
        <v>8</v>
      </c>
      <c r="C2019" s="3" t="s">
        <v>761</v>
      </c>
      <c r="D2019" s="3" t="s">
        <v>57</v>
      </c>
    </row>
    <row r="2020" spans="1:4" x14ac:dyDescent="0.2">
      <c r="A2020" s="3" t="s">
        <v>795</v>
      </c>
      <c r="B2020" t="s">
        <v>8</v>
      </c>
      <c r="C2020" s="3" t="s">
        <v>762</v>
      </c>
      <c r="D2020" s="3" t="s">
        <v>57</v>
      </c>
    </row>
    <row r="2021" spans="1:4" x14ac:dyDescent="0.2">
      <c r="A2021" s="3" t="s">
        <v>795</v>
      </c>
      <c r="B2021" t="s">
        <v>8</v>
      </c>
      <c r="C2021" s="3" t="s">
        <v>765</v>
      </c>
      <c r="D2021" s="3" t="s">
        <v>57</v>
      </c>
    </row>
    <row r="2022" spans="1:4" x14ac:dyDescent="0.2">
      <c r="A2022" s="3" t="s">
        <v>795</v>
      </c>
      <c r="B2022" t="s">
        <v>8</v>
      </c>
      <c r="C2022" s="3" t="s">
        <v>772</v>
      </c>
      <c r="D2022" s="3" t="s">
        <v>169</v>
      </c>
    </row>
    <row r="2023" spans="1:4" x14ac:dyDescent="0.2">
      <c r="A2023" s="3" t="s">
        <v>795</v>
      </c>
      <c r="B2023" t="s">
        <v>8</v>
      </c>
      <c r="C2023" s="3" t="s">
        <v>796</v>
      </c>
      <c r="D2023" s="3" t="s">
        <v>169</v>
      </c>
    </row>
    <row r="2024" spans="1:4" x14ac:dyDescent="0.2">
      <c r="A2024" s="3" t="s">
        <v>795</v>
      </c>
      <c r="B2024" t="s">
        <v>8</v>
      </c>
      <c r="C2024" s="3" t="s">
        <v>797</v>
      </c>
      <c r="D2024" s="3" t="s">
        <v>169</v>
      </c>
    </row>
    <row r="2025" spans="1:4" x14ac:dyDescent="0.2">
      <c r="A2025" s="3" t="s">
        <v>795</v>
      </c>
      <c r="B2025" t="s">
        <v>8</v>
      </c>
      <c r="C2025" s="3" t="s">
        <v>798</v>
      </c>
      <c r="D2025" s="3" t="s">
        <v>169</v>
      </c>
    </row>
    <row r="2026" spans="1:4" x14ac:dyDescent="0.2">
      <c r="A2026" s="3" t="s">
        <v>795</v>
      </c>
      <c r="B2026" t="s">
        <v>8</v>
      </c>
      <c r="C2026" s="3" t="s">
        <v>799</v>
      </c>
      <c r="D2026" s="3" t="s">
        <v>169</v>
      </c>
    </row>
    <row r="2027" spans="1:4" x14ac:dyDescent="0.2">
      <c r="A2027" s="3" t="s">
        <v>795</v>
      </c>
      <c r="B2027" t="s">
        <v>8</v>
      </c>
      <c r="C2027" s="3" t="s">
        <v>800</v>
      </c>
      <c r="D2027" s="3" t="s">
        <v>169</v>
      </c>
    </row>
    <row r="2028" spans="1:4" x14ac:dyDescent="0.2">
      <c r="A2028" s="3" t="s">
        <v>795</v>
      </c>
      <c r="B2028" t="s">
        <v>8</v>
      </c>
      <c r="C2028" s="3" t="s">
        <v>801</v>
      </c>
      <c r="D2028" s="3" t="s">
        <v>169</v>
      </c>
    </row>
    <row r="2029" spans="1:4" x14ac:dyDescent="0.2">
      <c r="A2029" s="3" t="s">
        <v>802</v>
      </c>
      <c r="B2029" t="s">
        <v>8</v>
      </c>
      <c r="C2029" s="3" t="s">
        <v>803</v>
      </c>
      <c r="D2029" s="3" t="s">
        <v>53</v>
      </c>
    </row>
    <row r="2030" spans="1:4" x14ac:dyDescent="0.2">
      <c r="A2030" s="3" t="s">
        <v>802</v>
      </c>
      <c r="B2030" t="s">
        <v>8</v>
      </c>
      <c r="C2030" s="3" t="s">
        <v>804</v>
      </c>
      <c r="D2030" s="3" t="s">
        <v>53</v>
      </c>
    </row>
    <row r="2031" spans="1:4" x14ac:dyDescent="0.2">
      <c r="A2031" s="3" t="s">
        <v>802</v>
      </c>
      <c r="B2031" t="s">
        <v>8</v>
      </c>
      <c r="C2031" s="3" t="s">
        <v>805</v>
      </c>
      <c r="D2031" s="3" t="s">
        <v>53</v>
      </c>
    </row>
    <row r="2032" spans="1:4" x14ac:dyDescent="0.2">
      <c r="A2032" s="3" t="s">
        <v>802</v>
      </c>
      <c r="B2032" t="s">
        <v>8</v>
      </c>
      <c r="C2032" s="3" t="s">
        <v>806</v>
      </c>
      <c r="D2032" s="3" t="s">
        <v>53</v>
      </c>
    </row>
    <row r="2033" spans="1:4" x14ac:dyDescent="0.2">
      <c r="A2033" s="3" t="s">
        <v>802</v>
      </c>
      <c r="B2033" t="s">
        <v>8</v>
      </c>
      <c r="C2033" s="3" t="s">
        <v>807</v>
      </c>
      <c r="D2033" s="3" t="s">
        <v>54</v>
      </c>
    </row>
    <row r="2034" spans="1:4" x14ac:dyDescent="0.2">
      <c r="A2034" s="3" t="s">
        <v>802</v>
      </c>
      <c r="B2034" t="s">
        <v>8</v>
      </c>
      <c r="C2034" s="3" t="s">
        <v>808</v>
      </c>
      <c r="D2034" s="3" t="s">
        <v>54</v>
      </c>
    </row>
    <row r="2035" spans="1:4" x14ac:dyDescent="0.2">
      <c r="A2035" s="3" t="s">
        <v>802</v>
      </c>
      <c r="B2035" t="s">
        <v>8</v>
      </c>
      <c r="C2035" s="3" t="s">
        <v>809</v>
      </c>
      <c r="D2035" s="3" t="s">
        <v>54</v>
      </c>
    </row>
    <row r="2036" spans="1:4" x14ac:dyDescent="0.2">
      <c r="A2036" s="3" t="s">
        <v>802</v>
      </c>
      <c r="B2036" t="s">
        <v>8</v>
      </c>
      <c r="C2036" s="3" t="s">
        <v>803</v>
      </c>
      <c r="D2036" s="3" t="s">
        <v>54</v>
      </c>
    </row>
    <row r="2037" spans="1:4" x14ac:dyDescent="0.2">
      <c r="A2037" s="3" t="s">
        <v>802</v>
      </c>
      <c r="B2037" t="s">
        <v>8</v>
      </c>
      <c r="C2037" s="3" t="s">
        <v>804</v>
      </c>
      <c r="D2037" s="3" t="s">
        <v>54</v>
      </c>
    </row>
    <row r="2038" spans="1:4" x14ac:dyDescent="0.2">
      <c r="A2038" s="3" t="s">
        <v>802</v>
      </c>
      <c r="B2038" t="s">
        <v>8</v>
      </c>
      <c r="C2038" s="3" t="s">
        <v>805</v>
      </c>
      <c r="D2038" s="3" t="s">
        <v>54</v>
      </c>
    </row>
    <row r="2039" spans="1:4" x14ac:dyDescent="0.2">
      <c r="A2039" s="3" t="s">
        <v>802</v>
      </c>
      <c r="B2039" t="s">
        <v>8</v>
      </c>
      <c r="C2039" s="3" t="s">
        <v>806</v>
      </c>
      <c r="D2039" s="3" t="s">
        <v>54</v>
      </c>
    </row>
    <row r="2040" spans="1:4" x14ac:dyDescent="0.2">
      <c r="A2040" s="3" t="s">
        <v>802</v>
      </c>
      <c r="B2040" t="s">
        <v>8</v>
      </c>
      <c r="C2040" s="3" t="s">
        <v>807</v>
      </c>
      <c r="D2040" s="3" t="s">
        <v>55</v>
      </c>
    </row>
    <row r="2041" spans="1:4" x14ac:dyDescent="0.2">
      <c r="A2041" s="3" t="s">
        <v>802</v>
      </c>
      <c r="B2041" t="s">
        <v>8</v>
      </c>
      <c r="C2041" s="3" t="s">
        <v>808</v>
      </c>
      <c r="D2041" s="3" t="s">
        <v>55</v>
      </c>
    </row>
    <row r="2042" spans="1:4" x14ac:dyDescent="0.2">
      <c r="A2042" s="3" t="s">
        <v>802</v>
      </c>
      <c r="B2042" t="s">
        <v>8</v>
      </c>
      <c r="C2042" s="3" t="s">
        <v>807</v>
      </c>
      <c r="D2042" s="3" t="s">
        <v>56</v>
      </c>
    </row>
    <row r="2043" spans="1:4" x14ac:dyDescent="0.2">
      <c r="A2043" s="3" t="s">
        <v>802</v>
      </c>
      <c r="B2043" t="s">
        <v>8</v>
      </c>
      <c r="C2043" s="3" t="s">
        <v>808</v>
      </c>
      <c r="D2043" s="3" t="s">
        <v>56</v>
      </c>
    </row>
    <row r="2044" spans="1:4" x14ac:dyDescent="0.2">
      <c r="A2044" s="3" t="s">
        <v>802</v>
      </c>
      <c r="B2044" t="s">
        <v>8</v>
      </c>
      <c r="C2044" s="3" t="s">
        <v>805</v>
      </c>
      <c r="D2044" s="3" t="s">
        <v>57</v>
      </c>
    </row>
    <row r="2045" spans="1:4" x14ac:dyDescent="0.2">
      <c r="A2045" s="3" t="s">
        <v>802</v>
      </c>
      <c r="B2045" t="s">
        <v>8</v>
      </c>
      <c r="C2045" s="3" t="s">
        <v>806</v>
      </c>
      <c r="D2045" s="3" t="s">
        <v>57</v>
      </c>
    </row>
    <row r="2046" spans="1:4" x14ac:dyDescent="0.2">
      <c r="A2046" s="3" t="s">
        <v>802</v>
      </c>
      <c r="B2046" t="s">
        <v>8</v>
      </c>
      <c r="C2046" s="3" t="s">
        <v>810</v>
      </c>
      <c r="D2046" s="3" t="s">
        <v>169</v>
      </c>
    </row>
    <row r="2047" spans="1:4" x14ac:dyDescent="0.2">
      <c r="A2047" s="3" t="s">
        <v>802</v>
      </c>
      <c r="B2047" t="s">
        <v>8</v>
      </c>
      <c r="C2047" s="3" t="s">
        <v>811</v>
      </c>
      <c r="D2047" s="3" t="s">
        <v>169</v>
      </c>
    </row>
    <row r="2048" spans="1:4" x14ac:dyDescent="0.2">
      <c r="A2048" s="3" t="s">
        <v>812</v>
      </c>
      <c r="B2048" t="s">
        <v>8</v>
      </c>
      <c r="C2048" s="3" t="s">
        <v>813</v>
      </c>
      <c r="D2048" s="3" t="s">
        <v>53</v>
      </c>
    </row>
    <row r="2049" spans="1:4" x14ac:dyDescent="0.2">
      <c r="A2049" s="3" t="s">
        <v>812</v>
      </c>
      <c r="B2049" t="s">
        <v>8</v>
      </c>
      <c r="C2049" s="3" t="s">
        <v>814</v>
      </c>
      <c r="D2049" s="3" t="s">
        <v>53</v>
      </c>
    </row>
    <row r="2050" spans="1:4" x14ac:dyDescent="0.2">
      <c r="A2050" s="3" t="s">
        <v>812</v>
      </c>
      <c r="B2050" t="s">
        <v>8</v>
      </c>
      <c r="C2050" s="3" t="s">
        <v>779</v>
      </c>
      <c r="D2050" s="3" t="s">
        <v>53</v>
      </c>
    </row>
    <row r="2051" spans="1:4" x14ac:dyDescent="0.2">
      <c r="A2051" s="3" t="s">
        <v>812</v>
      </c>
      <c r="B2051" t="s">
        <v>8</v>
      </c>
      <c r="C2051" s="3" t="s">
        <v>815</v>
      </c>
      <c r="D2051" s="3" t="s">
        <v>53</v>
      </c>
    </row>
    <row r="2052" spans="1:4" x14ac:dyDescent="0.2">
      <c r="A2052" s="3" t="s">
        <v>812</v>
      </c>
      <c r="B2052" t="s">
        <v>8</v>
      </c>
      <c r="C2052" s="3" t="s">
        <v>813</v>
      </c>
      <c r="D2052" s="3" t="s">
        <v>54</v>
      </c>
    </row>
    <row r="2053" spans="1:4" x14ac:dyDescent="0.2">
      <c r="A2053" s="3" t="s">
        <v>812</v>
      </c>
      <c r="B2053" t="s">
        <v>8</v>
      </c>
      <c r="C2053" s="3" t="s">
        <v>814</v>
      </c>
      <c r="D2053" s="3" t="s">
        <v>54</v>
      </c>
    </row>
    <row r="2054" spans="1:4" x14ac:dyDescent="0.2">
      <c r="A2054" s="3" t="s">
        <v>812</v>
      </c>
      <c r="B2054" t="s">
        <v>8</v>
      </c>
      <c r="C2054" s="3" t="s">
        <v>779</v>
      </c>
      <c r="D2054" s="3" t="s">
        <v>54</v>
      </c>
    </row>
    <row r="2055" spans="1:4" x14ac:dyDescent="0.2">
      <c r="A2055" s="3" t="s">
        <v>812</v>
      </c>
      <c r="B2055" t="s">
        <v>8</v>
      </c>
      <c r="C2055" s="3" t="s">
        <v>813</v>
      </c>
      <c r="D2055" s="3" t="s">
        <v>55</v>
      </c>
    </row>
    <row r="2056" spans="1:4" x14ac:dyDescent="0.2">
      <c r="A2056" s="3" t="s">
        <v>812</v>
      </c>
      <c r="B2056" t="s">
        <v>8</v>
      </c>
      <c r="C2056" s="3" t="s">
        <v>814</v>
      </c>
      <c r="D2056" s="3" t="s">
        <v>55</v>
      </c>
    </row>
    <row r="2057" spans="1:4" x14ac:dyDescent="0.2">
      <c r="A2057" s="3" t="s">
        <v>812</v>
      </c>
      <c r="B2057" t="s">
        <v>8</v>
      </c>
      <c r="C2057" s="3" t="s">
        <v>779</v>
      </c>
      <c r="D2057" s="3" t="s">
        <v>55</v>
      </c>
    </row>
    <row r="2058" spans="1:4" x14ac:dyDescent="0.2">
      <c r="A2058" s="3" t="s">
        <v>812</v>
      </c>
      <c r="B2058" t="s">
        <v>8</v>
      </c>
      <c r="C2058" s="3" t="s">
        <v>813</v>
      </c>
      <c r="D2058" s="3" t="s">
        <v>56</v>
      </c>
    </row>
    <row r="2059" spans="1:4" x14ac:dyDescent="0.2">
      <c r="A2059" s="3" t="s">
        <v>812</v>
      </c>
      <c r="B2059" t="s">
        <v>8</v>
      </c>
      <c r="C2059" s="3" t="s">
        <v>814</v>
      </c>
      <c r="D2059" s="3" t="s">
        <v>56</v>
      </c>
    </row>
    <row r="2060" spans="1:4" x14ac:dyDescent="0.2">
      <c r="A2060" s="3" t="s">
        <v>812</v>
      </c>
      <c r="B2060" t="s">
        <v>8</v>
      </c>
      <c r="C2060" s="3" t="s">
        <v>779</v>
      </c>
      <c r="D2060" s="3" t="s">
        <v>56</v>
      </c>
    </row>
    <row r="2061" spans="1:4" x14ac:dyDescent="0.2">
      <c r="A2061" s="3" t="s">
        <v>812</v>
      </c>
      <c r="B2061" t="s">
        <v>8</v>
      </c>
      <c r="C2061" s="3" t="s">
        <v>813</v>
      </c>
      <c r="D2061" s="3" t="s">
        <v>57</v>
      </c>
    </row>
    <row r="2062" spans="1:4" x14ac:dyDescent="0.2">
      <c r="A2062" s="3" t="s">
        <v>812</v>
      </c>
      <c r="B2062" t="s">
        <v>8</v>
      </c>
      <c r="C2062" s="3" t="s">
        <v>814</v>
      </c>
      <c r="D2062" s="3" t="s">
        <v>57</v>
      </c>
    </row>
    <row r="2063" spans="1:4" x14ac:dyDescent="0.2">
      <c r="A2063" s="3" t="s">
        <v>812</v>
      </c>
      <c r="B2063" t="s">
        <v>8</v>
      </c>
      <c r="C2063" s="3" t="s">
        <v>779</v>
      </c>
      <c r="D2063" s="3" t="s">
        <v>57</v>
      </c>
    </row>
    <row r="2064" spans="1:4" x14ac:dyDescent="0.2">
      <c r="A2064" s="3" t="s">
        <v>812</v>
      </c>
      <c r="B2064" t="s">
        <v>8</v>
      </c>
      <c r="C2064" s="3" t="s">
        <v>816</v>
      </c>
      <c r="D2064" s="3" t="s">
        <v>169</v>
      </c>
    </row>
    <row r="2065" spans="1:4" x14ac:dyDescent="0.2">
      <c r="A2065" s="3" t="s">
        <v>817</v>
      </c>
      <c r="B2065" t="s">
        <v>8</v>
      </c>
      <c r="C2065" s="3" t="s">
        <v>818</v>
      </c>
      <c r="D2065" s="3" t="s">
        <v>53</v>
      </c>
    </row>
    <row r="2066" spans="1:4" x14ac:dyDescent="0.2">
      <c r="A2066" s="3" t="s">
        <v>817</v>
      </c>
      <c r="B2066" t="s">
        <v>8</v>
      </c>
      <c r="C2066" s="3" t="s">
        <v>819</v>
      </c>
      <c r="D2066" s="3" t="s">
        <v>54</v>
      </c>
    </row>
    <row r="2067" spans="1:4" x14ac:dyDescent="0.2">
      <c r="A2067" s="3" t="s">
        <v>817</v>
      </c>
      <c r="B2067" t="s">
        <v>8</v>
      </c>
      <c r="C2067" s="3" t="s">
        <v>818</v>
      </c>
      <c r="D2067" s="3" t="s">
        <v>54</v>
      </c>
    </row>
    <row r="2068" spans="1:4" x14ac:dyDescent="0.2">
      <c r="A2068" s="3" t="s">
        <v>817</v>
      </c>
      <c r="B2068" t="s">
        <v>8</v>
      </c>
      <c r="C2068" s="3" t="s">
        <v>820</v>
      </c>
      <c r="D2068" s="3" t="s">
        <v>54</v>
      </c>
    </row>
    <row r="2069" spans="1:4" x14ac:dyDescent="0.2">
      <c r="A2069" s="3" t="s">
        <v>817</v>
      </c>
      <c r="B2069" t="s">
        <v>8</v>
      </c>
      <c r="C2069" s="3" t="s">
        <v>818</v>
      </c>
      <c r="D2069" s="3" t="s">
        <v>55</v>
      </c>
    </row>
    <row r="2070" spans="1:4" x14ac:dyDescent="0.2">
      <c r="A2070" s="3" t="s">
        <v>817</v>
      </c>
      <c r="B2070" t="s">
        <v>8</v>
      </c>
      <c r="C2070" s="3" t="s">
        <v>818</v>
      </c>
      <c r="D2070" s="3" t="s">
        <v>56</v>
      </c>
    </row>
    <row r="2071" spans="1:4" x14ac:dyDescent="0.2">
      <c r="A2071" s="3" t="s">
        <v>817</v>
      </c>
      <c r="B2071" t="s">
        <v>8</v>
      </c>
      <c r="C2071" s="3" t="s">
        <v>818</v>
      </c>
      <c r="D2071" s="3" t="s">
        <v>57</v>
      </c>
    </row>
    <row r="2072" spans="1:4" x14ac:dyDescent="0.2">
      <c r="A2072" s="3" t="s">
        <v>817</v>
      </c>
      <c r="B2072" t="s">
        <v>8</v>
      </c>
      <c r="C2072" s="3" t="s">
        <v>810</v>
      </c>
      <c r="D2072" s="3" t="s">
        <v>169</v>
      </c>
    </row>
    <row r="2073" spans="1:4" x14ac:dyDescent="0.2">
      <c r="A2073" s="3" t="s">
        <v>817</v>
      </c>
      <c r="B2073" t="s">
        <v>8</v>
      </c>
      <c r="C2073" s="3" t="s">
        <v>811</v>
      </c>
      <c r="D2073" s="3" t="s">
        <v>169</v>
      </c>
    </row>
    <row r="2074" spans="1:4" x14ac:dyDescent="0.2">
      <c r="A2074" s="3" t="s">
        <v>821</v>
      </c>
      <c r="B2074" t="s">
        <v>8</v>
      </c>
      <c r="C2074" s="3" t="s">
        <v>822</v>
      </c>
      <c r="D2074" s="3" t="s">
        <v>53</v>
      </c>
    </row>
    <row r="2075" spans="1:4" x14ac:dyDescent="0.2">
      <c r="A2075" s="3" t="s">
        <v>821</v>
      </c>
      <c r="B2075" t="s">
        <v>8</v>
      </c>
      <c r="C2075" s="3" t="s">
        <v>823</v>
      </c>
      <c r="D2075" s="3" t="s">
        <v>53</v>
      </c>
    </row>
    <row r="2076" spans="1:4" x14ac:dyDescent="0.2">
      <c r="A2076" s="3" t="s">
        <v>821</v>
      </c>
      <c r="B2076" t="s">
        <v>8</v>
      </c>
      <c r="C2076" s="3" t="s">
        <v>824</v>
      </c>
      <c r="D2076" s="3" t="s">
        <v>53</v>
      </c>
    </row>
    <row r="2077" spans="1:4" x14ac:dyDescent="0.2">
      <c r="A2077" s="3" t="s">
        <v>821</v>
      </c>
      <c r="B2077" t="s">
        <v>8</v>
      </c>
      <c r="C2077" s="3" t="s">
        <v>825</v>
      </c>
      <c r="D2077" s="3" t="s">
        <v>53</v>
      </c>
    </row>
    <row r="2078" spans="1:4" x14ac:dyDescent="0.2">
      <c r="A2078" s="3" t="s">
        <v>821</v>
      </c>
      <c r="B2078" t="s">
        <v>8</v>
      </c>
      <c r="C2078" s="3" t="s">
        <v>826</v>
      </c>
      <c r="D2078" s="3" t="s">
        <v>53</v>
      </c>
    </row>
    <row r="2079" spans="1:4" x14ac:dyDescent="0.2">
      <c r="A2079" s="3" t="s">
        <v>821</v>
      </c>
      <c r="B2079" t="s">
        <v>8</v>
      </c>
      <c r="C2079" s="3" t="s">
        <v>827</v>
      </c>
      <c r="D2079" s="3" t="s">
        <v>53</v>
      </c>
    </row>
    <row r="2080" spans="1:4" x14ac:dyDescent="0.2">
      <c r="A2080" s="3" t="s">
        <v>821</v>
      </c>
      <c r="B2080" t="s">
        <v>8</v>
      </c>
      <c r="C2080" s="3" t="s">
        <v>779</v>
      </c>
      <c r="D2080" s="3" t="s">
        <v>53</v>
      </c>
    </row>
    <row r="2081" spans="1:4" x14ac:dyDescent="0.2">
      <c r="A2081" s="3" t="s">
        <v>821</v>
      </c>
      <c r="B2081" t="s">
        <v>8</v>
      </c>
      <c r="C2081" s="3" t="s">
        <v>822</v>
      </c>
      <c r="D2081" s="3" t="s">
        <v>54</v>
      </c>
    </row>
    <row r="2082" spans="1:4" x14ac:dyDescent="0.2">
      <c r="A2082" s="3" t="s">
        <v>821</v>
      </c>
      <c r="B2082" t="s">
        <v>8</v>
      </c>
      <c r="C2082" s="3" t="s">
        <v>823</v>
      </c>
      <c r="D2082" s="3" t="s">
        <v>54</v>
      </c>
    </row>
    <row r="2083" spans="1:4" x14ac:dyDescent="0.2">
      <c r="A2083" s="3" t="s">
        <v>821</v>
      </c>
      <c r="B2083" t="s">
        <v>8</v>
      </c>
      <c r="C2083" s="3" t="s">
        <v>824</v>
      </c>
      <c r="D2083" s="3" t="s">
        <v>54</v>
      </c>
    </row>
    <row r="2084" spans="1:4" x14ac:dyDescent="0.2">
      <c r="A2084" s="3" t="s">
        <v>821</v>
      </c>
      <c r="B2084" t="s">
        <v>8</v>
      </c>
      <c r="C2084" s="3" t="s">
        <v>825</v>
      </c>
      <c r="D2084" s="3" t="s">
        <v>54</v>
      </c>
    </row>
    <row r="2085" spans="1:4" x14ac:dyDescent="0.2">
      <c r="A2085" s="3" t="s">
        <v>821</v>
      </c>
      <c r="B2085" t="s">
        <v>8</v>
      </c>
      <c r="C2085" s="3" t="s">
        <v>826</v>
      </c>
      <c r="D2085" s="3" t="s">
        <v>54</v>
      </c>
    </row>
    <row r="2086" spans="1:4" x14ac:dyDescent="0.2">
      <c r="A2086" s="3" t="s">
        <v>821</v>
      </c>
      <c r="B2086" t="s">
        <v>8</v>
      </c>
      <c r="C2086" s="3" t="s">
        <v>827</v>
      </c>
      <c r="D2086" s="3" t="s">
        <v>54</v>
      </c>
    </row>
    <row r="2087" spans="1:4" x14ac:dyDescent="0.2">
      <c r="A2087" s="3" t="s">
        <v>821</v>
      </c>
      <c r="B2087" t="s">
        <v>8</v>
      </c>
      <c r="C2087" s="3" t="s">
        <v>779</v>
      </c>
      <c r="D2087" s="3" t="s">
        <v>54</v>
      </c>
    </row>
    <row r="2088" spans="1:4" x14ac:dyDescent="0.2">
      <c r="A2088" s="3" t="s">
        <v>821</v>
      </c>
      <c r="B2088" t="s">
        <v>8</v>
      </c>
      <c r="C2088" s="3" t="s">
        <v>822</v>
      </c>
      <c r="D2088" s="3" t="s">
        <v>55</v>
      </c>
    </row>
    <row r="2089" spans="1:4" x14ac:dyDescent="0.2">
      <c r="A2089" s="3" t="s">
        <v>821</v>
      </c>
      <c r="B2089" t="s">
        <v>8</v>
      </c>
      <c r="C2089" s="3" t="s">
        <v>823</v>
      </c>
      <c r="D2089" s="3" t="s">
        <v>55</v>
      </c>
    </row>
    <row r="2090" spans="1:4" x14ac:dyDescent="0.2">
      <c r="A2090" s="3" t="s">
        <v>821</v>
      </c>
      <c r="B2090" t="s">
        <v>8</v>
      </c>
      <c r="C2090" s="3" t="s">
        <v>824</v>
      </c>
      <c r="D2090" s="3" t="s">
        <v>55</v>
      </c>
    </row>
    <row r="2091" spans="1:4" x14ac:dyDescent="0.2">
      <c r="A2091" s="3" t="s">
        <v>821</v>
      </c>
      <c r="B2091" t="s">
        <v>8</v>
      </c>
      <c r="C2091" s="3" t="s">
        <v>825</v>
      </c>
      <c r="D2091" s="3" t="s">
        <v>55</v>
      </c>
    </row>
    <row r="2092" spans="1:4" x14ac:dyDescent="0.2">
      <c r="A2092" s="3" t="s">
        <v>821</v>
      </c>
      <c r="B2092" t="s">
        <v>8</v>
      </c>
      <c r="C2092" s="3" t="s">
        <v>779</v>
      </c>
      <c r="D2092" s="3" t="s">
        <v>55</v>
      </c>
    </row>
    <row r="2093" spans="1:4" x14ac:dyDescent="0.2">
      <c r="A2093" s="3" t="s">
        <v>821</v>
      </c>
      <c r="B2093" t="s">
        <v>8</v>
      </c>
      <c r="C2093" s="3" t="s">
        <v>822</v>
      </c>
      <c r="D2093" s="3" t="s">
        <v>56</v>
      </c>
    </row>
    <row r="2094" spans="1:4" x14ac:dyDescent="0.2">
      <c r="A2094" s="3" t="s">
        <v>821</v>
      </c>
      <c r="B2094" t="s">
        <v>8</v>
      </c>
      <c r="C2094" s="3" t="s">
        <v>823</v>
      </c>
      <c r="D2094" s="3" t="s">
        <v>56</v>
      </c>
    </row>
    <row r="2095" spans="1:4" x14ac:dyDescent="0.2">
      <c r="A2095" s="3" t="s">
        <v>821</v>
      </c>
      <c r="B2095" t="s">
        <v>8</v>
      </c>
      <c r="C2095" s="3" t="s">
        <v>824</v>
      </c>
      <c r="D2095" s="3" t="s">
        <v>56</v>
      </c>
    </row>
    <row r="2096" spans="1:4" x14ac:dyDescent="0.2">
      <c r="A2096" s="3" t="s">
        <v>821</v>
      </c>
      <c r="B2096" t="s">
        <v>8</v>
      </c>
      <c r="C2096" s="3" t="s">
        <v>825</v>
      </c>
      <c r="D2096" s="3" t="s">
        <v>56</v>
      </c>
    </row>
    <row r="2097" spans="1:4" x14ac:dyDescent="0.2">
      <c r="A2097" s="3" t="s">
        <v>821</v>
      </c>
      <c r="B2097" t="s">
        <v>8</v>
      </c>
      <c r="C2097" s="3" t="s">
        <v>779</v>
      </c>
      <c r="D2097" s="3" t="s">
        <v>56</v>
      </c>
    </row>
    <row r="2098" spans="1:4" x14ac:dyDescent="0.2">
      <c r="A2098" s="3" t="s">
        <v>821</v>
      </c>
      <c r="B2098" t="s">
        <v>8</v>
      </c>
      <c r="C2098" s="3" t="s">
        <v>822</v>
      </c>
      <c r="D2098" s="3" t="s">
        <v>57</v>
      </c>
    </row>
    <row r="2099" spans="1:4" x14ac:dyDescent="0.2">
      <c r="A2099" s="3" t="s">
        <v>821</v>
      </c>
      <c r="B2099" t="s">
        <v>8</v>
      </c>
      <c r="C2099" s="3" t="s">
        <v>823</v>
      </c>
      <c r="D2099" s="3" t="s">
        <v>57</v>
      </c>
    </row>
    <row r="2100" spans="1:4" x14ac:dyDescent="0.2">
      <c r="A2100" s="3" t="s">
        <v>821</v>
      </c>
      <c r="B2100" t="s">
        <v>8</v>
      </c>
      <c r="C2100" s="3" t="s">
        <v>824</v>
      </c>
      <c r="D2100" s="3" t="s">
        <v>57</v>
      </c>
    </row>
    <row r="2101" spans="1:4" x14ac:dyDescent="0.2">
      <c r="A2101" s="3" t="s">
        <v>821</v>
      </c>
      <c r="B2101" t="s">
        <v>8</v>
      </c>
      <c r="C2101" s="3" t="s">
        <v>825</v>
      </c>
      <c r="D2101" s="3" t="s">
        <v>57</v>
      </c>
    </row>
    <row r="2102" spans="1:4" x14ac:dyDescent="0.2">
      <c r="A2102" s="3" t="s">
        <v>821</v>
      </c>
      <c r="B2102" t="s">
        <v>8</v>
      </c>
      <c r="C2102" s="3" t="s">
        <v>779</v>
      </c>
      <c r="D2102" s="3" t="s">
        <v>57</v>
      </c>
    </row>
    <row r="2103" spans="1:4" x14ac:dyDescent="0.2">
      <c r="A2103" s="3" t="s">
        <v>821</v>
      </c>
      <c r="B2103" t="s">
        <v>8</v>
      </c>
      <c r="C2103" s="3" t="s">
        <v>810</v>
      </c>
      <c r="D2103" s="3" t="s">
        <v>169</v>
      </c>
    </row>
    <row r="2104" spans="1:4" x14ac:dyDescent="0.2">
      <c r="A2104" s="3" t="s">
        <v>821</v>
      </c>
      <c r="B2104" t="s">
        <v>8</v>
      </c>
      <c r="C2104" s="3" t="s">
        <v>811</v>
      </c>
      <c r="D2104" s="3" t="s">
        <v>169</v>
      </c>
    </row>
    <row r="2105" spans="1:4" x14ac:dyDescent="0.2">
      <c r="A2105" s="3" t="s">
        <v>828</v>
      </c>
      <c r="B2105" t="s">
        <v>8</v>
      </c>
      <c r="C2105" s="3" t="s">
        <v>757</v>
      </c>
      <c r="D2105" s="3" t="s">
        <v>53</v>
      </c>
    </row>
    <row r="2106" spans="1:4" x14ac:dyDescent="0.2">
      <c r="A2106" s="3" t="s">
        <v>828</v>
      </c>
      <c r="B2106" t="s">
        <v>8</v>
      </c>
      <c r="C2106" s="3" t="s">
        <v>779</v>
      </c>
      <c r="D2106" s="3" t="s">
        <v>53</v>
      </c>
    </row>
    <row r="2107" spans="1:4" x14ac:dyDescent="0.2">
      <c r="A2107" s="3" t="s">
        <v>828</v>
      </c>
      <c r="B2107" t="s">
        <v>8</v>
      </c>
      <c r="C2107" s="3" t="s">
        <v>757</v>
      </c>
      <c r="D2107" s="3" t="s">
        <v>54</v>
      </c>
    </row>
    <row r="2108" spans="1:4" x14ac:dyDescent="0.2">
      <c r="A2108" s="3" t="s">
        <v>828</v>
      </c>
      <c r="B2108" t="s">
        <v>8</v>
      </c>
      <c r="C2108" s="3" t="s">
        <v>779</v>
      </c>
      <c r="D2108" s="3" t="s">
        <v>54</v>
      </c>
    </row>
    <row r="2109" spans="1:4" x14ac:dyDescent="0.2">
      <c r="A2109" s="3" t="s">
        <v>828</v>
      </c>
      <c r="B2109" t="s">
        <v>8</v>
      </c>
      <c r="C2109" s="3" t="s">
        <v>757</v>
      </c>
      <c r="D2109" s="3" t="s">
        <v>55</v>
      </c>
    </row>
    <row r="2110" spans="1:4" x14ac:dyDescent="0.2">
      <c r="A2110" s="3" t="s">
        <v>828</v>
      </c>
      <c r="B2110" t="s">
        <v>8</v>
      </c>
      <c r="C2110" s="3" t="s">
        <v>779</v>
      </c>
      <c r="D2110" s="3" t="s">
        <v>55</v>
      </c>
    </row>
    <row r="2111" spans="1:4" x14ac:dyDescent="0.2">
      <c r="A2111" s="3" t="s">
        <v>828</v>
      </c>
      <c r="B2111" t="s">
        <v>8</v>
      </c>
      <c r="C2111" s="3" t="s">
        <v>757</v>
      </c>
      <c r="D2111" s="3" t="s">
        <v>56</v>
      </c>
    </row>
    <row r="2112" spans="1:4" x14ac:dyDescent="0.2">
      <c r="A2112" s="3" t="s">
        <v>828</v>
      </c>
      <c r="B2112" t="s">
        <v>8</v>
      </c>
      <c r="C2112" s="3" t="s">
        <v>779</v>
      </c>
      <c r="D2112" s="3" t="s">
        <v>56</v>
      </c>
    </row>
    <row r="2113" spans="1:4" x14ac:dyDescent="0.2">
      <c r="A2113" s="3" t="s">
        <v>828</v>
      </c>
      <c r="B2113" t="s">
        <v>8</v>
      </c>
      <c r="C2113" s="3" t="s">
        <v>757</v>
      </c>
      <c r="D2113" s="3" t="s">
        <v>57</v>
      </c>
    </row>
    <row r="2114" spans="1:4" x14ac:dyDescent="0.2">
      <c r="A2114" s="3" t="s">
        <v>828</v>
      </c>
      <c r="B2114" t="s">
        <v>8</v>
      </c>
      <c r="C2114" s="3" t="s">
        <v>779</v>
      </c>
      <c r="D2114" s="3" t="s">
        <v>57</v>
      </c>
    </row>
    <row r="2115" spans="1:4" x14ac:dyDescent="0.2">
      <c r="A2115" s="3" t="s">
        <v>828</v>
      </c>
      <c r="B2115" t="s">
        <v>8</v>
      </c>
      <c r="C2115" s="3" t="s">
        <v>829</v>
      </c>
      <c r="D2115" s="3" t="s">
        <v>169</v>
      </c>
    </row>
    <row r="2116" spans="1:4" x14ac:dyDescent="0.2">
      <c r="A2116" s="3" t="s">
        <v>828</v>
      </c>
      <c r="B2116" t="s">
        <v>8</v>
      </c>
      <c r="C2116" s="3" t="s">
        <v>830</v>
      </c>
      <c r="D2116" s="3" t="s">
        <v>169</v>
      </c>
    </row>
    <row r="2117" spans="1:4" x14ac:dyDescent="0.2">
      <c r="A2117" s="3" t="s">
        <v>831</v>
      </c>
      <c r="B2117" t="s">
        <v>8</v>
      </c>
      <c r="C2117" s="3" t="s">
        <v>832</v>
      </c>
      <c r="D2117" s="3" t="s">
        <v>53</v>
      </c>
    </row>
    <row r="2118" spans="1:4" x14ac:dyDescent="0.2">
      <c r="A2118" s="3" t="s">
        <v>831</v>
      </c>
      <c r="B2118" t="s">
        <v>8</v>
      </c>
      <c r="C2118" s="3" t="s">
        <v>779</v>
      </c>
      <c r="D2118" s="3" t="s">
        <v>53</v>
      </c>
    </row>
    <row r="2119" spans="1:4" x14ac:dyDescent="0.2">
      <c r="A2119" s="3" t="s">
        <v>831</v>
      </c>
      <c r="B2119" t="s">
        <v>8</v>
      </c>
      <c r="C2119" s="3" t="s">
        <v>832</v>
      </c>
      <c r="D2119" s="3" t="s">
        <v>54</v>
      </c>
    </row>
    <row r="2120" spans="1:4" x14ac:dyDescent="0.2">
      <c r="A2120" s="3" t="s">
        <v>831</v>
      </c>
      <c r="B2120" t="s">
        <v>8</v>
      </c>
      <c r="C2120" s="3" t="s">
        <v>779</v>
      </c>
      <c r="D2120" s="3" t="s">
        <v>54</v>
      </c>
    </row>
    <row r="2121" spans="1:4" x14ac:dyDescent="0.2">
      <c r="A2121" s="3" t="s">
        <v>831</v>
      </c>
      <c r="B2121" t="s">
        <v>8</v>
      </c>
      <c r="C2121" s="3" t="s">
        <v>832</v>
      </c>
      <c r="D2121" s="3" t="s">
        <v>55</v>
      </c>
    </row>
    <row r="2122" spans="1:4" x14ac:dyDescent="0.2">
      <c r="A2122" s="3" t="s">
        <v>831</v>
      </c>
      <c r="B2122" t="s">
        <v>8</v>
      </c>
      <c r="C2122" s="3" t="s">
        <v>779</v>
      </c>
      <c r="D2122" s="3" t="s">
        <v>55</v>
      </c>
    </row>
    <row r="2123" spans="1:4" x14ac:dyDescent="0.2">
      <c r="A2123" s="3" t="s">
        <v>831</v>
      </c>
      <c r="B2123" t="s">
        <v>8</v>
      </c>
      <c r="C2123" s="3" t="s">
        <v>832</v>
      </c>
      <c r="D2123" s="3" t="s">
        <v>56</v>
      </c>
    </row>
    <row r="2124" spans="1:4" x14ac:dyDescent="0.2">
      <c r="A2124" s="3" t="s">
        <v>831</v>
      </c>
      <c r="B2124" t="s">
        <v>8</v>
      </c>
      <c r="C2124" s="3" t="s">
        <v>779</v>
      </c>
      <c r="D2124" s="3" t="s">
        <v>56</v>
      </c>
    </row>
    <row r="2125" spans="1:4" x14ac:dyDescent="0.2">
      <c r="A2125" s="3" t="s">
        <v>831</v>
      </c>
      <c r="B2125" t="s">
        <v>8</v>
      </c>
      <c r="C2125" s="3" t="s">
        <v>832</v>
      </c>
      <c r="D2125" s="3" t="s">
        <v>57</v>
      </c>
    </row>
    <row r="2126" spans="1:4" x14ac:dyDescent="0.2">
      <c r="A2126" s="3" t="s">
        <v>831</v>
      </c>
      <c r="B2126" t="s">
        <v>8</v>
      </c>
      <c r="C2126" s="3" t="s">
        <v>779</v>
      </c>
      <c r="D2126" s="3" t="s">
        <v>57</v>
      </c>
    </row>
    <row r="2127" spans="1:4" x14ac:dyDescent="0.2">
      <c r="A2127" s="3" t="s">
        <v>831</v>
      </c>
      <c r="B2127" t="s">
        <v>8</v>
      </c>
      <c r="C2127" s="3" t="s">
        <v>776</v>
      </c>
      <c r="D2127" s="3" t="s">
        <v>169</v>
      </c>
    </row>
    <row r="2128" spans="1:4" x14ac:dyDescent="0.2">
      <c r="A2128" s="3" t="s">
        <v>831</v>
      </c>
      <c r="B2128" t="s">
        <v>8</v>
      </c>
      <c r="C2128" s="3" t="s">
        <v>833</v>
      </c>
      <c r="D2128" s="3" t="s">
        <v>169</v>
      </c>
    </row>
    <row r="2129" spans="1:4" x14ac:dyDescent="0.2">
      <c r="A2129" s="3" t="s">
        <v>831</v>
      </c>
      <c r="B2129" t="s">
        <v>8</v>
      </c>
      <c r="C2129" s="3" t="s">
        <v>810</v>
      </c>
      <c r="D2129" s="3" t="s">
        <v>169</v>
      </c>
    </row>
    <row r="2130" spans="1:4" x14ac:dyDescent="0.2">
      <c r="A2130" s="3" t="s">
        <v>831</v>
      </c>
      <c r="B2130" t="s">
        <v>8</v>
      </c>
      <c r="C2130" s="3" t="s">
        <v>811</v>
      </c>
      <c r="D2130" s="3" t="s">
        <v>169</v>
      </c>
    </row>
    <row r="2131" spans="1:4" x14ac:dyDescent="0.2">
      <c r="A2131" s="3" t="s">
        <v>834</v>
      </c>
      <c r="B2131" t="s">
        <v>8</v>
      </c>
      <c r="C2131" s="3" t="s">
        <v>832</v>
      </c>
      <c r="D2131" s="3" t="s">
        <v>53</v>
      </c>
    </row>
    <row r="2132" spans="1:4" x14ac:dyDescent="0.2">
      <c r="A2132" s="3" t="s">
        <v>834</v>
      </c>
      <c r="B2132" t="s">
        <v>8</v>
      </c>
      <c r="C2132" s="3" t="s">
        <v>832</v>
      </c>
      <c r="D2132" s="3" t="s">
        <v>54</v>
      </c>
    </row>
    <row r="2133" spans="1:4" x14ac:dyDescent="0.2">
      <c r="A2133" s="3" t="s">
        <v>834</v>
      </c>
      <c r="B2133" t="s">
        <v>8</v>
      </c>
      <c r="C2133" s="3" t="s">
        <v>832</v>
      </c>
      <c r="D2133" s="3" t="s">
        <v>55</v>
      </c>
    </row>
    <row r="2134" spans="1:4" x14ac:dyDescent="0.2">
      <c r="A2134" s="3" t="s">
        <v>834</v>
      </c>
      <c r="B2134" t="s">
        <v>8</v>
      </c>
      <c r="C2134" s="3" t="s">
        <v>832</v>
      </c>
      <c r="D2134" s="3" t="s">
        <v>56</v>
      </c>
    </row>
    <row r="2135" spans="1:4" x14ac:dyDescent="0.2">
      <c r="A2135" s="3" t="s">
        <v>834</v>
      </c>
      <c r="B2135" t="s">
        <v>8</v>
      </c>
      <c r="C2135" s="3" t="s">
        <v>832</v>
      </c>
      <c r="D2135" s="3" t="s">
        <v>57</v>
      </c>
    </row>
    <row r="2136" spans="1:4" x14ac:dyDescent="0.2">
      <c r="A2136" s="3" t="s">
        <v>835</v>
      </c>
      <c r="B2136" t="s">
        <v>8</v>
      </c>
      <c r="C2136" s="3" t="s">
        <v>836</v>
      </c>
      <c r="D2136" s="3" t="s">
        <v>53</v>
      </c>
    </row>
    <row r="2137" spans="1:4" x14ac:dyDescent="0.2">
      <c r="A2137" s="3" t="s">
        <v>835</v>
      </c>
      <c r="B2137" t="s">
        <v>8</v>
      </c>
      <c r="C2137" s="3" t="s">
        <v>837</v>
      </c>
      <c r="D2137" s="3" t="s">
        <v>53</v>
      </c>
    </row>
    <row r="2138" spans="1:4" x14ac:dyDescent="0.2">
      <c r="A2138" s="3" t="s">
        <v>835</v>
      </c>
      <c r="B2138" t="s">
        <v>8</v>
      </c>
      <c r="C2138" s="3" t="s">
        <v>838</v>
      </c>
      <c r="D2138" s="3" t="s">
        <v>53</v>
      </c>
    </row>
    <row r="2139" spans="1:4" x14ac:dyDescent="0.2">
      <c r="A2139" s="3" t="s">
        <v>835</v>
      </c>
      <c r="B2139" t="s">
        <v>8</v>
      </c>
      <c r="C2139" s="3" t="s">
        <v>779</v>
      </c>
      <c r="D2139" s="3" t="s">
        <v>53</v>
      </c>
    </row>
    <row r="2140" spans="1:4" x14ac:dyDescent="0.2">
      <c r="A2140" s="3" t="s">
        <v>835</v>
      </c>
      <c r="B2140" t="s">
        <v>8</v>
      </c>
      <c r="C2140" s="3" t="s">
        <v>836</v>
      </c>
      <c r="D2140" s="3" t="s">
        <v>54</v>
      </c>
    </row>
    <row r="2141" spans="1:4" x14ac:dyDescent="0.2">
      <c r="A2141" s="3" t="s">
        <v>835</v>
      </c>
      <c r="B2141" t="s">
        <v>8</v>
      </c>
      <c r="C2141" s="3" t="s">
        <v>837</v>
      </c>
      <c r="D2141" s="3" t="s">
        <v>54</v>
      </c>
    </row>
    <row r="2142" spans="1:4" x14ac:dyDescent="0.2">
      <c r="A2142" s="3" t="s">
        <v>835</v>
      </c>
      <c r="B2142" t="s">
        <v>8</v>
      </c>
      <c r="C2142" s="3" t="s">
        <v>838</v>
      </c>
      <c r="D2142" s="3" t="s">
        <v>54</v>
      </c>
    </row>
    <row r="2143" spans="1:4" x14ac:dyDescent="0.2">
      <c r="A2143" s="3" t="s">
        <v>835</v>
      </c>
      <c r="B2143" t="s">
        <v>8</v>
      </c>
      <c r="C2143" s="3" t="s">
        <v>779</v>
      </c>
      <c r="D2143" s="3" t="s">
        <v>54</v>
      </c>
    </row>
    <row r="2144" spans="1:4" x14ac:dyDescent="0.2">
      <c r="A2144" s="3" t="s">
        <v>835</v>
      </c>
      <c r="B2144" t="s">
        <v>8</v>
      </c>
      <c r="C2144" s="3" t="s">
        <v>836</v>
      </c>
      <c r="D2144" s="3" t="s">
        <v>55</v>
      </c>
    </row>
    <row r="2145" spans="1:4" x14ac:dyDescent="0.2">
      <c r="A2145" s="3" t="s">
        <v>835</v>
      </c>
      <c r="B2145" t="s">
        <v>8</v>
      </c>
      <c r="C2145" s="3" t="s">
        <v>837</v>
      </c>
      <c r="D2145" s="3" t="s">
        <v>55</v>
      </c>
    </row>
    <row r="2146" spans="1:4" x14ac:dyDescent="0.2">
      <c r="A2146" s="3" t="s">
        <v>835</v>
      </c>
      <c r="B2146" t="s">
        <v>8</v>
      </c>
      <c r="C2146" s="3" t="s">
        <v>838</v>
      </c>
      <c r="D2146" s="3" t="s">
        <v>55</v>
      </c>
    </row>
    <row r="2147" spans="1:4" x14ac:dyDescent="0.2">
      <c r="A2147" s="3" t="s">
        <v>835</v>
      </c>
      <c r="B2147" t="s">
        <v>8</v>
      </c>
      <c r="C2147" s="3" t="s">
        <v>779</v>
      </c>
      <c r="D2147" s="3" t="s">
        <v>55</v>
      </c>
    </row>
    <row r="2148" spans="1:4" x14ac:dyDescent="0.2">
      <c r="A2148" s="3" t="s">
        <v>835</v>
      </c>
      <c r="B2148" t="s">
        <v>8</v>
      </c>
      <c r="C2148" s="3" t="s">
        <v>836</v>
      </c>
      <c r="D2148" s="3" t="s">
        <v>56</v>
      </c>
    </row>
    <row r="2149" spans="1:4" x14ac:dyDescent="0.2">
      <c r="A2149" s="3" t="s">
        <v>835</v>
      </c>
      <c r="B2149" t="s">
        <v>8</v>
      </c>
      <c r="C2149" s="3" t="s">
        <v>837</v>
      </c>
      <c r="D2149" s="3" t="s">
        <v>56</v>
      </c>
    </row>
    <row r="2150" spans="1:4" x14ac:dyDescent="0.2">
      <c r="A2150" s="3" t="s">
        <v>835</v>
      </c>
      <c r="B2150" t="s">
        <v>8</v>
      </c>
      <c r="C2150" s="3" t="s">
        <v>838</v>
      </c>
      <c r="D2150" s="3" t="s">
        <v>56</v>
      </c>
    </row>
    <row r="2151" spans="1:4" x14ac:dyDescent="0.2">
      <c r="A2151" s="3" t="s">
        <v>835</v>
      </c>
      <c r="B2151" t="s">
        <v>8</v>
      </c>
      <c r="C2151" s="3" t="s">
        <v>779</v>
      </c>
      <c r="D2151" s="3" t="s">
        <v>56</v>
      </c>
    </row>
    <row r="2152" spans="1:4" x14ac:dyDescent="0.2">
      <c r="A2152" s="3" t="s">
        <v>835</v>
      </c>
      <c r="B2152" t="s">
        <v>8</v>
      </c>
      <c r="C2152" s="3" t="s">
        <v>836</v>
      </c>
      <c r="D2152" s="3" t="s">
        <v>57</v>
      </c>
    </row>
    <row r="2153" spans="1:4" x14ac:dyDescent="0.2">
      <c r="A2153" s="3" t="s">
        <v>835</v>
      </c>
      <c r="B2153" t="s">
        <v>8</v>
      </c>
      <c r="C2153" s="3" t="s">
        <v>837</v>
      </c>
      <c r="D2153" s="3" t="s">
        <v>57</v>
      </c>
    </row>
    <row r="2154" spans="1:4" x14ac:dyDescent="0.2">
      <c r="A2154" s="3" t="s">
        <v>835</v>
      </c>
      <c r="B2154" t="s">
        <v>8</v>
      </c>
      <c r="C2154" s="3" t="s">
        <v>838</v>
      </c>
      <c r="D2154" s="3" t="s">
        <v>57</v>
      </c>
    </row>
    <row r="2155" spans="1:4" x14ac:dyDescent="0.2">
      <c r="A2155" s="3" t="s">
        <v>835</v>
      </c>
      <c r="B2155" t="s">
        <v>8</v>
      </c>
      <c r="C2155" s="3" t="s">
        <v>779</v>
      </c>
      <c r="D2155" s="3" t="s">
        <v>57</v>
      </c>
    </row>
    <row r="2156" spans="1:4" x14ac:dyDescent="0.2">
      <c r="A2156" s="3" t="s">
        <v>835</v>
      </c>
      <c r="B2156" t="s">
        <v>8</v>
      </c>
      <c r="C2156" s="3" t="s">
        <v>810</v>
      </c>
      <c r="D2156" s="3" t="s">
        <v>169</v>
      </c>
    </row>
    <row r="2157" spans="1:4" x14ac:dyDescent="0.2">
      <c r="A2157" s="3" t="s">
        <v>835</v>
      </c>
      <c r="B2157" t="s">
        <v>8</v>
      </c>
      <c r="C2157" s="3" t="s">
        <v>811</v>
      </c>
      <c r="D2157" s="3" t="s">
        <v>169</v>
      </c>
    </row>
    <row r="2158" spans="1:4" x14ac:dyDescent="0.2">
      <c r="A2158" s="3" t="s">
        <v>839</v>
      </c>
      <c r="B2158" t="s">
        <v>8</v>
      </c>
      <c r="C2158" s="3" t="s">
        <v>840</v>
      </c>
      <c r="D2158" s="3" t="s">
        <v>53</v>
      </c>
    </row>
    <row r="2159" spans="1:4" x14ac:dyDescent="0.2">
      <c r="A2159" s="3" t="s">
        <v>839</v>
      </c>
      <c r="B2159" t="s">
        <v>8</v>
      </c>
      <c r="C2159" s="3" t="s">
        <v>841</v>
      </c>
      <c r="D2159" s="3" t="s">
        <v>53</v>
      </c>
    </row>
    <row r="2160" spans="1:4" x14ac:dyDescent="0.2">
      <c r="A2160" s="3" t="s">
        <v>839</v>
      </c>
      <c r="B2160" t="s">
        <v>8</v>
      </c>
      <c r="C2160" s="3" t="s">
        <v>842</v>
      </c>
      <c r="D2160" s="3" t="s">
        <v>53</v>
      </c>
    </row>
    <row r="2161" spans="1:4" x14ac:dyDescent="0.2">
      <c r="A2161" s="3" t="s">
        <v>839</v>
      </c>
      <c r="B2161" t="s">
        <v>8</v>
      </c>
      <c r="C2161" s="3" t="s">
        <v>843</v>
      </c>
      <c r="D2161" s="3" t="s">
        <v>53</v>
      </c>
    </row>
    <row r="2162" spans="1:4" x14ac:dyDescent="0.2">
      <c r="A2162" s="3" t="s">
        <v>839</v>
      </c>
      <c r="B2162" t="s">
        <v>8</v>
      </c>
      <c r="C2162" s="3" t="s">
        <v>844</v>
      </c>
      <c r="D2162" s="3" t="s">
        <v>53</v>
      </c>
    </row>
    <row r="2163" spans="1:4" x14ac:dyDescent="0.2">
      <c r="A2163" s="3" t="s">
        <v>839</v>
      </c>
      <c r="B2163" t="s">
        <v>8</v>
      </c>
      <c r="C2163" s="3" t="s">
        <v>779</v>
      </c>
      <c r="D2163" s="3" t="s">
        <v>53</v>
      </c>
    </row>
    <row r="2164" spans="1:4" x14ac:dyDescent="0.2">
      <c r="A2164" s="3" t="s">
        <v>839</v>
      </c>
      <c r="B2164" t="s">
        <v>8</v>
      </c>
      <c r="C2164" s="3" t="s">
        <v>840</v>
      </c>
      <c r="D2164" s="3" t="s">
        <v>54</v>
      </c>
    </row>
    <row r="2165" spans="1:4" x14ac:dyDescent="0.2">
      <c r="A2165" s="3" t="s">
        <v>839</v>
      </c>
      <c r="B2165" t="s">
        <v>8</v>
      </c>
      <c r="C2165" s="3" t="s">
        <v>841</v>
      </c>
      <c r="D2165" s="3" t="s">
        <v>54</v>
      </c>
    </row>
    <row r="2166" spans="1:4" x14ac:dyDescent="0.2">
      <c r="A2166" s="3" t="s">
        <v>839</v>
      </c>
      <c r="B2166" t="s">
        <v>8</v>
      </c>
      <c r="C2166" s="3" t="s">
        <v>842</v>
      </c>
      <c r="D2166" s="3" t="s">
        <v>54</v>
      </c>
    </row>
    <row r="2167" spans="1:4" x14ac:dyDescent="0.2">
      <c r="A2167" s="3" t="s">
        <v>839</v>
      </c>
      <c r="B2167" t="s">
        <v>8</v>
      </c>
      <c r="C2167" s="3" t="s">
        <v>843</v>
      </c>
      <c r="D2167" s="3" t="s">
        <v>54</v>
      </c>
    </row>
    <row r="2168" spans="1:4" x14ac:dyDescent="0.2">
      <c r="A2168" s="3" t="s">
        <v>839</v>
      </c>
      <c r="B2168" t="s">
        <v>8</v>
      </c>
      <c r="C2168" s="3" t="s">
        <v>844</v>
      </c>
      <c r="D2168" s="3" t="s">
        <v>54</v>
      </c>
    </row>
    <row r="2169" spans="1:4" x14ac:dyDescent="0.2">
      <c r="A2169" s="3" t="s">
        <v>839</v>
      </c>
      <c r="B2169" t="s">
        <v>8</v>
      </c>
      <c r="C2169" s="3" t="s">
        <v>779</v>
      </c>
      <c r="D2169" s="3" t="s">
        <v>54</v>
      </c>
    </row>
    <row r="2170" spans="1:4" x14ac:dyDescent="0.2">
      <c r="A2170" s="3" t="s">
        <v>839</v>
      </c>
      <c r="B2170" t="s">
        <v>8</v>
      </c>
      <c r="C2170" s="3" t="s">
        <v>840</v>
      </c>
      <c r="D2170" s="3" t="s">
        <v>55</v>
      </c>
    </row>
    <row r="2171" spans="1:4" x14ac:dyDescent="0.2">
      <c r="A2171" s="3" t="s">
        <v>839</v>
      </c>
      <c r="B2171" t="s">
        <v>8</v>
      </c>
      <c r="C2171" s="3" t="s">
        <v>841</v>
      </c>
      <c r="D2171" s="3" t="s">
        <v>55</v>
      </c>
    </row>
    <row r="2172" spans="1:4" x14ac:dyDescent="0.2">
      <c r="A2172" s="3" t="s">
        <v>839</v>
      </c>
      <c r="B2172" t="s">
        <v>8</v>
      </c>
      <c r="C2172" s="3" t="s">
        <v>842</v>
      </c>
      <c r="D2172" s="3" t="s">
        <v>55</v>
      </c>
    </row>
    <row r="2173" spans="1:4" x14ac:dyDescent="0.2">
      <c r="A2173" s="3" t="s">
        <v>839</v>
      </c>
      <c r="B2173" t="s">
        <v>8</v>
      </c>
      <c r="C2173" s="3" t="s">
        <v>843</v>
      </c>
      <c r="D2173" s="3" t="s">
        <v>55</v>
      </c>
    </row>
    <row r="2174" spans="1:4" x14ac:dyDescent="0.2">
      <c r="A2174" s="3" t="s">
        <v>839</v>
      </c>
      <c r="B2174" t="s">
        <v>8</v>
      </c>
      <c r="C2174" s="3" t="s">
        <v>844</v>
      </c>
      <c r="D2174" s="3" t="s">
        <v>55</v>
      </c>
    </row>
    <row r="2175" spans="1:4" x14ac:dyDescent="0.2">
      <c r="A2175" s="3" t="s">
        <v>839</v>
      </c>
      <c r="B2175" t="s">
        <v>8</v>
      </c>
      <c r="C2175" s="3" t="s">
        <v>779</v>
      </c>
      <c r="D2175" s="3" t="s">
        <v>55</v>
      </c>
    </row>
    <row r="2176" spans="1:4" x14ac:dyDescent="0.2">
      <c r="A2176" s="3" t="s">
        <v>839</v>
      </c>
      <c r="B2176" t="s">
        <v>8</v>
      </c>
      <c r="C2176" s="3" t="s">
        <v>840</v>
      </c>
      <c r="D2176" s="3" t="s">
        <v>56</v>
      </c>
    </row>
    <row r="2177" spans="1:4" x14ac:dyDescent="0.2">
      <c r="A2177" s="3" t="s">
        <v>839</v>
      </c>
      <c r="B2177" t="s">
        <v>8</v>
      </c>
      <c r="C2177" s="3" t="s">
        <v>841</v>
      </c>
      <c r="D2177" s="3" t="s">
        <v>56</v>
      </c>
    </row>
    <row r="2178" spans="1:4" x14ac:dyDescent="0.2">
      <c r="A2178" s="3" t="s">
        <v>839</v>
      </c>
      <c r="B2178" t="s">
        <v>8</v>
      </c>
      <c r="C2178" s="3" t="s">
        <v>842</v>
      </c>
      <c r="D2178" s="3" t="s">
        <v>56</v>
      </c>
    </row>
    <row r="2179" spans="1:4" x14ac:dyDescent="0.2">
      <c r="A2179" s="3" t="s">
        <v>839</v>
      </c>
      <c r="B2179" t="s">
        <v>8</v>
      </c>
      <c r="C2179" s="3" t="s">
        <v>843</v>
      </c>
      <c r="D2179" s="3" t="s">
        <v>56</v>
      </c>
    </row>
    <row r="2180" spans="1:4" x14ac:dyDescent="0.2">
      <c r="A2180" s="3" t="s">
        <v>839</v>
      </c>
      <c r="B2180" t="s">
        <v>8</v>
      </c>
      <c r="C2180" s="3" t="s">
        <v>844</v>
      </c>
      <c r="D2180" s="3" t="s">
        <v>56</v>
      </c>
    </row>
    <row r="2181" spans="1:4" x14ac:dyDescent="0.2">
      <c r="A2181" s="3" t="s">
        <v>839</v>
      </c>
      <c r="B2181" t="s">
        <v>8</v>
      </c>
      <c r="C2181" s="3" t="s">
        <v>779</v>
      </c>
      <c r="D2181" s="3" t="s">
        <v>56</v>
      </c>
    </row>
    <row r="2182" spans="1:4" x14ac:dyDescent="0.2">
      <c r="A2182" s="3" t="s">
        <v>839</v>
      </c>
      <c r="B2182" t="s">
        <v>8</v>
      </c>
      <c r="C2182" s="3" t="s">
        <v>840</v>
      </c>
      <c r="D2182" s="3" t="s">
        <v>57</v>
      </c>
    </row>
    <row r="2183" spans="1:4" x14ac:dyDescent="0.2">
      <c r="A2183" s="3" t="s">
        <v>839</v>
      </c>
      <c r="B2183" t="s">
        <v>8</v>
      </c>
      <c r="C2183" s="3" t="s">
        <v>841</v>
      </c>
      <c r="D2183" s="3" t="s">
        <v>57</v>
      </c>
    </row>
    <row r="2184" spans="1:4" x14ac:dyDescent="0.2">
      <c r="A2184" s="3" t="s">
        <v>839</v>
      </c>
      <c r="B2184" t="s">
        <v>8</v>
      </c>
      <c r="C2184" s="3" t="s">
        <v>842</v>
      </c>
      <c r="D2184" s="3" t="s">
        <v>57</v>
      </c>
    </row>
    <row r="2185" spans="1:4" x14ac:dyDescent="0.2">
      <c r="A2185" s="3" t="s">
        <v>839</v>
      </c>
      <c r="B2185" t="s">
        <v>8</v>
      </c>
      <c r="C2185" s="3" t="s">
        <v>843</v>
      </c>
      <c r="D2185" s="3" t="s">
        <v>57</v>
      </c>
    </row>
    <row r="2186" spans="1:4" x14ac:dyDescent="0.2">
      <c r="A2186" s="3" t="s">
        <v>839</v>
      </c>
      <c r="B2186" t="s">
        <v>8</v>
      </c>
      <c r="C2186" s="3" t="s">
        <v>844</v>
      </c>
      <c r="D2186" s="3" t="s">
        <v>57</v>
      </c>
    </row>
    <row r="2187" spans="1:4" x14ac:dyDescent="0.2">
      <c r="A2187" s="3" t="s">
        <v>839</v>
      </c>
      <c r="B2187" t="s">
        <v>8</v>
      </c>
      <c r="C2187" s="3" t="s">
        <v>779</v>
      </c>
      <c r="D2187" s="3" t="s">
        <v>57</v>
      </c>
    </row>
    <row r="2188" spans="1:4" x14ac:dyDescent="0.2">
      <c r="A2188" s="3" t="s">
        <v>839</v>
      </c>
      <c r="B2188" t="s">
        <v>8</v>
      </c>
      <c r="C2188" s="3" t="s">
        <v>810</v>
      </c>
      <c r="D2188" s="3" t="s">
        <v>169</v>
      </c>
    </row>
    <row r="2189" spans="1:4" x14ac:dyDescent="0.2">
      <c r="A2189" s="3" t="s">
        <v>839</v>
      </c>
      <c r="B2189" t="s">
        <v>8</v>
      </c>
      <c r="C2189" s="3" t="s">
        <v>811</v>
      </c>
      <c r="D2189" s="3" t="s">
        <v>169</v>
      </c>
    </row>
    <row r="2190" spans="1:4" x14ac:dyDescent="0.2">
      <c r="A2190" s="3" t="s">
        <v>845</v>
      </c>
      <c r="B2190" t="s">
        <v>8</v>
      </c>
      <c r="C2190" s="3" t="s">
        <v>726</v>
      </c>
      <c r="D2190" s="3" t="s">
        <v>53</v>
      </c>
    </row>
    <row r="2191" spans="1:4" x14ac:dyDescent="0.2">
      <c r="A2191" s="3" t="s">
        <v>845</v>
      </c>
      <c r="B2191" t="s">
        <v>8</v>
      </c>
      <c r="C2191" s="3" t="s">
        <v>846</v>
      </c>
      <c r="D2191" s="3" t="s">
        <v>53</v>
      </c>
    </row>
    <row r="2192" spans="1:4" x14ac:dyDescent="0.2">
      <c r="A2192" s="3" t="s">
        <v>845</v>
      </c>
      <c r="B2192" t="s">
        <v>8</v>
      </c>
      <c r="C2192" s="3" t="s">
        <v>847</v>
      </c>
      <c r="D2192" s="3" t="s">
        <v>53</v>
      </c>
    </row>
    <row r="2193" spans="1:4" x14ac:dyDescent="0.2">
      <c r="A2193" s="3" t="s">
        <v>845</v>
      </c>
      <c r="B2193" t="s">
        <v>8</v>
      </c>
      <c r="C2193" s="3" t="s">
        <v>779</v>
      </c>
      <c r="D2193" s="3" t="s">
        <v>53</v>
      </c>
    </row>
    <row r="2194" spans="1:4" x14ac:dyDescent="0.2">
      <c r="A2194" s="3" t="s">
        <v>845</v>
      </c>
      <c r="B2194" t="s">
        <v>8</v>
      </c>
      <c r="C2194" s="3" t="s">
        <v>726</v>
      </c>
      <c r="D2194" s="3" t="s">
        <v>54</v>
      </c>
    </row>
    <row r="2195" spans="1:4" x14ac:dyDescent="0.2">
      <c r="A2195" s="3" t="s">
        <v>845</v>
      </c>
      <c r="B2195" t="s">
        <v>8</v>
      </c>
      <c r="C2195" s="3" t="s">
        <v>846</v>
      </c>
      <c r="D2195" s="3" t="s">
        <v>54</v>
      </c>
    </row>
    <row r="2196" spans="1:4" x14ac:dyDescent="0.2">
      <c r="A2196" s="3" t="s">
        <v>845</v>
      </c>
      <c r="B2196" t="s">
        <v>8</v>
      </c>
      <c r="C2196" s="3" t="s">
        <v>847</v>
      </c>
      <c r="D2196" s="3" t="s">
        <v>54</v>
      </c>
    </row>
    <row r="2197" spans="1:4" x14ac:dyDescent="0.2">
      <c r="A2197" s="3" t="s">
        <v>845</v>
      </c>
      <c r="B2197" t="s">
        <v>8</v>
      </c>
      <c r="C2197" s="3" t="s">
        <v>779</v>
      </c>
      <c r="D2197" s="3" t="s">
        <v>54</v>
      </c>
    </row>
    <row r="2198" spans="1:4" x14ac:dyDescent="0.2">
      <c r="A2198" s="3" t="s">
        <v>845</v>
      </c>
      <c r="B2198" t="s">
        <v>8</v>
      </c>
      <c r="C2198" s="3" t="s">
        <v>726</v>
      </c>
      <c r="D2198" s="3" t="s">
        <v>55</v>
      </c>
    </row>
    <row r="2199" spans="1:4" x14ac:dyDescent="0.2">
      <c r="A2199" s="3" t="s">
        <v>845</v>
      </c>
      <c r="B2199" t="s">
        <v>8</v>
      </c>
      <c r="C2199" s="3" t="s">
        <v>846</v>
      </c>
      <c r="D2199" s="3" t="s">
        <v>55</v>
      </c>
    </row>
    <row r="2200" spans="1:4" x14ac:dyDescent="0.2">
      <c r="A2200" s="3" t="s">
        <v>845</v>
      </c>
      <c r="B2200" t="s">
        <v>8</v>
      </c>
      <c r="C2200" s="3" t="s">
        <v>779</v>
      </c>
      <c r="D2200" s="3" t="s">
        <v>55</v>
      </c>
    </row>
    <row r="2201" spans="1:4" x14ac:dyDescent="0.2">
      <c r="A2201" s="3" t="s">
        <v>845</v>
      </c>
      <c r="B2201" t="s">
        <v>8</v>
      </c>
      <c r="C2201" s="3" t="s">
        <v>726</v>
      </c>
      <c r="D2201" s="3" t="s">
        <v>56</v>
      </c>
    </row>
    <row r="2202" spans="1:4" x14ac:dyDescent="0.2">
      <c r="A2202" s="3" t="s">
        <v>845</v>
      </c>
      <c r="B2202" t="s">
        <v>8</v>
      </c>
      <c r="C2202" s="3" t="s">
        <v>846</v>
      </c>
      <c r="D2202" s="3" t="s">
        <v>56</v>
      </c>
    </row>
    <row r="2203" spans="1:4" x14ac:dyDescent="0.2">
      <c r="A2203" s="3" t="s">
        <v>845</v>
      </c>
      <c r="B2203" t="s">
        <v>8</v>
      </c>
      <c r="C2203" s="3" t="s">
        <v>779</v>
      </c>
      <c r="D2203" s="3" t="s">
        <v>56</v>
      </c>
    </row>
    <row r="2204" spans="1:4" x14ac:dyDescent="0.2">
      <c r="A2204" s="3" t="s">
        <v>845</v>
      </c>
      <c r="B2204" t="s">
        <v>8</v>
      </c>
      <c r="C2204" s="3" t="s">
        <v>726</v>
      </c>
      <c r="D2204" s="3" t="s">
        <v>57</v>
      </c>
    </row>
    <row r="2205" spans="1:4" x14ac:dyDescent="0.2">
      <c r="A2205" s="3" t="s">
        <v>845</v>
      </c>
      <c r="B2205" t="s">
        <v>8</v>
      </c>
      <c r="C2205" s="3" t="s">
        <v>846</v>
      </c>
      <c r="D2205" s="3" t="s">
        <v>57</v>
      </c>
    </row>
    <row r="2206" spans="1:4" x14ac:dyDescent="0.2">
      <c r="A2206" s="3" t="s">
        <v>845</v>
      </c>
      <c r="B2206" t="s">
        <v>8</v>
      </c>
      <c r="C2206" s="3" t="s">
        <v>779</v>
      </c>
      <c r="D2206" s="3" t="s">
        <v>57</v>
      </c>
    </row>
    <row r="2207" spans="1:4" x14ac:dyDescent="0.2">
      <c r="A2207" s="3" t="s">
        <v>845</v>
      </c>
      <c r="B2207" t="s">
        <v>8</v>
      </c>
      <c r="C2207" s="3" t="s">
        <v>810</v>
      </c>
      <c r="D2207" s="3" t="s">
        <v>169</v>
      </c>
    </row>
    <row r="2208" spans="1:4" x14ac:dyDescent="0.2">
      <c r="A2208" s="3" t="s">
        <v>845</v>
      </c>
      <c r="B2208" t="s">
        <v>8</v>
      </c>
      <c r="C2208" s="3" t="s">
        <v>811</v>
      </c>
      <c r="D2208" s="3" t="s">
        <v>169</v>
      </c>
    </row>
    <row r="2209" spans="1:4" x14ac:dyDescent="0.2">
      <c r="A2209" s="3" t="s">
        <v>848</v>
      </c>
      <c r="B2209" t="s">
        <v>8</v>
      </c>
      <c r="C2209" s="3" t="s">
        <v>849</v>
      </c>
      <c r="D2209" s="3" t="s">
        <v>53</v>
      </c>
    </row>
    <row r="2210" spans="1:4" x14ac:dyDescent="0.2">
      <c r="A2210" s="3" t="s">
        <v>848</v>
      </c>
      <c r="B2210" t="s">
        <v>8</v>
      </c>
      <c r="C2210" s="3" t="s">
        <v>850</v>
      </c>
      <c r="D2210" s="3" t="s">
        <v>53</v>
      </c>
    </row>
    <row r="2211" spans="1:4" x14ac:dyDescent="0.2">
      <c r="A2211" s="3" t="s">
        <v>848</v>
      </c>
      <c r="B2211" t="s">
        <v>8</v>
      </c>
      <c r="C2211" s="3" t="s">
        <v>851</v>
      </c>
      <c r="D2211" s="3" t="s">
        <v>53</v>
      </c>
    </row>
    <row r="2212" spans="1:4" x14ac:dyDescent="0.2">
      <c r="A2212" s="3" t="s">
        <v>848</v>
      </c>
      <c r="B2212" t="s">
        <v>8</v>
      </c>
      <c r="C2212" s="3" t="s">
        <v>779</v>
      </c>
      <c r="D2212" s="3" t="s">
        <v>53</v>
      </c>
    </row>
    <row r="2213" spans="1:4" x14ac:dyDescent="0.2">
      <c r="A2213" s="3" t="s">
        <v>848</v>
      </c>
      <c r="B2213" t="s">
        <v>8</v>
      </c>
      <c r="C2213" s="3" t="s">
        <v>849</v>
      </c>
      <c r="D2213" s="3" t="s">
        <v>54</v>
      </c>
    </row>
    <row r="2214" spans="1:4" x14ac:dyDescent="0.2">
      <c r="A2214" s="3" t="s">
        <v>848</v>
      </c>
      <c r="B2214" t="s">
        <v>8</v>
      </c>
      <c r="C2214" s="3" t="s">
        <v>850</v>
      </c>
      <c r="D2214" s="3" t="s">
        <v>54</v>
      </c>
    </row>
    <row r="2215" spans="1:4" x14ac:dyDescent="0.2">
      <c r="A2215" s="3" t="s">
        <v>848</v>
      </c>
      <c r="B2215" t="s">
        <v>8</v>
      </c>
      <c r="C2215" s="3" t="s">
        <v>851</v>
      </c>
      <c r="D2215" s="3" t="s">
        <v>54</v>
      </c>
    </row>
    <row r="2216" spans="1:4" x14ac:dyDescent="0.2">
      <c r="A2216" s="3" t="s">
        <v>848</v>
      </c>
      <c r="B2216" t="s">
        <v>8</v>
      </c>
      <c r="C2216" s="3" t="s">
        <v>779</v>
      </c>
      <c r="D2216" s="3" t="s">
        <v>54</v>
      </c>
    </row>
    <row r="2217" spans="1:4" x14ac:dyDescent="0.2">
      <c r="A2217" s="3" t="s">
        <v>848</v>
      </c>
      <c r="B2217" t="s">
        <v>8</v>
      </c>
      <c r="C2217" s="3" t="s">
        <v>849</v>
      </c>
      <c r="D2217" s="3" t="s">
        <v>55</v>
      </c>
    </row>
    <row r="2218" spans="1:4" x14ac:dyDescent="0.2">
      <c r="A2218" s="3" t="s">
        <v>848</v>
      </c>
      <c r="B2218" t="s">
        <v>8</v>
      </c>
      <c r="C2218" s="3" t="s">
        <v>850</v>
      </c>
      <c r="D2218" s="3" t="s">
        <v>55</v>
      </c>
    </row>
    <row r="2219" spans="1:4" x14ac:dyDescent="0.2">
      <c r="A2219" s="3" t="s">
        <v>848</v>
      </c>
      <c r="B2219" t="s">
        <v>8</v>
      </c>
      <c r="C2219" s="3" t="s">
        <v>851</v>
      </c>
      <c r="D2219" s="3" t="s">
        <v>55</v>
      </c>
    </row>
    <row r="2220" spans="1:4" x14ac:dyDescent="0.2">
      <c r="A2220" s="3" t="s">
        <v>848</v>
      </c>
      <c r="B2220" t="s">
        <v>8</v>
      </c>
      <c r="C2220" s="3" t="s">
        <v>779</v>
      </c>
      <c r="D2220" s="3" t="s">
        <v>55</v>
      </c>
    </row>
    <row r="2221" spans="1:4" x14ac:dyDescent="0.2">
      <c r="A2221" s="3" t="s">
        <v>848</v>
      </c>
      <c r="B2221" t="s">
        <v>8</v>
      </c>
      <c r="C2221" s="3" t="s">
        <v>849</v>
      </c>
      <c r="D2221" s="3" t="s">
        <v>56</v>
      </c>
    </row>
    <row r="2222" spans="1:4" x14ac:dyDescent="0.2">
      <c r="A2222" s="3" t="s">
        <v>848</v>
      </c>
      <c r="B2222" t="s">
        <v>8</v>
      </c>
      <c r="C2222" s="3" t="s">
        <v>850</v>
      </c>
      <c r="D2222" s="3" t="s">
        <v>56</v>
      </c>
    </row>
    <row r="2223" spans="1:4" x14ac:dyDescent="0.2">
      <c r="A2223" s="3" t="s">
        <v>848</v>
      </c>
      <c r="B2223" t="s">
        <v>8</v>
      </c>
      <c r="C2223" s="3" t="s">
        <v>851</v>
      </c>
      <c r="D2223" s="3" t="s">
        <v>56</v>
      </c>
    </row>
    <row r="2224" spans="1:4" x14ac:dyDescent="0.2">
      <c r="A2224" s="3" t="s">
        <v>848</v>
      </c>
      <c r="B2224" t="s">
        <v>8</v>
      </c>
      <c r="C2224" s="3" t="s">
        <v>779</v>
      </c>
      <c r="D2224" s="3" t="s">
        <v>56</v>
      </c>
    </row>
    <row r="2225" spans="1:4" x14ac:dyDescent="0.2">
      <c r="A2225" s="3" t="s">
        <v>848</v>
      </c>
      <c r="B2225" t="s">
        <v>8</v>
      </c>
      <c r="C2225" s="3" t="s">
        <v>849</v>
      </c>
      <c r="D2225" s="3" t="s">
        <v>57</v>
      </c>
    </row>
    <row r="2226" spans="1:4" x14ac:dyDescent="0.2">
      <c r="A2226" s="3" t="s">
        <v>848</v>
      </c>
      <c r="B2226" t="s">
        <v>8</v>
      </c>
      <c r="C2226" s="3" t="s">
        <v>850</v>
      </c>
      <c r="D2226" s="3" t="s">
        <v>57</v>
      </c>
    </row>
    <row r="2227" spans="1:4" x14ac:dyDescent="0.2">
      <c r="A2227" s="3" t="s">
        <v>848</v>
      </c>
      <c r="B2227" t="s">
        <v>8</v>
      </c>
      <c r="C2227" s="3" t="s">
        <v>851</v>
      </c>
      <c r="D2227" s="3" t="s">
        <v>57</v>
      </c>
    </row>
    <row r="2228" spans="1:4" x14ac:dyDescent="0.2">
      <c r="A2228" s="3" t="s">
        <v>848</v>
      </c>
      <c r="B2228" t="s">
        <v>8</v>
      </c>
      <c r="C2228" s="3" t="s">
        <v>779</v>
      </c>
      <c r="D2228" s="3" t="s">
        <v>57</v>
      </c>
    </row>
    <row r="2229" spans="1:4" x14ac:dyDescent="0.2">
      <c r="A2229" s="3" t="s">
        <v>852</v>
      </c>
      <c r="B2229" t="s">
        <v>8</v>
      </c>
      <c r="C2229" s="3" t="s">
        <v>760</v>
      </c>
      <c r="D2229" s="3" t="s">
        <v>53</v>
      </c>
    </row>
    <row r="2230" spans="1:4" x14ac:dyDescent="0.2">
      <c r="A2230" s="3" t="s">
        <v>852</v>
      </c>
      <c r="B2230" t="s">
        <v>8</v>
      </c>
      <c r="C2230" s="3" t="s">
        <v>760</v>
      </c>
      <c r="D2230" s="3" t="s">
        <v>54</v>
      </c>
    </row>
    <row r="2231" spans="1:4" x14ac:dyDescent="0.2">
      <c r="A2231" s="3" t="s">
        <v>852</v>
      </c>
      <c r="B2231" t="s">
        <v>8</v>
      </c>
      <c r="C2231" s="3" t="s">
        <v>760</v>
      </c>
      <c r="D2231" s="3" t="s">
        <v>55</v>
      </c>
    </row>
    <row r="2232" spans="1:4" x14ac:dyDescent="0.2">
      <c r="A2232" s="3" t="s">
        <v>852</v>
      </c>
      <c r="B2232" t="s">
        <v>8</v>
      </c>
      <c r="C2232" s="3" t="s">
        <v>760</v>
      </c>
      <c r="D2232" s="3" t="s">
        <v>56</v>
      </c>
    </row>
    <row r="2233" spans="1:4" x14ac:dyDescent="0.2">
      <c r="A2233" s="3" t="s">
        <v>852</v>
      </c>
      <c r="B2233" t="s">
        <v>8</v>
      </c>
      <c r="C2233" s="3" t="s">
        <v>760</v>
      </c>
      <c r="D2233" s="3" t="s">
        <v>57</v>
      </c>
    </row>
    <row r="2234" spans="1:4" x14ac:dyDescent="0.2">
      <c r="A2234" s="3" t="s">
        <v>852</v>
      </c>
      <c r="B2234" t="s">
        <v>8</v>
      </c>
      <c r="C2234" s="3" t="s">
        <v>776</v>
      </c>
      <c r="D2234" s="3" t="s">
        <v>169</v>
      </c>
    </row>
    <row r="2235" spans="1:4" x14ac:dyDescent="0.2">
      <c r="A2235" s="3" t="s">
        <v>852</v>
      </c>
      <c r="B2235" t="s">
        <v>8</v>
      </c>
      <c r="C2235" s="3" t="s">
        <v>810</v>
      </c>
      <c r="D2235" s="3" t="s">
        <v>169</v>
      </c>
    </row>
    <row r="2236" spans="1:4" x14ac:dyDescent="0.2">
      <c r="A2236" s="3" t="s">
        <v>852</v>
      </c>
      <c r="B2236" t="s">
        <v>8</v>
      </c>
      <c r="C2236" s="3" t="s">
        <v>811</v>
      </c>
      <c r="D2236" s="3" t="s">
        <v>169</v>
      </c>
    </row>
    <row r="2237" spans="1:4" x14ac:dyDescent="0.2">
      <c r="A2237" s="3" t="s">
        <v>852</v>
      </c>
      <c r="B2237" t="s">
        <v>8</v>
      </c>
      <c r="C2237" s="3" t="s">
        <v>853</v>
      </c>
      <c r="D2237" s="3" t="s">
        <v>169</v>
      </c>
    </row>
    <row r="2238" spans="1:4" x14ac:dyDescent="0.2">
      <c r="A2238" s="3" t="s">
        <v>852</v>
      </c>
      <c r="B2238" t="s">
        <v>8</v>
      </c>
      <c r="C2238" s="3" t="s">
        <v>854</v>
      </c>
      <c r="D2238" s="3" t="s">
        <v>169</v>
      </c>
    </row>
    <row r="2239" spans="1:4" x14ac:dyDescent="0.2">
      <c r="A2239" s="3" t="s">
        <v>855</v>
      </c>
      <c r="B2239" t="s">
        <v>8</v>
      </c>
      <c r="C2239" s="3" t="s">
        <v>856</v>
      </c>
      <c r="D2239" s="3" t="s">
        <v>169</v>
      </c>
    </row>
    <row r="2240" spans="1:4" x14ac:dyDescent="0.2">
      <c r="A2240" s="3" t="s">
        <v>855</v>
      </c>
      <c r="B2240" t="s">
        <v>8</v>
      </c>
      <c r="C2240" s="3" t="s">
        <v>853</v>
      </c>
      <c r="D2240" s="3" t="s">
        <v>169</v>
      </c>
    </row>
    <row r="2241" spans="1:4" x14ac:dyDescent="0.2">
      <c r="A2241" s="3" t="s">
        <v>855</v>
      </c>
      <c r="B2241" t="s">
        <v>8</v>
      </c>
      <c r="C2241" s="3" t="s">
        <v>857</v>
      </c>
      <c r="D2241" s="3" t="s">
        <v>169</v>
      </c>
    </row>
    <row r="2242" spans="1:4" x14ac:dyDescent="0.2">
      <c r="A2242" s="3" t="s">
        <v>858</v>
      </c>
      <c r="B2242" t="s">
        <v>8</v>
      </c>
      <c r="C2242" s="3" t="s">
        <v>760</v>
      </c>
      <c r="D2242" s="3" t="s">
        <v>53</v>
      </c>
    </row>
    <row r="2243" spans="1:4" x14ac:dyDescent="0.2">
      <c r="A2243" s="3" t="s">
        <v>858</v>
      </c>
      <c r="B2243" t="s">
        <v>8</v>
      </c>
      <c r="C2243" s="3" t="s">
        <v>760</v>
      </c>
      <c r="D2243" s="3" t="s">
        <v>54</v>
      </c>
    </row>
    <row r="2244" spans="1:4" x14ac:dyDescent="0.2">
      <c r="A2244" s="3" t="s">
        <v>858</v>
      </c>
      <c r="B2244" t="s">
        <v>8</v>
      </c>
      <c r="C2244" s="3" t="s">
        <v>760</v>
      </c>
      <c r="D2244" s="3" t="s">
        <v>55</v>
      </c>
    </row>
    <row r="2245" spans="1:4" x14ac:dyDescent="0.2">
      <c r="A2245" s="3" t="s">
        <v>858</v>
      </c>
      <c r="B2245" t="s">
        <v>8</v>
      </c>
      <c r="C2245" s="3" t="s">
        <v>760</v>
      </c>
      <c r="D2245" s="3" t="s">
        <v>56</v>
      </c>
    </row>
    <row r="2246" spans="1:4" x14ac:dyDescent="0.2">
      <c r="A2246" s="3" t="s">
        <v>858</v>
      </c>
      <c r="B2246" t="s">
        <v>8</v>
      </c>
      <c r="C2246" s="3" t="s">
        <v>760</v>
      </c>
      <c r="D2246" s="3" t="s">
        <v>57</v>
      </c>
    </row>
    <row r="2247" spans="1:4" x14ac:dyDescent="0.2">
      <c r="A2247" s="3" t="s">
        <v>858</v>
      </c>
      <c r="B2247" t="s">
        <v>8</v>
      </c>
      <c r="C2247" s="3" t="s">
        <v>859</v>
      </c>
      <c r="D2247" s="3" t="s">
        <v>169</v>
      </c>
    </row>
    <row r="2248" spans="1:4" x14ac:dyDescent="0.2">
      <c r="A2248" s="3" t="s">
        <v>858</v>
      </c>
      <c r="B2248" t="s">
        <v>8</v>
      </c>
      <c r="C2248" s="3" t="s">
        <v>860</v>
      </c>
      <c r="D2248" s="3" t="s">
        <v>169</v>
      </c>
    </row>
    <row r="2249" spans="1:4" x14ac:dyDescent="0.2">
      <c r="A2249" s="3" t="s">
        <v>858</v>
      </c>
      <c r="B2249" t="s">
        <v>8</v>
      </c>
      <c r="C2249" s="3" t="s">
        <v>861</v>
      </c>
      <c r="D2249" s="3" t="s">
        <v>169</v>
      </c>
    </row>
    <row r="2250" spans="1:4" x14ac:dyDescent="0.2">
      <c r="A2250" s="3" t="s">
        <v>858</v>
      </c>
      <c r="B2250" t="s">
        <v>8</v>
      </c>
      <c r="C2250" s="3" t="s">
        <v>862</v>
      </c>
      <c r="D2250" s="3" t="s">
        <v>169</v>
      </c>
    </row>
    <row r="2251" spans="1:4" x14ac:dyDescent="0.2">
      <c r="A2251" s="3" t="s">
        <v>858</v>
      </c>
      <c r="B2251" t="s">
        <v>8</v>
      </c>
      <c r="C2251" s="3" t="s">
        <v>798</v>
      </c>
      <c r="D2251" s="3" t="s">
        <v>169</v>
      </c>
    </row>
    <row r="2252" spans="1:4" x14ac:dyDescent="0.2">
      <c r="A2252" s="3" t="s">
        <v>863</v>
      </c>
      <c r="B2252" t="s">
        <v>8</v>
      </c>
      <c r="C2252" s="3" t="s">
        <v>864</v>
      </c>
      <c r="D2252" s="3" t="s">
        <v>53</v>
      </c>
    </row>
    <row r="2253" spans="1:4" x14ac:dyDescent="0.2">
      <c r="A2253" s="3" t="s">
        <v>863</v>
      </c>
      <c r="B2253" t="s">
        <v>8</v>
      </c>
      <c r="C2253" s="3" t="s">
        <v>865</v>
      </c>
      <c r="D2253" s="3" t="s">
        <v>53</v>
      </c>
    </row>
    <row r="2254" spans="1:4" x14ac:dyDescent="0.2">
      <c r="A2254" s="3" t="s">
        <v>863</v>
      </c>
      <c r="B2254" t="s">
        <v>8</v>
      </c>
      <c r="C2254" s="3" t="s">
        <v>866</v>
      </c>
      <c r="D2254" s="3" t="s">
        <v>53</v>
      </c>
    </row>
    <row r="2255" spans="1:4" x14ac:dyDescent="0.2">
      <c r="A2255" s="3" t="s">
        <v>863</v>
      </c>
      <c r="B2255" t="s">
        <v>8</v>
      </c>
      <c r="C2255" s="3" t="s">
        <v>779</v>
      </c>
      <c r="D2255" s="3" t="s">
        <v>53</v>
      </c>
    </row>
    <row r="2256" spans="1:4" x14ac:dyDescent="0.2">
      <c r="A2256" s="3" t="s">
        <v>863</v>
      </c>
      <c r="B2256" t="s">
        <v>8</v>
      </c>
      <c r="C2256" s="3" t="s">
        <v>864</v>
      </c>
      <c r="D2256" s="3" t="s">
        <v>54</v>
      </c>
    </row>
    <row r="2257" spans="1:4" x14ac:dyDescent="0.2">
      <c r="A2257" s="3" t="s">
        <v>863</v>
      </c>
      <c r="B2257" t="s">
        <v>8</v>
      </c>
      <c r="C2257" s="3" t="s">
        <v>865</v>
      </c>
      <c r="D2257" s="3" t="s">
        <v>54</v>
      </c>
    </row>
    <row r="2258" spans="1:4" x14ac:dyDescent="0.2">
      <c r="A2258" s="3" t="s">
        <v>863</v>
      </c>
      <c r="B2258" t="s">
        <v>8</v>
      </c>
      <c r="C2258" s="3" t="s">
        <v>866</v>
      </c>
      <c r="D2258" s="3" t="s">
        <v>54</v>
      </c>
    </row>
    <row r="2259" spans="1:4" x14ac:dyDescent="0.2">
      <c r="A2259" s="3" t="s">
        <v>863</v>
      </c>
      <c r="B2259" t="s">
        <v>8</v>
      </c>
      <c r="C2259" s="3" t="s">
        <v>779</v>
      </c>
      <c r="D2259" s="3" t="s">
        <v>54</v>
      </c>
    </row>
    <row r="2260" spans="1:4" x14ac:dyDescent="0.2">
      <c r="A2260" s="3" t="s">
        <v>863</v>
      </c>
      <c r="B2260" t="s">
        <v>8</v>
      </c>
      <c r="C2260" s="3" t="s">
        <v>864</v>
      </c>
      <c r="D2260" s="3" t="s">
        <v>55</v>
      </c>
    </row>
    <row r="2261" spans="1:4" x14ac:dyDescent="0.2">
      <c r="A2261" s="3" t="s">
        <v>863</v>
      </c>
      <c r="B2261" t="s">
        <v>8</v>
      </c>
      <c r="C2261" s="3" t="s">
        <v>865</v>
      </c>
      <c r="D2261" s="3" t="s">
        <v>55</v>
      </c>
    </row>
    <row r="2262" spans="1:4" x14ac:dyDescent="0.2">
      <c r="A2262" s="3" t="s">
        <v>863</v>
      </c>
      <c r="B2262" t="s">
        <v>8</v>
      </c>
      <c r="C2262" s="3" t="s">
        <v>866</v>
      </c>
      <c r="D2262" s="3" t="s">
        <v>55</v>
      </c>
    </row>
    <row r="2263" spans="1:4" x14ac:dyDescent="0.2">
      <c r="A2263" s="3" t="s">
        <v>863</v>
      </c>
      <c r="B2263" t="s">
        <v>8</v>
      </c>
      <c r="C2263" s="3" t="s">
        <v>779</v>
      </c>
      <c r="D2263" s="3" t="s">
        <v>55</v>
      </c>
    </row>
    <row r="2264" spans="1:4" x14ac:dyDescent="0.2">
      <c r="A2264" s="3" t="s">
        <v>863</v>
      </c>
      <c r="B2264" t="s">
        <v>8</v>
      </c>
      <c r="C2264" s="3" t="s">
        <v>864</v>
      </c>
      <c r="D2264" s="3" t="s">
        <v>56</v>
      </c>
    </row>
    <row r="2265" spans="1:4" x14ac:dyDescent="0.2">
      <c r="A2265" s="3" t="s">
        <v>863</v>
      </c>
      <c r="B2265" t="s">
        <v>8</v>
      </c>
      <c r="C2265" s="3" t="s">
        <v>865</v>
      </c>
      <c r="D2265" s="3" t="s">
        <v>56</v>
      </c>
    </row>
    <row r="2266" spans="1:4" x14ac:dyDescent="0.2">
      <c r="A2266" s="3" t="s">
        <v>863</v>
      </c>
      <c r="B2266" t="s">
        <v>8</v>
      </c>
      <c r="C2266" s="3" t="s">
        <v>866</v>
      </c>
      <c r="D2266" s="3" t="s">
        <v>56</v>
      </c>
    </row>
    <row r="2267" spans="1:4" x14ac:dyDescent="0.2">
      <c r="A2267" s="3" t="s">
        <v>863</v>
      </c>
      <c r="B2267" t="s">
        <v>8</v>
      </c>
      <c r="C2267" s="3" t="s">
        <v>779</v>
      </c>
      <c r="D2267" s="3" t="s">
        <v>56</v>
      </c>
    </row>
    <row r="2268" spans="1:4" x14ac:dyDescent="0.2">
      <c r="A2268" s="3" t="s">
        <v>863</v>
      </c>
      <c r="B2268" t="s">
        <v>8</v>
      </c>
      <c r="C2268" s="3" t="s">
        <v>864</v>
      </c>
      <c r="D2268" s="3" t="s">
        <v>57</v>
      </c>
    </row>
    <row r="2269" spans="1:4" x14ac:dyDescent="0.2">
      <c r="A2269" s="3" t="s">
        <v>863</v>
      </c>
      <c r="B2269" t="s">
        <v>8</v>
      </c>
      <c r="C2269" s="3" t="s">
        <v>865</v>
      </c>
      <c r="D2269" s="3" t="s">
        <v>57</v>
      </c>
    </row>
    <row r="2270" spans="1:4" x14ac:dyDescent="0.2">
      <c r="A2270" s="3" t="s">
        <v>863</v>
      </c>
      <c r="B2270" t="s">
        <v>8</v>
      </c>
      <c r="C2270" s="3" t="s">
        <v>866</v>
      </c>
      <c r="D2270" s="3" t="s">
        <v>57</v>
      </c>
    </row>
    <row r="2271" spans="1:4" x14ac:dyDescent="0.2">
      <c r="A2271" s="3" t="s">
        <v>863</v>
      </c>
      <c r="B2271" t="s">
        <v>8</v>
      </c>
      <c r="C2271" s="3" t="s">
        <v>779</v>
      </c>
      <c r="D2271" s="3" t="s">
        <v>57</v>
      </c>
    </row>
    <row r="2272" spans="1:4" x14ac:dyDescent="0.2">
      <c r="A2272" s="3" t="s">
        <v>863</v>
      </c>
      <c r="B2272" t="s">
        <v>8</v>
      </c>
      <c r="C2272" s="3" t="s">
        <v>867</v>
      </c>
      <c r="D2272" s="3" t="s">
        <v>22</v>
      </c>
    </row>
    <row r="2273" spans="1:4" x14ac:dyDescent="0.2">
      <c r="A2273" s="3" t="s">
        <v>868</v>
      </c>
      <c r="B2273" t="s">
        <v>8</v>
      </c>
      <c r="C2273" s="3" t="s">
        <v>869</v>
      </c>
      <c r="D2273" s="3" t="s">
        <v>53</v>
      </c>
    </row>
    <row r="2274" spans="1:4" x14ac:dyDescent="0.2">
      <c r="A2274" s="3" t="s">
        <v>868</v>
      </c>
      <c r="B2274" t="s">
        <v>8</v>
      </c>
      <c r="C2274" s="3" t="s">
        <v>870</v>
      </c>
      <c r="D2274" s="3" t="s">
        <v>53</v>
      </c>
    </row>
    <row r="2275" spans="1:4" x14ac:dyDescent="0.2">
      <c r="A2275" s="3" t="s">
        <v>868</v>
      </c>
      <c r="B2275" t="s">
        <v>8</v>
      </c>
      <c r="C2275" s="3" t="s">
        <v>871</v>
      </c>
      <c r="D2275" s="3" t="s">
        <v>53</v>
      </c>
    </row>
    <row r="2276" spans="1:4" x14ac:dyDescent="0.2">
      <c r="A2276" s="3" t="s">
        <v>868</v>
      </c>
      <c r="B2276" t="s">
        <v>8</v>
      </c>
      <c r="C2276" s="3" t="s">
        <v>869</v>
      </c>
      <c r="D2276" s="3" t="s">
        <v>54</v>
      </c>
    </row>
    <row r="2277" spans="1:4" x14ac:dyDescent="0.2">
      <c r="A2277" s="3" t="s">
        <v>868</v>
      </c>
      <c r="B2277" t="s">
        <v>8</v>
      </c>
      <c r="C2277" s="3" t="s">
        <v>870</v>
      </c>
      <c r="D2277" s="3" t="s">
        <v>54</v>
      </c>
    </row>
    <row r="2278" spans="1:4" x14ac:dyDescent="0.2">
      <c r="A2278" s="3" t="s">
        <v>868</v>
      </c>
      <c r="B2278" t="s">
        <v>8</v>
      </c>
      <c r="C2278" s="3" t="s">
        <v>871</v>
      </c>
      <c r="D2278" s="3" t="s">
        <v>54</v>
      </c>
    </row>
    <row r="2279" spans="1:4" x14ac:dyDescent="0.2">
      <c r="A2279" s="3" t="s">
        <v>868</v>
      </c>
      <c r="B2279" t="s">
        <v>8</v>
      </c>
      <c r="C2279" s="3" t="s">
        <v>869</v>
      </c>
      <c r="D2279" s="3" t="s">
        <v>55</v>
      </c>
    </row>
    <row r="2280" spans="1:4" x14ac:dyDescent="0.2">
      <c r="A2280" s="3" t="s">
        <v>868</v>
      </c>
      <c r="B2280" t="s">
        <v>8</v>
      </c>
      <c r="C2280" s="3" t="s">
        <v>870</v>
      </c>
      <c r="D2280" s="3" t="s">
        <v>55</v>
      </c>
    </row>
    <row r="2281" spans="1:4" x14ac:dyDescent="0.2">
      <c r="A2281" s="3" t="s">
        <v>868</v>
      </c>
      <c r="B2281" t="s">
        <v>8</v>
      </c>
      <c r="C2281" s="3" t="s">
        <v>871</v>
      </c>
      <c r="D2281" s="3" t="s">
        <v>55</v>
      </c>
    </row>
    <row r="2282" spans="1:4" x14ac:dyDescent="0.2">
      <c r="A2282" s="3" t="s">
        <v>868</v>
      </c>
      <c r="B2282" t="s">
        <v>8</v>
      </c>
      <c r="C2282" s="3" t="s">
        <v>869</v>
      </c>
      <c r="D2282" s="3" t="s">
        <v>56</v>
      </c>
    </row>
    <row r="2283" spans="1:4" x14ac:dyDescent="0.2">
      <c r="A2283" s="3" t="s">
        <v>868</v>
      </c>
      <c r="B2283" t="s">
        <v>8</v>
      </c>
      <c r="C2283" s="3" t="s">
        <v>870</v>
      </c>
      <c r="D2283" s="3" t="s">
        <v>56</v>
      </c>
    </row>
    <row r="2284" spans="1:4" x14ac:dyDescent="0.2">
      <c r="A2284" s="3" t="s">
        <v>868</v>
      </c>
      <c r="B2284" t="s">
        <v>8</v>
      </c>
      <c r="C2284" s="3" t="s">
        <v>871</v>
      </c>
      <c r="D2284" s="3" t="s">
        <v>56</v>
      </c>
    </row>
    <row r="2285" spans="1:4" x14ac:dyDescent="0.2">
      <c r="A2285" s="3" t="s">
        <v>868</v>
      </c>
      <c r="B2285" t="s">
        <v>8</v>
      </c>
      <c r="C2285" s="3" t="s">
        <v>869</v>
      </c>
      <c r="D2285" s="3" t="s">
        <v>57</v>
      </c>
    </row>
    <row r="2286" spans="1:4" x14ac:dyDescent="0.2">
      <c r="A2286" s="3" t="s">
        <v>868</v>
      </c>
      <c r="B2286" t="s">
        <v>8</v>
      </c>
      <c r="C2286" s="3" t="s">
        <v>870</v>
      </c>
      <c r="D2286" s="3" t="s">
        <v>57</v>
      </c>
    </row>
    <row r="2287" spans="1:4" x14ac:dyDescent="0.2">
      <c r="A2287" s="3" t="s">
        <v>868</v>
      </c>
      <c r="B2287" t="s">
        <v>8</v>
      </c>
      <c r="C2287" s="3" t="s">
        <v>871</v>
      </c>
      <c r="D2287" s="3" t="s">
        <v>57</v>
      </c>
    </row>
    <row r="2288" spans="1:4" x14ac:dyDescent="0.2">
      <c r="A2288" s="3" t="s">
        <v>868</v>
      </c>
      <c r="B2288" t="s">
        <v>8</v>
      </c>
      <c r="C2288" s="3" t="s">
        <v>872</v>
      </c>
      <c r="D2288" s="3" t="s">
        <v>22</v>
      </c>
    </row>
    <row r="2289" spans="1:4" x14ac:dyDescent="0.2">
      <c r="A2289" s="3" t="s">
        <v>868</v>
      </c>
      <c r="B2289" t="s">
        <v>8</v>
      </c>
      <c r="C2289" s="3" t="s">
        <v>867</v>
      </c>
      <c r="D2289" s="3" t="s">
        <v>22</v>
      </c>
    </row>
    <row r="2290" spans="1:4" x14ac:dyDescent="0.2">
      <c r="A2290" s="3" t="s">
        <v>873</v>
      </c>
      <c r="B2290" t="s">
        <v>8</v>
      </c>
      <c r="C2290" s="3" t="s">
        <v>874</v>
      </c>
      <c r="D2290" s="3" t="s">
        <v>53</v>
      </c>
    </row>
    <row r="2291" spans="1:4" x14ac:dyDescent="0.2">
      <c r="A2291" s="3" t="s">
        <v>873</v>
      </c>
      <c r="B2291" t="s">
        <v>8</v>
      </c>
      <c r="C2291" s="3" t="s">
        <v>875</v>
      </c>
      <c r="D2291" s="3" t="s">
        <v>53</v>
      </c>
    </row>
    <row r="2292" spans="1:4" x14ac:dyDescent="0.2">
      <c r="A2292" s="3" t="s">
        <v>873</v>
      </c>
      <c r="B2292" t="s">
        <v>8</v>
      </c>
      <c r="C2292" s="3" t="s">
        <v>876</v>
      </c>
      <c r="D2292" s="3" t="s">
        <v>53</v>
      </c>
    </row>
    <row r="2293" spans="1:4" x14ac:dyDescent="0.2">
      <c r="A2293" s="3" t="s">
        <v>873</v>
      </c>
      <c r="B2293" t="s">
        <v>8</v>
      </c>
      <c r="C2293" s="3" t="s">
        <v>874</v>
      </c>
      <c r="D2293" s="3" t="s">
        <v>54</v>
      </c>
    </row>
    <row r="2294" spans="1:4" x14ac:dyDescent="0.2">
      <c r="A2294" s="3" t="s">
        <v>873</v>
      </c>
      <c r="B2294" t="s">
        <v>8</v>
      </c>
      <c r="C2294" s="3" t="s">
        <v>875</v>
      </c>
      <c r="D2294" s="3" t="s">
        <v>54</v>
      </c>
    </row>
    <row r="2295" spans="1:4" x14ac:dyDescent="0.2">
      <c r="A2295" s="3" t="s">
        <v>873</v>
      </c>
      <c r="B2295" t="s">
        <v>8</v>
      </c>
      <c r="C2295" s="3" t="s">
        <v>876</v>
      </c>
      <c r="D2295" s="3" t="s">
        <v>54</v>
      </c>
    </row>
    <row r="2296" spans="1:4" x14ac:dyDescent="0.2">
      <c r="A2296" s="3" t="s">
        <v>873</v>
      </c>
      <c r="B2296" t="s">
        <v>8</v>
      </c>
      <c r="C2296" s="3" t="s">
        <v>874</v>
      </c>
      <c r="D2296" s="3" t="s">
        <v>55</v>
      </c>
    </row>
    <row r="2297" spans="1:4" x14ac:dyDescent="0.2">
      <c r="A2297" s="3" t="s">
        <v>873</v>
      </c>
      <c r="B2297" t="s">
        <v>8</v>
      </c>
      <c r="C2297" s="3" t="s">
        <v>875</v>
      </c>
      <c r="D2297" s="3" t="s">
        <v>55</v>
      </c>
    </row>
    <row r="2298" spans="1:4" x14ac:dyDescent="0.2">
      <c r="A2298" s="3" t="s">
        <v>873</v>
      </c>
      <c r="B2298" t="s">
        <v>8</v>
      </c>
      <c r="C2298" s="3" t="s">
        <v>876</v>
      </c>
      <c r="D2298" s="3" t="s">
        <v>55</v>
      </c>
    </row>
    <row r="2299" spans="1:4" x14ac:dyDescent="0.2">
      <c r="A2299" s="3" t="s">
        <v>873</v>
      </c>
      <c r="B2299" t="s">
        <v>8</v>
      </c>
      <c r="C2299" s="3" t="s">
        <v>874</v>
      </c>
      <c r="D2299" s="3" t="s">
        <v>56</v>
      </c>
    </row>
    <row r="2300" spans="1:4" x14ac:dyDescent="0.2">
      <c r="A2300" s="3" t="s">
        <v>873</v>
      </c>
      <c r="B2300" t="s">
        <v>8</v>
      </c>
      <c r="C2300" s="3" t="s">
        <v>875</v>
      </c>
      <c r="D2300" s="3" t="s">
        <v>56</v>
      </c>
    </row>
    <row r="2301" spans="1:4" x14ac:dyDescent="0.2">
      <c r="A2301" s="3" t="s">
        <v>873</v>
      </c>
      <c r="B2301" t="s">
        <v>8</v>
      </c>
      <c r="C2301" s="3" t="s">
        <v>876</v>
      </c>
      <c r="D2301" s="3" t="s">
        <v>56</v>
      </c>
    </row>
    <row r="2302" spans="1:4" x14ac:dyDescent="0.2">
      <c r="A2302" s="3" t="s">
        <v>873</v>
      </c>
      <c r="B2302" t="s">
        <v>8</v>
      </c>
      <c r="C2302" s="3" t="s">
        <v>874</v>
      </c>
      <c r="D2302" s="3" t="s">
        <v>57</v>
      </c>
    </row>
    <row r="2303" spans="1:4" x14ac:dyDescent="0.2">
      <c r="A2303" s="3" t="s">
        <v>873</v>
      </c>
      <c r="B2303" t="s">
        <v>8</v>
      </c>
      <c r="C2303" s="3" t="s">
        <v>875</v>
      </c>
      <c r="D2303" s="3" t="s">
        <v>57</v>
      </c>
    </row>
    <row r="2304" spans="1:4" x14ac:dyDescent="0.2">
      <c r="A2304" s="3" t="s">
        <v>873</v>
      </c>
      <c r="B2304" t="s">
        <v>8</v>
      </c>
      <c r="C2304" s="3" t="s">
        <v>876</v>
      </c>
      <c r="D2304" s="3" t="s">
        <v>57</v>
      </c>
    </row>
    <row r="2305" spans="1:4" x14ac:dyDescent="0.2">
      <c r="A2305" s="3" t="s">
        <v>873</v>
      </c>
      <c r="B2305" t="s">
        <v>8</v>
      </c>
      <c r="C2305" s="3" t="s">
        <v>877</v>
      </c>
      <c r="D2305" s="3" t="s">
        <v>169</v>
      </c>
    </row>
    <row r="2306" spans="1:4" x14ac:dyDescent="0.2">
      <c r="A2306" s="3" t="s">
        <v>873</v>
      </c>
      <c r="B2306" t="s">
        <v>8</v>
      </c>
      <c r="C2306" s="3" t="s">
        <v>878</v>
      </c>
      <c r="D2306" s="3" t="s">
        <v>169</v>
      </c>
    </row>
    <row r="2307" spans="1:4" x14ac:dyDescent="0.2">
      <c r="A2307" s="3" t="s">
        <v>879</v>
      </c>
      <c r="B2307" t="s">
        <v>8</v>
      </c>
      <c r="C2307" s="3" t="s">
        <v>880</v>
      </c>
      <c r="D2307" s="3" t="s">
        <v>53</v>
      </c>
    </row>
    <row r="2308" spans="1:4" x14ac:dyDescent="0.2">
      <c r="A2308" s="3" t="s">
        <v>879</v>
      </c>
      <c r="B2308" t="s">
        <v>8</v>
      </c>
      <c r="C2308" s="3" t="s">
        <v>881</v>
      </c>
      <c r="D2308" s="3" t="s">
        <v>53</v>
      </c>
    </row>
    <row r="2309" spans="1:4" x14ac:dyDescent="0.2">
      <c r="A2309" s="3" t="s">
        <v>879</v>
      </c>
      <c r="B2309" t="s">
        <v>8</v>
      </c>
      <c r="C2309" s="3" t="s">
        <v>882</v>
      </c>
      <c r="D2309" s="3" t="s">
        <v>53</v>
      </c>
    </row>
    <row r="2310" spans="1:4" x14ac:dyDescent="0.2">
      <c r="A2310" s="3" t="s">
        <v>879</v>
      </c>
      <c r="B2310" t="s">
        <v>8</v>
      </c>
      <c r="C2310" s="3" t="s">
        <v>883</v>
      </c>
      <c r="D2310" s="3" t="s">
        <v>53</v>
      </c>
    </row>
    <row r="2311" spans="1:4" x14ac:dyDescent="0.2">
      <c r="A2311" s="3" t="s">
        <v>879</v>
      </c>
      <c r="B2311" t="s">
        <v>8</v>
      </c>
      <c r="C2311" s="3" t="s">
        <v>884</v>
      </c>
      <c r="D2311" s="3" t="s">
        <v>53</v>
      </c>
    </row>
    <row r="2312" spans="1:4" x14ac:dyDescent="0.2">
      <c r="A2312" s="3" t="s">
        <v>879</v>
      </c>
      <c r="B2312" t="s">
        <v>8</v>
      </c>
      <c r="C2312" s="3" t="s">
        <v>880</v>
      </c>
      <c r="D2312" s="3" t="s">
        <v>54</v>
      </c>
    </row>
    <row r="2313" spans="1:4" x14ac:dyDescent="0.2">
      <c r="A2313" s="3" t="s">
        <v>879</v>
      </c>
      <c r="B2313" t="s">
        <v>8</v>
      </c>
      <c r="C2313" s="3" t="s">
        <v>881</v>
      </c>
      <c r="D2313" s="3" t="s">
        <v>54</v>
      </c>
    </row>
    <row r="2314" spans="1:4" x14ac:dyDescent="0.2">
      <c r="A2314" s="3" t="s">
        <v>879</v>
      </c>
      <c r="B2314" t="s">
        <v>8</v>
      </c>
      <c r="C2314" s="3" t="s">
        <v>882</v>
      </c>
      <c r="D2314" s="3" t="s">
        <v>54</v>
      </c>
    </row>
    <row r="2315" spans="1:4" x14ac:dyDescent="0.2">
      <c r="A2315" s="3" t="s">
        <v>879</v>
      </c>
      <c r="B2315" t="s">
        <v>8</v>
      </c>
      <c r="C2315" s="3" t="s">
        <v>883</v>
      </c>
      <c r="D2315" s="3" t="s">
        <v>54</v>
      </c>
    </row>
    <row r="2316" spans="1:4" x14ac:dyDescent="0.2">
      <c r="A2316" s="3" t="s">
        <v>879</v>
      </c>
      <c r="B2316" t="s">
        <v>8</v>
      </c>
      <c r="C2316" s="3" t="s">
        <v>884</v>
      </c>
      <c r="D2316" s="3" t="s">
        <v>54</v>
      </c>
    </row>
    <row r="2317" spans="1:4" x14ac:dyDescent="0.2">
      <c r="A2317" s="3" t="s">
        <v>879</v>
      </c>
      <c r="B2317" t="s">
        <v>8</v>
      </c>
      <c r="C2317" s="3" t="s">
        <v>880</v>
      </c>
      <c r="D2317" s="3" t="s">
        <v>55</v>
      </c>
    </row>
    <row r="2318" spans="1:4" x14ac:dyDescent="0.2">
      <c r="A2318" s="3" t="s">
        <v>879</v>
      </c>
      <c r="B2318" t="s">
        <v>8</v>
      </c>
      <c r="C2318" s="3" t="s">
        <v>881</v>
      </c>
      <c r="D2318" s="3" t="s">
        <v>55</v>
      </c>
    </row>
    <row r="2319" spans="1:4" x14ac:dyDescent="0.2">
      <c r="A2319" s="3" t="s">
        <v>879</v>
      </c>
      <c r="B2319" t="s">
        <v>8</v>
      </c>
      <c r="C2319" s="3" t="s">
        <v>882</v>
      </c>
      <c r="D2319" s="3" t="s">
        <v>55</v>
      </c>
    </row>
    <row r="2320" spans="1:4" x14ac:dyDescent="0.2">
      <c r="A2320" s="3" t="s">
        <v>879</v>
      </c>
      <c r="B2320" t="s">
        <v>8</v>
      </c>
      <c r="C2320" s="3" t="s">
        <v>883</v>
      </c>
      <c r="D2320" s="3" t="s">
        <v>55</v>
      </c>
    </row>
    <row r="2321" spans="1:4" x14ac:dyDescent="0.2">
      <c r="A2321" s="3" t="s">
        <v>879</v>
      </c>
      <c r="B2321" t="s">
        <v>8</v>
      </c>
      <c r="C2321" s="3" t="s">
        <v>884</v>
      </c>
      <c r="D2321" s="3" t="s">
        <v>55</v>
      </c>
    </row>
    <row r="2322" spans="1:4" x14ac:dyDescent="0.2">
      <c r="A2322" s="3" t="s">
        <v>879</v>
      </c>
      <c r="B2322" t="s">
        <v>8</v>
      </c>
      <c r="C2322" s="3" t="s">
        <v>880</v>
      </c>
      <c r="D2322" s="3" t="s">
        <v>56</v>
      </c>
    </row>
    <row r="2323" spans="1:4" x14ac:dyDescent="0.2">
      <c r="A2323" s="3" t="s">
        <v>879</v>
      </c>
      <c r="B2323" t="s">
        <v>8</v>
      </c>
      <c r="C2323" s="3" t="s">
        <v>881</v>
      </c>
      <c r="D2323" s="3" t="s">
        <v>56</v>
      </c>
    </row>
    <row r="2324" spans="1:4" x14ac:dyDescent="0.2">
      <c r="A2324" s="3" t="s">
        <v>879</v>
      </c>
      <c r="B2324" t="s">
        <v>8</v>
      </c>
      <c r="C2324" s="3" t="s">
        <v>882</v>
      </c>
      <c r="D2324" s="3" t="s">
        <v>56</v>
      </c>
    </row>
    <row r="2325" spans="1:4" x14ac:dyDescent="0.2">
      <c r="A2325" s="3" t="s">
        <v>879</v>
      </c>
      <c r="B2325" t="s">
        <v>8</v>
      </c>
      <c r="C2325" s="3" t="s">
        <v>883</v>
      </c>
      <c r="D2325" s="3" t="s">
        <v>56</v>
      </c>
    </row>
    <row r="2326" spans="1:4" x14ac:dyDescent="0.2">
      <c r="A2326" s="3" t="s">
        <v>879</v>
      </c>
      <c r="B2326" t="s">
        <v>8</v>
      </c>
      <c r="C2326" s="3" t="s">
        <v>884</v>
      </c>
      <c r="D2326" s="3" t="s">
        <v>56</v>
      </c>
    </row>
    <row r="2327" spans="1:4" x14ac:dyDescent="0.2">
      <c r="A2327" s="3" t="s">
        <v>879</v>
      </c>
      <c r="B2327" t="s">
        <v>8</v>
      </c>
      <c r="C2327" s="3" t="s">
        <v>880</v>
      </c>
      <c r="D2327" s="3" t="s">
        <v>57</v>
      </c>
    </row>
    <row r="2328" spans="1:4" x14ac:dyDescent="0.2">
      <c r="A2328" s="3" t="s">
        <v>879</v>
      </c>
      <c r="B2328" t="s">
        <v>8</v>
      </c>
      <c r="C2328" s="3" t="s">
        <v>881</v>
      </c>
      <c r="D2328" s="3" t="s">
        <v>57</v>
      </c>
    </row>
    <row r="2329" spans="1:4" x14ac:dyDescent="0.2">
      <c r="A2329" s="3" t="s">
        <v>879</v>
      </c>
      <c r="B2329" t="s">
        <v>8</v>
      </c>
      <c r="C2329" s="3" t="s">
        <v>882</v>
      </c>
      <c r="D2329" s="3" t="s">
        <v>57</v>
      </c>
    </row>
    <row r="2330" spans="1:4" x14ac:dyDescent="0.2">
      <c r="A2330" s="3" t="s">
        <v>879</v>
      </c>
      <c r="B2330" t="s">
        <v>8</v>
      </c>
      <c r="C2330" s="3" t="s">
        <v>883</v>
      </c>
      <c r="D2330" s="3" t="s">
        <v>57</v>
      </c>
    </row>
    <row r="2331" spans="1:4" x14ac:dyDescent="0.2">
      <c r="A2331" s="3" t="s">
        <v>879</v>
      </c>
      <c r="B2331" t="s">
        <v>8</v>
      </c>
      <c r="C2331" s="3" t="s">
        <v>884</v>
      </c>
      <c r="D2331" s="3" t="s">
        <v>57</v>
      </c>
    </row>
    <row r="2332" spans="1:4" x14ac:dyDescent="0.2">
      <c r="A2332" s="3" t="s">
        <v>885</v>
      </c>
      <c r="B2332" t="s">
        <v>8</v>
      </c>
      <c r="C2332" s="3" t="s">
        <v>886</v>
      </c>
      <c r="D2332" s="3" t="s">
        <v>53</v>
      </c>
    </row>
    <row r="2333" spans="1:4" x14ac:dyDescent="0.2">
      <c r="A2333" s="3" t="s">
        <v>885</v>
      </c>
      <c r="B2333" t="s">
        <v>8</v>
      </c>
      <c r="C2333" s="3" t="s">
        <v>887</v>
      </c>
      <c r="D2333" s="3" t="s">
        <v>53</v>
      </c>
    </row>
    <row r="2334" spans="1:4" x14ac:dyDescent="0.2">
      <c r="A2334" s="3" t="s">
        <v>885</v>
      </c>
      <c r="B2334" t="s">
        <v>8</v>
      </c>
      <c r="C2334" s="3" t="s">
        <v>888</v>
      </c>
      <c r="D2334" s="3" t="s">
        <v>53</v>
      </c>
    </row>
    <row r="2335" spans="1:4" x14ac:dyDescent="0.2">
      <c r="A2335" s="3" t="s">
        <v>885</v>
      </c>
      <c r="B2335" t="s">
        <v>8</v>
      </c>
      <c r="C2335" s="3" t="s">
        <v>871</v>
      </c>
      <c r="D2335" s="3" t="s">
        <v>53</v>
      </c>
    </row>
    <row r="2336" spans="1:4" x14ac:dyDescent="0.2">
      <c r="A2336" s="3" t="s">
        <v>885</v>
      </c>
      <c r="B2336" t="s">
        <v>8</v>
      </c>
      <c r="C2336" s="3" t="s">
        <v>889</v>
      </c>
      <c r="D2336" s="3" t="s">
        <v>53</v>
      </c>
    </row>
    <row r="2337" spans="1:4" x14ac:dyDescent="0.2">
      <c r="A2337" s="3" t="s">
        <v>885</v>
      </c>
      <c r="B2337" t="s">
        <v>8</v>
      </c>
      <c r="C2337" s="3" t="s">
        <v>890</v>
      </c>
      <c r="D2337" s="3" t="s">
        <v>53</v>
      </c>
    </row>
    <row r="2338" spans="1:4" x14ac:dyDescent="0.2">
      <c r="A2338" s="3" t="s">
        <v>885</v>
      </c>
      <c r="B2338" t="s">
        <v>8</v>
      </c>
      <c r="C2338" s="3" t="s">
        <v>886</v>
      </c>
      <c r="D2338" s="3" t="s">
        <v>54</v>
      </c>
    </row>
    <row r="2339" spans="1:4" x14ac:dyDescent="0.2">
      <c r="A2339" s="3" t="s">
        <v>885</v>
      </c>
      <c r="B2339" t="s">
        <v>8</v>
      </c>
      <c r="C2339" s="3" t="s">
        <v>887</v>
      </c>
      <c r="D2339" s="3" t="s">
        <v>54</v>
      </c>
    </row>
    <row r="2340" spans="1:4" x14ac:dyDescent="0.2">
      <c r="A2340" s="3" t="s">
        <v>885</v>
      </c>
      <c r="B2340" t="s">
        <v>8</v>
      </c>
      <c r="C2340" s="3" t="s">
        <v>888</v>
      </c>
      <c r="D2340" s="3" t="s">
        <v>54</v>
      </c>
    </row>
    <row r="2341" spans="1:4" x14ac:dyDescent="0.2">
      <c r="A2341" s="3" t="s">
        <v>885</v>
      </c>
      <c r="B2341" t="s">
        <v>8</v>
      </c>
      <c r="C2341" s="3" t="s">
        <v>871</v>
      </c>
      <c r="D2341" s="3" t="s">
        <v>54</v>
      </c>
    </row>
    <row r="2342" spans="1:4" x14ac:dyDescent="0.2">
      <c r="A2342" s="3" t="s">
        <v>885</v>
      </c>
      <c r="B2342" t="s">
        <v>8</v>
      </c>
      <c r="C2342" s="3" t="s">
        <v>889</v>
      </c>
      <c r="D2342" s="3" t="s">
        <v>54</v>
      </c>
    </row>
    <row r="2343" spans="1:4" x14ac:dyDescent="0.2">
      <c r="A2343" s="3" t="s">
        <v>885</v>
      </c>
      <c r="B2343" t="s">
        <v>8</v>
      </c>
      <c r="C2343" s="3" t="s">
        <v>890</v>
      </c>
      <c r="D2343" s="3" t="s">
        <v>54</v>
      </c>
    </row>
    <row r="2344" spans="1:4" x14ac:dyDescent="0.2">
      <c r="A2344" s="3" t="s">
        <v>885</v>
      </c>
      <c r="B2344" t="s">
        <v>8</v>
      </c>
      <c r="C2344" s="3" t="s">
        <v>886</v>
      </c>
      <c r="D2344" s="3" t="s">
        <v>55</v>
      </c>
    </row>
    <row r="2345" spans="1:4" x14ac:dyDescent="0.2">
      <c r="A2345" s="3" t="s">
        <v>885</v>
      </c>
      <c r="B2345" t="s">
        <v>8</v>
      </c>
      <c r="C2345" s="3" t="s">
        <v>887</v>
      </c>
      <c r="D2345" s="3" t="s">
        <v>55</v>
      </c>
    </row>
    <row r="2346" spans="1:4" x14ac:dyDescent="0.2">
      <c r="A2346" s="3" t="s">
        <v>885</v>
      </c>
      <c r="B2346" t="s">
        <v>8</v>
      </c>
      <c r="C2346" s="3" t="s">
        <v>888</v>
      </c>
      <c r="D2346" s="3" t="s">
        <v>55</v>
      </c>
    </row>
    <row r="2347" spans="1:4" x14ac:dyDescent="0.2">
      <c r="A2347" s="3" t="s">
        <v>885</v>
      </c>
      <c r="B2347" t="s">
        <v>8</v>
      </c>
      <c r="C2347" s="3" t="s">
        <v>871</v>
      </c>
      <c r="D2347" s="3" t="s">
        <v>55</v>
      </c>
    </row>
    <row r="2348" spans="1:4" x14ac:dyDescent="0.2">
      <c r="A2348" s="3" t="s">
        <v>885</v>
      </c>
      <c r="B2348" t="s">
        <v>8</v>
      </c>
      <c r="C2348" s="3" t="s">
        <v>889</v>
      </c>
      <c r="D2348" s="3" t="s">
        <v>55</v>
      </c>
    </row>
    <row r="2349" spans="1:4" x14ac:dyDescent="0.2">
      <c r="A2349" s="3" t="s">
        <v>885</v>
      </c>
      <c r="B2349" t="s">
        <v>8</v>
      </c>
      <c r="C2349" s="3" t="s">
        <v>890</v>
      </c>
      <c r="D2349" s="3" t="s">
        <v>55</v>
      </c>
    </row>
    <row r="2350" spans="1:4" x14ac:dyDescent="0.2">
      <c r="A2350" s="3" t="s">
        <v>885</v>
      </c>
      <c r="B2350" t="s">
        <v>8</v>
      </c>
      <c r="C2350" s="3" t="s">
        <v>886</v>
      </c>
      <c r="D2350" s="3" t="s">
        <v>56</v>
      </c>
    </row>
    <row r="2351" spans="1:4" x14ac:dyDescent="0.2">
      <c r="A2351" s="3" t="s">
        <v>885</v>
      </c>
      <c r="B2351" t="s">
        <v>8</v>
      </c>
      <c r="C2351" s="3" t="s">
        <v>887</v>
      </c>
      <c r="D2351" s="3" t="s">
        <v>56</v>
      </c>
    </row>
    <row r="2352" spans="1:4" x14ac:dyDescent="0.2">
      <c r="A2352" s="3" t="s">
        <v>885</v>
      </c>
      <c r="B2352" t="s">
        <v>8</v>
      </c>
      <c r="C2352" s="3" t="s">
        <v>888</v>
      </c>
      <c r="D2352" s="3" t="s">
        <v>56</v>
      </c>
    </row>
    <row r="2353" spans="1:4" x14ac:dyDescent="0.2">
      <c r="A2353" s="3" t="s">
        <v>885</v>
      </c>
      <c r="B2353" t="s">
        <v>8</v>
      </c>
      <c r="C2353" s="3" t="s">
        <v>871</v>
      </c>
      <c r="D2353" s="3" t="s">
        <v>56</v>
      </c>
    </row>
    <row r="2354" spans="1:4" x14ac:dyDescent="0.2">
      <c r="A2354" s="3" t="s">
        <v>885</v>
      </c>
      <c r="B2354" t="s">
        <v>8</v>
      </c>
      <c r="C2354" s="3" t="s">
        <v>889</v>
      </c>
      <c r="D2354" s="3" t="s">
        <v>56</v>
      </c>
    </row>
    <row r="2355" spans="1:4" x14ac:dyDescent="0.2">
      <c r="A2355" s="3" t="s">
        <v>885</v>
      </c>
      <c r="B2355" t="s">
        <v>8</v>
      </c>
      <c r="C2355" s="3" t="s">
        <v>890</v>
      </c>
      <c r="D2355" s="3" t="s">
        <v>56</v>
      </c>
    </row>
    <row r="2356" spans="1:4" x14ac:dyDescent="0.2">
      <c r="A2356" s="3" t="s">
        <v>885</v>
      </c>
      <c r="B2356" t="s">
        <v>8</v>
      </c>
      <c r="C2356" s="3" t="s">
        <v>886</v>
      </c>
      <c r="D2356" s="3" t="s">
        <v>57</v>
      </c>
    </row>
    <row r="2357" spans="1:4" x14ac:dyDescent="0.2">
      <c r="A2357" s="3" t="s">
        <v>885</v>
      </c>
      <c r="B2357" t="s">
        <v>8</v>
      </c>
      <c r="C2357" s="3" t="s">
        <v>887</v>
      </c>
      <c r="D2357" s="3" t="s">
        <v>57</v>
      </c>
    </row>
    <row r="2358" spans="1:4" x14ac:dyDescent="0.2">
      <c r="A2358" s="3" t="s">
        <v>885</v>
      </c>
      <c r="B2358" t="s">
        <v>8</v>
      </c>
      <c r="C2358" s="3" t="s">
        <v>888</v>
      </c>
      <c r="D2358" s="3" t="s">
        <v>57</v>
      </c>
    </row>
    <row r="2359" spans="1:4" x14ac:dyDescent="0.2">
      <c r="A2359" s="3" t="s">
        <v>885</v>
      </c>
      <c r="B2359" t="s">
        <v>8</v>
      </c>
      <c r="C2359" s="3" t="s">
        <v>871</v>
      </c>
      <c r="D2359" s="3" t="s">
        <v>57</v>
      </c>
    </row>
    <row r="2360" spans="1:4" x14ac:dyDescent="0.2">
      <c r="A2360" s="3" t="s">
        <v>885</v>
      </c>
      <c r="B2360" t="s">
        <v>8</v>
      </c>
      <c r="C2360" s="3" t="s">
        <v>889</v>
      </c>
      <c r="D2360" s="3" t="s">
        <v>57</v>
      </c>
    </row>
    <row r="2361" spans="1:4" x14ac:dyDescent="0.2">
      <c r="A2361" s="3" t="s">
        <v>885</v>
      </c>
      <c r="B2361" t="s">
        <v>8</v>
      </c>
      <c r="C2361" s="3" t="s">
        <v>890</v>
      </c>
      <c r="D2361" s="3" t="s">
        <v>57</v>
      </c>
    </row>
    <row r="2362" spans="1:4" x14ac:dyDescent="0.2">
      <c r="A2362" s="3" t="s">
        <v>885</v>
      </c>
      <c r="B2362" t="s">
        <v>8</v>
      </c>
      <c r="C2362" s="3" t="s">
        <v>891</v>
      </c>
      <c r="D2362" s="3" t="s">
        <v>169</v>
      </c>
    </row>
    <row r="2363" spans="1:4" x14ac:dyDescent="0.2">
      <c r="A2363" s="3" t="s">
        <v>892</v>
      </c>
      <c r="B2363" t="s">
        <v>8</v>
      </c>
      <c r="C2363" s="3" t="s">
        <v>893</v>
      </c>
      <c r="D2363" s="3" t="s">
        <v>10</v>
      </c>
    </row>
    <row r="2364" spans="1:4" x14ac:dyDescent="0.2">
      <c r="A2364" s="3" t="s">
        <v>894</v>
      </c>
      <c r="B2364" t="s">
        <v>8</v>
      </c>
      <c r="C2364" s="3" t="s">
        <v>893</v>
      </c>
      <c r="D2364" s="3" t="s">
        <v>10</v>
      </c>
    </row>
    <row r="2365" spans="1:4" x14ac:dyDescent="0.2">
      <c r="A2365" s="3" t="s">
        <v>895</v>
      </c>
      <c r="B2365" t="s">
        <v>8</v>
      </c>
      <c r="C2365" s="3" t="s">
        <v>896</v>
      </c>
      <c r="D2365" s="3" t="s">
        <v>53</v>
      </c>
    </row>
    <row r="2366" spans="1:4" x14ac:dyDescent="0.2">
      <c r="A2366" s="3" t="s">
        <v>895</v>
      </c>
      <c r="B2366" t="s">
        <v>8</v>
      </c>
      <c r="C2366" s="3" t="s">
        <v>870</v>
      </c>
      <c r="D2366" s="3" t="s">
        <v>53</v>
      </c>
    </row>
    <row r="2367" spans="1:4" x14ac:dyDescent="0.2">
      <c r="A2367" s="3" t="s">
        <v>895</v>
      </c>
      <c r="B2367" t="s">
        <v>8</v>
      </c>
      <c r="C2367" s="3" t="s">
        <v>897</v>
      </c>
      <c r="D2367" s="3" t="s">
        <v>53</v>
      </c>
    </row>
    <row r="2368" spans="1:4" x14ac:dyDescent="0.2">
      <c r="A2368" s="3" t="s">
        <v>895</v>
      </c>
      <c r="B2368" t="s">
        <v>8</v>
      </c>
      <c r="C2368" s="3" t="s">
        <v>896</v>
      </c>
      <c r="D2368" s="3" t="s">
        <v>54</v>
      </c>
    </row>
    <row r="2369" spans="1:4" x14ac:dyDescent="0.2">
      <c r="A2369" s="3" t="s">
        <v>895</v>
      </c>
      <c r="B2369" t="s">
        <v>8</v>
      </c>
      <c r="C2369" s="3" t="s">
        <v>870</v>
      </c>
      <c r="D2369" s="3" t="s">
        <v>54</v>
      </c>
    </row>
    <row r="2370" spans="1:4" x14ac:dyDescent="0.2">
      <c r="A2370" s="3" t="s">
        <v>895</v>
      </c>
      <c r="B2370" t="s">
        <v>8</v>
      </c>
      <c r="C2370" s="3" t="s">
        <v>897</v>
      </c>
      <c r="D2370" s="3" t="s">
        <v>54</v>
      </c>
    </row>
    <row r="2371" spans="1:4" x14ac:dyDescent="0.2">
      <c r="A2371" s="3" t="s">
        <v>895</v>
      </c>
      <c r="B2371" t="s">
        <v>8</v>
      </c>
      <c r="C2371" s="3" t="s">
        <v>896</v>
      </c>
      <c r="D2371" s="3" t="s">
        <v>55</v>
      </c>
    </row>
    <row r="2372" spans="1:4" x14ac:dyDescent="0.2">
      <c r="A2372" s="3" t="s">
        <v>895</v>
      </c>
      <c r="B2372" t="s">
        <v>8</v>
      </c>
      <c r="C2372" s="3" t="s">
        <v>870</v>
      </c>
      <c r="D2372" s="3" t="s">
        <v>55</v>
      </c>
    </row>
    <row r="2373" spans="1:4" x14ac:dyDescent="0.2">
      <c r="A2373" s="3" t="s">
        <v>895</v>
      </c>
      <c r="B2373" t="s">
        <v>8</v>
      </c>
      <c r="C2373" s="3" t="s">
        <v>897</v>
      </c>
      <c r="D2373" s="3" t="s">
        <v>55</v>
      </c>
    </row>
    <row r="2374" spans="1:4" x14ac:dyDescent="0.2">
      <c r="A2374" s="3" t="s">
        <v>895</v>
      </c>
      <c r="B2374" t="s">
        <v>8</v>
      </c>
      <c r="C2374" s="3" t="s">
        <v>896</v>
      </c>
      <c r="D2374" s="3" t="s">
        <v>56</v>
      </c>
    </row>
    <row r="2375" spans="1:4" x14ac:dyDescent="0.2">
      <c r="A2375" s="3" t="s">
        <v>895</v>
      </c>
      <c r="B2375" t="s">
        <v>8</v>
      </c>
      <c r="C2375" s="3" t="s">
        <v>870</v>
      </c>
      <c r="D2375" s="3" t="s">
        <v>56</v>
      </c>
    </row>
    <row r="2376" spans="1:4" x14ac:dyDescent="0.2">
      <c r="A2376" s="3" t="s">
        <v>895</v>
      </c>
      <c r="B2376" t="s">
        <v>8</v>
      </c>
      <c r="C2376" s="3" t="s">
        <v>897</v>
      </c>
      <c r="D2376" s="3" t="s">
        <v>56</v>
      </c>
    </row>
    <row r="2377" spans="1:4" x14ac:dyDescent="0.2">
      <c r="A2377" s="3" t="s">
        <v>895</v>
      </c>
      <c r="B2377" t="s">
        <v>8</v>
      </c>
      <c r="C2377" s="3" t="s">
        <v>896</v>
      </c>
      <c r="D2377" s="3" t="s">
        <v>57</v>
      </c>
    </row>
    <row r="2378" spans="1:4" x14ac:dyDescent="0.2">
      <c r="A2378" s="3" t="s">
        <v>895</v>
      </c>
      <c r="B2378" t="s">
        <v>8</v>
      </c>
      <c r="C2378" s="3" t="s">
        <v>870</v>
      </c>
      <c r="D2378" s="3" t="s">
        <v>57</v>
      </c>
    </row>
    <row r="2379" spans="1:4" x14ac:dyDescent="0.2">
      <c r="A2379" s="3" t="s">
        <v>895</v>
      </c>
      <c r="B2379" t="s">
        <v>8</v>
      </c>
      <c r="C2379" s="3" t="s">
        <v>897</v>
      </c>
      <c r="D2379" s="3" t="s">
        <v>57</v>
      </c>
    </row>
    <row r="2380" spans="1:4" x14ac:dyDescent="0.2">
      <c r="A2380" s="3" t="s">
        <v>895</v>
      </c>
      <c r="B2380" t="s">
        <v>8</v>
      </c>
      <c r="C2380" s="3" t="s">
        <v>617</v>
      </c>
      <c r="D2380" s="3" t="s">
        <v>10</v>
      </c>
    </row>
    <row r="2381" spans="1:4" x14ac:dyDescent="0.2">
      <c r="A2381" s="3" t="s">
        <v>895</v>
      </c>
      <c r="B2381" t="s">
        <v>8</v>
      </c>
      <c r="C2381" s="3" t="s">
        <v>617</v>
      </c>
      <c r="D2381" s="3" t="s">
        <v>11</v>
      </c>
    </row>
    <row r="2382" spans="1:4" x14ac:dyDescent="0.2">
      <c r="A2382" s="3" t="s">
        <v>898</v>
      </c>
      <c r="B2382" t="s">
        <v>8</v>
      </c>
      <c r="C2382" s="3" t="s">
        <v>869</v>
      </c>
      <c r="D2382" s="3" t="s">
        <v>53</v>
      </c>
    </row>
    <row r="2383" spans="1:4" x14ac:dyDescent="0.2">
      <c r="A2383" s="3" t="s">
        <v>898</v>
      </c>
      <c r="B2383" t="s">
        <v>8</v>
      </c>
      <c r="C2383" s="3" t="s">
        <v>899</v>
      </c>
      <c r="D2383" s="3" t="s">
        <v>53</v>
      </c>
    </row>
    <row r="2384" spans="1:4" x14ac:dyDescent="0.2">
      <c r="A2384" s="3" t="s">
        <v>898</v>
      </c>
      <c r="B2384" t="s">
        <v>8</v>
      </c>
      <c r="C2384" s="3" t="s">
        <v>900</v>
      </c>
      <c r="D2384" s="3" t="s">
        <v>53</v>
      </c>
    </row>
    <row r="2385" spans="1:4" x14ac:dyDescent="0.2">
      <c r="A2385" s="3" t="s">
        <v>898</v>
      </c>
      <c r="B2385" t="s">
        <v>8</v>
      </c>
      <c r="C2385" s="3" t="s">
        <v>901</v>
      </c>
      <c r="D2385" s="3" t="s">
        <v>53</v>
      </c>
    </row>
    <row r="2386" spans="1:4" x14ac:dyDescent="0.2">
      <c r="A2386" s="3" t="s">
        <v>898</v>
      </c>
      <c r="B2386" t="s">
        <v>8</v>
      </c>
      <c r="C2386" s="3" t="s">
        <v>887</v>
      </c>
      <c r="D2386" s="3" t="s">
        <v>53</v>
      </c>
    </row>
    <row r="2387" spans="1:4" x14ac:dyDescent="0.2">
      <c r="A2387" s="3" t="s">
        <v>898</v>
      </c>
      <c r="B2387" t="s">
        <v>8</v>
      </c>
      <c r="C2387" s="3" t="s">
        <v>902</v>
      </c>
      <c r="D2387" s="3" t="s">
        <v>53</v>
      </c>
    </row>
    <row r="2388" spans="1:4" x14ac:dyDescent="0.2">
      <c r="A2388" s="3" t="s">
        <v>898</v>
      </c>
      <c r="B2388" t="s">
        <v>8</v>
      </c>
      <c r="C2388" s="3" t="s">
        <v>684</v>
      </c>
      <c r="D2388" s="3" t="s">
        <v>53</v>
      </c>
    </row>
    <row r="2389" spans="1:4" x14ac:dyDescent="0.2">
      <c r="A2389" s="3" t="s">
        <v>898</v>
      </c>
      <c r="B2389" t="s">
        <v>8</v>
      </c>
      <c r="C2389" s="3" t="s">
        <v>903</v>
      </c>
      <c r="D2389" s="3" t="s">
        <v>53</v>
      </c>
    </row>
    <row r="2390" spans="1:4" x14ac:dyDescent="0.2">
      <c r="A2390" s="3" t="s">
        <v>898</v>
      </c>
      <c r="B2390" t="s">
        <v>8</v>
      </c>
      <c r="C2390" s="3" t="s">
        <v>904</v>
      </c>
      <c r="D2390" s="3" t="s">
        <v>53</v>
      </c>
    </row>
    <row r="2391" spans="1:4" x14ac:dyDescent="0.2">
      <c r="A2391" s="3" t="s">
        <v>898</v>
      </c>
      <c r="B2391" t="s">
        <v>8</v>
      </c>
      <c r="C2391" s="3" t="s">
        <v>905</v>
      </c>
      <c r="D2391" s="3" t="s">
        <v>53</v>
      </c>
    </row>
    <row r="2392" spans="1:4" x14ac:dyDescent="0.2">
      <c r="A2392" s="3" t="s">
        <v>898</v>
      </c>
      <c r="B2392" t="s">
        <v>8</v>
      </c>
      <c r="C2392" s="3" t="s">
        <v>906</v>
      </c>
      <c r="D2392" s="3" t="s">
        <v>53</v>
      </c>
    </row>
    <row r="2393" spans="1:4" x14ac:dyDescent="0.2">
      <c r="A2393" s="3" t="s">
        <v>898</v>
      </c>
      <c r="B2393" t="s">
        <v>8</v>
      </c>
      <c r="C2393" s="3" t="s">
        <v>907</v>
      </c>
      <c r="D2393" s="3" t="s">
        <v>53</v>
      </c>
    </row>
    <row r="2394" spans="1:4" x14ac:dyDescent="0.2">
      <c r="A2394" s="3" t="s">
        <v>898</v>
      </c>
      <c r="B2394" t="s">
        <v>8</v>
      </c>
      <c r="C2394" s="3" t="s">
        <v>869</v>
      </c>
      <c r="D2394" s="3" t="s">
        <v>54</v>
      </c>
    </row>
    <row r="2395" spans="1:4" x14ac:dyDescent="0.2">
      <c r="A2395" s="3" t="s">
        <v>898</v>
      </c>
      <c r="B2395" t="s">
        <v>8</v>
      </c>
      <c r="C2395" s="3" t="s">
        <v>899</v>
      </c>
      <c r="D2395" s="3" t="s">
        <v>54</v>
      </c>
    </row>
    <row r="2396" spans="1:4" x14ac:dyDescent="0.2">
      <c r="A2396" s="3" t="s">
        <v>898</v>
      </c>
      <c r="B2396" t="s">
        <v>8</v>
      </c>
      <c r="C2396" s="3" t="s">
        <v>900</v>
      </c>
      <c r="D2396" s="3" t="s">
        <v>54</v>
      </c>
    </row>
    <row r="2397" spans="1:4" x14ac:dyDescent="0.2">
      <c r="A2397" s="3" t="s">
        <v>898</v>
      </c>
      <c r="B2397" t="s">
        <v>8</v>
      </c>
      <c r="C2397" s="3" t="s">
        <v>901</v>
      </c>
      <c r="D2397" s="3" t="s">
        <v>54</v>
      </c>
    </row>
    <row r="2398" spans="1:4" x14ac:dyDescent="0.2">
      <c r="A2398" s="3" t="s">
        <v>898</v>
      </c>
      <c r="B2398" t="s">
        <v>8</v>
      </c>
      <c r="C2398" s="3" t="s">
        <v>887</v>
      </c>
      <c r="D2398" s="3" t="s">
        <v>54</v>
      </c>
    </row>
    <row r="2399" spans="1:4" x14ac:dyDescent="0.2">
      <c r="A2399" s="3" t="s">
        <v>898</v>
      </c>
      <c r="B2399" t="s">
        <v>8</v>
      </c>
      <c r="C2399" s="3" t="s">
        <v>902</v>
      </c>
      <c r="D2399" s="3" t="s">
        <v>54</v>
      </c>
    </row>
    <row r="2400" spans="1:4" x14ac:dyDescent="0.2">
      <c r="A2400" s="3" t="s">
        <v>898</v>
      </c>
      <c r="B2400" t="s">
        <v>8</v>
      </c>
      <c r="C2400" s="3" t="s">
        <v>684</v>
      </c>
      <c r="D2400" s="3" t="s">
        <v>54</v>
      </c>
    </row>
    <row r="2401" spans="1:4" x14ac:dyDescent="0.2">
      <c r="A2401" s="3" t="s">
        <v>898</v>
      </c>
      <c r="B2401" t="s">
        <v>8</v>
      </c>
      <c r="C2401" s="3" t="s">
        <v>903</v>
      </c>
      <c r="D2401" s="3" t="s">
        <v>54</v>
      </c>
    </row>
    <row r="2402" spans="1:4" x14ac:dyDescent="0.2">
      <c r="A2402" s="3" t="s">
        <v>898</v>
      </c>
      <c r="B2402" t="s">
        <v>8</v>
      </c>
      <c r="C2402" s="3" t="s">
        <v>904</v>
      </c>
      <c r="D2402" s="3" t="s">
        <v>54</v>
      </c>
    </row>
    <row r="2403" spans="1:4" x14ac:dyDescent="0.2">
      <c r="A2403" s="3" t="s">
        <v>898</v>
      </c>
      <c r="B2403" t="s">
        <v>8</v>
      </c>
      <c r="C2403" s="3" t="s">
        <v>905</v>
      </c>
      <c r="D2403" s="3" t="s">
        <v>54</v>
      </c>
    </row>
    <row r="2404" spans="1:4" x14ac:dyDescent="0.2">
      <c r="A2404" s="3" t="s">
        <v>898</v>
      </c>
      <c r="B2404" t="s">
        <v>8</v>
      </c>
      <c r="C2404" s="3" t="s">
        <v>906</v>
      </c>
      <c r="D2404" s="3" t="s">
        <v>54</v>
      </c>
    </row>
    <row r="2405" spans="1:4" x14ac:dyDescent="0.2">
      <c r="A2405" s="3" t="s">
        <v>898</v>
      </c>
      <c r="B2405" t="s">
        <v>8</v>
      </c>
      <c r="C2405" s="3" t="s">
        <v>907</v>
      </c>
      <c r="D2405" s="3" t="s">
        <v>54</v>
      </c>
    </row>
    <row r="2406" spans="1:4" x14ac:dyDescent="0.2">
      <c r="A2406" s="3" t="s">
        <v>898</v>
      </c>
      <c r="B2406" t="s">
        <v>8</v>
      </c>
      <c r="C2406" s="3" t="s">
        <v>869</v>
      </c>
      <c r="D2406" s="3" t="s">
        <v>55</v>
      </c>
    </row>
    <row r="2407" spans="1:4" x14ac:dyDescent="0.2">
      <c r="A2407" s="3" t="s">
        <v>898</v>
      </c>
      <c r="B2407" t="s">
        <v>8</v>
      </c>
      <c r="C2407" s="3" t="s">
        <v>899</v>
      </c>
      <c r="D2407" s="3" t="s">
        <v>55</v>
      </c>
    </row>
    <row r="2408" spans="1:4" x14ac:dyDescent="0.2">
      <c r="A2408" s="3" t="s">
        <v>898</v>
      </c>
      <c r="B2408" t="s">
        <v>8</v>
      </c>
      <c r="C2408" s="3" t="s">
        <v>900</v>
      </c>
      <c r="D2408" s="3" t="s">
        <v>55</v>
      </c>
    </row>
    <row r="2409" spans="1:4" x14ac:dyDescent="0.2">
      <c r="A2409" s="3" t="s">
        <v>898</v>
      </c>
      <c r="B2409" t="s">
        <v>8</v>
      </c>
      <c r="C2409" s="3" t="s">
        <v>901</v>
      </c>
      <c r="D2409" s="3" t="s">
        <v>55</v>
      </c>
    </row>
    <row r="2410" spans="1:4" x14ac:dyDescent="0.2">
      <c r="A2410" s="3" t="s">
        <v>898</v>
      </c>
      <c r="B2410" t="s">
        <v>8</v>
      </c>
      <c r="C2410" s="3" t="s">
        <v>887</v>
      </c>
      <c r="D2410" s="3" t="s">
        <v>55</v>
      </c>
    </row>
    <row r="2411" spans="1:4" x14ac:dyDescent="0.2">
      <c r="A2411" s="3" t="s">
        <v>898</v>
      </c>
      <c r="B2411" t="s">
        <v>8</v>
      </c>
      <c r="C2411" s="3" t="s">
        <v>902</v>
      </c>
      <c r="D2411" s="3" t="s">
        <v>55</v>
      </c>
    </row>
    <row r="2412" spans="1:4" x14ac:dyDescent="0.2">
      <c r="A2412" s="3" t="s">
        <v>898</v>
      </c>
      <c r="B2412" t="s">
        <v>8</v>
      </c>
      <c r="C2412" s="3" t="s">
        <v>684</v>
      </c>
      <c r="D2412" s="3" t="s">
        <v>55</v>
      </c>
    </row>
    <row r="2413" spans="1:4" x14ac:dyDescent="0.2">
      <c r="A2413" s="3" t="s">
        <v>898</v>
      </c>
      <c r="B2413" t="s">
        <v>8</v>
      </c>
      <c r="C2413" s="3" t="s">
        <v>903</v>
      </c>
      <c r="D2413" s="3" t="s">
        <v>55</v>
      </c>
    </row>
    <row r="2414" spans="1:4" x14ac:dyDescent="0.2">
      <c r="A2414" s="3" t="s">
        <v>898</v>
      </c>
      <c r="B2414" t="s">
        <v>8</v>
      </c>
      <c r="C2414" s="3" t="s">
        <v>904</v>
      </c>
      <c r="D2414" s="3" t="s">
        <v>55</v>
      </c>
    </row>
    <row r="2415" spans="1:4" x14ac:dyDescent="0.2">
      <c r="A2415" s="3" t="s">
        <v>898</v>
      </c>
      <c r="B2415" t="s">
        <v>8</v>
      </c>
      <c r="C2415" s="3" t="s">
        <v>905</v>
      </c>
      <c r="D2415" s="3" t="s">
        <v>55</v>
      </c>
    </row>
    <row r="2416" spans="1:4" x14ac:dyDescent="0.2">
      <c r="A2416" s="3" t="s">
        <v>898</v>
      </c>
      <c r="B2416" t="s">
        <v>8</v>
      </c>
      <c r="C2416" s="3" t="s">
        <v>906</v>
      </c>
      <c r="D2416" s="3" t="s">
        <v>55</v>
      </c>
    </row>
    <row r="2417" spans="1:4" x14ac:dyDescent="0.2">
      <c r="A2417" s="3" t="s">
        <v>898</v>
      </c>
      <c r="B2417" t="s">
        <v>8</v>
      </c>
      <c r="C2417" s="3" t="s">
        <v>907</v>
      </c>
      <c r="D2417" s="3" t="s">
        <v>55</v>
      </c>
    </row>
    <row r="2418" spans="1:4" x14ac:dyDescent="0.2">
      <c r="A2418" s="3" t="s">
        <v>898</v>
      </c>
      <c r="B2418" t="s">
        <v>8</v>
      </c>
      <c r="C2418" s="3" t="s">
        <v>869</v>
      </c>
      <c r="D2418" s="3" t="s">
        <v>56</v>
      </c>
    </row>
    <row r="2419" spans="1:4" x14ac:dyDescent="0.2">
      <c r="A2419" s="3" t="s">
        <v>898</v>
      </c>
      <c r="B2419" t="s">
        <v>8</v>
      </c>
      <c r="C2419" s="3" t="s">
        <v>899</v>
      </c>
      <c r="D2419" s="3" t="s">
        <v>56</v>
      </c>
    </row>
    <row r="2420" spans="1:4" x14ac:dyDescent="0.2">
      <c r="A2420" s="3" t="s">
        <v>898</v>
      </c>
      <c r="B2420" t="s">
        <v>8</v>
      </c>
      <c r="C2420" s="3" t="s">
        <v>900</v>
      </c>
      <c r="D2420" s="3" t="s">
        <v>56</v>
      </c>
    </row>
    <row r="2421" spans="1:4" x14ac:dyDescent="0.2">
      <c r="A2421" s="3" t="s">
        <v>898</v>
      </c>
      <c r="B2421" t="s">
        <v>8</v>
      </c>
      <c r="C2421" s="3" t="s">
        <v>901</v>
      </c>
      <c r="D2421" s="3" t="s">
        <v>56</v>
      </c>
    </row>
    <row r="2422" spans="1:4" x14ac:dyDescent="0.2">
      <c r="A2422" s="3" t="s">
        <v>898</v>
      </c>
      <c r="B2422" t="s">
        <v>8</v>
      </c>
      <c r="C2422" s="3" t="s">
        <v>887</v>
      </c>
      <c r="D2422" s="3" t="s">
        <v>56</v>
      </c>
    </row>
    <row r="2423" spans="1:4" x14ac:dyDescent="0.2">
      <c r="A2423" s="3" t="s">
        <v>898</v>
      </c>
      <c r="B2423" t="s">
        <v>8</v>
      </c>
      <c r="C2423" s="3" t="s">
        <v>902</v>
      </c>
      <c r="D2423" s="3" t="s">
        <v>56</v>
      </c>
    </row>
    <row r="2424" spans="1:4" x14ac:dyDescent="0.2">
      <c r="A2424" s="3" t="s">
        <v>898</v>
      </c>
      <c r="B2424" t="s">
        <v>8</v>
      </c>
      <c r="C2424" s="3" t="s">
        <v>684</v>
      </c>
      <c r="D2424" s="3" t="s">
        <v>56</v>
      </c>
    </row>
    <row r="2425" spans="1:4" x14ac:dyDescent="0.2">
      <c r="A2425" s="3" t="s">
        <v>898</v>
      </c>
      <c r="B2425" t="s">
        <v>8</v>
      </c>
      <c r="C2425" s="3" t="s">
        <v>903</v>
      </c>
      <c r="D2425" s="3" t="s">
        <v>56</v>
      </c>
    </row>
    <row r="2426" spans="1:4" x14ac:dyDescent="0.2">
      <c r="A2426" s="3" t="s">
        <v>898</v>
      </c>
      <c r="B2426" t="s">
        <v>8</v>
      </c>
      <c r="C2426" s="3" t="s">
        <v>904</v>
      </c>
      <c r="D2426" s="3" t="s">
        <v>56</v>
      </c>
    </row>
    <row r="2427" spans="1:4" x14ac:dyDescent="0.2">
      <c r="A2427" s="3" t="s">
        <v>898</v>
      </c>
      <c r="B2427" t="s">
        <v>8</v>
      </c>
      <c r="C2427" s="3" t="s">
        <v>905</v>
      </c>
      <c r="D2427" s="3" t="s">
        <v>56</v>
      </c>
    </row>
    <row r="2428" spans="1:4" x14ac:dyDescent="0.2">
      <c r="A2428" s="3" t="s">
        <v>898</v>
      </c>
      <c r="B2428" t="s">
        <v>8</v>
      </c>
      <c r="C2428" s="3" t="s">
        <v>906</v>
      </c>
      <c r="D2428" s="3" t="s">
        <v>56</v>
      </c>
    </row>
    <row r="2429" spans="1:4" x14ac:dyDescent="0.2">
      <c r="A2429" s="3" t="s">
        <v>898</v>
      </c>
      <c r="B2429" t="s">
        <v>8</v>
      </c>
      <c r="C2429" s="3" t="s">
        <v>907</v>
      </c>
      <c r="D2429" s="3" t="s">
        <v>56</v>
      </c>
    </row>
    <row r="2430" spans="1:4" x14ac:dyDescent="0.2">
      <c r="A2430" s="3" t="s">
        <v>898</v>
      </c>
      <c r="B2430" t="s">
        <v>8</v>
      </c>
      <c r="C2430" s="3" t="s">
        <v>869</v>
      </c>
      <c r="D2430" s="3" t="s">
        <v>57</v>
      </c>
    </row>
    <row r="2431" spans="1:4" x14ac:dyDescent="0.2">
      <c r="A2431" s="3" t="s">
        <v>898</v>
      </c>
      <c r="B2431" t="s">
        <v>8</v>
      </c>
      <c r="C2431" s="3" t="s">
        <v>899</v>
      </c>
      <c r="D2431" s="3" t="s">
        <v>57</v>
      </c>
    </row>
    <row r="2432" spans="1:4" x14ac:dyDescent="0.2">
      <c r="A2432" s="3" t="s">
        <v>898</v>
      </c>
      <c r="B2432" t="s">
        <v>8</v>
      </c>
      <c r="C2432" s="3" t="s">
        <v>900</v>
      </c>
      <c r="D2432" s="3" t="s">
        <v>57</v>
      </c>
    </row>
    <row r="2433" spans="1:4" x14ac:dyDescent="0.2">
      <c r="A2433" s="3" t="s">
        <v>898</v>
      </c>
      <c r="B2433" t="s">
        <v>8</v>
      </c>
      <c r="C2433" s="3" t="s">
        <v>901</v>
      </c>
      <c r="D2433" s="3" t="s">
        <v>57</v>
      </c>
    </row>
    <row r="2434" spans="1:4" x14ac:dyDescent="0.2">
      <c r="A2434" s="3" t="s">
        <v>898</v>
      </c>
      <c r="B2434" t="s">
        <v>8</v>
      </c>
      <c r="C2434" s="3" t="s">
        <v>887</v>
      </c>
      <c r="D2434" s="3" t="s">
        <v>57</v>
      </c>
    </row>
    <row r="2435" spans="1:4" x14ac:dyDescent="0.2">
      <c r="A2435" s="3" t="s">
        <v>898</v>
      </c>
      <c r="B2435" t="s">
        <v>8</v>
      </c>
      <c r="C2435" s="3" t="s">
        <v>902</v>
      </c>
      <c r="D2435" s="3" t="s">
        <v>57</v>
      </c>
    </row>
    <row r="2436" spans="1:4" x14ac:dyDescent="0.2">
      <c r="A2436" s="3" t="s">
        <v>898</v>
      </c>
      <c r="B2436" t="s">
        <v>8</v>
      </c>
      <c r="C2436" s="3" t="s">
        <v>684</v>
      </c>
      <c r="D2436" s="3" t="s">
        <v>57</v>
      </c>
    </row>
    <row r="2437" spans="1:4" x14ac:dyDescent="0.2">
      <c r="A2437" s="3" t="s">
        <v>898</v>
      </c>
      <c r="B2437" t="s">
        <v>8</v>
      </c>
      <c r="C2437" s="3" t="s">
        <v>903</v>
      </c>
      <c r="D2437" s="3" t="s">
        <v>57</v>
      </c>
    </row>
    <row r="2438" spans="1:4" x14ac:dyDescent="0.2">
      <c r="A2438" s="3" t="s">
        <v>898</v>
      </c>
      <c r="B2438" t="s">
        <v>8</v>
      </c>
      <c r="C2438" s="3" t="s">
        <v>904</v>
      </c>
      <c r="D2438" s="3" t="s">
        <v>57</v>
      </c>
    </row>
    <row r="2439" spans="1:4" x14ac:dyDescent="0.2">
      <c r="A2439" s="3" t="s">
        <v>898</v>
      </c>
      <c r="B2439" t="s">
        <v>8</v>
      </c>
      <c r="C2439" s="3" t="s">
        <v>908</v>
      </c>
      <c r="D2439" s="3" t="s">
        <v>57</v>
      </c>
    </row>
    <row r="2440" spans="1:4" x14ac:dyDescent="0.2">
      <c r="A2440" s="3" t="s">
        <v>898</v>
      </c>
      <c r="B2440" t="s">
        <v>8</v>
      </c>
      <c r="C2440" s="3" t="s">
        <v>905</v>
      </c>
      <c r="D2440" s="3" t="s">
        <v>57</v>
      </c>
    </row>
    <row r="2441" spans="1:4" x14ac:dyDescent="0.2">
      <c r="A2441" s="3" t="s">
        <v>898</v>
      </c>
      <c r="B2441" t="s">
        <v>8</v>
      </c>
      <c r="C2441" s="3" t="s">
        <v>906</v>
      </c>
      <c r="D2441" s="3" t="s">
        <v>57</v>
      </c>
    </row>
    <row r="2442" spans="1:4" x14ac:dyDescent="0.2">
      <c r="A2442" s="3" t="s">
        <v>898</v>
      </c>
      <c r="B2442" t="s">
        <v>8</v>
      </c>
      <c r="C2442" s="3" t="s">
        <v>907</v>
      </c>
      <c r="D2442" s="3" t="s">
        <v>57</v>
      </c>
    </row>
    <row r="2443" spans="1:4" x14ac:dyDescent="0.2">
      <c r="A2443" s="3" t="s">
        <v>909</v>
      </c>
      <c r="B2443" t="s">
        <v>8</v>
      </c>
      <c r="C2443" s="3" t="s">
        <v>887</v>
      </c>
      <c r="D2443" s="3" t="s">
        <v>53</v>
      </c>
    </row>
    <row r="2444" spans="1:4" x14ac:dyDescent="0.2">
      <c r="A2444" s="3" t="s">
        <v>909</v>
      </c>
      <c r="B2444" t="s">
        <v>8</v>
      </c>
      <c r="C2444" s="3" t="s">
        <v>887</v>
      </c>
      <c r="D2444" s="3" t="s">
        <v>54</v>
      </c>
    </row>
    <row r="2445" spans="1:4" x14ac:dyDescent="0.2">
      <c r="A2445" s="3" t="s">
        <v>909</v>
      </c>
      <c r="B2445" t="s">
        <v>8</v>
      </c>
      <c r="C2445" s="3" t="s">
        <v>887</v>
      </c>
      <c r="D2445" s="3" t="s">
        <v>55</v>
      </c>
    </row>
    <row r="2446" spans="1:4" x14ac:dyDescent="0.2">
      <c r="A2446" s="3" t="s">
        <v>909</v>
      </c>
      <c r="B2446" t="s">
        <v>8</v>
      </c>
      <c r="C2446" s="3" t="s">
        <v>887</v>
      </c>
      <c r="D2446" s="3" t="s">
        <v>56</v>
      </c>
    </row>
    <row r="2447" spans="1:4" x14ac:dyDescent="0.2">
      <c r="A2447" s="3" t="s">
        <v>909</v>
      </c>
      <c r="B2447" t="s">
        <v>8</v>
      </c>
      <c r="C2447" s="3" t="s">
        <v>887</v>
      </c>
      <c r="D2447" s="3" t="s">
        <v>57</v>
      </c>
    </row>
    <row r="2448" spans="1:4" x14ac:dyDescent="0.2">
      <c r="A2448" s="3" t="s">
        <v>910</v>
      </c>
      <c r="B2448" t="s">
        <v>8</v>
      </c>
      <c r="C2448" s="3" t="s">
        <v>911</v>
      </c>
      <c r="D2448" s="3" t="s">
        <v>53</v>
      </c>
    </row>
    <row r="2449" spans="1:4" x14ac:dyDescent="0.2">
      <c r="A2449" s="3" t="s">
        <v>910</v>
      </c>
      <c r="B2449" t="s">
        <v>8</v>
      </c>
      <c r="C2449" s="3" t="s">
        <v>912</v>
      </c>
      <c r="D2449" s="3" t="s">
        <v>53</v>
      </c>
    </row>
    <row r="2450" spans="1:4" x14ac:dyDescent="0.2">
      <c r="A2450" s="3" t="s">
        <v>910</v>
      </c>
      <c r="B2450" t="s">
        <v>8</v>
      </c>
      <c r="C2450" s="3" t="s">
        <v>321</v>
      </c>
      <c r="D2450" s="3" t="s">
        <v>53</v>
      </c>
    </row>
    <row r="2451" spans="1:4" x14ac:dyDescent="0.2">
      <c r="A2451" s="3" t="s">
        <v>910</v>
      </c>
      <c r="B2451" t="s">
        <v>8</v>
      </c>
      <c r="C2451" s="3" t="s">
        <v>911</v>
      </c>
      <c r="D2451" s="3" t="s">
        <v>54</v>
      </c>
    </row>
    <row r="2452" spans="1:4" x14ac:dyDescent="0.2">
      <c r="A2452" s="3" t="s">
        <v>910</v>
      </c>
      <c r="B2452" t="s">
        <v>8</v>
      </c>
      <c r="C2452" s="3" t="s">
        <v>912</v>
      </c>
      <c r="D2452" s="3" t="s">
        <v>54</v>
      </c>
    </row>
    <row r="2453" spans="1:4" x14ac:dyDescent="0.2">
      <c r="A2453" s="3" t="s">
        <v>910</v>
      </c>
      <c r="B2453" t="s">
        <v>8</v>
      </c>
      <c r="C2453" s="3" t="s">
        <v>321</v>
      </c>
      <c r="D2453" s="3" t="s">
        <v>54</v>
      </c>
    </row>
    <row r="2454" spans="1:4" x14ac:dyDescent="0.2">
      <c r="A2454" s="3" t="s">
        <v>910</v>
      </c>
      <c r="B2454" t="s">
        <v>8</v>
      </c>
      <c r="C2454" s="3" t="s">
        <v>911</v>
      </c>
      <c r="D2454" s="3" t="s">
        <v>55</v>
      </c>
    </row>
    <row r="2455" spans="1:4" x14ac:dyDescent="0.2">
      <c r="A2455" s="3" t="s">
        <v>910</v>
      </c>
      <c r="B2455" t="s">
        <v>8</v>
      </c>
      <c r="C2455" s="3" t="s">
        <v>912</v>
      </c>
      <c r="D2455" s="3" t="s">
        <v>55</v>
      </c>
    </row>
    <row r="2456" spans="1:4" x14ac:dyDescent="0.2">
      <c r="A2456" s="3" t="s">
        <v>910</v>
      </c>
      <c r="B2456" t="s">
        <v>8</v>
      </c>
      <c r="C2456" s="3" t="s">
        <v>321</v>
      </c>
      <c r="D2456" s="3" t="s">
        <v>55</v>
      </c>
    </row>
    <row r="2457" spans="1:4" x14ac:dyDescent="0.2">
      <c r="A2457" s="3" t="s">
        <v>910</v>
      </c>
      <c r="B2457" t="s">
        <v>8</v>
      </c>
      <c r="C2457" s="3" t="s">
        <v>911</v>
      </c>
      <c r="D2457" s="3" t="s">
        <v>56</v>
      </c>
    </row>
    <row r="2458" spans="1:4" x14ac:dyDescent="0.2">
      <c r="A2458" s="3" t="s">
        <v>910</v>
      </c>
      <c r="B2458" t="s">
        <v>8</v>
      </c>
      <c r="C2458" s="3" t="s">
        <v>912</v>
      </c>
      <c r="D2458" s="3" t="s">
        <v>56</v>
      </c>
    </row>
    <row r="2459" spans="1:4" x14ac:dyDescent="0.2">
      <c r="A2459" s="3" t="s">
        <v>910</v>
      </c>
      <c r="B2459" t="s">
        <v>8</v>
      </c>
      <c r="C2459" s="3" t="s">
        <v>321</v>
      </c>
      <c r="D2459" s="3" t="s">
        <v>56</v>
      </c>
    </row>
    <row r="2460" spans="1:4" x14ac:dyDescent="0.2">
      <c r="A2460" s="3" t="s">
        <v>910</v>
      </c>
      <c r="B2460" t="s">
        <v>8</v>
      </c>
      <c r="C2460" s="3" t="s">
        <v>911</v>
      </c>
      <c r="D2460" s="3" t="s">
        <v>57</v>
      </c>
    </row>
    <row r="2461" spans="1:4" x14ac:dyDescent="0.2">
      <c r="A2461" s="3" t="s">
        <v>910</v>
      </c>
      <c r="B2461" t="s">
        <v>8</v>
      </c>
      <c r="C2461" s="3" t="s">
        <v>912</v>
      </c>
      <c r="D2461" s="3" t="s">
        <v>57</v>
      </c>
    </row>
    <row r="2462" spans="1:4" x14ac:dyDescent="0.2">
      <c r="A2462" s="3" t="s">
        <v>910</v>
      </c>
      <c r="B2462" t="s">
        <v>8</v>
      </c>
      <c r="C2462" s="3" t="s">
        <v>321</v>
      </c>
      <c r="D2462" s="3" t="s">
        <v>57</v>
      </c>
    </row>
    <row r="2463" spans="1:4" x14ac:dyDescent="0.2">
      <c r="A2463" s="3" t="s">
        <v>910</v>
      </c>
      <c r="B2463" t="s">
        <v>8</v>
      </c>
      <c r="C2463" s="3" t="s">
        <v>913</v>
      </c>
      <c r="D2463" s="3" t="s">
        <v>169</v>
      </c>
    </row>
    <row r="2464" spans="1:4" x14ac:dyDescent="0.2">
      <c r="A2464" s="3" t="s">
        <v>910</v>
      </c>
      <c r="B2464" t="s">
        <v>8</v>
      </c>
      <c r="C2464" s="3" t="s">
        <v>409</v>
      </c>
      <c r="D2464" s="3" t="s">
        <v>169</v>
      </c>
    </row>
    <row r="2465" spans="1:4" x14ac:dyDescent="0.2">
      <c r="A2465" s="3" t="s">
        <v>910</v>
      </c>
      <c r="B2465" t="s">
        <v>8</v>
      </c>
      <c r="C2465" s="3" t="s">
        <v>410</v>
      </c>
      <c r="D2465" s="3" t="s">
        <v>169</v>
      </c>
    </row>
    <row r="2466" spans="1:4" x14ac:dyDescent="0.2">
      <c r="A2466" s="3" t="s">
        <v>914</v>
      </c>
      <c r="B2466" t="s">
        <v>8</v>
      </c>
      <c r="C2466" s="3" t="s">
        <v>321</v>
      </c>
      <c r="D2466" s="3" t="s">
        <v>53</v>
      </c>
    </row>
    <row r="2467" spans="1:4" x14ac:dyDescent="0.2">
      <c r="A2467" s="3" t="s">
        <v>914</v>
      </c>
      <c r="B2467" t="s">
        <v>8</v>
      </c>
      <c r="C2467" s="3" t="s">
        <v>321</v>
      </c>
      <c r="D2467" s="3" t="s">
        <v>54</v>
      </c>
    </row>
    <row r="2468" spans="1:4" x14ac:dyDescent="0.2">
      <c r="A2468" s="3" t="s">
        <v>914</v>
      </c>
      <c r="B2468" t="s">
        <v>8</v>
      </c>
      <c r="C2468" s="3" t="s">
        <v>321</v>
      </c>
      <c r="D2468" s="3" t="s">
        <v>55</v>
      </c>
    </row>
    <row r="2469" spans="1:4" x14ac:dyDescent="0.2">
      <c r="A2469" s="3" t="s">
        <v>914</v>
      </c>
      <c r="B2469" t="s">
        <v>8</v>
      </c>
      <c r="C2469" s="3" t="s">
        <v>321</v>
      </c>
      <c r="D2469" s="3" t="s">
        <v>56</v>
      </c>
    </row>
    <row r="2470" spans="1:4" x14ac:dyDescent="0.2">
      <c r="A2470" s="3" t="s">
        <v>914</v>
      </c>
      <c r="B2470" t="s">
        <v>8</v>
      </c>
      <c r="C2470" s="3" t="s">
        <v>321</v>
      </c>
      <c r="D2470" s="3" t="s">
        <v>57</v>
      </c>
    </row>
    <row r="2471" spans="1:4" x14ac:dyDescent="0.2">
      <c r="A2471" s="3" t="s">
        <v>914</v>
      </c>
      <c r="B2471" t="s">
        <v>8</v>
      </c>
      <c r="C2471" s="3" t="s">
        <v>347</v>
      </c>
      <c r="D2471" s="3" t="s">
        <v>22</v>
      </c>
    </row>
    <row r="2472" spans="1:4" x14ac:dyDescent="0.2">
      <c r="A2472" s="3" t="s">
        <v>914</v>
      </c>
      <c r="B2472" t="s">
        <v>8</v>
      </c>
      <c r="C2472" s="3" t="s">
        <v>356</v>
      </c>
      <c r="D2472" s="3" t="s">
        <v>22</v>
      </c>
    </row>
    <row r="2473" spans="1:4" x14ac:dyDescent="0.2">
      <c r="A2473" s="3" t="s">
        <v>915</v>
      </c>
      <c r="B2473" t="s">
        <v>8</v>
      </c>
      <c r="C2473" s="3" t="s">
        <v>916</v>
      </c>
      <c r="D2473" s="3" t="s">
        <v>53</v>
      </c>
    </row>
    <row r="2474" spans="1:4" x14ac:dyDescent="0.2">
      <c r="A2474" s="3" t="s">
        <v>915</v>
      </c>
      <c r="B2474" t="s">
        <v>8</v>
      </c>
      <c r="C2474" s="3" t="s">
        <v>917</v>
      </c>
      <c r="D2474" s="3" t="s">
        <v>53</v>
      </c>
    </row>
    <row r="2475" spans="1:4" x14ac:dyDescent="0.2">
      <c r="A2475" s="3" t="s">
        <v>915</v>
      </c>
      <c r="B2475" t="s">
        <v>8</v>
      </c>
      <c r="C2475" s="3" t="s">
        <v>916</v>
      </c>
      <c r="D2475" s="3" t="s">
        <v>54</v>
      </c>
    </row>
    <row r="2476" spans="1:4" x14ac:dyDescent="0.2">
      <c r="A2476" s="3" t="s">
        <v>915</v>
      </c>
      <c r="B2476" t="s">
        <v>8</v>
      </c>
      <c r="C2476" s="3" t="s">
        <v>917</v>
      </c>
      <c r="D2476" s="3" t="s">
        <v>54</v>
      </c>
    </row>
    <row r="2477" spans="1:4" x14ac:dyDescent="0.2">
      <c r="A2477" s="3" t="s">
        <v>915</v>
      </c>
      <c r="B2477" t="s">
        <v>8</v>
      </c>
      <c r="C2477" s="3" t="s">
        <v>916</v>
      </c>
      <c r="D2477" s="3" t="s">
        <v>55</v>
      </c>
    </row>
    <row r="2478" spans="1:4" x14ac:dyDescent="0.2">
      <c r="A2478" s="3" t="s">
        <v>915</v>
      </c>
      <c r="B2478" t="s">
        <v>8</v>
      </c>
      <c r="C2478" s="3" t="s">
        <v>917</v>
      </c>
      <c r="D2478" s="3" t="s">
        <v>55</v>
      </c>
    </row>
    <row r="2479" spans="1:4" x14ac:dyDescent="0.2">
      <c r="A2479" s="3" t="s">
        <v>915</v>
      </c>
      <c r="B2479" t="s">
        <v>8</v>
      </c>
      <c r="C2479" s="3" t="s">
        <v>916</v>
      </c>
      <c r="D2479" s="3" t="s">
        <v>56</v>
      </c>
    </row>
    <row r="2480" spans="1:4" x14ac:dyDescent="0.2">
      <c r="A2480" s="3" t="s">
        <v>915</v>
      </c>
      <c r="B2480" t="s">
        <v>8</v>
      </c>
      <c r="C2480" s="3" t="s">
        <v>917</v>
      </c>
      <c r="D2480" s="3" t="s">
        <v>56</v>
      </c>
    </row>
    <row r="2481" spans="1:4" x14ac:dyDescent="0.2">
      <c r="A2481" s="3" t="s">
        <v>915</v>
      </c>
      <c r="B2481" t="s">
        <v>8</v>
      </c>
      <c r="C2481" s="3" t="s">
        <v>916</v>
      </c>
      <c r="D2481" s="3" t="s">
        <v>57</v>
      </c>
    </row>
    <row r="2482" spans="1:4" x14ac:dyDescent="0.2">
      <c r="A2482" s="3" t="s">
        <v>915</v>
      </c>
      <c r="B2482" t="s">
        <v>8</v>
      </c>
      <c r="C2482" s="3" t="s">
        <v>917</v>
      </c>
      <c r="D2482" s="3" t="s">
        <v>57</v>
      </c>
    </row>
    <row r="2483" spans="1:4" x14ac:dyDescent="0.2">
      <c r="A2483" s="3" t="s">
        <v>915</v>
      </c>
      <c r="B2483" t="s">
        <v>8</v>
      </c>
      <c r="C2483" s="3" t="s">
        <v>360</v>
      </c>
      <c r="D2483" s="3" t="s">
        <v>22</v>
      </c>
    </row>
    <row r="2484" spans="1:4" x14ac:dyDescent="0.2">
      <c r="A2484" s="3" t="s">
        <v>918</v>
      </c>
      <c r="B2484" t="s">
        <v>8</v>
      </c>
      <c r="C2484" s="3" t="s">
        <v>919</v>
      </c>
      <c r="D2484" s="3" t="s">
        <v>53</v>
      </c>
    </row>
    <row r="2485" spans="1:4" x14ac:dyDescent="0.2">
      <c r="A2485" s="3" t="s">
        <v>918</v>
      </c>
      <c r="B2485" t="s">
        <v>8</v>
      </c>
      <c r="C2485" s="3" t="s">
        <v>920</v>
      </c>
      <c r="D2485" s="3" t="s">
        <v>53</v>
      </c>
    </row>
    <row r="2486" spans="1:4" x14ac:dyDescent="0.2">
      <c r="A2486" s="3" t="s">
        <v>918</v>
      </c>
      <c r="B2486" t="s">
        <v>8</v>
      </c>
      <c r="C2486" s="3" t="s">
        <v>407</v>
      </c>
      <c r="D2486" s="3" t="s">
        <v>53</v>
      </c>
    </row>
    <row r="2487" spans="1:4" x14ac:dyDescent="0.2">
      <c r="A2487" s="3" t="s">
        <v>918</v>
      </c>
      <c r="B2487" t="s">
        <v>8</v>
      </c>
      <c r="C2487" s="3" t="s">
        <v>919</v>
      </c>
      <c r="D2487" s="3" t="s">
        <v>54</v>
      </c>
    </row>
    <row r="2488" spans="1:4" x14ac:dyDescent="0.2">
      <c r="A2488" s="3" t="s">
        <v>918</v>
      </c>
      <c r="B2488" t="s">
        <v>8</v>
      </c>
      <c r="C2488" s="3" t="s">
        <v>920</v>
      </c>
      <c r="D2488" s="3" t="s">
        <v>54</v>
      </c>
    </row>
    <row r="2489" spans="1:4" x14ac:dyDescent="0.2">
      <c r="A2489" s="3" t="s">
        <v>918</v>
      </c>
      <c r="B2489" t="s">
        <v>8</v>
      </c>
      <c r="C2489" s="3" t="s">
        <v>407</v>
      </c>
      <c r="D2489" s="3" t="s">
        <v>54</v>
      </c>
    </row>
    <row r="2490" spans="1:4" x14ac:dyDescent="0.2">
      <c r="A2490" s="3" t="s">
        <v>918</v>
      </c>
      <c r="B2490" t="s">
        <v>8</v>
      </c>
      <c r="C2490" s="3" t="s">
        <v>919</v>
      </c>
      <c r="D2490" s="3" t="s">
        <v>55</v>
      </c>
    </row>
    <row r="2491" spans="1:4" x14ac:dyDescent="0.2">
      <c r="A2491" s="3" t="s">
        <v>918</v>
      </c>
      <c r="B2491" t="s">
        <v>8</v>
      </c>
      <c r="C2491" s="3" t="s">
        <v>920</v>
      </c>
      <c r="D2491" s="3" t="s">
        <v>55</v>
      </c>
    </row>
    <row r="2492" spans="1:4" x14ac:dyDescent="0.2">
      <c r="A2492" s="3" t="s">
        <v>918</v>
      </c>
      <c r="B2492" t="s">
        <v>8</v>
      </c>
      <c r="C2492" s="3" t="s">
        <v>407</v>
      </c>
      <c r="D2492" s="3" t="s">
        <v>55</v>
      </c>
    </row>
    <row r="2493" spans="1:4" x14ac:dyDescent="0.2">
      <c r="A2493" s="3" t="s">
        <v>918</v>
      </c>
      <c r="B2493" t="s">
        <v>8</v>
      </c>
      <c r="C2493" s="3" t="s">
        <v>919</v>
      </c>
      <c r="D2493" s="3" t="s">
        <v>56</v>
      </c>
    </row>
    <row r="2494" spans="1:4" x14ac:dyDescent="0.2">
      <c r="A2494" s="3" t="s">
        <v>918</v>
      </c>
      <c r="B2494" t="s">
        <v>8</v>
      </c>
      <c r="C2494" s="3" t="s">
        <v>920</v>
      </c>
      <c r="D2494" s="3" t="s">
        <v>56</v>
      </c>
    </row>
    <row r="2495" spans="1:4" x14ac:dyDescent="0.2">
      <c r="A2495" s="3" t="s">
        <v>918</v>
      </c>
      <c r="B2495" t="s">
        <v>8</v>
      </c>
      <c r="C2495" s="3" t="s">
        <v>407</v>
      </c>
      <c r="D2495" s="3" t="s">
        <v>56</v>
      </c>
    </row>
    <row r="2496" spans="1:4" x14ac:dyDescent="0.2">
      <c r="A2496" s="3" t="s">
        <v>918</v>
      </c>
      <c r="B2496" t="s">
        <v>8</v>
      </c>
      <c r="C2496" s="3" t="s">
        <v>919</v>
      </c>
      <c r="D2496" s="3" t="s">
        <v>57</v>
      </c>
    </row>
    <row r="2497" spans="1:4" x14ac:dyDescent="0.2">
      <c r="A2497" s="3" t="s">
        <v>918</v>
      </c>
      <c r="B2497" t="s">
        <v>8</v>
      </c>
      <c r="C2497" s="3" t="s">
        <v>920</v>
      </c>
      <c r="D2497" s="3" t="s">
        <v>57</v>
      </c>
    </row>
    <row r="2498" spans="1:4" x14ac:dyDescent="0.2">
      <c r="A2498" s="3" t="s">
        <v>918</v>
      </c>
      <c r="B2498" t="s">
        <v>8</v>
      </c>
      <c r="C2498" s="3" t="s">
        <v>407</v>
      </c>
      <c r="D2498" s="3" t="s">
        <v>57</v>
      </c>
    </row>
    <row r="2499" spans="1:4" x14ac:dyDescent="0.2">
      <c r="A2499" s="3" t="s">
        <v>921</v>
      </c>
      <c r="B2499" t="s">
        <v>8</v>
      </c>
      <c r="C2499" s="3" t="s">
        <v>922</v>
      </c>
      <c r="D2499" s="3" t="s">
        <v>53</v>
      </c>
    </row>
    <row r="2500" spans="1:4" x14ac:dyDescent="0.2">
      <c r="A2500" s="3" t="s">
        <v>921</v>
      </c>
      <c r="B2500" t="s">
        <v>8</v>
      </c>
      <c r="C2500" s="3" t="s">
        <v>923</v>
      </c>
      <c r="D2500" s="3" t="s">
        <v>53</v>
      </c>
    </row>
    <row r="2501" spans="1:4" x14ac:dyDescent="0.2">
      <c r="A2501" s="3" t="s">
        <v>921</v>
      </c>
      <c r="B2501" t="s">
        <v>8</v>
      </c>
      <c r="C2501" s="3" t="s">
        <v>924</v>
      </c>
      <c r="D2501" s="3" t="s">
        <v>53</v>
      </c>
    </row>
    <row r="2502" spans="1:4" x14ac:dyDescent="0.2">
      <c r="A2502" s="3" t="s">
        <v>921</v>
      </c>
      <c r="B2502" t="s">
        <v>8</v>
      </c>
      <c r="C2502" s="3" t="s">
        <v>925</v>
      </c>
      <c r="D2502" s="3" t="s">
        <v>53</v>
      </c>
    </row>
    <row r="2503" spans="1:4" x14ac:dyDescent="0.2">
      <c r="A2503" s="3" t="s">
        <v>921</v>
      </c>
      <c r="B2503" t="s">
        <v>8</v>
      </c>
      <c r="C2503" s="3" t="s">
        <v>926</v>
      </c>
      <c r="D2503" s="3" t="s">
        <v>53</v>
      </c>
    </row>
    <row r="2504" spans="1:4" x14ac:dyDescent="0.2">
      <c r="A2504" s="3" t="s">
        <v>921</v>
      </c>
      <c r="B2504" t="s">
        <v>8</v>
      </c>
      <c r="C2504" s="3" t="s">
        <v>927</v>
      </c>
      <c r="D2504" s="3" t="s">
        <v>53</v>
      </c>
    </row>
    <row r="2505" spans="1:4" x14ac:dyDescent="0.2">
      <c r="A2505" s="3" t="s">
        <v>921</v>
      </c>
      <c r="B2505" t="s">
        <v>8</v>
      </c>
      <c r="C2505" s="3" t="s">
        <v>928</v>
      </c>
      <c r="D2505" s="3" t="s">
        <v>53</v>
      </c>
    </row>
    <row r="2506" spans="1:4" x14ac:dyDescent="0.2">
      <c r="A2506" s="3" t="s">
        <v>921</v>
      </c>
      <c r="B2506" t="s">
        <v>8</v>
      </c>
      <c r="C2506" s="3" t="s">
        <v>929</v>
      </c>
      <c r="D2506" s="3" t="s">
        <v>53</v>
      </c>
    </row>
    <row r="2507" spans="1:4" x14ac:dyDescent="0.2">
      <c r="A2507" s="3" t="s">
        <v>921</v>
      </c>
      <c r="B2507" t="s">
        <v>8</v>
      </c>
      <c r="C2507" s="3" t="s">
        <v>930</v>
      </c>
      <c r="D2507" s="3" t="s">
        <v>53</v>
      </c>
    </row>
    <row r="2508" spans="1:4" x14ac:dyDescent="0.2">
      <c r="A2508" s="3" t="s">
        <v>921</v>
      </c>
      <c r="B2508" t="s">
        <v>8</v>
      </c>
      <c r="C2508" s="3" t="s">
        <v>922</v>
      </c>
      <c r="D2508" s="3" t="s">
        <v>54</v>
      </c>
    </row>
    <row r="2509" spans="1:4" x14ac:dyDescent="0.2">
      <c r="A2509" s="3" t="s">
        <v>921</v>
      </c>
      <c r="B2509" t="s">
        <v>8</v>
      </c>
      <c r="C2509" s="3" t="s">
        <v>923</v>
      </c>
      <c r="D2509" s="3" t="s">
        <v>54</v>
      </c>
    </row>
    <row r="2510" spans="1:4" x14ac:dyDescent="0.2">
      <c r="A2510" s="3" t="s">
        <v>921</v>
      </c>
      <c r="B2510" t="s">
        <v>8</v>
      </c>
      <c r="C2510" s="3" t="s">
        <v>924</v>
      </c>
      <c r="D2510" s="3" t="s">
        <v>54</v>
      </c>
    </row>
    <row r="2511" spans="1:4" x14ac:dyDescent="0.2">
      <c r="A2511" s="3" t="s">
        <v>921</v>
      </c>
      <c r="B2511" t="s">
        <v>8</v>
      </c>
      <c r="C2511" s="3" t="s">
        <v>925</v>
      </c>
      <c r="D2511" s="3" t="s">
        <v>54</v>
      </c>
    </row>
    <row r="2512" spans="1:4" x14ac:dyDescent="0.2">
      <c r="A2512" s="3" t="s">
        <v>921</v>
      </c>
      <c r="B2512" t="s">
        <v>8</v>
      </c>
      <c r="C2512" s="3" t="s">
        <v>926</v>
      </c>
      <c r="D2512" s="3" t="s">
        <v>54</v>
      </c>
    </row>
    <row r="2513" spans="1:4" x14ac:dyDescent="0.2">
      <c r="A2513" s="3" t="s">
        <v>921</v>
      </c>
      <c r="B2513" t="s">
        <v>8</v>
      </c>
      <c r="C2513" s="3" t="s">
        <v>927</v>
      </c>
      <c r="D2513" s="3" t="s">
        <v>54</v>
      </c>
    </row>
    <row r="2514" spans="1:4" x14ac:dyDescent="0.2">
      <c r="A2514" s="3" t="s">
        <v>921</v>
      </c>
      <c r="B2514" t="s">
        <v>8</v>
      </c>
      <c r="C2514" s="3" t="s">
        <v>928</v>
      </c>
      <c r="D2514" s="3" t="s">
        <v>54</v>
      </c>
    </row>
    <row r="2515" spans="1:4" x14ac:dyDescent="0.2">
      <c r="A2515" s="3" t="s">
        <v>921</v>
      </c>
      <c r="B2515" t="s">
        <v>8</v>
      </c>
      <c r="C2515" s="3" t="s">
        <v>929</v>
      </c>
      <c r="D2515" s="3" t="s">
        <v>54</v>
      </c>
    </row>
    <row r="2516" spans="1:4" x14ac:dyDescent="0.2">
      <c r="A2516" s="3" t="s">
        <v>921</v>
      </c>
      <c r="B2516" t="s">
        <v>8</v>
      </c>
      <c r="C2516" s="3" t="s">
        <v>930</v>
      </c>
      <c r="D2516" s="3" t="s">
        <v>54</v>
      </c>
    </row>
    <row r="2517" spans="1:4" x14ac:dyDescent="0.2">
      <c r="A2517" s="3" t="s">
        <v>921</v>
      </c>
      <c r="B2517" t="s">
        <v>8</v>
      </c>
      <c r="C2517" s="3" t="s">
        <v>922</v>
      </c>
      <c r="D2517" s="3" t="s">
        <v>55</v>
      </c>
    </row>
    <row r="2518" spans="1:4" x14ac:dyDescent="0.2">
      <c r="A2518" s="3" t="s">
        <v>921</v>
      </c>
      <c r="B2518" t="s">
        <v>8</v>
      </c>
      <c r="C2518" s="3" t="s">
        <v>923</v>
      </c>
      <c r="D2518" s="3" t="s">
        <v>55</v>
      </c>
    </row>
    <row r="2519" spans="1:4" x14ac:dyDescent="0.2">
      <c r="A2519" s="3" t="s">
        <v>921</v>
      </c>
      <c r="B2519" t="s">
        <v>8</v>
      </c>
      <c r="C2519" s="3" t="s">
        <v>924</v>
      </c>
      <c r="D2519" s="3" t="s">
        <v>55</v>
      </c>
    </row>
    <row r="2520" spans="1:4" x14ac:dyDescent="0.2">
      <c r="A2520" s="3" t="s">
        <v>921</v>
      </c>
      <c r="B2520" t="s">
        <v>8</v>
      </c>
      <c r="C2520" s="3" t="s">
        <v>925</v>
      </c>
      <c r="D2520" s="3" t="s">
        <v>55</v>
      </c>
    </row>
    <row r="2521" spans="1:4" x14ac:dyDescent="0.2">
      <c r="A2521" s="3" t="s">
        <v>921</v>
      </c>
      <c r="B2521" t="s">
        <v>8</v>
      </c>
      <c r="C2521" s="3" t="s">
        <v>926</v>
      </c>
      <c r="D2521" s="3" t="s">
        <v>55</v>
      </c>
    </row>
    <row r="2522" spans="1:4" x14ac:dyDescent="0.2">
      <c r="A2522" s="3" t="s">
        <v>921</v>
      </c>
      <c r="B2522" t="s">
        <v>8</v>
      </c>
      <c r="C2522" s="3" t="s">
        <v>927</v>
      </c>
      <c r="D2522" s="3" t="s">
        <v>55</v>
      </c>
    </row>
    <row r="2523" spans="1:4" x14ac:dyDescent="0.2">
      <c r="A2523" s="3" t="s">
        <v>921</v>
      </c>
      <c r="B2523" t="s">
        <v>8</v>
      </c>
      <c r="C2523" s="3" t="s">
        <v>928</v>
      </c>
      <c r="D2523" s="3" t="s">
        <v>55</v>
      </c>
    </row>
    <row r="2524" spans="1:4" x14ac:dyDescent="0.2">
      <c r="A2524" s="3" t="s">
        <v>921</v>
      </c>
      <c r="B2524" t="s">
        <v>8</v>
      </c>
      <c r="C2524" s="3" t="s">
        <v>929</v>
      </c>
      <c r="D2524" s="3" t="s">
        <v>55</v>
      </c>
    </row>
    <row r="2525" spans="1:4" x14ac:dyDescent="0.2">
      <c r="A2525" s="3" t="s">
        <v>921</v>
      </c>
      <c r="B2525" t="s">
        <v>8</v>
      </c>
      <c r="C2525" s="3" t="s">
        <v>930</v>
      </c>
      <c r="D2525" s="3" t="s">
        <v>55</v>
      </c>
    </row>
    <row r="2526" spans="1:4" x14ac:dyDescent="0.2">
      <c r="A2526" s="3" t="s">
        <v>921</v>
      </c>
      <c r="B2526" t="s">
        <v>8</v>
      </c>
      <c r="C2526" s="3" t="s">
        <v>922</v>
      </c>
      <c r="D2526" s="3" t="s">
        <v>56</v>
      </c>
    </row>
    <row r="2527" spans="1:4" x14ac:dyDescent="0.2">
      <c r="A2527" s="3" t="s">
        <v>921</v>
      </c>
      <c r="B2527" t="s">
        <v>8</v>
      </c>
      <c r="C2527" s="3" t="s">
        <v>923</v>
      </c>
      <c r="D2527" s="3" t="s">
        <v>56</v>
      </c>
    </row>
    <row r="2528" spans="1:4" x14ac:dyDescent="0.2">
      <c r="A2528" s="3" t="s">
        <v>921</v>
      </c>
      <c r="B2528" t="s">
        <v>8</v>
      </c>
      <c r="C2528" s="3" t="s">
        <v>924</v>
      </c>
      <c r="D2528" s="3" t="s">
        <v>56</v>
      </c>
    </row>
    <row r="2529" spans="1:4" x14ac:dyDescent="0.2">
      <c r="A2529" s="3" t="s">
        <v>921</v>
      </c>
      <c r="B2529" t="s">
        <v>8</v>
      </c>
      <c r="C2529" s="3" t="s">
        <v>925</v>
      </c>
      <c r="D2529" s="3" t="s">
        <v>56</v>
      </c>
    </row>
    <row r="2530" spans="1:4" x14ac:dyDescent="0.2">
      <c r="A2530" s="3" t="s">
        <v>921</v>
      </c>
      <c r="B2530" t="s">
        <v>8</v>
      </c>
      <c r="C2530" s="3" t="s">
        <v>926</v>
      </c>
      <c r="D2530" s="3" t="s">
        <v>56</v>
      </c>
    </row>
    <row r="2531" spans="1:4" x14ac:dyDescent="0.2">
      <c r="A2531" s="3" t="s">
        <v>921</v>
      </c>
      <c r="B2531" t="s">
        <v>8</v>
      </c>
      <c r="C2531" s="3" t="s">
        <v>927</v>
      </c>
      <c r="D2531" s="3" t="s">
        <v>56</v>
      </c>
    </row>
    <row r="2532" spans="1:4" x14ac:dyDescent="0.2">
      <c r="A2532" s="3" t="s">
        <v>921</v>
      </c>
      <c r="B2532" t="s">
        <v>8</v>
      </c>
      <c r="C2532" s="3" t="s">
        <v>928</v>
      </c>
      <c r="D2532" s="3" t="s">
        <v>56</v>
      </c>
    </row>
    <row r="2533" spans="1:4" x14ac:dyDescent="0.2">
      <c r="A2533" s="3" t="s">
        <v>921</v>
      </c>
      <c r="B2533" t="s">
        <v>8</v>
      </c>
      <c r="C2533" s="3" t="s">
        <v>929</v>
      </c>
      <c r="D2533" s="3" t="s">
        <v>56</v>
      </c>
    </row>
    <row r="2534" spans="1:4" x14ac:dyDescent="0.2">
      <c r="A2534" s="3" t="s">
        <v>921</v>
      </c>
      <c r="B2534" t="s">
        <v>8</v>
      </c>
      <c r="C2534" s="3" t="s">
        <v>930</v>
      </c>
      <c r="D2534" s="3" t="s">
        <v>56</v>
      </c>
    </row>
    <row r="2535" spans="1:4" x14ac:dyDescent="0.2">
      <c r="A2535" s="3" t="s">
        <v>921</v>
      </c>
      <c r="B2535" t="s">
        <v>8</v>
      </c>
      <c r="C2535" s="3" t="s">
        <v>922</v>
      </c>
      <c r="D2535" s="3" t="s">
        <v>57</v>
      </c>
    </row>
    <row r="2536" spans="1:4" x14ac:dyDescent="0.2">
      <c r="A2536" s="3" t="s">
        <v>921</v>
      </c>
      <c r="B2536" t="s">
        <v>8</v>
      </c>
      <c r="C2536" s="3" t="s">
        <v>923</v>
      </c>
      <c r="D2536" s="3" t="s">
        <v>57</v>
      </c>
    </row>
    <row r="2537" spans="1:4" x14ac:dyDescent="0.2">
      <c r="A2537" s="3" t="s">
        <v>921</v>
      </c>
      <c r="B2537" t="s">
        <v>8</v>
      </c>
      <c r="C2537" s="3" t="s">
        <v>924</v>
      </c>
      <c r="D2537" s="3" t="s">
        <v>57</v>
      </c>
    </row>
    <row r="2538" spans="1:4" x14ac:dyDescent="0.2">
      <c r="A2538" s="3" t="s">
        <v>921</v>
      </c>
      <c r="B2538" t="s">
        <v>8</v>
      </c>
      <c r="C2538" s="3" t="s">
        <v>925</v>
      </c>
      <c r="D2538" s="3" t="s">
        <v>57</v>
      </c>
    </row>
    <row r="2539" spans="1:4" x14ac:dyDescent="0.2">
      <c r="A2539" s="3" t="s">
        <v>921</v>
      </c>
      <c r="B2539" t="s">
        <v>8</v>
      </c>
      <c r="C2539" s="3" t="s">
        <v>926</v>
      </c>
      <c r="D2539" s="3" t="s">
        <v>57</v>
      </c>
    </row>
    <row r="2540" spans="1:4" x14ac:dyDescent="0.2">
      <c r="A2540" s="3" t="s">
        <v>921</v>
      </c>
      <c r="B2540" t="s">
        <v>8</v>
      </c>
      <c r="C2540" s="3" t="s">
        <v>927</v>
      </c>
      <c r="D2540" s="3" t="s">
        <v>57</v>
      </c>
    </row>
    <row r="2541" spans="1:4" x14ac:dyDescent="0.2">
      <c r="A2541" s="3" t="s">
        <v>921</v>
      </c>
      <c r="B2541" t="s">
        <v>8</v>
      </c>
      <c r="C2541" s="3" t="s">
        <v>928</v>
      </c>
      <c r="D2541" s="3" t="s">
        <v>57</v>
      </c>
    </row>
    <row r="2542" spans="1:4" x14ac:dyDescent="0.2">
      <c r="A2542" s="3" t="s">
        <v>921</v>
      </c>
      <c r="B2542" t="s">
        <v>8</v>
      </c>
      <c r="C2542" s="3" t="s">
        <v>929</v>
      </c>
      <c r="D2542" s="3" t="s">
        <v>57</v>
      </c>
    </row>
    <row r="2543" spans="1:4" x14ac:dyDescent="0.2">
      <c r="A2543" s="3" t="s">
        <v>921</v>
      </c>
      <c r="B2543" t="s">
        <v>8</v>
      </c>
      <c r="C2543" s="3" t="s">
        <v>930</v>
      </c>
      <c r="D2543" s="3" t="s">
        <v>57</v>
      </c>
    </row>
    <row r="2544" spans="1:4" x14ac:dyDescent="0.2">
      <c r="A2544" s="3" t="s">
        <v>921</v>
      </c>
      <c r="B2544" t="s">
        <v>8</v>
      </c>
      <c r="C2544" s="3" t="s">
        <v>931</v>
      </c>
      <c r="D2544" s="3" t="s">
        <v>10</v>
      </c>
    </row>
    <row r="2545" spans="1:4" x14ac:dyDescent="0.2">
      <c r="A2545" s="3" t="s">
        <v>921</v>
      </c>
      <c r="B2545" t="s">
        <v>8</v>
      </c>
      <c r="C2545" s="3" t="s">
        <v>932</v>
      </c>
      <c r="D2545" s="3" t="s">
        <v>10</v>
      </c>
    </row>
    <row r="2546" spans="1:4" x14ac:dyDescent="0.2">
      <c r="A2546" s="3" t="s">
        <v>921</v>
      </c>
      <c r="B2546" t="s">
        <v>8</v>
      </c>
      <c r="C2546" s="3" t="s">
        <v>933</v>
      </c>
      <c r="D2546" s="3" t="s">
        <v>10</v>
      </c>
    </row>
    <row r="2547" spans="1:4" x14ac:dyDescent="0.2">
      <c r="A2547" s="3" t="s">
        <v>921</v>
      </c>
      <c r="B2547" t="s">
        <v>8</v>
      </c>
      <c r="C2547" s="3" t="s">
        <v>934</v>
      </c>
      <c r="D2547" s="3" t="s">
        <v>10</v>
      </c>
    </row>
    <row r="2548" spans="1:4" x14ac:dyDescent="0.2">
      <c r="A2548" s="3" t="s">
        <v>921</v>
      </c>
      <c r="B2548" t="s">
        <v>8</v>
      </c>
      <c r="C2548" s="3" t="s">
        <v>935</v>
      </c>
      <c r="D2548" s="3" t="s">
        <v>10</v>
      </c>
    </row>
    <row r="2549" spans="1:4" x14ac:dyDescent="0.2">
      <c r="A2549" s="3" t="s">
        <v>921</v>
      </c>
      <c r="B2549" t="s">
        <v>8</v>
      </c>
      <c r="C2549" s="3" t="s">
        <v>936</v>
      </c>
      <c r="D2549" s="3" t="s">
        <v>10</v>
      </c>
    </row>
    <row r="2550" spans="1:4" x14ac:dyDescent="0.2">
      <c r="A2550" s="3" t="s">
        <v>921</v>
      </c>
      <c r="B2550" t="s">
        <v>8</v>
      </c>
      <c r="C2550" s="3" t="s">
        <v>937</v>
      </c>
      <c r="D2550" s="3" t="s">
        <v>10</v>
      </c>
    </row>
    <row r="2551" spans="1:4" x14ac:dyDescent="0.2">
      <c r="A2551" s="3" t="s">
        <v>921</v>
      </c>
      <c r="B2551" t="s">
        <v>8</v>
      </c>
      <c r="C2551" s="3" t="s">
        <v>938</v>
      </c>
      <c r="D2551" s="3" t="s">
        <v>10</v>
      </c>
    </row>
    <row r="2552" spans="1:4" x14ac:dyDescent="0.2">
      <c r="A2552" s="3" t="s">
        <v>921</v>
      </c>
      <c r="B2552" t="s">
        <v>8</v>
      </c>
      <c r="C2552" s="3" t="s">
        <v>939</v>
      </c>
      <c r="D2552" s="3" t="s">
        <v>10</v>
      </c>
    </row>
    <row r="2553" spans="1:4" x14ac:dyDescent="0.2">
      <c r="A2553" s="3" t="s">
        <v>921</v>
      </c>
      <c r="B2553" t="s">
        <v>8</v>
      </c>
      <c r="C2553" s="3" t="s">
        <v>940</v>
      </c>
      <c r="D2553" s="3" t="s">
        <v>10</v>
      </c>
    </row>
    <row r="2554" spans="1:4" x14ac:dyDescent="0.2">
      <c r="A2554" s="3" t="s">
        <v>921</v>
      </c>
      <c r="B2554" t="s">
        <v>8</v>
      </c>
      <c r="C2554" s="3" t="s">
        <v>931</v>
      </c>
      <c r="D2554" s="3" t="s">
        <v>11</v>
      </c>
    </row>
    <row r="2555" spans="1:4" x14ac:dyDescent="0.2">
      <c r="A2555" s="3" t="s">
        <v>921</v>
      </c>
      <c r="B2555" t="s">
        <v>8</v>
      </c>
      <c r="C2555" s="3" t="s">
        <v>932</v>
      </c>
      <c r="D2555" s="3" t="s">
        <v>11</v>
      </c>
    </row>
    <row r="2556" spans="1:4" x14ac:dyDescent="0.2">
      <c r="A2556" s="3" t="s">
        <v>921</v>
      </c>
      <c r="B2556" t="s">
        <v>8</v>
      </c>
      <c r="C2556" s="3" t="s">
        <v>933</v>
      </c>
      <c r="D2556" s="3" t="s">
        <v>11</v>
      </c>
    </row>
    <row r="2557" spans="1:4" x14ac:dyDescent="0.2">
      <c r="A2557" s="3" t="s">
        <v>921</v>
      </c>
      <c r="B2557" t="s">
        <v>8</v>
      </c>
      <c r="C2557" s="3" t="s">
        <v>934</v>
      </c>
      <c r="D2557" s="3" t="s">
        <v>11</v>
      </c>
    </row>
    <row r="2558" spans="1:4" x14ac:dyDescent="0.2">
      <c r="A2558" s="3" t="s">
        <v>921</v>
      </c>
      <c r="B2558" t="s">
        <v>8</v>
      </c>
      <c r="C2558" s="3" t="s">
        <v>935</v>
      </c>
      <c r="D2558" s="3" t="s">
        <v>11</v>
      </c>
    </row>
    <row r="2559" spans="1:4" x14ac:dyDescent="0.2">
      <c r="A2559" s="3" t="s">
        <v>921</v>
      </c>
      <c r="B2559" t="s">
        <v>8</v>
      </c>
      <c r="C2559" s="3" t="s">
        <v>941</v>
      </c>
      <c r="D2559" s="3" t="s">
        <v>11</v>
      </c>
    </row>
    <row r="2560" spans="1:4" x14ac:dyDescent="0.2">
      <c r="A2560" s="3" t="s">
        <v>921</v>
      </c>
      <c r="B2560" t="s">
        <v>8</v>
      </c>
      <c r="C2560" s="3" t="s">
        <v>942</v>
      </c>
      <c r="D2560" s="3" t="s">
        <v>22</v>
      </c>
    </row>
    <row r="2561" spans="1:4" x14ac:dyDescent="0.2">
      <c r="A2561" s="3" t="s">
        <v>943</v>
      </c>
      <c r="B2561" t="s">
        <v>8</v>
      </c>
      <c r="C2561" s="3" t="s">
        <v>923</v>
      </c>
      <c r="D2561" s="3" t="s">
        <v>53</v>
      </c>
    </row>
    <row r="2562" spans="1:4" x14ac:dyDescent="0.2">
      <c r="A2562" s="3" t="s">
        <v>943</v>
      </c>
      <c r="B2562" t="s">
        <v>8</v>
      </c>
      <c r="C2562" s="3" t="s">
        <v>924</v>
      </c>
      <c r="D2562" s="3" t="s">
        <v>53</v>
      </c>
    </row>
    <row r="2563" spans="1:4" x14ac:dyDescent="0.2">
      <c r="A2563" s="3" t="s">
        <v>943</v>
      </c>
      <c r="B2563" t="s">
        <v>8</v>
      </c>
      <c r="C2563" s="3" t="s">
        <v>925</v>
      </c>
      <c r="D2563" s="3" t="s">
        <v>53</v>
      </c>
    </row>
    <row r="2564" spans="1:4" x14ac:dyDescent="0.2">
      <c r="A2564" s="3" t="s">
        <v>943</v>
      </c>
      <c r="B2564" t="s">
        <v>8</v>
      </c>
      <c r="C2564" s="3" t="s">
        <v>926</v>
      </c>
      <c r="D2564" s="3" t="s">
        <v>53</v>
      </c>
    </row>
    <row r="2565" spans="1:4" x14ac:dyDescent="0.2">
      <c r="A2565" s="3" t="s">
        <v>943</v>
      </c>
      <c r="B2565" t="s">
        <v>8</v>
      </c>
      <c r="C2565" s="3" t="s">
        <v>944</v>
      </c>
      <c r="D2565" s="3" t="s">
        <v>53</v>
      </c>
    </row>
    <row r="2566" spans="1:4" x14ac:dyDescent="0.2">
      <c r="A2566" s="3" t="s">
        <v>943</v>
      </c>
      <c r="B2566" t="s">
        <v>8</v>
      </c>
      <c r="C2566" s="3" t="s">
        <v>945</v>
      </c>
      <c r="D2566" s="3" t="s">
        <v>53</v>
      </c>
    </row>
    <row r="2567" spans="1:4" x14ac:dyDescent="0.2">
      <c r="A2567" s="3" t="s">
        <v>943</v>
      </c>
      <c r="B2567" t="s">
        <v>8</v>
      </c>
      <c r="C2567" s="3" t="s">
        <v>927</v>
      </c>
      <c r="D2567" s="3" t="s">
        <v>53</v>
      </c>
    </row>
    <row r="2568" spans="1:4" x14ac:dyDescent="0.2">
      <c r="A2568" s="3" t="s">
        <v>943</v>
      </c>
      <c r="B2568" t="s">
        <v>8</v>
      </c>
      <c r="C2568" s="3" t="s">
        <v>929</v>
      </c>
      <c r="D2568" s="3" t="s">
        <v>53</v>
      </c>
    </row>
    <row r="2569" spans="1:4" x14ac:dyDescent="0.2">
      <c r="A2569" s="3" t="s">
        <v>943</v>
      </c>
      <c r="B2569" t="s">
        <v>8</v>
      </c>
      <c r="C2569" s="3" t="s">
        <v>946</v>
      </c>
      <c r="D2569" s="3" t="s">
        <v>53</v>
      </c>
    </row>
    <row r="2570" spans="1:4" x14ac:dyDescent="0.2">
      <c r="A2570" s="3" t="s">
        <v>943</v>
      </c>
      <c r="B2570" t="s">
        <v>8</v>
      </c>
      <c r="C2570" s="3" t="s">
        <v>947</v>
      </c>
      <c r="D2570" s="3" t="s">
        <v>53</v>
      </c>
    </row>
    <row r="2571" spans="1:4" x14ac:dyDescent="0.2">
      <c r="A2571" s="3" t="s">
        <v>943</v>
      </c>
      <c r="B2571" t="s">
        <v>8</v>
      </c>
      <c r="C2571" s="3" t="s">
        <v>948</v>
      </c>
      <c r="D2571" s="3" t="s">
        <v>53</v>
      </c>
    </row>
    <row r="2572" spans="1:4" x14ac:dyDescent="0.2">
      <c r="A2572" s="3" t="s">
        <v>943</v>
      </c>
      <c r="B2572" t="s">
        <v>8</v>
      </c>
      <c r="C2572" s="3" t="s">
        <v>949</v>
      </c>
      <c r="D2572" s="3" t="s">
        <v>53</v>
      </c>
    </row>
    <row r="2573" spans="1:4" x14ac:dyDescent="0.2">
      <c r="A2573" s="3" t="s">
        <v>943</v>
      </c>
      <c r="B2573" t="s">
        <v>8</v>
      </c>
      <c r="C2573" s="3" t="s">
        <v>950</v>
      </c>
      <c r="D2573" s="3" t="s">
        <v>53</v>
      </c>
    </row>
    <row r="2574" spans="1:4" x14ac:dyDescent="0.2">
      <c r="A2574" s="3" t="s">
        <v>943</v>
      </c>
      <c r="B2574" t="s">
        <v>8</v>
      </c>
      <c r="C2574" s="3" t="s">
        <v>923</v>
      </c>
      <c r="D2574" s="3" t="s">
        <v>54</v>
      </c>
    </row>
    <row r="2575" spans="1:4" x14ac:dyDescent="0.2">
      <c r="A2575" s="3" t="s">
        <v>943</v>
      </c>
      <c r="B2575" t="s">
        <v>8</v>
      </c>
      <c r="C2575" s="3" t="s">
        <v>924</v>
      </c>
      <c r="D2575" s="3" t="s">
        <v>54</v>
      </c>
    </row>
    <row r="2576" spans="1:4" x14ac:dyDescent="0.2">
      <c r="A2576" s="3" t="s">
        <v>943</v>
      </c>
      <c r="B2576" t="s">
        <v>8</v>
      </c>
      <c r="C2576" s="3" t="s">
        <v>925</v>
      </c>
      <c r="D2576" s="3" t="s">
        <v>54</v>
      </c>
    </row>
    <row r="2577" spans="1:4" x14ac:dyDescent="0.2">
      <c r="A2577" s="3" t="s">
        <v>943</v>
      </c>
      <c r="B2577" t="s">
        <v>8</v>
      </c>
      <c r="C2577" s="3" t="s">
        <v>926</v>
      </c>
      <c r="D2577" s="3" t="s">
        <v>54</v>
      </c>
    </row>
    <row r="2578" spans="1:4" x14ac:dyDescent="0.2">
      <c r="A2578" s="3" t="s">
        <v>943</v>
      </c>
      <c r="B2578" t="s">
        <v>8</v>
      </c>
      <c r="C2578" s="3" t="s">
        <v>944</v>
      </c>
      <c r="D2578" s="3" t="s">
        <v>54</v>
      </c>
    </row>
    <row r="2579" spans="1:4" x14ac:dyDescent="0.2">
      <c r="A2579" s="3" t="s">
        <v>943</v>
      </c>
      <c r="B2579" t="s">
        <v>8</v>
      </c>
      <c r="C2579" s="3" t="s">
        <v>945</v>
      </c>
      <c r="D2579" s="3" t="s">
        <v>54</v>
      </c>
    </row>
    <row r="2580" spans="1:4" x14ac:dyDescent="0.2">
      <c r="A2580" s="3" t="s">
        <v>943</v>
      </c>
      <c r="B2580" t="s">
        <v>8</v>
      </c>
      <c r="C2580" s="3" t="s">
        <v>927</v>
      </c>
      <c r="D2580" s="3" t="s">
        <v>54</v>
      </c>
    </row>
    <row r="2581" spans="1:4" x14ac:dyDescent="0.2">
      <c r="A2581" s="3" t="s">
        <v>943</v>
      </c>
      <c r="B2581" t="s">
        <v>8</v>
      </c>
      <c r="C2581" s="3" t="s">
        <v>929</v>
      </c>
      <c r="D2581" s="3" t="s">
        <v>54</v>
      </c>
    </row>
    <row r="2582" spans="1:4" x14ac:dyDescent="0.2">
      <c r="A2582" s="3" t="s">
        <v>943</v>
      </c>
      <c r="B2582" t="s">
        <v>8</v>
      </c>
      <c r="C2582" s="3" t="s">
        <v>946</v>
      </c>
      <c r="D2582" s="3" t="s">
        <v>54</v>
      </c>
    </row>
    <row r="2583" spans="1:4" x14ac:dyDescent="0.2">
      <c r="A2583" s="3" t="s">
        <v>943</v>
      </c>
      <c r="B2583" t="s">
        <v>8</v>
      </c>
      <c r="C2583" s="3" t="s">
        <v>947</v>
      </c>
      <c r="D2583" s="3" t="s">
        <v>54</v>
      </c>
    </row>
    <row r="2584" spans="1:4" x14ac:dyDescent="0.2">
      <c r="A2584" s="3" t="s">
        <v>943</v>
      </c>
      <c r="B2584" t="s">
        <v>8</v>
      </c>
      <c r="C2584" s="3" t="s">
        <v>948</v>
      </c>
      <c r="D2584" s="3" t="s">
        <v>54</v>
      </c>
    </row>
    <row r="2585" spans="1:4" x14ac:dyDescent="0.2">
      <c r="A2585" s="3" t="s">
        <v>943</v>
      </c>
      <c r="B2585" t="s">
        <v>8</v>
      </c>
      <c r="C2585" s="3" t="s">
        <v>949</v>
      </c>
      <c r="D2585" s="3" t="s">
        <v>54</v>
      </c>
    </row>
    <row r="2586" spans="1:4" x14ac:dyDescent="0.2">
      <c r="A2586" s="3" t="s">
        <v>943</v>
      </c>
      <c r="B2586" t="s">
        <v>8</v>
      </c>
      <c r="C2586" s="3" t="s">
        <v>950</v>
      </c>
      <c r="D2586" s="3" t="s">
        <v>54</v>
      </c>
    </row>
    <row r="2587" spans="1:4" x14ac:dyDescent="0.2">
      <c r="A2587" s="3" t="s">
        <v>943</v>
      </c>
      <c r="B2587" t="s">
        <v>8</v>
      </c>
      <c r="C2587" s="3" t="s">
        <v>923</v>
      </c>
      <c r="D2587" s="3" t="s">
        <v>55</v>
      </c>
    </row>
    <row r="2588" spans="1:4" x14ac:dyDescent="0.2">
      <c r="A2588" s="3" t="s">
        <v>943</v>
      </c>
      <c r="B2588" t="s">
        <v>8</v>
      </c>
      <c r="C2588" s="3" t="s">
        <v>924</v>
      </c>
      <c r="D2588" s="3" t="s">
        <v>55</v>
      </c>
    </row>
    <row r="2589" spans="1:4" x14ac:dyDescent="0.2">
      <c r="A2589" s="3" t="s">
        <v>943</v>
      </c>
      <c r="B2589" t="s">
        <v>8</v>
      </c>
      <c r="C2589" s="3" t="s">
        <v>925</v>
      </c>
      <c r="D2589" s="3" t="s">
        <v>55</v>
      </c>
    </row>
    <row r="2590" spans="1:4" x14ac:dyDescent="0.2">
      <c r="A2590" s="3" t="s">
        <v>943</v>
      </c>
      <c r="B2590" t="s">
        <v>8</v>
      </c>
      <c r="C2590" s="3" t="s">
        <v>926</v>
      </c>
      <c r="D2590" s="3" t="s">
        <v>55</v>
      </c>
    </row>
    <row r="2591" spans="1:4" x14ac:dyDescent="0.2">
      <c r="A2591" s="3" t="s">
        <v>943</v>
      </c>
      <c r="B2591" t="s">
        <v>8</v>
      </c>
      <c r="C2591" s="3" t="s">
        <v>944</v>
      </c>
      <c r="D2591" s="3" t="s">
        <v>55</v>
      </c>
    </row>
    <row r="2592" spans="1:4" x14ac:dyDescent="0.2">
      <c r="A2592" s="3" t="s">
        <v>943</v>
      </c>
      <c r="B2592" t="s">
        <v>8</v>
      </c>
      <c r="C2592" s="3" t="s">
        <v>945</v>
      </c>
      <c r="D2592" s="3" t="s">
        <v>55</v>
      </c>
    </row>
    <row r="2593" spans="1:4" x14ac:dyDescent="0.2">
      <c r="A2593" s="3" t="s">
        <v>943</v>
      </c>
      <c r="B2593" t="s">
        <v>8</v>
      </c>
      <c r="C2593" s="3" t="s">
        <v>927</v>
      </c>
      <c r="D2593" s="3" t="s">
        <v>55</v>
      </c>
    </row>
    <row r="2594" spans="1:4" x14ac:dyDescent="0.2">
      <c r="A2594" s="3" t="s">
        <v>943</v>
      </c>
      <c r="B2594" t="s">
        <v>8</v>
      </c>
      <c r="C2594" s="3" t="s">
        <v>929</v>
      </c>
      <c r="D2594" s="3" t="s">
        <v>55</v>
      </c>
    </row>
    <row r="2595" spans="1:4" x14ac:dyDescent="0.2">
      <c r="A2595" s="3" t="s">
        <v>943</v>
      </c>
      <c r="B2595" t="s">
        <v>8</v>
      </c>
      <c r="C2595" s="3" t="s">
        <v>946</v>
      </c>
      <c r="D2595" s="3" t="s">
        <v>55</v>
      </c>
    </row>
    <row r="2596" spans="1:4" x14ac:dyDescent="0.2">
      <c r="A2596" s="3" t="s">
        <v>943</v>
      </c>
      <c r="B2596" t="s">
        <v>8</v>
      </c>
      <c r="C2596" s="3" t="s">
        <v>947</v>
      </c>
      <c r="D2596" s="3" t="s">
        <v>55</v>
      </c>
    </row>
    <row r="2597" spans="1:4" x14ac:dyDescent="0.2">
      <c r="A2597" s="3" t="s">
        <v>943</v>
      </c>
      <c r="B2597" t="s">
        <v>8</v>
      </c>
      <c r="C2597" s="3" t="s">
        <v>948</v>
      </c>
      <c r="D2597" s="3" t="s">
        <v>55</v>
      </c>
    </row>
    <row r="2598" spans="1:4" x14ac:dyDescent="0.2">
      <c r="A2598" s="3" t="s">
        <v>943</v>
      </c>
      <c r="B2598" t="s">
        <v>8</v>
      </c>
      <c r="C2598" s="3" t="s">
        <v>949</v>
      </c>
      <c r="D2598" s="3" t="s">
        <v>55</v>
      </c>
    </row>
    <row r="2599" spans="1:4" x14ac:dyDescent="0.2">
      <c r="A2599" s="3" t="s">
        <v>943</v>
      </c>
      <c r="B2599" t="s">
        <v>8</v>
      </c>
      <c r="C2599" s="3" t="s">
        <v>950</v>
      </c>
      <c r="D2599" s="3" t="s">
        <v>55</v>
      </c>
    </row>
    <row r="2600" spans="1:4" x14ac:dyDescent="0.2">
      <c r="A2600" s="3" t="s">
        <v>943</v>
      </c>
      <c r="B2600" t="s">
        <v>8</v>
      </c>
      <c r="C2600" s="3" t="s">
        <v>923</v>
      </c>
      <c r="D2600" s="3" t="s">
        <v>56</v>
      </c>
    </row>
    <row r="2601" spans="1:4" x14ac:dyDescent="0.2">
      <c r="A2601" s="3" t="s">
        <v>943</v>
      </c>
      <c r="B2601" t="s">
        <v>8</v>
      </c>
      <c r="C2601" s="3" t="s">
        <v>924</v>
      </c>
      <c r="D2601" s="3" t="s">
        <v>56</v>
      </c>
    </row>
    <row r="2602" spans="1:4" x14ac:dyDescent="0.2">
      <c r="A2602" s="3" t="s">
        <v>943</v>
      </c>
      <c r="B2602" t="s">
        <v>8</v>
      </c>
      <c r="C2602" s="3" t="s">
        <v>925</v>
      </c>
      <c r="D2602" s="3" t="s">
        <v>56</v>
      </c>
    </row>
    <row r="2603" spans="1:4" x14ac:dyDescent="0.2">
      <c r="A2603" s="3" t="s">
        <v>943</v>
      </c>
      <c r="B2603" t="s">
        <v>8</v>
      </c>
      <c r="C2603" s="3" t="s">
        <v>926</v>
      </c>
      <c r="D2603" s="3" t="s">
        <v>56</v>
      </c>
    </row>
    <row r="2604" spans="1:4" x14ac:dyDescent="0.2">
      <c r="A2604" s="3" t="s">
        <v>943</v>
      </c>
      <c r="B2604" t="s">
        <v>8</v>
      </c>
      <c r="C2604" s="3" t="s">
        <v>944</v>
      </c>
      <c r="D2604" s="3" t="s">
        <v>56</v>
      </c>
    </row>
    <row r="2605" spans="1:4" x14ac:dyDescent="0.2">
      <c r="A2605" s="3" t="s">
        <v>943</v>
      </c>
      <c r="B2605" t="s">
        <v>8</v>
      </c>
      <c r="C2605" s="3" t="s">
        <v>945</v>
      </c>
      <c r="D2605" s="3" t="s">
        <v>56</v>
      </c>
    </row>
    <row r="2606" spans="1:4" x14ac:dyDescent="0.2">
      <c r="A2606" s="3" t="s">
        <v>943</v>
      </c>
      <c r="B2606" t="s">
        <v>8</v>
      </c>
      <c r="C2606" s="3" t="s">
        <v>927</v>
      </c>
      <c r="D2606" s="3" t="s">
        <v>56</v>
      </c>
    </row>
    <row r="2607" spans="1:4" x14ac:dyDescent="0.2">
      <c r="A2607" s="3" t="s">
        <v>943</v>
      </c>
      <c r="B2607" t="s">
        <v>8</v>
      </c>
      <c r="C2607" s="3" t="s">
        <v>929</v>
      </c>
      <c r="D2607" s="3" t="s">
        <v>56</v>
      </c>
    </row>
    <row r="2608" spans="1:4" x14ac:dyDescent="0.2">
      <c r="A2608" s="3" t="s">
        <v>943</v>
      </c>
      <c r="B2608" t="s">
        <v>8</v>
      </c>
      <c r="C2608" s="3" t="s">
        <v>946</v>
      </c>
      <c r="D2608" s="3" t="s">
        <v>56</v>
      </c>
    </row>
    <row r="2609" spans="1:4" x14ac:dyDescent="0.2">
      <c r="A2609" s="3" t="s">
        <v>943</v>
      </c>
      <c r="B2609" t="s">
        <v>8</v>
      </c>
      <c r="C2609" s="3" t="s">
        <v>947</v>
      </c>
      <c r="D2609" s="3" t="s">
        <v>56</v>
      </c>
    </row>
    <row r="2610" spans="1:4" x14ac:dyDescent="0.2">
      <c r="A2610" s="3" t="s">
        <v>943</v>
      </c>
      <c r="B2610" t="s">
        <v>8</v>
      </c>
      <c r="C2610" s="3" t="s">
        <v>948</v>
      </c>
      <c r="D2610" s="3" t="s">
        <v>56</v>
      </c>
    </row>
    <row r="2611" spans="1:4" x14ac:dyDescent="0.2">
      <c r="A2611" s="3" t="s">
        <v>943</v>
      </c>
      <c r="B2611" t="s">
        <v>8</v>
      </c>
      <c r="C2611" s="3" t="s">
        <v>949</v>
      </c>
      <c r="D2611" s="3" t="s">
        <v>56</v>
      </c>
    </row>
    <row r="2612" spans="1:4" x14ac:dyDescent="0.2">
      <c r="A2612" s="3" t="s">
        <v>943</v>
      </c>
      <c r="B2612" t="s">
        <v>8</v>
      </c>
      <c r="C2612" s="3" t="s">
        <v>950</v>
      </c>
      <c r="D2612" s="3" t="s">
        <v>56</v>
      </c>
    </row>
    <row r="2613" spans="1:4" x14ac:dyDescent="0.2">
      <c r="A2613" s="3" t="s">
        <v>943</v>
      </c>
      <c r="B2613" t="s">
        <v>8</v>
      </c>
      <c r="C2613" s="3" t="s">
        <v>923</v>
      </c>
      <c r="D2613" s="3" t="s">
        <v>57</v>
      </c>
    </row>
    <row r="2614" spans="1:4" x14ac:dyDescent="0.2">
      <c r="A2614" s="3" t="s">
        <v>943</v>
      </c>
      <c r="B2614" t="s">
        <v>8</v>
      </c>
      <c r="C2614" s="3" t="s">
        <v>924</v>
      </c>
      <c r="D2614" s="3" t="s">
        <v>57</v>
      </c>
    </row>
    <row r="2615" spans="1:4" x14ac:dyDescent="0.2">
      <c r="A2615" s="3" t="s">
        <v>943</v>
      </c>
      <c r="B2615" t="s">
        <v>8</v>
      </c>
      <c r="C2615" s="3" t="s">
        <v>925</v>
      </c>
      <c r="D2615" s="3" t="s">
        <v>57</v>
      </c>
    </row>
    <row r="2616" spans="1:4" x14ac:dyDescent="0.2">
      <c r="A2616" s="3" t="s">
        <v>943</v>
      </c>
      <c r="B2616" t="s">
        <v>8</v>
      </c>
      <c r="C2616" s="3" t="s">
        <v>926</v>
      </c>
      <c r="D2616" s="3" t="s">
        <v>57</v>
      </c>
    </row>
    <row r="2617" spans="1:4" x14ac:dyDescent="0.2">
      <c r="A2617" s="3" t="s">
        <v>943</v>
      </c>
      <c r="B2617" t="s">
        <v>8</v>
      </c>
      <c r="C2617" s="3" t="s">
        <v>944</v>
      </c>
      <c r="D2617" s="3" t="s">
        <v>57</v>
      </c>
    </row>
    <row r="2618" spans="1:4" x14ac:dyDescent="0.2">
      <c r="A2618" s="3" t="s">
        <v>943</v>
      </c>
      <c r="B2618" t="s">
        <v>8</v>
      </c>
      <c r="C2618" s="3" t="s">
        <v>945</v>
      </c>
      <c r="D2618" s="3" t="s">
        <v>57</v>
      </c>
    </row>
    <row r="2619" spans="1:4" x14ac:dyDescent="0.2">
      <c r="A2619" s="3" t="s">
        <v>943</v>
      </c>
      <c r="B2619" t="s">
        <v>8</v>
      </c>
      <c r="C2619" s="3" t="s">
        <v>927</v>
      </c>
      <c r="D2619" s="3" t="s">
        <v>57</v>
      </c>
    </row>
    <row r="2620" spans="1:4" x14ac:dyDescent="0.2">
      <c r="A2620" s="3" t="s">
        <v>943</v>
      </c>
      <c r="B2620" t="s">
        <v>8</v>
      </c>
      <c r="C2620" s="3" t="s">
        <v>929</v>
      </c>
      <c r="D2620" s="3" t="s">
        <v>57</v>
      </c>
    </row>
    <row r="2621" spans="1:4" x14ac:dyDescent="0.2">
      <c r="A2621" s="3" t="s">
        <v>943</v>
      </c>
      <c r="B2621" t="s">
        <v>8</v>
      </c>
      <c r="C2621" s="3" t="s">
        <v>946</v>
      </c>
      <c r="D2621" s="3" t="s">
        <v>57</v>
      </c>
    </row>
    <row r="2622" spans="1:4" x14ac:dyDescent="0.2">
      <c r="A2622" s="3" t="s">
        <v>943</v>
      </c>
      <c r="B2622" t="s">
        <v>8</v>
      </c>
      <c r="C2622" s="3" t="s">
        <v>947</v>
      </c>
      <c r="D2622" s="3" t="s">
        <v>57</v>
      </c>
    </row>
    <row r="2623" spans="1:4" x14ac:dyDescent="0.2">
      <c r="A2623" s="3" t="s">
        <v>943</v>
      </c>
      <c r="B2623" t="s">
        <v>8</v>
      </c>
      <c r="C2623" s="3" t="s">
        <v>948</v>
      </c>
      <c r="D2623" s="3" t="s">
        <v>57</v>
      </c>
    </row>
    <row r="2624" spans="1:4" x14ac:dyDescent="0.2">
      <c r="A2624" s="3" t="s">
        <v>943</v>
      </c>
      <c r="B2624" t="s">
        <v>8</v>
      </c>
      <c r="C2624" s="3" t="s">
        <v>949</v>
      </c>
      <c r="D2624" s="3" t="s">
        <v>57</v>
      </c>
    </row>
    <row r="2625" spans="1:4" x14ac:dyDescent="0.2">
      <c r="A2625" s="3" t="s">
        <v>943</v>
      </c>
      <c r="B2625" t="s">
        <v>8</v>
      </c>
      <c r="C2625" s="3" t="s">
        <v>950</v>
      </c>
      <c r="D2625" s="3" t="s">
        <v>57</v>
      </c>
    </row>
    <row r="2626" spans="1:4" x14ac:dyDescent="0.2">
      <c r="A2626" s="3" t="s">
        <v>943</v>
      </c>
      <c r="B2626" t="s">
        <v>8</v>
      </c>
      <c r="C2626" s="3" t="s">
        <v>951</v>
      </c>
      <c r="D2626" s="3" t="s">
        <v>169</v>
      </c>
    </row>
    <row r="2627" spans="1:4" x14ac:dyDescent="0.2">
      <c r="A2627" s="3" t="s">
        <v>943</v>
      </c>
      <c r="B2627" t="s">
        <v>8</v>
      </c>
      <c r="C2627" s="3" t="s">
        <v>952</v>
      </c>
      <c r="D2627" s="3" t="s">
        <v>169</v>
      </c>
    </row>
    <row r="2628" spans="1:4" x14ac:dyDescent="0.2">
      <c r="A2628" s="3" t="s">
        <v>943</v>
      </c>
      <c r="B2628" t="s">
        <v>8</v>
      </c>
      <c r="C2628" s="3" t="s">
        <v>953</v>
      </c>
      <c r="D2628" s="3" t="s">
        <v>169</v>
      </c>
    </row>
    <row r="2629" spans="1:4" x14ac:dyDescent="0.2">
      <c r="A2629" s="3" t="s">
        <v>943</v>
      </c>
      <c r="B2629" t="s">
        <v>8</v>
      </c>
      <c r="C2629" s="3" t="s">
        <v>954</v>
      </c>
      <c r="D2629" s="3" t="s">
        <v>169</v>
      </c>
    </row>
    <row r="2630" spans="1:4" x14ac:dyDescent="0.2">
      <c r="A2630" s="3" t="s">
        <v>943</v>
      </c>
      <c r="B2630" t="s">
        <v>8</v>
      </c>
      <c r="C2630" s="3" t="s">
        <v>955</v>
      </c>
      <c r="D2630" s="3" t="s">
        <v>169</v>
      </c>
    </row>
    <row r="2631" spans="1:4" x14ac:dyDescent="0.2">
      <c r="A2631" s="3" t="s">
        <v>943</v>
      </c>
      <c r="B2631" t="s">
        <v>8</v>
      </c>
      <c r="C2631" s="3" t="s">
        <v>956</v>
      </c>
      <c r="D2631" s="3" t="s">
        <v>169</v>
      </c>
    </row>
    <row r="2632" spans="1:4" x14ac:dyDescent="0.2">
      <c r="A2632" s="3" t="s">
        <v>943</v>
      </c>
      <c r="B2632" t="s">
        <v>8</v>
      </c>
      <c r="C2632" s="3" t="s">
        <v>957</v>
      </c>
      <c r="D2632" s="3" t="s">
        <v>169</v>
      </c>
    </row>
    <row r="2633" spans="1:4" x14ac:dyDescent="0.2">
      <c r="A2633" s="3" t="s">
        <v>943</v>
      </c>
      <c r="B2633" t="s">
        <v>8</v>
      </c>
      <c r="C2633" s="3" t="s">
        <v>958</v>
      </c>
      <c r="D2633" s="3" t="s">
        <v>169</v>
      </c>
    </row>
    <row r="2634" spans="1:4" x14ac:dyDescent="0.2">
      <c r="A2634" s="3" t="s">
        <v>943</v>
      </c>
      <c r="B2634" t="s">
        <v>8</v>
      </c>
      <c r="C2634" s="3" t="s">
        <v>959</v>
      </c>
      <c r="D2634" s="3" t="s">
        <v>169</v>
      </c>
    </row>
    <row r="2635" spans="1:4" x14ac:dyDescent="0.2">
      <c r="A2635" s="3" t="s">
        <v>943</v>
      </c>
      <c r="B2635" t="s">
        <v>8</v>
      </c>
      <c r="C2635" s="3" t="s">
        <v>960</v>
      </c>
      <c r="D2635" s="3" t="s">
        <v>169</v>
      </c>
    </row>
    <row r="2636" spans="1:4" x14ac:dyDescent="0.2">
      <c r="A2636" s="3" t="s">
        <v>943</v>
      </c>
      <c r="B2636" t="s">
        <v>8</v>
      </c>
      <c r="C2636" s="3" t="s">
        <v>961</v>
      </c>
      <c r="D2636" s="3" t="s">
        <v>169</v>
      </c>
    </row>
    <row r="2637" spans="1:4" x14ac:dyDescent="0.2">
      <c r="A2637" s="3" t="s">
        <v>943</v>
      </c>
      <c r="B2637" t="s">
        <v>8</v>
      </c>
      <c r="C2637" s="3" t="s">
        <v>962</v>
      </c>
      <c r="D2637" s="3" t="s">
        <v>169</v>
      </c>
    </row>
    <row r="2638" spans="1:4" x14ac:dyDescent="0.2">
      <c r="A2638" s="3" t="s">
        <v>963</v>
      </c>
      <c r="B2638" t="s">
        <v>8</v>
      </c>
      <c r="C2638" s="3" t="s">
        <v>964</v>
      </c>
      <c r="D2638" s="3" t="s">
        <v>53</v>
      </c>
    </row>
    <row r="2639" spans="1:4" x14ac:dyDescent="0.2">
      <c r="A2639" s="3" t="s">
        <v>963</v>
      </c>
      <c r="B2639" t="s">
        <v>8</v>
      </c>
      <c r="C2639" s="3" t="s">
        <v>965</v>
      </c>
      <c r="D2639" s="3" t="s">
        <v>53</v>
      </c>
    </row>
    <row r="2640" spans="1:4" x14ac:dyDescent="0.2">
      <c r="A2640" s="3" t="s">
        <v>963</v>
      </c>
      <c r="B2640" t="s">
        <v>8</v>
      </c>
      <c r="C2640" s="3" t="s">
        <v>966</v>
      </c>
      <c r="D2640" s="3" t="s">
        <v>53</v>
      </c>
    </row>
    <row r="2641" spans="1:4" x14ac:dyDescent="0.2">
      <c r="A2641" s="3" t="s">
        <v>963</v>
      </c>
      <c r="B2641" t="s">
        <v>8</v>
      </c>
      <c r="C2641" s="3" t="s">
        <v>967</v>
      </c>
      <c r="D2641" s="3" t="s">
        <v>53</v>
      </c>
    </row>
    <row r="2642" spans="1:4" x14ac:dyDescent="0.2">
      <c r="A2642" s="3" t="s">
        <v>963</v>
      </c>
      <c r="B2642" t="s">
        <v>8</v>
      </c>
      <c r="C2642" s="3" t="s">
        <v>723</v>
      </c>
      <c r="D2642" s="3" t="s">
        <v>53</v>
      </c>
    </row>
    <row r="2643" spans="1:4" x14ac:dyDescent="0.2">
      <c r="A2643" s="3" t="s">
        <v>963</v>
      </c>
      <c r="B2643" t="s">
        <v>8</v>
      </c>
      <c r="C2643" s="3" t="s">
        <v>724</v>
      </c>
      <c r="D2643" s="3" t="s">
        <v>53</v>
      </c>
    </row>
    <row r="2644" spans="1:4" x14ac:dyDescent="0.2">
      <c r="A2644" s="3" t="s">
        <v>963</v>
      </c>
      <c r="B2644" t="s">
        <v>8</v>
      </c>
      <c r="C2644" s="3" t="s">
        <v>725</v>
      </c>
      <c r="D2644" s="3" t="s">
        <v>53</v>
      </c>
    </row>
    <row r="2645" spans="1:4" x14ac:dyDescent="0.2">
      <c r="A2645" s="3" t="s">
        <v>963</v>
      </c>
      <c r="B2645" t="s">
        <v>8</v>
      </c>
      <c r="C2645" s="3" t="s">
        <v>968</v>
      </c>
      <c r="D2645" s="3" t="s">
        <v>53</v>
      </c>
    </row>
    <row r="2646" spans="1:4" x14ac:dyDescent="0.2">
      <c r="A2646" s="3" t="s">
        <v>963</v>
      </c>
      <c r="B2646" t="s">
        <v>8</v>
      </c>
      <c r="C2646" s="3" t="s">
        <v>969</v>
      </c>
      <c r="D2646" s="3" t="s">
        <v>53</v>
      </c>
    </row>
    <row r="2647" spans="1:4" x14ac:dyDescent="0.2">
      <c r="A2647" s="3" t="s">
        <v>963</v>
      </c>
      <c r="B2647" t="s">
        <v>8</v>
      </c>
      <c r="C2647" s="3" t="s">
        <v>970</v>
      </c>
      <c r="D2647" s="3" t="s">
        <v>53</v>
      </c>
    </row>
    <row r="2648" spans="1:4" x14ac:dyDescent="0.2">
      <c r="A2648" s="3" t="s">
        <v>963</v>
      </c>
      <c r="B2648" t="s">
        <v>8</v>
      </c>
      <c r="C2648" s="3" t="s">
        <v>971</v>
      </c>
      <c r="D2648" s="3" t="s">
        <v>53</v>
      </c>
    </row>
    <row r="2649" spans="1:4" x14ac:dyDescent="0.2">
      <c r="A2649" s="3" t="s">
        <v>963</v>
      </c>
      <c r="B2649" t="s">
        <v>8</v>
      </c>
      <c r="C2649" s="3" t="s">
        <v>972</v>
      </c>
      <c r="D2649" s="3" t="s">
        <v>53</v>
      </c>
    </row>
    <row r="2650" spans="1:4" x14ac:dyDescent="0.2">
      <c r="A2650" s="3" t="s">
        <v>963</v>
      </c>
      <c r="B2650" t="s">
        <v>8</v>
      </c>
      <c r="C2650" s="3" t="s">
        <v>973</v>
      </c>
      <c r="D2650" s="3" t="s">
        <v>53</v>
      </c>
    </row>
    <row r="2651" spans="1:4" x14ac:dyDescent="0.2">
      <c r="A2651" s="3" t="s">
        <v>963</v>
      </c>
      <c r="B2651" t="s">
        <v>8</v>
      </c>
      <c r="C2651" s="3" t="s">
        <v>974</v>
      </c>
      <c r="D2651" s="3" t="s">
        <v>53</v>
      </c>
    </row>
    <row r="2652" spans="1:4" x14ac:dyDescent="0.2">
      <c r="A2652" s="3" t="s">
        <v>963</v>
      </c>
      <c r="B2652" t="s">
        <v>8</v>
      </c>
      <c r="C2652" s="3" t="s">
        <v>975</v>
      </c>
      <c r="D2652" s="3" t="s">
        <v>53</v>
      </c>
    </row>
    <row r="2653" spans="1:4" x14ac:dyDescent="0.2">
      <c r="A2653" s="3" t="s">
        <v>963</v>
      </c>
      <c r="B2653" t="s">
        <v>8</v>
      </c>
      <c r="C2653" s="3" t="s">
        <v>976</v>
      </c>
      <c r="D2653" s="3" t="s">
        <v>53</v>
      </c>
    </row>
    <row r="2654" spans="1:4" x14ac:dyDescent="0.2">
      <c r="A2654" s="3" t="s">
        <v>963</v>
      </c>
      <c r="B2654" t="s">
        <v>8</v>
      </c>
      <c r="C2654" s="3" t="s">
        <v>977</v>
      </c>
      <c r="D2654" s="3" t="s">
        <v>53</v>
      </c>
    </row>
    <row r="2655" spans="1:4" x14ac:dyDescent="0.2">
      <c r="A2655" s="3" t="s">
        <v>963</v>
      </c>
      <c r="B2655" t="s">
        <v>8</v>
      </c>
      <c r="C2655" s="3" t="s">
        <v>978</v>
      </c>
      <c r="D2655" s="3" t="s">
        <v>53</v>
      </c>
    </row>
    <row r="2656" spans="1:4" x14ac:dyDescent="0.2">
      <c r="A2656" s="3" t="s">
        <v>963</v>
      </c>
      <c r="B2656" t="s">
        <v>8</v>
      </c>
      <c r="C2656" s="3" t="s">
        <v>979</v>
      </c>
      <c r="D2656" s="3" t="s">
        <v>53</v>
      </c>
    </row>
    <row r="2657" spans="1:4" x14ac:dyDescent="0.2">
      <c r="A2657" s="3" t="s">
        <v>963</v>
      </c>
      <c r="B2657" t="s">
        <v>8</v>
      </c>
      <c r="C2657" s="3" t="s">
        <v>980</v>
      </c>
      <c r="D2657" s="3" t="s">
        <v>53</v>
      </c>
    </row>
    <row r="2658" spans="1:4" x14ac:dyDescent="0.2">
      <c r="A2658" s="3" t="s">
        <v>963</v>
      </c>
      <c r="B2658" t="s">
        <v>8</v>
      </c>
      <c r="C2658" s="3" t="s">
        <v>981</v>
      </c>
      <c r="D2658" s="3" t="s">
        <v>53</v>
      </c>
    </row>
    <row r="2659" spans="1:4" x14ac:dyDescent="0.2">
      <c r="A2659" s="3" t="s">
        <v>963</v>
      </c>
      <c r="B2659" t="s">
        <v>8</v>
      </c>
      <c r="C2659" s="3" t="s">
        <v>982</v>
      </c>
      <c r="D2659" s="3" t="s">
        <v>53</v>
      </c>
    </row>
    <row r="2660" spans="1:4" x14ac:dyDescent="0.2">
      <c r="A2660" s="3" t="s">
        <v>963</v>
      </c>
      <c r="B2660" t="s">
        <v>8</v>
      </c>
      <c r="C2660" s="3" t="s">
        <v>983</v>
      </c>
      <c r="D2660" s="3" t="s">
        <v>53</v>
      </c>
    </row>
    <row r="2661" spans="1:4" x14ac:dyDescent="0.2">
      <c r="A2661" s="3" t="s">
        <v>963</v>
      </c>
      <c r="B2661" t="s">
        <v>8</v>
      </c>
      <c r="C2661" s="3" t="s">
        <v>984</v>
      </c>
      <c r="D2661" s="3" t="s">
        <v>53</v>
      </c>
    </row>
    <row r="2662" spans="1:4" x14ac:dyDescent="0.2">
      <c r="A2662" s="3" t="s">
        <v>963</v>
      </c>
      <c r="B2662" t="s">
        <v>8</v>
      </c>
      <c r="C2662" s="3" t="s">
        <v>985</v>
      </c>
      <c r="D2662" s="3" t="s">
        <v>53</v>
      </c>
    </row>
    <row r="2663" spans="1:4" x14ac:dyDescent="0.2">
      <c r="A2663" s="3" t="s">
        <v>963</v>
      </c>
      <c r="B2663" t="s">
        <v>8</v>
      </c>
      <c r="C2663" s="3" t="s">
        <v>986</v>
      </c>
      <c r="D2663" s="3" t="s">
        <v>53</v>
      </c>
    </row>
    <row r="2664" spans="1:4" x14ac:dyDescent="0.2">
      <c r="A2664" s="3" t="s">
        <v>963</v>
      </c>
      <c r="B2664" t="s">
        <v>8</v>
      </c>
      <c r="C2664" s="3" t="s">
        <v>987</v>
      </c>
      <c r="D2664" s="3" t="s">
        <v>53</v>
      </c>
    </row>
    <row r="2665" spans="1:4" x14ac:dyDescent="0.2">
      <c r="A2665" s="3" t="s">
        <v>963</v>
      </c>
      <c r="B2665" t="s">
        <v>8</v>
      </c>
      <c r="C2665" s="3" t="s">
        <v>988</v>
      </c>
      <c r="D2665" s="3" t="s">
        <v>53</v>
      </c>
    </row>
    <row r="2666" spans="1:4" x14ac:dyDescent="0.2">
      <c r="A2666" s="3" t="s">
        <v>963</v>
      </c>
      <c r="B2666" t="s">
        <v>8</v>
      </c>
      <c r="C2666" s="3" t="s">
        <v>989</v>
      </c>
      <c r="D2666" s="3" t="s">
        <v>53</v>
      </c>
    </row>
    <row r="2667" spans="1:4" x14ac:dyDescent="0.2">
      <c r="A2667" s="3" t="s">
        <v>963</v>
      </c>
      <c r="B2667" t="s">
        <v>8</v>
      </c>
      <c r="C2667" s="3" t="s">
        <v>990</v>
      </c>
      <c r="D2667" s="3" t="s">
        <v>53</v>
      </c>
    </row>
    <row r="2668" spans="1:4" x14ac:dyDescent="0.2">
      <c r="A2668" s="3" t="s">
        <v>963</v>
      </c>
      <c r="B2668" t="s">
        <v>8</v>
      </c>
      <c r="C2668" s="3" t="s">
        <v>991</v>
      </c>
      <c r="D2668" s="3" t="s">
        <v>53</v>
      </c>
    </row>
    <row r="2669" spans="1:4" x14ac:dyDescent="0.2">
      <c r="A2669" s="3" t="s">
        <v>963</v>
      </c>
      <c r="B2669" t="s">
        <v>8</v>
      </c>
      <c r="C2669" s="3" t="s">
        <v>992</v>
      </c>
      <c r="D2669" s="3" t="s">
        <v>53</v>
      </c>
    </row>
    <row r="2670" spans="1:4" x14ac:dyDescent="0.2">
      <c r="A2670" s="3" t="s">
        <v>963</v>
      </c>
      <c r="B2670" t="s">
        <v>8</v>
      </c>
      <c r="C2670" s="3" t="s">
        <v>964</v>
      </c>
      <c r="D2670" s="3" t="s">
        <v>54</v>
      </c>
    </row>
    <row r="2671" spans="1:4" x14ac:dyDescent="0.2">
      <c r="A2671" s="3" t="s">
        <v>963</v>
      </c>
      <c r="B2671" t="s">
        <v>8</v>
      </c>
      <c r="C2671" s="3" t="s">
        <v>965</v>
      </c>
      <c r="D2671" s="3" t="s">
        <v>54</v>
      </c>
    </row>
    <row r="2672" spans="1:4" x14ac:dyDescent="0.2">
      <c r="A2672" s="3" t="s">
        <v>963</v>
      </c>
      <c r="B2672" t="s">
        <v>8</v>
      </c>
      <c r="C2672" s="3" t="s">
        <v>966</v>
      </c>
      <c r="D2672" s="3" t="s">
        <v>54</v>
      </c>
    </row>
    <row r="2673" spans="1:4" x14ac:dyDescent="0.2">
      <c r="A2673" s="3" t="s">
        <v>963</v>
      </c>
      <c r="B2673" t="s">
        <v>8</v>
      </c>
      <c r="C2673" s="3" t="s">
        <v>967</v>
      </c>
      <c r="D2673" s="3" t="s">
        <v>54</v>
      </c>
    </row>
    <row r="2674" spans="1:4" x14ac:dyDescent="0.2">
      <c r="A2674" s="3" t="s">
        <v>963</v>
      </c>
      <c r="B2674" t="s">
        <v>8</v>
      </c>
      <c r="C2674" s="3" t="s">
        <v>723</v>
      </c>
      <c r="D2674" s="3" t="s">
        <v>54</v>
      </c>
    </row>
    <row r="2675" spans="1:4" x14ac:dyDescent="0.2">
      <c r="A2675" s="3" t="s">
        <v>963</v>
      </c>
      <c r="B2675" t="s">
        <v>8</v>
      </c>
      <c r="C2675" s="3" t="s">
        <v>724</v>
      </c>
      <c r="D2675" s="3" t="s">
        <v>54</v>
      </c>
    </row>
    <row r="2676" spans="1:4" x14ac:dyDescent="0.2">
      <c r="A2676" s="3" t="s">
        <v>963</v>
      </c>
      <c r="B2676" t="s">
        <v>8</v>
      </c>
      <c r="C2676" s="3" t="s">
        <v>725</v>
      </c>
      <c r="D2676" s="3" t="s">
        <v>54</v>
      </c>
    </row>
    <row r="2677" spans="1:4" x14ac:dyDescent="0.2">
      <c r="A2677" s="3" t="s">
        <v>963</v>
      </c>
      <c r="B2677" t="s">
        <v>8</v>
      </c>
      <c r="C2677" s="3" t="s">
        <v>968</v>
      </c>
      <c r="D2677" s="3" t="s">
        <v>54</v>
      </c>
    </row>
    <row r="2678" spans="1:4" x14ac:dyDescent="0.2">
      <c r="A2678" s="3" t="s">
        <v>963</v>
      </c>
      <c r="B2678" t="s">
        <v>8</v>
      </c>
      <c r="C2678" s="3" t="s">
        <v>969</v>
      </c>
      <c r="D2678" s="3" t="s">
        <v>54</v>
      </c>
    </row>
    <row r="2679" spans="1:4" x14ac:dyDescent="0.2">
      <c r="A2679" s="3" t="s">
        <v>963</v>
      </c>
      <c r="B2679" t="s">
        <v>8</v>
      </c>
      <c r="C2679" s="3" t="s">
        <v>970</v>
      </c>
      <c r="D2679" s="3" t="s">
        <v>54</v>
      </c>
    </row>
    <row r="2680" spans="1:4" x14ac:dyDescent="0.2">
      <c r="A2680" s="3" t="s">
        <v>963</v>
      </c>
      <c r="B2680" t="s">
        <v>8</v>
      </c>
      <c r="C2680" s="3" t="s">
        <v>971</v>
      </c>
      <c r="D2680" s="3" t="s">
        <v>54</v>
      </c>
    </row>
    <row r="2681" spans="1:4" x14ac:dyDescent="0.2">
      <c r="A2681" s="3" t="s">
        <v>963</v>
      </c>
      <c r="B2681" t="s">
        <v>8</v>
      </c>
      <c r="C2681" s="3" t="s">
        <v>972</v>
      </c>
      <c r="D2681" s="3" t="s">
        <v>54</v>
      </c>
    </row>
    <row r="2682" spans="1:4" x14ac:dyDescent="0.2">
      <c r="A2682" s="3" t="s">
        <v>963</v>
      </c>
      <c r="B2682" t="s">
        <v>8</v>
      </c>
      <c r="C2682" s="3" t="s">
        <v>973</v>
      </c>
      <c r="D2682" s="3" t="s">
        <v>54</v>
      </c>
    </row>
    <row r="2683" spans="1:4" x14ac:dyDescent="0.2">
      <c r="A2683" s="3" t="s">
        <v>963</v>
      </c>
      <c r="B2683" t="s">
        <v>8</v>
      </c>
      <c r="C2683" s="3" t="s">
        <v>974</v>
      </c>
      <c r="D2683" s="3" t="s">
        <v>54</v>
      </c>
    </row>
    <row r="2684" spans="1:4" x14ac:dyDescent="0.2">
      <c r="A2684" s="3" t="s">
        <v>963</v>
      </c>
      <c r="B2684" t="s">
        <v>8</v>
      </c>
      <c r="C2684" s="3" t="s">
        <v>975</v>
      </c>
      <c r="D2684" s="3" t="s">
        <v>54</v>
      </c>
    </row>
    <row r="2685" spans="1:4" x14ac:dyDescent="0.2">
      <c r="A2685" s="3" t="s">
        <v>963</v>
      </c>
      <c r="B2685" t="s">
        <v>8</v>
      </c>
      <c r="C2685" s="3" t="s">
        <v>976</v>
      </c>
      <c r="D2685" s="3" t="s">
        <v>54</v>
      </c>
    </row>
    <row r="2686" spans="1:4" x14ac:dyDescent="0.2">
      <c r="A2686" s="3" t="s">
        <v>963</v>
      </c>
      <c r="B2686" t="s">
        <v>8</v>
      </c>
      <c r="C2686" s="3" t="s">
        <v>977</v>
      </c>
      <c r="D2686" s="3" t="s">
        <v>54</v>
      </c>
    </row>
    <row r="2687" spans="1:4" x14ac:dyDescent="0.2">
      <c r="A2687" s="3" t="s">
        <v>963</v>
      </c>
      <c r="B2687" t="s">
        <v>8</v>
      </c>
      <c r="C2687" s="3" t="s">
        <v>978</v>
      </c>
      <c r="D2687" s="3" t="s">
        <v>54</v>
      </c>
    </row>
    <row r="2688" spans="1:4" x14ac:dyDescent="0.2">
      <c r="A2688" s="3" t="s">
        <v>963</v>
      </c>
      <c r="B2688" t="s">
        <v>8</v>
      </c>
      <c r="C2688" s="3" t="s">
        <v>979</v>
      </c>
      <c r="D2688" s="3" t="s">
        <v>54</v>
      </c>
    </row>
    <row r="2689" spans="1:4" x14ac:dyDescent="0.2">
      <c r="A2689" s="3" t="s">
        <v>963</v>
      </c>
      <c r="B2689" t="s">
        <v>8</v>
      </c>
      <c r="C2689" s="3" t="s">
        <v>980</v>
      </c>
      <c r="D2689" s="3" t="s">
        <v>54</v>
      </c>
    </row>
    <row r="2690" spans="1:4" x14ac:dyDescent="0.2">
      <c r="A2690" s="3" t="s">
        <v>963</v>
      </c>
      <c r="B2690" t="s">
        <v>8</v>
      </c>
      <c r="C2690" s="3" t="s">
        <v>981</v>
      </c>
      <c r="D2690" s="3" t="s">
        <v>54</v>
      </c>
    </row>
    <row r="2691" spans="1:4" x14ac:dyDescent="0.2">
      <c r="A2691" s="3" t="s">
        <v>963</v>
      </c>
      <c r="B2691" t="s">
        <v>8</v>
      </c>
      <c r="C2691" s="3" t="s">
        <v>982</v>
      </c>
      <c r="D2691" s="3" t="s">
        <v>54</v>
      </c>
    </row>
    <row r="2692" spans="1:4" x14ac:dyDescent="0.2">
      <c r="A2692" s="3" t="s">
        <v>963</v>
      </c>
      <c r="B2692" t="s">
        <v>8</v>
      </c>
      <c r="C2692" s="3" t="s">
        <v>983</v>
      </c>
      <c r="D2692" s="3" t="s">
        <v>54</v>
      </c>
    </row>
    <row r="2693" spans="1:4" x14ac:dyDescent="0.2">
      <c r="A2693" s="3" t="s">
        <v>963</v>
      </c>
      <c r="B2693" t="s">
        <v>8</v>
      </c>
      <c r="C2693" s="3" t="s">
        <v>984</v>
      </c>
      <c r="D2693" s="3" t="s">
        <v>54</v>
      </c>
    </row>
    <row r="2694" spans="1:4" x14ac:dyDescent="0.2">
      <c r="A2694" s="3" t="s">
        <v>963</v>
      </c>
      <c r="B2694" t="s">
        <v>8</v>
      </c>
      <c r="C2694" s="3" t="s">
        <v>985</v>
      </c>
      <c r="D2694" s="3" t="s">
        <v>54</v>
      </c>
    </row>
    <row r="2695" spans="1:4" x14ac:dyDescent="0.2">
      <c r="A2695" s="3" t="s">
        <v>963</v>
      </c>
      <c r="B2695" t="s">
        <v>8</v>
      </c>
      <c r="C2695" s="3" t="s">
        <v>986</v>
      </c>
      <c r="D2695" s="3" t="s">
        <v>54</v>
      </c>
    </row>
    <row r="2696" spans="1:4" x14ac:dyDescent="0.2">
      <c r="A2696" s="3" t="s">
        <v>963</v>
      </c>
      <c r="B2696" t="s">
        <v>8</v>
      </c>
      <c r="C2696" s="3" t="s">
        <v>987</v>
      </c>
      <c r="D2696" s="3" t="s">
        <v>54</v>
      </c>
    </row>
    <row r="2697" spans="1:4" x14ac:dyDescent="0.2">
      <c r="A2697" s="3" t="s">
        <v>963</v>
      </c>
      <c r="B2697" t="s">
        <v>8</v>
      </c>
      <c r="C2697" s="3" t="s">
        <v>988</v>
      </c>
      <c r="D2697" s="3" t="s">
        <v>54</v>
      </c>
    </row>
    <row r="2698" spans="1:4" x14ac:dyDescent="0.2">
      <c r="A2698" s="3" t="s">
        <v>963</v>
      </c>
      <c r="B2698" t="s">
        <v>8</v>
      </c>
      <c r="C2698" s="3" t="s">
        <v>989</v>
      </c>
      <c r="D2698" s="3" t="s">
        <v>54</v>
      </c>
    </row>
    <row r="2699" spans="1:4" x14ac:dyDescent="0.2">
      <c r="A2699" s="3" t="s">
        <v>963</v>
      </c>
      <c r="B2699" t="s">
        <v>8</v>
      </c>
      <c r="C2699" s="3" t="s">
        <v>990</v>
      </c>
      <c r="D2699" s="3" t="s">
        <v>54</v>
      </c>
    </row>
    <row r="2700" spans="1:4" x14ac:dyDescent="0.2">
      <c r="A2700" s="3" t="s">
        <v>963</v>
      </c>
      <c r="B2700" t="s">
        <v>8</v>
      </c>
      <c r="C2700" s="3" t="s">
        <v>991</v>
      </c>
      <c r="D2700" s="3" t="s">
        <v>54</v>
      </c>
    </row>
    <row r="2701" spans="1:4" x14ac:dyDescent="0.2">
      <c r="A2701" s="3" t="s">
        <v>963</v>
      </c>
      <c r="B2701" t="s">
        <v>8</v>
      </c>
      <c r="C2701" s="3" t="s">
        <v>992</v>
      </c>
      <c r="D2701" s="3" t="s">
        <v>54</v>
      </c>
    </row>
    <row r="2702" spans="1:4" x14ac:dyDescent="0.2">
      <c r="A2702" s="3" t="s">
        <v>963</v>
      </c>
      <c r="B2702" t="s">
        <v>8</v>
      </c>
      <c r="C2702" s="3" t="s">
        <v>964</v>
      </c>
      <c r="D2702" s="3" t="s">
        <v>55</v>
      </c>
    </row>
    <row r="2703" spans="1:4" x14ac:dyDescent="0.2">
      <c r="A2703" s="3" t="s">
        <v>963</v>
      </c>
      <c r="B2703" t="s">
        <v>8</v>
      </c>
      <c r="C2703" s="3" t="s">
        <v>965</v>
      </c>
      <c r="D2703" s="3" t="s">
        <v>55</v>
      </c>
    </row>
    <row r="2704" spans="1:4" x14ac:dyDescent="0.2">
      <c r="A2704" s="3" t="s">
        <v>963</v>
      </c>
      <c r="B2704" t="s">
        <v>8</v>
      </c>
      <c r="C2704" s="3" t="s">
        <v>966</v>
      </c>
      <c r="D2704" s="3" t="s">
        <v>55</v>
      </c>
    </row>
    <row r="2705" spans="1:4" x14ac:dyDescent="0.2">
      <c r="A2705" s="3" t="s">
        <v>963</v>
      </c>
      <c r="B2705" t="s">
        <v>8</v>
      </c>
      <c r="C2705" s="3" t="s">
        <v>967</v>
      </c>
      <c r="D2705" s="3" t="s">
        <v>55</v>
      </c>
    </row>
    <row r="2706" spans="1:4" x14ac:dyDescent="0.2">
      <c r="A2706" s="3" t="s">
        <v>963</v>
      </c>
      <c r="B2706" t="s">
        <v>8</v>
      </c>
      <c r="C2706" s="3" t="s">
        <v>723</v>
      </c>
      <c r="D2706" s="3" t="s">
        <v>55</v>
      </c>
    </row>
    <row r="2707" spans="1:4" x14ac:dyDescent="0.2">
      <c r="A2707" s="3" t="s">
        <v>963</v>
      </c>
      <c r="B2707" t="s">
        <v>8</v>
      </c>
      <c r="C2707" s="3" t="s">
        <v>724</v>
      </c>
      <c r="D2707" s="3" t="s">
        <v>55</v>
      </c>
    </row>
    <row r="2708" spans="1:4" x14ac:dyDescent="0.2">
      <c r="A2708" s="3" t="s">
        <v>963</v>
      </c>
      <c r="B2708" t="s">
        <v>8</v>
      </c>
      <c r="C2708" s="3" t="s">
        <v>725</v>
      </c>
      <c r="D2708" s="3" t="s">
        <v>55</v>
      </c>
    </row>
    <row r="2709" spans="1:4" x14ac:dyDescent="0.2">
      <c r="A2709" s="3" t="s">
        <v>963</v>
      </c>
      <c r="B2709" t="s">
        <v>8</v>
      </c>
      <c r="C2709" s="3" t="s">
        <v>968</v>
      </c>
      <c r="D2709" s="3" t="s">
        <v>55</v>
      </c>
    </row>
    <row r="2710" spans="1:4" x14ac:dyDescent="0.2">
      <c r="A2710" s="3" t="s">
        <v>963</v>
      </c>
      <c r="B2710" t="s">
        <v>8</v>
      </c>
      <c r="C2710" s="3" t="s">
        <v>969</v>
      </c>
      <c r="D2710" s="3" t="s">
        <v>55</v>
      </c>
    </row>
    <row r="2711" spans="1:4" x14ac:dyDescent="0.2">
      <c r="A2711" s="3" t="s">
        <v>963</v>
      </c>
      <c r="B2711" t="s">
        <v>8</v>
      </c>
      <c r="C2711" s="3" t="s">
        <v>970</v>
      </c>
      <c r="D2711" s="3" t="s">
        <v>55</v>
      </c>
    </row>
    <row r="2712" spans="1:4" x14ac:dyDescent="0.2">
      <c r="A2712" s="3" t="s">
        <v>963</v>
      </c>
      <c r="B2712" t="s">
        <v>8</v>
      </c>
      <c r="C2712" s="3" t="s">
        <v>971</v>
      </c>
      <c r="D2712" s="3" t="s">
        <v>55</v>
      </c>
    </row>
    <row r="2713" spans="1:4" x14ac:dyDescent="0.2">
      <c r="A2713" s="3" t="s">
        <v>963</v>
      </c>
      <c r="B2713" t="s">
        <v>8</v>
      </c>
      <c r="C2713" s="3" t="s">
        <v>972</v>
      </c>
      <c r="D2713" s="3" t="s">
        <v>55</v>
      </c>
    </row>
    <row r="2714" spans="1:4" x14ac:dyDescent="0.2">
      <c r="A2714" s="3" t="s">
        <v>963</v>
      </c>
      <c r="B2714" t="s">
        <v>8</v>
      </c>
      <c r="C2714" s="3" t="s">
        <v>973</v>
      </c>
      <c r="D2714" s="3" t="s">
        <v>55</v>
      </c>
    </row>
    <row r="2715" spans="1:4" x14ac:dyDescent="0.2">
      <c r="A2715" s="3" t="s">
        <v>963</v>
      </c>
      <c r="B2715" t="s">
        <v>8</v>
      </c>
      <c r="C2715" s="3" t="s">
        <v>974</v>
      </c>
      <c r="D2715" s="3" t="s">
        <v>55</v>
      </c>
    </row>
    <row r="2716" spans="1:4" x14ac:dyDescent="0.2">
      <c r="A2716" s="3" t="s">
        <v>963</v>
      </c>
      <c r="B2716" t="s">
        <v>8</v>
      </c>
      <c r="C2716" s="3" t="s">
        <v>979</v>
      </c>
      <c r="D2716" s="3" t="s">
        <v>55</v>
      </c>
    </row>
    <row r="2717" spans="1:4" x14ac:dyDescent="0.2">
      <c r="A2717" s="3" t="s">
        <v>963</v>
      </c>
      <c r="B2717" t="s">
        <v>8</v>
      </c>
      <c r="C2717" s="3" t="s">
        <v>984</v>
      </c>
      <c r="D2717" s="3" t="s">
        <v>55</v>
      </c>
    </row>
    <row r="2718" spans="1:4" x14ac:dyDescent="0.2">
      <c r="A2718" s="3" t="s">
        <v>963</v>
      </c>
      <c r="B2718" t="s">
        <v>8</v>
      </c>
      <c r="C2718" s="3" t="s">
        <v>985</v>
      </c>
      <c r="D2718" s="3" t="s">
        <v>55</v>
      </c>
    </row>
    <row r="2719" spans="1:4" x14ac:dyDescent="0.2">
      <c r="A2719" s="3" t="s">
        <v>963</v>
      </c>
      <c r="B2719" t="s">
        <v>8</v>
      </c>
      <c r="C2719" s="3" t="s">
        <v>986</v>
      </c>
      <c r="D2719" s="3" t="s">
        <v>55</v>
      </c>
    </row>
    <row r="2720" spans="1:4" x14ac:dyDescent="0.2">
      <c r="A2720" s="3" t="s">
        <v>963</v>
      </c>
      <c r="B2720" t="s">
        <v>8</v>
      </c>
      <c r="C2720" s="3" t="s">
        <v>987</v>
      </c>
      <c r="D2720" s="3" t="s">
        <v>55</v>
      </c>
    </row>
    <row r="2721" spans="1:4" x14ac:dyDescent="0.2">
      <c r="A2721" s="3" t="s">
        <v>963</v>
      </c>
      <c r="B2721" t="s">
        <v>8</v>
      </c>
      <c r="C2721" s="3" t="s">
        <v>988</v>
      </c>
      <c r="D2721" s="3" t="s">
        <v>55</v>
      </c>
    </row>
    <row r="2722" spans="1:4" x14ac:dyDescent="0.2">
      <c r="A2722" s="3" t="s">
        <v>963</v>
      </c>
      <c r="B2722" t="s">
        <v>8</v>
      </c>
      <c r="C2722" s="3" t="s">
        <v>989</v>
      </c>
      <c r="D2722" s="3" t="s">
        <v>55</v>
      </c>
    </row>
    <row r="2723" spans="1:4" x14ac:dyDescent="0.2">
      <c r="A2723" s="3" t="s">
        <v>963</v>
      </c>
      <c r="B2723" t="s">
        <v>8</v>
      </c>
      <c r="C2723" s="3" t="s">
        <v>991</v>
      </c>
      <c r="D2723" s="3" t="s">
        <v>55</v>
      </c>
    </row>
    <row r="2724" spans="1:4" x14ac:dyDescent="0.2">
      <c r="A2724" s="3" t="s">
        <v>963</v>
      </c>
      <c r="B2724" t="s">
        <v>8</v>
      </c>
      <c r="C2724" s="3" t="s">
        <v>992</v>
      </c>
      <c r="D2724" s="3" t="s">
        <v>55</v>
      </c>
    </row>
    <row r="2725" spans="1:4" x14ac:dyDescent="0.2">
      <c r="A2725" s="3" t="s">
        <v>963</v>
      </c>
      <c r="B2725" t="s">
        <v>8</v>
      </c>
      <c r="C2725" s="3" t="s">
        <v>964</v>
      </c>
      <c r="D2725" s="3" t="s">
        <v>56</v>
      </c>
    </row>
    <row r="2726" spans="1:4" x14ac:dyDescent="0.2">
      <c r="A2726" s="3" t="s">
        <v>963</v>
      </c>
      <c r="B2726" t="s">
        <v>8</v>
      </c>
      <c r="C2726" s="3" t="s">
        <v>965</v>
      </c>
      <c r="D2726" s="3" t="s">
        <v>56</v>
      </c>
    </row>
    <row r="2727" spans="1:4" x14ac:dyDescent="0.2">
      <c r="A2727" s="3" t="s">
        <v>963</v>
      </c>
      <c r="B2727" t="s">
        <v>8</v>
      </c>
      <c r="C2727" s="3" t="s">
        <v>966</v>
      </c>
      <c r="D2727" s="3" t="s">
        <v>56</v>
      </c>
    </row>
    <row r="2728" spans="1:4" x14ac:dyDescent="0.2">
      <c r="A2728" s="3" t="s">
        <v>963</v>
      </c>
      <c r="B2728" t="s">
        <v>8</v>
      </c>
      <c r="C2728" s="3" t="s">
        <v>967</v>
      </c>
      <c r="D2728" s="3" t="s">
        <v>56</v>
      </c>
    </row>
    <row r="2729" spans="1:4" x14ac:dyDescent="0.2">
      <c r="A2729" s="3" t="s">
        <v>963</v>
      </c>
      <c r="B2729" t="s">
        <v>8</v>
      </c>
      <c r="C2729" s="3" t="s">
        <v>723</v>
      </c>
      <c r="D2729" s="3" t="s">
        <v>56</v>
      </c>
    </row>
    <row r="2730" spans="1:4" x14ac:dyDescent="0.2">
      <c r="A2730" s="3" t="s">
        <v>963</v>
      </c>
      <c r="B2730" t="s">
        <v>8</v>
      </c>
      <c r="C2730" s="3" t="s">
        <v>724</v>
      </c>
      <c r="D2730" s="3" t="s">
        <v>56</v>
      </c>
    </row>
    <row r="2731" spans="1:4" x14ac:dyDescent="0.2">
      <c r="A2731" s="3" t="s">
        <v>963</v>
      </c>
      <c r="B2731" t="s">
        <v>8</v>
      </c>
      <c r="C2731" s="3" t="s">
        <v>725</v>
      </c>
      <c r="D2731" s="3" t="s">
        <v>56</v>
      </c>
    </row>
    <row r="2732" spans="1:4" x14ac:dyDescent="0.2">
      <c r="A2732" s="3" t="s">
        <v>963</v>
      </c>
      <c r="B2732" t="s">
        <v>8</v>
      </c>
      <c r="C2732" s="3" t="s">
        <v>968</v>
      </c>
      <c r="D2732" s="3" t="s">
        <v>56</v>
      </c>
    </row>
    <row r="2733" spans="1:4" x14ac:dyDescent="0.2">
      <c r="A2733" s="3" t="s">
        <v>963</v>
      </c>
      <c r="B2733" t="s">
        <v>8</v>
      </c>
      <c r="C2733" s="3" t="s">
        <v>969</v>
      </c>
      <c r="D2733" s="3" t="s">
        <v>56</v>
      </c>
    </row>
    <row r="2734" spans="1:4" x14ac:dyDescent="0.2">
      <c r="A2734" s="3" t="s">
        <v>963</v>
      </c>
      <c r="B2734" t="s">
        <v>8</v>
      </c>
      <c r="C2734" s="3" t="s">
        <v>970</v>
      </c>
      <c r="D2734" s="3" t="s">
        <v>56</v>
      </c>
    </row>
    <row r="2735" spans="1:4" x14ac:dyDescent="0.2">
      <c r="A2735" s="3" t="s">
        <v>963</v>
      </c>
      <c r="B2735" t="s">
        <v>8</v>
      </c>
      <c r="C2735" s="3" t="s">
        <v>971</v>
      </c>
      <c r="D2735" s="3" t="s">
        <v>56</v>
      </c>
    </row>
    <row r="2736" spans="1:4" x14ac:dyDescent="0.2">
      <c r="A2736" s="3" t="s">
        <v>963</v>
      </c>
      <c r="B2736" t="s">
        <v>8</v>
      </c>
      <c r="C2736" s="3" t="s">
        <v>972</v>
      </c>
      <c r="D2736" s="3" t="s">
        <v>56</v>
      </c>
    </row>
    <row r="2737" spans="1:4" x14ac:dyDescent="0.2">
      <c r="A2737" s="3" t="s">
        <v>963</v>
      </c>
      <c r="B2737" t="s">
        <v>8</v>
      </c>
      <c r="C2737" s="3" t="s">
        <v>973</v>
      </c>
      <c r="D2737" s="3" t="s">
        <v>56</v>
      </c>
    </row>
    <row r="2738" spans="1:4" x14ac:dyDescent="0.2">
      <c r="A2738" s="3" t="s">
        <v>963</v>
      </c>
      <c r="B2738" t="s">
        <v>8</v>
      </c>
      <c r="C2738" s="3" t="s">
        <v>974</v>
      </c>
      <c r="D2738" s="3" t="s">
        <v>56</v>
      </c>
    </row>
    <row r="2739" spans="1:4" x14ac:dyDescent="0.2">
      <c r="A2739" s="3" t="s">
        <v>963</v>
      </c>
      <c r="B2739" t="s">
        <v>8</v>
      </c>
      <c r="C2739" s="3" t="s">
        <v>984</v>
      </c>
      <c r="D2739" s="3" t="s">
        <v>56</v>
      </c>
    </row>
    <row r="2740" spans="1:4" x14ac:dyDescent="0.2">
      <c r="A2740" s="3" t="s">
        <v>963</v>
      </c>
      <c r="B2740" t="s">
        <v>8</v>
      </c>
      <c r="C2740" s="3" t="s">
        <v>985</v>
      </c>
      <c r="D2740" s="3" t="s">
        <v>56</v>
      </c>
    </row>
    <row r="2741" spans="1:4" x14ac:dyDescent="0.2">
      <c r="A2741" s="3" t="s">
        <v>963</v>
      </c>
      <c r="B2741" t="s">
        <v>8</v>
      </c>
      <c r="C2741" s="3" t="s">
        <v>986</v>
      </c>
      <c r="D2741" s="3" t="s">
        <v>56</v>
      </c>
    </row>
    <row r="2742" spans="1:4" x14ac:dyDescent="0.2">
      <c r="A2742" s="3" t="s">
        <v>963</v>
      </c>
      <c r="B2742" t="s">
        <v>8</v>
      </c>
      <c r="C2742" s="3" t="s">
        <v>987</v>
      </c>
      <c r="D2742" s="3" t="s">
        <v>56</v>
      </c>
    </row>
    <row r="2743" spans="1:4" x14ac:dyDescent="0.2">
      <c r="A2743" s="3" t="s">
        <v>963</v>
      </c>
      <c r="B2743" t="s">
        <v>8</v>
      </c>
      <c r="C2743" s="3" t="s">
        <v>988</v>
      </c>
      <c r="D2743" s="3" t="s">
        <v>56</v>
      </c>
    </row>
    <row r="2744" spans="1:4" x14ac:dyDescent="0.2">
      <c r="A2744" s="3" t="s">
        <v>963</v>
      </c>
      <c r="B2744" t="s">
        <v>8</v>
      </c>
      <c r="C2744" s="3" t="s">
        <v>989</v>
      </c>
      <c r="D2744" s="3" t="s">
        <v>56</v>
      </c>
    </row>
    <row r="2745" spans="1:4" x14ac:dyDescent="0.2">
      <c r="A2745" s="3" t="s">
        <v>963</v>
      </c>
      <c r="B2745" t="s">
        <v>8</v>
      </c>
      <c r="C2745" s="3" t="s">
        <v>991</v>
      </c>
      <c r="D2745" s="3" t="s">
        <v>56</v>
      </c>
    </row>
    <row r="2746" spans="1:4" x14ac:dyDescent="0.2">
      <c r="A2746" s="3" t="s">
        <v>963</v>
      </c>
      <c r="B2746" t="s">
        <v>8</v>
      </c>
      <c r="C2746" s="3" t="s">
        <v>992</v>
      </c>
      <c r="D2746" s="3" t="s">
        <v>56</v>
      </c>
    </row>
    <row r="2747" spans="1:4" x14ac:dyDescent="0.2">
      <c r="A2747" s="3" t="s">
        <v>963</v>
      </c>
      <c r="B2747" t="s">
        <v>8</v>
      </c>
      <c r="C2747" s="3" t="s">
        <v>964</v>
      </c>
      <c r="D2747" s="3" t="s">
        <v>57</v>
      </c>
    </row>
    <row r="2748" spans="1:4" x14ac:dyDescent="0.2">
      <c r="A2748" s="3" t="s">
        <v>963</v>
      </c>
      <c r="B2748" t="s">
        <v>8</v>
      </c>
      <c r="C2748" s="3" t="s">
        <v>965</v>
      </c>
      <c r="D2748" s="3" t="s">
        <v>57</v>
      </c>
    </row>
    <row r="2749" spans="1:4" x14ac:dyDescent="0.2">
      <c r="A2749" s="3" t="s">
        <v>963</v>
      </c>
      <c r="B2749" t="s">
        <v>8</v>
      </c>
      <c r="C2749" s="3" t="s">
        <v>966</v>
      </c>
      <c r="D2749" s="3" t="s">
        <v>57</v>
      </c>
    </row>
    <row r="2750" spans="1:4" x14ac:dyDescent="0.2">
      <c r="A2750" s="3" t="s">
        <v>963</v>
      </c>
      <c r="B2750" t="s">
        <v>8</v>
      </c>
      <c r="C2750" s="3" t="s">
        <v>967</v>
      </c>
      <c r="D2750" s="3" t="s">
        <v>57</v>
      </c>
    </row>
    <row r="2751" spans="1:4" x14ac:dyDescent="0.2">
      <c r="A2751" s="3" t="s">
        <v>963</v>
      </c>
      <c r="B2751" t="s">
        <v>8</v>
      </c>
      <c r="C2751" s="3" t="s">
        <v>723</v>
      </c>
      <c r="D2751" s="3" t="s">
        <v>57</v>
      </c>
    </row>
    <row r="2752" spans="1:4" x14ac:dyDescent="0.2">
      <c r="A2752" s="3" t="s">
        <v>963</v>
      </c>
      <c r="B2752" t="s">
        <v>8</v>
      </c>
      <c r="C2752" s="3" t="s">
        <v>724</v>
      </c>
      <c r="D2752" s="3" t="s">
        <v>57</v>
      </c>
    </row>
    <row r="2753" spans="1:4" x14ac:dyDescent="0.2">
      <c r="A2753" s="3" t="s">
        <v>963</v>
      </c>
      <c r="B2753" t="s">
        <v>8</v>
      </c>
      <c r="C2753" s="3" t="s">
        <v>725</v>
      </c>
      <c r="D2753" s="3" t="s">
        <v>57</v>
      </c>
    </row>
    <row r="2754" spans="1:4" x14ac:dyDescent="0.2">
      <c r="A2754" s="3" t="s">
        <v>963</v>
      </c>
      <c r="B2754" t="s">
        <v>8</v>
      </c>
      <c r="C2754" s="3" t="s">
        <v>968</v>
      </c>
      <c r="D2754" s="3" t="s">
        <v>57</v>
      </c>
    </row>
    <row r="2755" spans="1:4" x14ac:dyDescent="0.2">
      <c r="A2755" s="3" t="s">
        <v>963</v>
      </c>
      <c r="B2755" t="s">
        <v>8</v>
      </c>
      <c r="C2755" s="3" t="s">
        <v>969</v>
      </c>
      <c r="D2755" s="3" t="s">
        <v>57</v>
      </c>
    </row>
    <row r="2756" spans="1:4" x14ac:dyDescent="0.2">
      <c r="A2756" s="3" t="s">
        <v>963</v>
      </c>
      <c r="B2756" t="s">
        <v>8</v>
      </c>
      <c r="C2756" s="3" t="s">
        <v>970</v>
      </c>
      <c r="D2756" s="3" t="s">
        <v>57</v>
      </c>
    </row>
    <row r="2757" spans="1:4" x14ac:dyDescent="0.2">
      <c r="A2757" s="3" t="s">
        <v>963</v>
      </c>
      <c r="B2757" t="s">
        <v>8</v>
      </c>
      <c r="C2757" s="3" t="s">
        <v>971</v>
      </c>
      <c r="D2757" s="3" t="s">
        <v>57</v>
      </c>
    </row>
    <row r="2758" spans="1:4" x14ac:dyDescent="0.2">
      <c r="A2758" s="3" t="s">
        <v>963</v>
      </c>
      <c r="B2758" t="s">
        <v>8</v>
      </c>
      <c r="C2758" s="3" t="s">
        <v>972</v>
      </c>
      <c r="D2758" s="3" t="s">
        <v>57</v>
      </c>
    </row>
    <row r="2759" spans="1:4" x14ac:dyDescent="0.2">
      <c r="A2759" s="3" t="s">
        <v>963</v>
      </c>
      <c r="B2759" t="s">
        <v>8</v>
      </c>
      <c r="C2759" s="3" t="s">
        <v>973</v>
      </c>
      <c r="D2759" s="3" t="s">
        <v>57</v>
      </c>
    </row>
    <row r="2760" spans="1:4" x14ac:dyDescent="0.2">
      <c r="A2760" s="3" t="s">
        <v>963</v>
      </c>
      <c r="B2760" t="s">
        <v>8</v>
      </c>
      <c r="C2760" s="3" t="s">
        <v>974</v>
      </c>
      <c r="D2760" s="3" t="s">
        <v>57</v>
      </c>
    </row>
    <row r="2761" spans="1:4" x14ac:dyDescent="0.2">
      <c r="A2761" s="3" t="s">
        <v>963</v>
      </c>
      <c r="B2761" t="s">
        <v>8</v>
      </c>
      <c r="C2761" s="3" t="s">
        <v>979</v>
      </c>
      <c r="D2761" s="3" t="s">
        <v>57</v>
      </c>
    </row>
    <row r="2762" spans="1:4" x14ac:dyDescent="0.2">
      <c r="A2762" s="3" t="s">
        <v>963</v>
      </c>
      <c r="B2762" t="s">
        <v>8</v>
      </c>
      <c r="C2762" s="3" t="s">
        <v>984</v>
      </c>
      <c r="D2762" s="3" t="s">
        <v>57</v>
      </c>
    </row>
    <row r="2763" spans="1:4" x14ac:dyDescent="0.2">
      <c r="A2763" s="3" t="s">
        <v>963</v>
      </c>
      <c r="B2763" t="s">
        <v>8</v>
      </c>
      <c r="C2763" s="3" t="s">
        <v>985</v>
      </c>
      <c r="D2763" s="3" t="s">
        <v>57</v>
      </c>
    </row>
    <row r="2764" spans="1:4" x14ac:dyDescent="0.2">
      <c r="A2764" s="3" t="s">
        <v>963</v>
      </c>
      <c r="B2764" t="s">
        <v>8</v>
      </c>
      <c r="C2764" s="3" t="s">
        <v>986</v>
      </c>
      <c r="D2764" s="3" t="s">
        <v>57</v>
      </c>
    </row>
    <row r="2765" spans="1:4" x14ac:dyDescent="0.2">
      <c r="A2765" s="3" t="s">
        <v>963</v>
      </c>
      <c r="B2765" t="s">
        <v>8</v>
      </c>
      <c r="C2765" s="3" t="s">
        <v>987</v>
      </c>
      <c r="D2765" s="3" t="s">
        <v>57</v>
      </c>
    </row>
    <row r="2766" spans="1:4" x14ac:dyDescent="0.2">
      <c r="A2766" s="3" t="s">
        <v>963</v>
      </c>
      <c r="B2766" t="s">
        <v>8</v>
      </c>
      <c r="C2766" s="3" t="s">
        <v>988</v>
      </c>
      <c r="D2766" s="3" t="s">
        <v>57</v>
      </c>
    </row>
    <row r="2767" spans="1:4" x14ac:dyDescent="0.2">
      <c r="A2767" s="3" t="s">
        <v>963</v>
      </c>
      <c r="B2767" t="s">
        <v>8</v>
      </c>
      <c r="C2767" s="3" t="s">
        <v>989</v>
      </c>
      <c r="D2767" s="3" t="s">
        <v>57</v>
      </c>
    </row>
    <row r="2768" spans="1:4" x14ac:dyDescent="0.2">
      <c r="A2768" s="3" t="s">
        <v>963</v>
      </c>
      <c r="B2768" t="s">
        <v>8</v>
      </c>
      <c r="C2768" s="3" t="s">
        <v>991</v>
      </c>
      <c r="D2768" s="3" t="s">
        <v>57</v>
      </c>
    </row>
    <row r="2769" spans="1:4" x14ac:dyDescent="0.2">
      <c r="A2769" s="3" t="s">
        <v>963</v>
      </c>
      <c r="B2769" t="s">
        <v>8</v>
      </c>
      <c r="C2769" s="3" t="s">
        <v>992</v>
      </c>
      <c r="D2769" s="3" t="s">
        <v>57</v>
      </c>
    </row>
    <row r="2770" spans="1:4" x14ac:dyDescent="0.2">
      <c r="A2770" s="3" t="s">
        <v>963</v>
      </c>
      <c r="B2770" t="s">
        <v>8</v>
      </c>
      <c r="C2770" s="3" t="s">
        <v>931</v>
      </c>
      <c r="D2770" s="3" t="s">
        <v>10</v>
      </c>
    </row>
    <row r="2771" spans="1:4" x14ac:dyDescent="0.2">
      <c r="A2771" s="3" t="s">
        <v>963</v>
      </c>
      <c r="B2771" t="s">
        <v>8</v>
      </c>
      <c r="C2771" s="3" t="s">
        <v>931</v>
      </c>
      <c r="D2771" s="3" t="s">
        <v>11</v>
      </c>
    </row>
    <row r="2772" spans="1:4" x14ac:dyDescent="0.2">
      <c r="A2772" s="3" t="s">
        <v>993</v>
      </c>
      <c r="B2772" t="s">
        <v>8</v>
      </c>
      <c r="C2772" s="3" t="s">
        <v>994</v>
      </c>
      <c r="D2772" s="3" t="s">
        <v>53</v>
      </c>
    </row>
    <row r="2773" spans="1:4" x14ac:dyDescent="0.2">
      <c r="A2773" s="3" t="s">
        <v>993</v>
      </c>
      <c r="B2773" t="s">
        <v>8</v>
      </c>
      <c r="C2773" s="3" t="s">
        <v>926</v>
      </c>
      <c r="D2773" s="3" t="s">
        <v>53</v>
      </c>
    </row>
    <row r="2774" spans="1:4" x14ac:dyDescent="0.2">
      <c r="A2774" s="3" t="s">
        <v>993</v>
      </c>
      <c r="B2774" t="s">
        <v>8</v>
      </c>
      <c r="C2774" s="3" t="s">
        <v>944</v>
      </c>
      <c r="D2774" s="3" t="s">
        <v>53</v>
      </c>
    </row>
    <row r="2775" spans="1:4" x14ac:dyDescent="0.2">
      <c r="A2775" s="3" t="s">
        <v>993</v>
      </c>
      <c r="B2775" t="s">
        <v>8</v>
      </c>
      <c r="C2775" s="3" t="s">
        <v>974</v>
      </c>
      <c r="D2775" s="3" t="s">
        <v>53</v>
      </c>
    </row>
    <row r="2776" spans="1:4" x14ac:dyDescent="0.2">
      <c r="A2776" s="3" t="s">
        <v>993</v>
      </c>
      <c r="B2776" t="s">
        <v>8</v>
      </c>
      <c r="C2776" s="3" t="s">
        <v>946</v>
      </c>
      <c r="D2776" s="3" t="s">
        <v>53</v>
      </c>
    </row>
    <row r="2777" spans="1:4" x14ac:dyDescent="0.2">
      <c r="A2777" s="3" t="s">
        <v>993</v>
      </c>
      <c r="B2777" t="s">
        <v>8</v>
      </c>
      <c r="C2777" s="3" t="s">
        <v>994</v>
      </c>
      <c r="D2777" s="3" t="s">
        <v>54</v>
      </c>
    </row>
    <row r="2778" spans="1:4" x14ac:dyDescent="0.2">
      <c r="A2778" s="3" t="s">
        <v>993</v>
      </c>
      <c r="B2778" t="s">
        <v>8</v>
      </c>
      <c r="C2778" s="3" t="s">
        <v>926</v>
      </c>
      <c r="D2778" s="3" t="s">
        <v>54</v>
      </c>
    </row>
    <row r="2779" spans="1:4" x14ac:dyDescent="0.2">
      <c r="A2779" s="3" t="s">
        <v>993</v>
      </c>
      <c r="B2779" t="s">
        <v>8</v>
      </c>
      <c r="C2779" s="3" t="s">
        <v>944</v>
      </c>
      <c r="D2779" s="3" t="s">
        <v>54</v>
      </c>
    </row>
    <row r="2780" spans="1:4" x14ac:dyDescent="0.2">
      <c r="A2780" s="3" t="s">
        <v>993</v>
      </c>
      <c r="B2780" t="s">
        <v>8</v>
      </c>
      <c r="C2780" s="3" t="s">
        <v>974</v>
      </c>
      <c r="D2780" s="3" t="s">
        <v>54</v>
      </c>
    </row>
    <row r="2781" spans="1:4" x14ac:dyDescent="0.2">
      <c r="A2781" s="3" t="s">
        <v>993</v>
      </c>
      <c r="B2781" t="s">
        <v>8</v>
      </c>
      <c r="C2781" s="3" t="s">
        <v>946</v>
      </c>
      <c r="D2781" s="3" t="s">
        <v>54</v>
      </c>
    </row>
    <row r="2782" spans="1:4" x14ac:dyDescent="0.2">
      <c r="A2782" s="3" t="s">
        <v>993</v>
      </c>
      <c r="B2782" t="s">
        <v>8</v>
      </c>
      <c r="C2782" s="3" t="s">
        <v>994</v>
      </c>
      <c r="D2782" s="3" t="s">
        <v>55</v>
      </c>
    </row>
    <row r="2783" spans="1:4" x14ac:dyDescent="0.2">
      <c r="A2783" s="3" t="s">
        <v>993</v>
      </c>
      <c r="B2783" t="s">
        <v>8</v>
      </c>
      <c r="C2783" s="3" t="s">
        <v>926</v>
      </c>
      <c r="D2783" s="3" t="s">
        <v>55</v>
      </c>
    </row>
    <row r="2784" spans="1:4" x14ac:dyDescent="0.2">
      <c r="A2784" s="3" t="s">
        <v>993</v>
      </c>
      <c r="B2784" t="s">
        <v>8</v>
      </c>
      <c r="C2784" s="3" t="s">
        <v>944</v>
      </c>
      <c r="D2784" s="3" t="s">
        <v>55</v>
      </c>
    </row>
    <row r="2785" spans="1:4" x14ac:dyDescent="0.2">
      <c r="A2785" s="3" t="s">
        <v>993</v>
      </c>
      <c r="B2785" t="s">
        <v>8</v>
      </c>
      <c r="C2785" s="3" t="s">
        <v>974</v>
      </c>
      <c r="D2785" s="3" t="s">
        <v>55</v>
      </c>
    </row>
    <row r="2786" spans="1:4" x14ac:dyDescent="0.2">
      <c r="A2786" s="3" t="s">
        <v>993</v>
      </c>
      <c r="B2786" t="s">
        <v>8</v>
      </c>
      <c r="C2786" s="3" t="s">
        <v>946</v>
      </c>
      <c r="D2786" s="3" t="s">
        <v>55</v>
      </c>
    </row>
    <row r="2787" spans="1:4" x14ac:dyDescent="0.2">
      <c r="A2787" s="3" t="s">
        <v>993</v>
      </c>
      <c r="B2787" t="s">
        <v>8</v>
      </c>
      <c r="C2787" s="3" t="s">
        <v>994</v>
      </c>
      <c r="D2787" s="3" t="s">
        <v>56</v>
      </c>
    </row>
    <row r="2788" spans="1:4" x14ac:dyDescent="0.2">
      <c r="A2788" s="3" t="s">
        <v>993</v>
      </c>
      <c r="B2788" t="s">
        <v>8</v>
      </c>
      <c r="C2788" s="3" t="s">
        <v>926</v>
      </c>
      <c r="D2788" s="3" t="s">
        <v>56</v>
      </c>
    </row>
    <row r="2789" spans="1:4" x14ac:dyDescent="0.2">
      <c r="A2789" s="3" t="s">
        <v>993</v>
      </c>
      <c r="B2789" t="s">
        <v>8</v>
      </c>
      <c r="C2789" s="3" t="s">
        <v>944</v>
      </c>
      <c r="D2789" s="3" t="s">
        <v>56</v>
      </c>
    </row>
    <row r="2790" spans="1:4" x14ac:dyDescent="0.2">
      <c r="A2790" s="3" t="s">
        <v>993</v>
      </c>
      <c r="B2790" t="s">
        <v>8</v>
      </c>
      <c r="C2790" s="3" t="s">
        <v>974</v>
      </c>
      <c r="D2790" s="3" t="s">
        <v>56</v>
      </c>
    </row>
    <row r="2791" spans="1:4" x14ac:dyDescent="0.2">
      <c r="A2791" s="3" t="s">
        <v>993</v>
      </c>
      <c r="B2791" t="s">
        <v>8</v>
      </c>
      <c r="C2791" s="3" t="s">
        <v>946</v>
      </c>
      <c r="D2791" s="3" t="s">
        <v>56</v>
      </c>
    </row>
    <row r="2792" spans="1:4" x14ac:dyDescent="0.2">
      <c r="A2792" s="3" t="s">
        <v>993</v>
      </c>
      <c r="B2792" t="s">
        <v>8</v>
      </c>
      <c r="C2792" s="3" t="s">
        <v>994</v>
      </c>
      <c r="D2792" s="3" t="s">
        <v>57</v>
      </c>
    </row>
    <row r="2793" spans="1:4" x14ac:dyDescent="0.2">
      <c r="A2793" s="3" t="s">
        <v>993</v>
      </c>
      <c r="B2793" t="s">
        <v>8</v>
      </c>
      <c r="C2793" s="3" t="s">
        <v>926</v>
      </c>
      <c r="D2793" s="3" t="s">
        <v>57</v>
      </c>
    </row>
    <row r="2794" spans="1:4" x14ac:dyDescent="0.2">
      <c r="A2794" s="3" t="s">
        <v>993</v>
      </c>
      <c r="B2794" t="s">
        <v>8</v>
      </c>
      <c r="C2794" s="3" t="s">
        <v>944</v>
      </c>
      <c r="D2794" s="3" t="s">
        <v>57</v>
      </c>
    </row>
    <row r="2795" spans="1:4" x14ac:dyDescent="0.2">
      <c r="A2795" s="3" t="s">
        <v>993</v>
      </c>
      <c r="B2795" t="s">
        <v>8</v>
      </c>
      <c r="C2795" s="3" t="s">
        <v>974</v>
      </c>
      <c r="D2795" s="3" t="s">
        <v>57</v>
      </c>
    </row>
    <row r="2796" spans="1:4" x14ac:dyDescent="0.2">
      <c r="A2796" s="3" t="s">
        <v>993</v>
      </c>
      <c r="B2796" t="s">
        <v>8</v>
      </c>
      <c r="C2796" s="3" t="s">
        <v>946</v>
      </c>
      <c r="D2796" s="3" t="s">
        <v>57</v>
      </c>
    </row>
    <row r="2797" spans="1:4" x14ac:dyDescent="0.2">
      <c r="A2797" s="3" t="s">
        <v>995</v>
      </c>
      <c r="B2797" t="s">
        <v>8</v>
      </c>
      <c r="C2797" s="3" t="s">
        <v>928</v>
      </c>
      <c r="D2797" s="3" t="s">
        <v>53</v>
      </c>
    </row>
    <row r="2798" spans="1:4" x14ac:dyDescent="0.2">
      <c r="A2798" s="3" t="s">
        <v>995</v>
      </c>
      <c r="B2798" t="s">
        <v>8</v>
      </c>
      <c r="C2798" s="3" t="s">
        <v>928</v>
      </c>
      <c r="D2798" s="3" t="s">
        <v>54</v>
      </c>
    </row>
    <row r="2799" spans="1:4" x14ac:dyDescent="0.2">
      <c r="A2799" s="3" t="s">
        <v>995</v>
      </c>
      <c r="B2799" t="s">
        <v>8</v>
      </c>
      <c r="C2799" s="3" t="s">
        <v>928</v>
      </c>
      <c r="D2799" s="3" t="s">
        <v>55</v>
      </c>
    </row>
    <row r="2800" spans="1:4" x14ac:dyDescent="0.2">
      <c r="A2800" s="3" t="s">
        <v>995</v>
      </c>
      <c r="B2800" t="s">
        <v>8</v>
      </c>
      <c r="C2800" s="3" t="s">
        <v>928</v>
      </c>
      <c r="D2800" s="3" t="s">
        <v>56</v>
      </c>
    </row>
    <row r="2801" spans="1:4" x14ac:dyDescent="0.2">
      <c r="A2801" s="3" t="s">
        <v>995</v>
      </c>
      <c r="B2801" t="s">
        <v>8</v>
      </c>
      <c r="C2801" s="3" t="s">
        <v>928</v>
      </c>
      <c r="D2801" s="3" t="s">
        <v>57</v>
      </c>
    </row>
    <row r="2802" spans="1:4" x14ac:dyDescent="0.2">
      <c r="A2802" s="3" t="s">
        <v>996</v>
      </c>
      <c r="B2802" t="s">
        <v>8</v>
      </c>
      <c r="C2802" s="3" t="s">
        <v>887</v>
      </c>
      <c r="D2802" s="3" t="s">
        <v>53</v>
      </c>
    </row>
    <row r="2803" spans="1:4" x14ac:dyDescent="0.2">
      <c r="A2803" s="3" t="s">
        <v>996</v>
      </c>
      <c r="B2803" t="s">
        <v>8</v>
      </c>
      <c r="C2803" s="3" t="s">
        <v>887</v>
      </c>
      <c r="D2803" s="3" t="s">
        <v>54</v>
      </c>
    </row>
    <row r="2804" spans="1:4" x14ac:dyDescent="0.2">
      <c r="A2804" s="3" t="s">
        <v>996</v>
      </c>
      <c r="B2804" t="s">
        <v>8</v>
      </c>
      <c r="C2804" s="3" t="s">
        <v>887</v>
      </c>
      <c r="D2804" s="3" t="s">
        <v>55</v>
      </c>
    </row>
    <row r="2805" spans="1:4" x14ac:dyDescent="0.2">
      <c r="A2805" s="3" t="s">
        <v>996</v>
      </c>
      <c r="B2805" t="s">
        <v>8</v>
      </c>
      <c r="C2805" s="3" t="s">
        <v>887</v>
      </c>
      <c r="D2805" s="3" t="s">
        <v>56</v>
      </c>
    </row>
    <row r="2806" spans="1:4" x14ac:dyDescent="0.2">
      <c r="A2806" s="3" t="s">
        <v>996</v>
      </c>
      <c r="B2806" t="s">
        <v>8</v>
      </c>
      <c r="C2806" s="3" t="s">
        <v>887</v>
      </c>
      <c r="D2806" s="3" t="s">
        <v>57</v>
      </c>
    </row>
    <row r="2807" spans="1:4" x14ac:dyDescent="0.2">
      <c r="A2807" s="3" t="s">
        <v>996</v>
      </c>
      <c r="B2807" t="s">
        <v>8</v>
      </c>
      <c r="C2807" s="3" t="s">
        <v>935</v>
      </c>
      <c r="D2807" s="3" t="s">
        <v>10</v>
      </c>
    </row>
    <row r="2808" spans="1:4" x14ac:dyDescent="0.2">
      <c r="A2808" s="3" t="s">
        <v>996</v>
      </c>
      <c r="B2808" t="s">
        <v>8</v>
      </c>
      <c r="C2808" s="3" t="s">
        <v>939</v>
      </c>
      <c r="D2808" s="3" t="s">
        <v>10</v>
      </c>
    </row>
    <row r="2809" spans="1:4" x14ac:dyDescent="0.2">
      <c r="A2809" s="3" t="s">
        <v>996</v>
      </c>
      <c r="B2809" t="s">
        <v>8</v>
      </c>
      <c r="C2809" s="3" t="s">
        <v>935</v>
      </c>
      <c r="D2809" s="3" t="s">
        <v>11</v>
      </c>
    </row>
    <row r="2810" spans="1:4" x14ac:dyDescent="0.2">
      <c r="A2810" s="3" t="s">
        <v>997</v>
      </c>
      <c r="B2810" t="s">
        <v>8</v>
      </c>
      <c r="C2810" s="3" t="s">
        <v>998</v>
      </c>
      <c r="D2810" s="3" t="s">
        <v>53</v>
      </c>
    </row>
    <row r="2811" spans="1:4" x14ac:dyDescent="0.2">
      <c r="A2811" s="3" t="s">
        <v>997</v>
      </c>
      <c r="B2811" t="s">
        <v>8</v>
      </c>
      <c r="C2811" s="3" t="s">
        <v>999</v>
      </c>
      <c r="D2811" s="3" t="s">
        <v>53</v>
      </c>
    </row>
    <row r="2812" spans="1:4" x14ac:dyDescent="0.2">
      <c r="A2812" s="3" t="s">
        <v>997</v>
      </c>
      <c r="B2812" t="s">
        <v>8</v>
      </c>
      <c r="C2812" s="3" t="s">
        <v>1000</v>
      </c>
      <c r="D2812" s="3" t="s">
        <v>53</v>
      </c>
    </row>
    <row r="2813" spans="1:4" x14ac:dyDescent="0.2">
      <c r="A2813" s="3" t="s">
        <v>997</v>
      </c>
      <c r="B2813" t="s">
        <v>8</v>
      </c>
      <c r="C2813" s="3" t="s">
        <v>1001</v>
      </c>
      <c r="D2813" s="3" t="s">
        <v>53</v>
      </c>
    </row>
    <row r="2814" spans="1:4" x14ac:dyDescent="0.2">
      <c r="A2814" s="3" t="s">
        <v>997</v>
      </c>
      <c r="B2814" t="s">
        <v>8</v>
      </c>
      <c r="C2814" s="3" t="s">
        <v>1002</v>
      </c>
      <c r="D2814" s="3" t="s">
        <v>53</v>
      </c>
    </row>
    <row r="2815" spans="1:4" x14ac:dyDescent="0.2">
      <c r="A2815" s="3" t="s">
        <v>997</v>
      </c>
      <c r="B2815" t="s">
        <v>8</v>
      </c>
      <c r="C2815" s="3" t="s">
        <v>720</v>
      </c>
      <c r="D2815" s="3" t="s">
        <v>53</v>
      </c>
    </row>
    <row r="2816" spans="1:4" x14ac:dyDescent="0.2">
      <c r="A2816" s="3" t="s">
        <v>997</v>
      </c>
      <c r="B2816" t="s">
        <v>8</v>
      </c>
      <c r="C2816" s="3" t="s">
        <v>721</v>
      </c>
      <c r="D2816" s="3" t="s">
        <v>53</v>
      </c>
    </row>
    <row r="2817" spans="1:4" x14ac:dyDescent="0.2">
      <c r="A2817" s="3" t="s">
        <v>997</v>
      </c>
      <c r="B2817" t="s">
        <v>8</v>
      </c>
      <c r="C2817" s="3" t="s">
        <v>722</v>
      </c>
      <c r="D2817" s="3" t="s">
        <v>53</v>
      </c>
    </row>
    <row r="2818" spans="1:4" x14ac:dyDescent="0.2">
      <c r="A2818" s="3" t="s">
        <v>997</v>
      </c>
      <c r="B2818" t="s">
        <v>8</v>
      </c>
      <c r="C2818" s="3" t="s">
        <v>1003</v>
      </c>
      <c r="D2818" s="3" t="s">
        <v>53</v>
      </c>
    </row>
    <row r="2819" spans="1:4" x14ac:dyDescent="0.2">
      <c r="A2819" s="3" t="s">
        <v>997</v>
      </c>
      <c r="B2819" t="s">
        <v>8</v>
      </c>
      <c r="C2819" s="3" t="s">
        <v>1004</v>
      </c>
      <c r="D2819" s="3" t="s">
        <v>53</v>
      </c>
    </row>
    <row r="2820" spans="1:4" x14ac:dyDescent="0.2">
      <c r="A2820" s="3" t="s">
        <v>997</v>
      </c>
      <c r="B2820" t="s">
        <v>8</v>
      </c>
      <c r="C2820" s="3" t="s">
        <v>1005</v>
      </c>
      <c r="D2820" s="3" t="s">
        <v>53</v>
      </c>
    </row>
    <row r="2821" spans="1:4" x14ac:dyDescent="0.2">
      <c r="A2821" s="3" t="s">
        <v>997</v>
      </c>
      <c r="B2821" t="s">
        <v>8</v>
      </c>
      <c r="C2821" s="3" t="s">
        <v>1006</v>
      </c>
      <c r="D2821" s="3" t="s">
        <v>53</v>
      </c>
    </row>
    <row r="2822" spans="1:4" x14ac:dyDescent="0.2">
      <c r="A2822" s="3" t="s">
        <v>997</v>
      </c>
      <c r="B2822" t="s">
        <v>8</v>
      </c>
      <c r="C2822" s="3" t="s">
        <v>880</v>
      </c>
      <c r="D2822" s="3" t="s">
        <v>53</v>
      </c>
    </row>
    <row r="2823" spans="1:4" x14ac:dyDescent="0.2">
      <c r="A2823" s="3" t="s">
        <v>997</v>
      </c>
      <c r="B2823" t="s">
        <v>8</v>
      </c>
      <c r="C2823" s="3" t="s">
        <v>881</v>
      </c>
      <c r="D2823" s="3" t="s">
        <v>53</v>
      </c>
    </row>
    <row r="2824" spans="1:4" x14ac:dyDescent="0.2">
      <c r="A2824" s="3" t="s">
        <v>997</v>
      </c>
      <c r="B2824" t="s">
        <v>8</v>
      </c>
      <c r="C2824" s="3" t="s">
        <v>922</v>
      </c>
      <c r="D2824" s="3" t="s">
        <v>53</v>
      </c>
    </row>
    <row r="2825" spans="1:4" x14ac:dyDescent="0.2">
      <c r="A2825" s="3" t="s">
        <v>997</v>
      </c>
      <c r="B2825" t="s">
        <v>8</v>
      </c>
      <c r="C2825" s="3" t="s">
        <v>923</v>
      </c>
      <c r="D2825" s="3" t="s">
        <v>53</v>
      </c>
    </row>
    <row r="2826" spans="1:4" x14ac:dyDescent="0.2">
      <c r="A2826" s="3" t="s">
        <v>997</v>
      </c>
      <c r="B2826" t="s">
        <v>8</v>
      </c>
      <c r="C2826" s="3" t="s">
        <v>924</v>
      </c>
      <c r="D2826" s="3" t="s">
        <v>53</v>
      </c>
    </row>
    <row r="2827" spans="1:4" x14ac:dyDescent="0.2">
      <c r="A2827" s="3" t="s">
        <v>997</v>
      </c>
      <c r="B2827" t="s">
        <v>8</v>
      </c>
      <c r="C2827" s="3" t="s">
        <v>925</v>
      </c>
      <c r="D2827" s="3" t="s">
        <v>53</v>
      </c>
    </row>
    <row r="2828" spans="1:4" x14ac:dyDescent="0.2">
      <c r="A2828" s="3" t="s">
        <v>997</v>
      </c>
      <c r="B2828" t="s">
        <v>8</v>
      </c>
      <c r="C2828" s="3" t="s">
        <v>1007</v>
      </c>
      <c r="D2828" s="3" t="s">
        <v>53</v>
      </c>
    </row>
    <row r="2829" spans="1:4" x14ac:dyDescent="0.2">
      <c r="A2829" s="3" t="s">
        <v>997</v>
      </c>
      <c r="B2829" t="s">
        <v>8</v>
      </c>
      <c r="C2829" s="3" t="s">
        <v>1008</v>
      </c>
      <c r="D2829" s="3" t="s">
        <v>53</v>
      </c>
    </row>
    <row r="2830" spans="1:4" x14ac:dyDescent="0.2">
      <c r="A2830" s="3" t="s">
        <v>997</v>
      </c>
      <c r="B2830" t="s">
        <v>8</v>
      </c>
      <c r="C2830" s="3" t="s">
        <v>1009</v>
      </c>
      <c r="D2830" s="3" t="s">
        <v>53</v>
      </c>
    </row>
    <row r="2831" spans="1:4" x14ac:dyDescent="0.2">
      <c r="A2831" s="3" t="s">
        <v>997</v>
      </c>
      <c r="B2831" t="s">
        <v>8</v>
      </c>
      <c r="C2831" s="3" t="s">
        <v>1010</v>
      </c>
      <c r="D2831" s="3" t="s">
        <v>53</v>
      </c>
    </row>
    <row r="2832" spans="1:4" x14ac:dyDescent="0.2">
      <c r="A2832" s="3" t="s">
        <v>997</v>
      </c>
      <c r="B2832" t="s">
        <v>8</v>
      </c>
      <c r="C2832" s="3" t="s">
        <v>1011</v>
      </c>
      <c r="D2832" s="3" t="s">
        <v>53</v>
      </c>
    </row>
    <row r="2833" spans="1:4" x14ac:dyDescent="0.2">
      <c r="A2833" s="3" t="s">
        <v>997</v>
      </c>
      <c r="B2833" t="s">
        <v>8</v>
      </c>
      <c r="C2833" s="3" t="s">
        <v>1012</v>
      </c>
      <c r="D2833" s="3" t="s">
        <v>53</v>
      </c>
    </row>
    <row r="2834" spans="1:4" x14ac:dyDescent="0.2">
      <c r="A2834" s="3" t="s">
        <v>997</v>
      </c>
      <c r="B2834" t="s">
        <v>8</v>
      </c>
      <c r="C2834" s="3" t="s">
        <v>1013</v>
      </c>
      <c r="D2834" s="3" t="s">
        <v>53</v>
      </c>
    </row>
    <row r="2835" spans="1:4" x14ac:dyDescent="0.2">
      <c r="A2835" s="3" t="s">
        <v>997</v>
      </c>
      <c r="B2835" t="s">
        <v>8</v>
      </c>
      <c r="C2835" s="3" t="s">
        <v>1014</v>
      </c>
      <c r="D2835" s="3" t="s">
        <v>53</v>
      </c>
    </row>
    <row r="2836" spans="1:4" x14ac:dyDescent="0.2">
      <c r="A2836" s="3" t="s">
        <v>997</v>
      </c>
      <c r="B2836" t="s">
        <v>8</v>
      </c>
      <c r="C2836" s="3" t="s">
        <v>1015</v>
      </c>
      <c r="D2836" s="3" t="s">
        <v>53</v>
      </c>
    </row>
    <row r="2837" spans="1:4" x14ac:dyDescent="0.2">
      <c r="A2837" s="3" t="s">
        <v>997</v>
      </c>
      <c r="B2837" t="s">
        <v>8</v>
      </c>
      <c r="C2837" s="3" t="s">
        <v>1016</v>
      </c>
      <c r="D2837" s="3" t="s">
        <v>53</v>
      </c>
    </row>
    <row r="2838" spans="1:4" x14ac:dyDescent="0.2">
      <c r="A2838" s="3" t="s">
        <v>997</v>
      </c>
      <c r="B2838" t="s">
        <v>8</v>
      </c>
      <c r="C2838" s="3" t="s">
        <v>1017</v>
      </c>
      <c r="D2838" s="3" t="s">
        <v>53</v>
      </c>
    </row>
    <row r="2839" spans="1:4" x14ac:dyDescent="0.2">
      <c r="A2839" s="3" t="s">
        <v>997</v>
      </c>
      <c r="B2839" t="s">
        <v>8</v>
      </c>
      <c r="C2839" s="3" t="s">
        <v>1018</v>
      </c>
      <c r="D2839" s="3" t="s">
        <v>53</v>
      </c>
    </row>
    <row r="2840" spans="1:4" x14ac:dyDescent="0.2">
      <c r="A2840" s="3" t="s">
        <v>997</v>
      </c>
      <c r="B2840" t="s">
        <v>8</v>
      </c>
      <c r="C2840" s="3" t="s">
        <v>1019</v>
      </c>
      <c r="D2840" s="3" t="s">
        <v>53</v>
      </c>
    </row>
    <row r="2841" spans="1:4" x14ac:dyDescent="0.2">
      <c r="A2841" s="3" t="s">
        <v>997</v>
      </c>
      <c r="B2841" t="s">
        <v>8</v>
      </c>
      <c r="C2841" s="3" t="s">
        <v>1020</v>
      </c>
      <c r="D2841" s="3" t="s">
        <v>53</v>
      </c>
    </row>
    <row r="2842" spans="1:4" x14ac:dyDescent="0.2">
      <c r="A2842" s="3" t="s">
        <v>997</v>
      </c>
      <c r="B2842" t="s">
        <v>8</v>
      </c>
      <c r="C2842" s="3" t="s">
        <v>882</v>
      </c>
      <c r="D2842" s="3" t="s">
        <v>53</v>
      </c>
    </row>
    <row r="2843" spans="1:4" x14ac:dyDescent="0.2">
      <c r="A2843" s="3" t="s">
        <v>997</v>
      </c>
      <c r="B2843" t="s">
        <v>8</v>
      </c>
      <c r="C2843" s="3" t="s">
        <v>1021</v>
      </c>
      <c r="D2843" s="3" t="s">
        <v>53</v>
      </c>
    </row>
    <row r="2844" spans="1:4" x14ac:dyDescent="0.2">
      <c r="A2844" s="3" t="s">
        <v>997</v>
      </c>
      <c r="B2844" t="s">
        <v>8</v>
      </c>
      <c r="C2844" s="3" t="s">
        <v>1022</v>
      </c>
      <c r="D2844" s="3" t="s">
        <v>53</v>
      </c>
    </row>
    <row r="2845" spans="1:4" x14ac:dyDescent="0.2">
      <c r="A2845" s="3" t="s">
        <v>997</v>
      </c>
      <c r="B2845" t="s">
        <v>8</v>
      </c>
      <c r="C2845" s="3" t="s">
        <v>1023</v>
      </c>
      <c r="D2845" s="3" t="s">
        <v>53</v>
      </c>
    </row>
    <row r="2846" spans="1:4" x14ac:dyDescent="0.2">
      <c r="A2846" s="3" t="s">
        <v>997</v>
      </c>
      <c r="B2846" t="s">
        <v>8</v>
      </c>
      <c r="C2846" s="3" t="s">
        <v>1024</v>
      </c>
      <c r="D2846" s="3" t="s">
        <v>53</v>
      </c>
    </row>
    <row r="2847" spans="1:4" x14ac:dyDescent="0.2">
      <c r="A2847" s="3" t="s">
        <v>997</v>
      </c>
      <c r="B2847" t="s">
        <v>8</v>
      </c>
      <c r="C2847" s="3" t="s">
        <v>1025</v>
      </c>
      <c r="D2847" s="3" t="s">
        <v>53</v>
      </c>
    </row>
    <row r="2848" spans="1:4" x14ac:dyDescent="0.2">
      <c r="A2848" s="3" t="s">
        <v>997</v>
      </c>
      <c r="B2848" t="s">
        <v>8</v>
      </c>
      <c r="C2848" s="3" t="s">
        <v>1026</v>
      </c>
      <c r="D2848" s="3" t="s">
        <v>53</v>
      </c>
    </row>
    <row r="2849" spans="1:4" x14ac:dyDescent="0.2">
      <c r="A2849" s="3" t="s">
        <v>997</v>
      </c>
      <c r="B2849" t="s">
        <v>8</v>
      </c>
      <c r="C2849" s="3" t="s">
        <v>1027</v>
      </c>
      <c r="D2849" s="3" t="s">
        <v>53</v>
      </c>
    </row>
    <row r="2850" spans="1:4" x14ac:dyDescent="0.2">
      <c r="A2850" s="3" t="s">
        <v>997</v>
      </c>
      <c r="B2850" t="s">
        <v>8</v>
      </c>
      <c r="C2850" s="3" t="s">
        <v>1028</v>
      </c>
      <c r="D2850" s="3" t="s">
        <v>53</v>
      </c>
    </row>
    <row r="2851" spans="1:4" x14ac:dyDescent="0.2">
      <c r="A2851" s="3" t="s">
        <v>997</v>
      </c>
      <c r="B2851" t="s">
        <v>8</v>
      </c>
      <c r="C2851" s="3" t="s">
        <v>1029</v>
      </c>
      <c r="D2851" s="3" t="s">
        <v>53</v>
      </c>
    </row>
    <row r="2852" spans="1:4" x14ac:dyDescent="0.2">
      <c r="A2852" s="3" t="s">
        <v>997</v>
      </c>
      <c r="B2852" t="s">
        <v>8</v>
      </c>
      <c r="C2852" s="3" t="s">
        <v>1030</v>
      </c>
      <c r="D2852" s="3" t="s">
        <v>53</v>
      </c>
    </row>
    <row r="2853" spans="1:4" x14ac:dyDescent="0.2">
      <c r="A2853" s="3" t="s">
        <v>997</v>
      </c>
      <c r="B2853" t="s">
        <v>8</v>
      </c>
      <c r="C2853" s="3" t="s">
        <v>1031</v>
      </c>
      <c r="D2853" s="3" t="s">
        <v>53</v>
      </c>
    </row>
    <row r="2854" spans="1:4" x14ac:dyDescent="0.2">
      <c r="A2854" s="3" t="s">
        <v>997</v>
      </c>
      <c r="B2854" t="s">
        <v>8</v>
      </c>
      <c r="C2854" s="3" t="s">
        <v>1032</v>
      </c>
      <c r="D2854" s="3" t="s">
        <v>53</v>
      </c>
    </row>
    <row r="2855" spans="1:4" x14ac:dyDescent="0.2">
      <c r="A2855" s="3" t="s">
        <v>997</v>
      </c>
      <c r="B2855" t="s">
        <v>8</v>
      </c>
      <c r="C2855" s="3" t="s">
        <v>1033</v>
      </c>
      <c r="D2855" s="3" t="s">
        <v>53</v>
      </c>
    </row>
    <row r="2856" spans="1:4" x14ac:dyDescent="0.2">
      <c r="A2856" s="3" t="s">
        <v>997</v>
      </c>
      <c r="B2856" t="s">
        <v>8</v>
      </c>
      <c r="C2856" s="3" t="s">
        <v>998</v>
      </c>
      <c r="D2856" s="3" t="s">
        <v>54</v>
      </c>
    </row>
    <row r="2857" spans="1:4" x14ac:dyDescent="0.2">
      <c r="A2857" s="3" t="s">
        <v>997</v>
      </c>
      <c r="B2857" t="s">
        <v>8</v>
      </c>
      <c r="C2857" s="3" t="s">
        <v>999</v>
      </c>
      <c r="D2857" s="3" t="s">
        <v>54</v>
      </c>
    </row>
    <row r="2858" spans="1:4" x14ac:dyDescent="0.2">
      <c r="A2858" s="3" t="s">
        <v>997</v>
      </c>
      <c r="B2858" t="s">
        <v>8</v>
      </c>
      <c r="C2858" s="3" t="s">
        <v>1000</v>
      </c>
      <c r="D2858" s="3" t="s">
        <v>54</v>
      </c>
    </row>
    <row r="2859" spans="1:4" x14ac:dyDescent="0.2">
      <c r="A2859" s="3" t="s">
        <v>997</v>
      </c>
      <c r="B2859" t="s">
        <v>8</v>
      </c>
      <c r="C2859" s="3" t="s">
        <v>1001</v>
      </c>
      <c r="D2859" s="3" t="s">
        <v>54</v>
      </c>
    </row>
    <row r="2860" spans="1:4" x14ac:dyDescent="0.2">
      <c r="A2860" s="3" t="s">
        <v>997</v>
      </c>
      <c r="B2860" t="s">
        <v>8</v>
      </c>
      <c r="C2860" s="3" t="s">
        <v>1002</v>
      </c>
      <c r="D2860" s="3" t="s">
        <v>54</v>
      </c>
    </row>
    <row r="2861" spans="1:4" x14ac:dyDescent="0.2">
      <c r="A2861" s="3" t="s">
        <v>997</v>
      </c>
      <c r="B2861" t="s">
        <v>8</v>
      </c>
      <c r="C2861" s="3" t="s">
        <v>720</v>
      </c>
      <c r="D2861" s="3" t="s">
        <v>54</v>
      </c>
    </row>
    <row r="2862" spans="1:4" x14ac:dyDescent="0.2">
      <c r="A2862" s="3" t="s">
        <v>997</v>
      </c>
      <c r="B2862" t="s">
        <v>8</v>
      </c>
      <c r="C2862" s="3" t="s">
        <v>721</v>
      </c>
      <c r="D2862" s="3" t="s">
        <v>54</v>
      </c>
    </row>
    <row r="2863" spans="1:4" x14ac:dyDescent="0.2">
      <c r="A2863" s="3" t="s">
        <v>997</v>
      </c>
      <c r="B2863" t="s">
        <v>8</v>
      </c>
      <c r="C2863" s="3" t="s">
        <v>722</v>
      </c>
      <c r="D2863" s="3" t="s">
        <v>54</v>
      </c>
    </row>
    <row r="2864" spans="1:4" x14ac:dyDescent="0.2">
      <c r="A2864" s="3" t="s">
        <v>997</v>
      </c>
      <c r="B2864" t="s">
        <v>8</v>
      </c>
      <c r="C2864" s="3" t="s">
        <v>1003</v>
      </c>
      <c r="D2864" s="3" t="s">
        <v>54</v>
      </c>
    </row>
    <row r="2865" spans="1:4" x14ac:dyDescent="0.2">
      <c r="A2865" s="3" t="s">
        <v>997</v>
      </c>
      <c r="B2865" t="s">
        <v>8</v>
      </c>
      <c r="C2865" s="3" t="s">
        <v>1004</v>
      </c>
      <c r="D2865" s="3" t="s">
        <v>54</v>
      </c>
    </row>
    <row r="2866" spans="1:4" x14ac:dyDescent="0.2">
      <c r="A2866" s="3" t="s">
        <v>997</v>
      </c>
      <c r="B2866" t="s">
        <v>8</v>
      </c>
      <c r="C2866" s="3" t="s">
        <v>1005</v>
      </c>
      <c r="D2866" s="3" t="s">
        <v>54</v>
      </c>
    </row>
    <row r="2867" spans="1:4" x14ac:dyDescent="0.2">
      <c r="A2867" s="3" t="s">
        <v>997</v>
      </c>
      <c r="B2867" t="s">
        <v>8</v>
      </c>
      <c r="C2867" s="3" t="s">
        <v>1006</v>
      </c>
      <c r="D2867" s="3" t="s">
        <v>54</v>
      </c>
    </row>
    <row r="2868" spans="1:4" x14ac:dyDescent="0.2">
      <c r="A2868" s="3" t="s">
        <v>997</v>
      </c>
      <c r="B2868" t="s">
        <v>8</v>
      </c>
      <c r="C2868" s="3" t="s">
        <v>880</v>
      </c>
      <c r="D2868" s="3" t="s">
        <v>54</v>
      </c>
    </row>
    <row r="2869" spans="1:4" x14ac:dyDescent="0.2">
      <c r="A2869" s="3" t="s">
        <v>997</v>
      </c>
      <c r="B2869" t="s">
        <v>8</v>
      </c>
      <c r="C2869" s="3" t="s">
        <v>881</v>
      </c>
      <c r="D2869" s="3" t="s">
        <v>54</v>
      </c>
    </row>
    <row r="2870" spans="1:4" x14ac:dyDescent="0.2">
      <c r="A2870" s="3" t="s">
        <v>997</v>
      </c>
      <c r="B2870" t="s">
        <v>8</v>
      </c>
      <c r="C2870" s="3" t="s">
        <v>922</v>
      </c>
      <c r="D2870" s="3" t="s">
        <v>54</v>
      </c>
    </row>
    <row r="2871" spans="1:4" x14ac:dyDescent="0.2">
      <c r="A2871" s="3" t="s">
        <v>997</v>
      </c>
      <c r="B2871" t="s">
        <v>8</v>
      </c>
      <c r="C2871" s="3" t="s">
        <v>923</v>
      </c>
      <c r="D2871" s="3" t="s">
        <v>54</v>
      </c>
    </row>
    <row r="2872" spans="1:4" x14ac:dyDescent="0.2">
      <c r="A2872" s="3" t="s">
        <v>997</v>
      </c>
      <c r="B2872" t="s">
        <v>8</v>
      </c>
      <c r="C2872" s="3" t="s">
        <v>924</v>
      </c>
      <c r="D2872" s="3" t="s">
        <v>54</v>
      </c>
    </row>
    <row r="2873" spans="1:4" x14ac:dyDescent="0.2">
      <c r="A2873" s="3" t="s">
        <v>997</v>
      </c>
      <c r="B2873" t="s">
        <v>8</v>
      </c>
      <c r="C2873" s="3" t="s">
        <v>925</v>
      </c>
      <c r="D2873" s="3" t="s">
        <v>54</v>
      </c>
    </row>
    <row r="2874" spans="1:4" x14ac:dyDescent="0.2">
      <c r="A2874" s="3" t="s">
        <v>997</v>
      </c>
      <c r="B2874" t="s">
        <v>8</v>
      </c>
      <c r="C2874" s="3" t="s">
        <v>1007</v>
      </c>
      <c r="D2874" s="3" t="s">
        <v>54</v>
      </c>
    </row>
    <row r="2875" spans="1:4" x14ac:dyDescent="0.2">
      <c r="A2875" s="3" t="s">
        <v>997</v>
      </c>
      <c r="B2875" t="s">
        <v>8</v>
      </c>
      <c r="C2875" s="3" t="s">
        <v>1008</v>
      </c>
      <c r="D2875" s="3" t="s">
        <v>54</v>
      </c>
    </row>
    <row r="2876" spans="1:4" x14ac:dyDescent="0.2">
      <c r="A2876" s="3" t="s">
        <v>997</v>
      </c>
      <c r="B2876" t="s">
        <v>8</v>
      </c>
      <c r="C2876" s="3" t="s">
        <v>1009</v>
      </c>
      <c r="D2876" s="3" t="s">
        <v>54</v>
      </c>
    </row>
    <row r="2877" spans="1:4" x14ac:dyDescent="0.2">
      <c r="A2877" s="3" t="s">
        <v>997</v>
      </c>
      <c r="B2877" t="s">
        <v>8</v>
      </c>
      <c r="C2877" s="3" t="s">
        <v>1010</v>
      </c>
      <c r="D2877" s="3" t="s">
        <v>54</v>
      </c>
    </row>
    <row r="2878" spans="1:4" x14ac:dyDescent="0.2">
      <c r="A2878" s="3" t="s">
        <v>997</v>
      </c>
      <c r="B2878" t="s">
        <v>8</v>
      </c>
      <c r="C2878" s="3" t="s">
        <v>1011</v>
      </c>
      <c r="D2878" s="3" t="s">
        <v>54</v>
      </c>
    </row>
    <row r="2879" spans="1:4" x14ac:dyDescent="0.2">
      <c r="A2879" s="3" t="s">
        <v>997</v>
      </c>
      <c r="B2879" t="s">
        <v>8</v>
      </c>
      <c r="C2879" s="3" t="s">
        <v>1012</v>
      </c>
      <c r="D2879" s="3" t="s">
        <v>54</v>
      </c>
    </row>
    <row r="2880" spans="1:4" x14ac:dyDescent="0.2">
      <c r="A2880" s="3" t="s">
        <v>997</v>
      </c>
      <c r="B2880" t="s">
        <v>8</v>
      </c>
      <c r="C2880" s="3" t="s">
        <v>1013</v>
      </c>
      <c r="D2880" s="3" t="s">
        <v>54</v>
      </c>
    </row>
    <row r="2881" spans="1:4" x14ac:dyDescent="0.2">
      <c r="A2881" s="3" t="s">
        <v>997</v>
      </c>
      <c r="B2881" t="s">
        <v>8</v>
      </c>
      <c r="C2881" s="3" t="s">
        <v>1014</v>
      </c>
      <c r="D2881" s="3" t="s">
        <v>54</v>
      </c>
    </row>
    <row r="2882" spans="1:4" x14ac:dyDescent="0.2">
      <c r="A2882" s="3" t="s">
        <v>997</v>
      </c>
      <c r="B2882" t="s">
        <v>8</v>
      </c>
      <c r="C2882" s="3" t="s">
        <v>1015</v>
      </c>
      <c r="D2882" s="3" t="s">
        <v>54</v>
      </c>
    </row>
    <row r="2883" spans="1:4" x14ac:dyDescent="0.2">
      <c r="A2883" s="3" t="s">
        <v>997</v>
      </c>
      <c r="B2883" t="s">
        <v>8</v>
      </c>
      <c r="C2883" s="3" t="s">
        <v>1016</v>
      </c>
      <c r="D2883" s="3" t="s">
        <v>54</v>
      </c>
    </row>
    <row r="2884" spans="1:4" x14ac:dyDescent="0.2">
      <c r="A2884" s="3" t="s">
        <v>997</v>
      </c>
      <c r="B2884" t="s">
        <v>8</v>
      </c>
      <c r="C2884" s="3" t="s">
        <v>1017</v>
      </c>
      <c r="D2884" s="3" t="s">
        <v>54</v>
      </c>
    </row>
    <row r="2885" spans="1:4" x14ac:dyDescent="0.2">
      <c r="A2885" s="3" t="s">
        <v>997</v>
      </c>
      <c r="B2885" t="s">
        <v>8</v>
      </c>
      <c r="C2885" s="3" t="s">
        <v>1018</v>
      </c>
      <c r="D2885" s="3" t="s">
        <v>54</v>
      </c>
    </row>
    <row r="2886" spans="1:4" x14ac:dyDescent="0.2">
      <c r="A2886" s="3" t="s">
        <v>997</v>
      </c>
      <c r="B2886" t="s">
        <v>8</v>
      </c>
      <c r="C2886" s="3" t="s">
        <v>1019</v>
      </c>
      <c r="D2886" s="3" t="s">
        <v>54</v>
      </c>
    </row>
    <row r="2887" spans="1:4" x14ac:dyDescent="0.2">
      <c r="A2887" s="3" t="s">
        <v>997</v>
      </c>
      <c r="B2887" t="s">
        <v>8</v>
      </c>
      <c r="C2887" s="3" t="s">
        <v>1020</v>
      </c>
      <c r="D2887" s="3" t="s">
        <v>54</v>
      </c>
    </row>
    <row r="2888" spans="1:4" x14ac:dyDescent="0.2">
      <c r="A2888" s="3" t="s">
        <v>997</v>
      </c>
      <c r="B2888" t="s">
        <v>8</v>
      </c>
      <c r="C2888" s="3" t="s">
        <v>882</v>
      </c>
      <c r="D2888" s="3" t="s">
        <v>54</v>
      </c>
    </row>
    <row r="2889" spans="1:4" x14ac:dyDescent="0.2">
      <c r="A2889" s="3" t="s">
        <v>997</v>
      </c>
      <c r="B2889" t="s">
        <v>8</v>
      </c>
      <c r="C2889" s="3" t="s">
        <v>1021</v>
      </c>
      <c r="D2889" s="3" t="s">
        <v>54</v>
      </c>
    </row>
    <row r="2890" spans="1:4" x14ac:dyDescent="0.2">
      <c r="A2890" s="3" t="s">
        <v>997</v>
      </c>
      <c r="B2890" t="s">
        <v>8</v>
      </c>
      <c r="C2890" s="3" t="s">
        <v>1022</v>
      </c>
      <c r="D2890" s="3" t="s">
        <v>54</v>
      </c>
    </row>
    <row r="2891" spans="1:4" x14ac:dyDescent="0.2">
      <c r="A2891" s="3" t="s">
        <v>997</v>
      </c>
      <c r="B2891" t="s">
        <v>8</v>
      </c>
      <c r="C2891" s="3" t="s">
        <v>1023</v>
      </c>
      <c r="D2891" s="3" t="s">
        <v>54</v>
      </c>
    </row>
    <row r="2892" spans="1:4" x14ac:dyDescent="0.2">
      <c r="A2892" s="3" t="s">
        <v>997</v>
      </c>
      <c r="B2892" t="s">
        <v>8</v>
      </c>
      <c r="C2892" s="3" t="s">
        <v>1024</v>
      </c>
      <c r="D2892" s="3" t="s">
        <v>54</v>
      </c>
    </row>
    <row r="2893" spans="1:4" x14ac:dyDescent="0.2">
      <c r="A2893" s="3" t="s">
        <v>997</v>
      </c>
      <c r="B2893" t="s">
        <v>8</v>
      </c>
      <c r="C2893" s="3" t="s">
        <v>1025</v>
      </c>
      <c r="D2893" s="3" t="s">
        <v>54</v>
      </c>
    </row>
    <row r="2894" spans="1:4" x14ac:dyDescent="0.2">
      <c r="A2894" s="3" t="s">
        <v>997</v>
      </c>
      <c r="B2894" t="s">
        <v>8</v>
      </c>
      <c r="C2894" s="3" t="s">
        <v>1026</v>
      </c>
      <c r="D2894" s="3" t="s">
        <v>54</v>
      </c>
    </row>
    <row r="2895" spans="1:4" x14ac:dyDescent="0.2">
      <c r="A2895" s="3" t="s">
        <v>997</v>
      </c>
      <c r="B2895" t="s">
        <v>8</v>
      </c>
      <c r="C2895" s="3" t="s">
        <v>1027</v>
      </c>
      <c r="D2895" s="3" t="s">
        <v>54</v>
      </c>
    </row>
    <row r="2896" spans="1:4" x14ac:dyDescent="0.2">
      <c r="A2896" s="3" t="s">
        <v>997</v>
      </c>
      <c r="B2896" t="s">
        <v>8</v>
      </c>
      <c r="C2896" s="3" t="s">
        <v>1028</v>
      </c>
      <c r="D2896" s="3" t="s">
        <v>54</v>
      </c>
    </row>
    <row r="2897" spans="1:4" x14ac:dyDescent="0.2">
      <c r="A2897" s="3" t="s">
        <v>997</v>
      </c>
      <c r="B2897" t="s">
        <v>8</v>
      </c>
      <c r="C2897" s="3" t="s">
        <v>1029</v>
      </c>
      <c r="D2897" s="3" t="s">
        <v>54</v>
      </c>
    </row>
    <row r="2898" spans="1:4" x14ac:dyDescent="0.2">
      <c r="A2898" s="3" t="s">
        <v>997</v>
      </c>
      <c r="B2898" t="s">
        <v>8</v>
      </c>
      <c r="C2898" s="3" t="s">
        <v>1034</v>
      </c>
      <c r="D2898" s="3" t="s">
        <v>54</v>
      </c>
    </row>
    <row r="2899" spans="1:4" x14ac:dyDescent="0.2">
      <c r="A2899" s="3" t="s">
        <v>997</v>
      </c>
      <c r="B2899" t="s">
        <v>8</v>
      </c>
      <c r="C2899" s="3" t="s">
        <v>1035</v>
      </c>
      <c r="D2899" s="3" t="s">
        <v>54</v>
      </c>
    </row>
    <row r="2900" spans="1:4" x14ac:dyDescent="0.2">
      <c r="A2900" s="3" t="s">
        <v>997</v>
      </c>
      <c r="B2900" t="s">
        <v>8</v>
      </c>
      <c r="C2900" s="3" t="s">
        <v>1030</v>
      </c>
      <c r="D2900" s="3" t="s">
        <v>54</v>
      </c>
    </row>
    <row r="2901" spans="1:4" x14ac:dyDescent="0.2">
      <c r="A2901" s="3" t="s">
        <v>997</v>
      </c>
      <c r="B2901" t="s">
        <v>8</v>
      </c>
      <c r="C2901" s="3" t="s">
        <v>1031</v>
      </c>
      <c r="D2901" s="3" t="s">
        <v>54</v>
      </c>
    </row>
    <row r="2902" spans="1:4" x14ac:dyDescent="0.2">
      <c r="A2902" s="3" t="s">
        <v>997</v>
      </c>
      <c r="B2902" t="s">
        <v>8</v>
      </c>
      <c r="C2902" s="3" t="s">
        <v>1032</v>
      </c>
      <c r="D2902" s="3" t="s">
        <v>54</v>
      </c>
    </row>
    <row r="2903" spans="1:4" x14ac:dyDescent="0.2">
      <c r="A2903" s="3" t="s">
        <v>997</v>
      </c>
      <c r="B2903" t="s">
        <v>8</v>
      </c>
      <c r="C2903" s="3" t="s">
        <v>1033</v>
      </c>
      <c r="D2903" s="3" t="s">
        <v>54</v>
      </c>
    </row>
    <row r="2904" spans="1:4" x14ac:dyDescent="0.2">
      <c r="A2904" s="3" t="s">
        <v>997</v>
      </c>
      <c r="B2904" t="s">
        <v>8</v>
      </c>
      <c r="C2904" s="3" t="s">
        <v>998</v>
      </c>
      <c r="D2904" s="3" t="s">
        <v>55</v>
      </c>
    </row>
    <row r="2905" spans="1:4" x14ac:dyDescent="0.2">
      <c r="A2905" s="3" t="s">
        <v>997</v>
      </c>
      <c r="B2905" t="s">
        <v>8</v>
      </c>
      <c r="C2905" s="3" t="s">
        <v>999</v>
      </c>
      <c r="D2905" s="3" t="s">
        <v>55</v>
      </c>
    </row>
    <row r="2906" spans="1:4" x14ac:dyDescent="0.2">
      <c r="A2906" s="3" t="s">
        <v>997</v>
      </c>
      <c r="B2906" t="s">
        <v>8</v>
      </c>
      <c r="C2906" s="3" t="s">
        <v>1000</v>
      </c>
      <c r="D2906" s="3" t="s">
        <v>55</v>
      </c>
    </row>
    <row r="2907" spans="1:4" x14ac:dyDescent="0.2">
      <c r="A2907" s="3" t="s">
        <v>997</v>
      </c>
      <c r="B2907" t="s">
        <v>8</v>
      </c>
      <c r="C2907" s="3" t="s">
        <v>1001</v>
      </c>
      <c r="D2907" s="3" t="s">
        <v>55</v>
      </c>
    </row>
    <row r="2908" spans="1:4" x14ac:dyDescent="0.2">
      <c r="A2908" s="3" t="s">
        <v>997</v>
      </c>
      <c r="B2908" t="s">
        <v>8</v>
      </c>
      <c r="C2908" s="3" t="s">
        <v>1002</v>
      </c>
      <c r="D2908" s="3" t="s">
        <v>55</v>
      </c>
    </row>
    <row r="2909" spans="1:4" x14ac:dyDescent="0.2">
      <c r="A2909" s="3" t="s">
        <v>997</v>
      </c>
      <c r="B2909" t="s">
        <v>8</v>
      </c>
      <c r="C2909" s="3" t="s">
        <v>720</v>
      </c>
      <c r="D2909" s="3" t="s">
        <v>55</v>
      </c>
    </row>
    <row r="2910" spans="1:4" x14ac:dyDescent="0.2">
      <c r="A2910" s="3" t="s">
        <v>997</v>
      </c>
      <c r="B2910" t="s">
        <v>8</v>
      </c>
      <c r="C2910" s="3" t="s">
        <v>721</v>
      </c>
      <c r="D2910" s="3" t="s">
        <v>55</v>
      </c>
    </row>
    <row r="2911" spans="1:4" x14ac:dyDescent="0.2">
      <c r="A2911" s="3" t="s">
        <v>997</v>
      </c>
      <c r="B2911" t="s">
        <v>8</v>
      </c>
      <c r="C2911" s="3" t="s">
        <v>722</v>
      </c>
      <c r="D2911" s="3" t="s">
        <v>55</v>
      </c>
    </row>
    <row r="2912" spans="1:4" x14ac:dyDescent="0.2">
      <c r="A2912" s="3" t="s">
        <v>997</v>
      </c>
      <c r="B2912" t="s">
        <v>8</v>
      </c>
      <c r="C2912" s="3" t="s">
        <v>1003</v>
      </c>
      <c r="D2912" s="3" t="s">
        <v>55</v>
      </c>
    </row>
    <row r="2913" spans="1:4" x14ac:dyDescent="0.2">
      <c r="A2913" s="3" t="s">
        <v>997</v>
      </c>
      <c r="B2913" t="s">
        <v>8</v>
      </c>
      <c r="C2913" s="3" t="s">
        <v>1004</v>
      </c>
      <c r="D2913" s="3" t="s">
        <v>55</v>
      </c>
    </row>
    <row r="2914" spans="1:4" x14ac:dyDescent="0.2">
      <c r="A2914" s="3" t="s">
        <v>997</v>
      </c>
      <c r="B2914" t="s">
        <v>8</v>
      </c>
      <c r="C2914" s="3" t="s">
        <v>1005</v>
      </c>
      <c r="D2914" s="3" t="s">
        <v>55</v>
      </c>
    </row>
    <row r="2915" spans="1:4" x14ac:dyDescent="0.2">
      <c r="A2915" s="3" t="s">
        <v>997</v>
      </c>
      <c r="B2915" t="s">
        <v>8</v>
      </c>
      <c r="C2915" s="3" t="s">
        <v>1006</v>
      </c>
      <c r="D2915" s="3" t="s">
        <v>55</v>
      </c>
    </row>
    <row r="2916" spans="1:4" x14ac:dyDescent="0.2">
      <c r="A2916" s="3" t="s">
        <v>997</v>
      </c>
      <c r="B2916" t="s">
        <v>8</v>
      </c>
      <c r="C2916" s="3" t="s">
        <v>880</v>
      </c>
      <c r="D2916" s="3" t="s">
        <v>55</v>
      </c>
    </row>
    <row r="2917" spans="1:4" x14ac:dyDescent="0.2">
      <c r="A2917" s="3" t="s">
        <v>997</v>
      </c>
      <c r="B2917" t="s">
        <v>8</v>
      </c>
      <c r="C2917" s="3" t="s">
        <v>881</v>
      </c>
      <c r="D2917" s="3" t="s">
        <v>55</v>
      </c>
    </row>
    <row r="2918" spans="1:4" x14ac:dyDescent="0.2">
      <c r="A2918" s="3" t="s">
        <v>997</v>
      </c>
      <c r="B2918" t="s">
        <v>8</v>
      </c>
      <c r="C2918" s="3" t="s">
        <v>922</v>
      </c>
      <c r="D2918" s="3" t="s">
        <v>55</v>
      </c>
    </row>
    <row r="2919" spans="1:4" x14ac:dyDescent="0.2">
      <c r="A2919" s="3" t="s">
        <v>997</v>
      </c>
      <c r="B2919" t="s">
        <v>8</v>
      </c>
      <c r="C2919" s="3" t="s">
        <v>923</v>
      </c>
      <c r="D2919" s="3" t="s">
        <v>55</v>
      </c>
    </row>
    <row r="2920" spans="1:4" x14ac:dyDescent="0.2">
      <c r="A2920" s="3" t="s">
        <v>997</v>
      </c>
      <c r="B2920" t="s">
        <v>8</v>
      </c>
      <c r="C2920" s="3" t="s">
        <v>924</v>
      </c>
      <c r="D2920" s="3" t="s">
        <v>55</v>
      </c>
    </row>
    <row r="2921" spans="1:4" x14ac:dyDescent="0.2">
      <c r="A2921" s="3" t="s">
        <v>997</v>
      </c>
      <c r="B2921" t="s">
        <v>8</v>
      </c>
      <c r="C2921" s="3" t="s">
        <v>925</v>
      </c>
      <c r="D2921" s="3" t="s">
        <v>55</v>
      </c>
    </row>
    <row r="2922" spans="1:4" x14ac:dyDescent="0.2">
      <c r="A2922" s="3" t="s">
        <v>997</v>
      </c>
      <c r="B2922" t="s">
        <v>8</v>
      </c>
      <c r="C2922" s="3" t="s">
        <v>1007</v>
      </c>
      <c r="D2922" s="3" t="s">
        <v>55</v>
      </c>
    </row>
    <row r="2923" spans="1:4" x14ac:dyDescent="0.2">
      <c r="A2923" s="3" t="s">
        <v>997</v>
      </c>
      <c r="B2923" t="s">
        <v>8</v>
      </c>
      <c r="C2923" s="3" t="s">
        <v>1008</v>
      </c>
      <c r="D2923" s="3" t="s">
        <v>55</v>
      </c>
    </row>
    <row r="2924" spans="1:4" x14ac:dyDescent="0.2">
      <c r="A2924" s="3" t="s">
        <v>997</v>
      </c>
      <c r="B2924" t="s">
        <v>8</v>
      </c>
      <c r="C2924" s="3" t="s">
        <v>1009</v>
      </c>
      <c r="D2924" s="3" t="s">
        <v>55</v>
      </c>
    </row>
    <row r="2925" spans="1:4" x14ac:dyDescent="0.2">
      <c r="A2925" s="3" t="s">
        <v>997</v>
      </c>
      <c r="B2925" t="s">
        <v>8</v>
      </c>
      <c r="C2925" s="3" t="s">
        <v>1010</v>
      </c>
      <c r="D2925" s="3" t="s">
        <v>55</v>
      </c>
    </row>
    <row r="2926" spans="1:4" x14ac:dyDescent="0.2">
      <c r="A2926" s="3" t="s">
        <v>997</v>
      </c>
      <c r="B2926" t="s">
        <v>8</v>
      </c>
      <c r="C2926" s="3" t="s">
        <v>1011</v>
      </c>
      <c r="D2926" s="3" t="s">
        <v>55</v>
      </c>
    </row>
    <row r="2927" spans="1:4" x14ac:dyDescent="0.2">
      <c r="A2927" s="3" t="s">
        <v>997</v>
      </c>
      <c r="B2927" t="s">
        <v>8</v>
      </c>
      <c r="C2927" s="3" t="s">
        <v>1012</v>
      </c>
      <c r="D2927" s="3" t="s">
        <v>55</v>
      </c>
    </row>
    <row r="2928" spans="1:4" x14ac:dyDescent="0.2">
      <c r="A2928" s="3" t="s">
        <v>997</v>
      </c>
      <c r="B2928" t="s">
        <v>8</v>
      </c>
      <c r="C2928" s="3" t="s">
        <v>1013</v>
      </c>
      <c r="D2928" s="3" t="s">
        <v>55</v>
      </c>
    </row>
    <row r="2929" spans="1:4" x14ac:dyDescent="0.2">
      <c r="A2929" s="3" t="s">
        <v>997</v>
      </c>
      <c r="B2929" t="s">
        <v>8</v>
      </c>
      <c r="C2929" s="3" t="s">
        <v>1014</v>
      </c>
      <c r="D2929" s="3" t="s">
        <v>55</v>
      </c>
    </row>
    <row r="2930" spans="1:4" x14ac:dyDescent="0.2">
      <c r="A2930" s="3" t="s">
        <v>997</v>
      </c>
      <c r="B2930" t="s">
        <v>8</v>
      </c>
      <c r="C2930" s="3" t="s">
        <v>1015</v>
      </c>
      <c r="D2930" s="3" t="s">
        <v>55</v>
      </c>
    </row>
    <row r="2931" spans="1:4" x14ac:dyDescent="0.2">
      <c r="A2931" s="3" t="s">
        <v>997</v>
      </c>
      <c r="B2931" t="s">
        <v>8</v>
      </c>
      <c r="C2931" s="3" t="s">
        <v>1016</v>
      </c>
      <c r="D2931" s="3" t="s">
        <v>55</v>
      </c>
    </row>
    <row r="2932" spans="1:4" x14ac:dyDescent="0.2">
      <c r="A2932" s="3" t="s">
        <v>997</v>
      </c>
      <c r="B2932" t="s">
        <v>8</v>
      </c>
      <c r="C2932" s="3" t="s">
        <v>1017</v>
      </c>
      <c r="D2932" s="3" t="s">
        <v>55</v>
      </c>
    </row>
    <row r="2933" spans="1:4" x14ac:dyDescent="0.2">
      <c r="A2933" s="3" t="s">
        <v>997</v>
      </c>
      <c r="B2933" t="s">
        <v>8</v>
      </c>
      <c r="C2933" s="3" t="s">
        <v>1018</v>
      </c>
      <c r="D2933" s="3" t="s">
        <v>55</v>
      </c>
    </row>
    <row r="2934" spans="1:4" x14ac:dyDescent="0.2">
      <c r="A2934" s="3" t="s">
        <v>997</v>
      </c>
      <c r="B2934" t="s">
        <v>8</v>
      </c>
      <c r="C2934" s="3" t="s">
        <v>1019</v>
      </c>
      <c r="D2934" s="3" t="s">
        <v>55</v>
      </c>
    </row>
    <row r="2935" spans="1:4" x14ac:dyDescent="0.2">
      <c r="A2935" s="3" t="s">
        <v>997</v>
      </c>
      <c r="B2935" t="s">
        <v>8</v>
      </c>
      <c r="C2935" s="3" t="s">
        <v>1020</v>
      </c>
      <c r="D2935" s="3" t="s">
        <v>55</v>
      </c>
    </row>
    <row r="2936" spans="1:4" x14ac:dyDescent="0.2">
      <c r="A2936" s="3" t="s">
        <v>997</v>
      </c>
      <c r="B2936" t="s">
        <v>8</v>
      </c>
      <c r="C2936" s="3" t="s">
        <v>882</v>
      </c>
      <c r="D2936" s="3" t="s">
        <v>55</v>
      </c>
    </row>
    <row r="2937" spans="1:4" x14ac:dyDescent="0.2">
      <c r="A2937" s="3" t="s">
        <v>997</v>
      </c>
      <c r="B2937" t="s">
        <v>8</v>
      </c>
      <c r="C2937" s="3" t="s">
        <v>1021</v>
      </c>
      <c r="D2937" s="3" t="s">
        <v>55</v>
      </c>
    </row>
    <row r="2938" spans="1:4" x14ac:dyDescent="0.2">
      <c r="A2938" s="3" t="s">
        <v>997</v>
      </c>
      <c r="B2938" t="s">
        <v>8</v>
      </c>
      <c r="C2938" s="3" t="s">
        <v>1022</v>
      </c>
      <c r="D2938" s="3" t="s">
        <v>55</v>
      </c>
    </row>
    <row r="2939" spans="1:4" x14ac:dyDescent="0.2">
      <c r="A2939" s="3" t="s">
        <v>997</v>
      </c>
      <c r="B2939" t="s">
        <v>8</v>
      </c>
      <c r="C2939" s="3" t="s">
        <v>1023</v>
      </c>
      <c r="D2939" s="3" t="s">
        <v>55</v>
      </c>
    </row>
    <row r="2940" spans="1:4" x14ac:dyDescent="0.2">
      <c r="A2940" s="3" t="s">
        <v>997</v>
      </c>
      <c r="B2940" t="s">
        <v>8</v>
      </c>
      <c r="C2940" s="3" t="s">
        <v>1034</v>
      </c>
      <c r="D2940" s="3" t="s">
        <v>55</v>
      </c>
    </row>
    <row r="2941" spans="1:4" x14ac:dyDescent="0.2">
      <c r="A2941" s="3" t="s">
        <v>997</v>
      </c>
      <c r="B2941" t="s">
        <v>8</v>
      </c>
      <c r="C2941" s="3" t="s">
        <v>1035</v>
      </c>
      <c r="D2941" s="3" t="s">
        <v>55</v>
      </c>
    </row>
    <row r="2942" spans="1:4" x14ac:dyDescent="0.2">
      <c r="A2942" s="3" t="s">
        <v>997</v>
      </c>
      <c r="B2942" t="s">
        <v>8</v>
      </c>
      <c r="C2942" s="3" t="s">
        <v>1030</v>
      </c>
      <c r="D2942" s="3" t="s">
        <v>55</v>
      </c>
    </row>
    <row r="2943" spans="1:4" x14ac:dyDescent="0.2">
      <c r="A2943" s="3" t="s">
        <v>997</v>
      </c>
      <c r="B2943" t="s">
        <v>8</v>
      </c>
      <c r="C2943" s="3" t="s">
        <v>998</v>
      </c>
      <c r="D2943" s="3" t="s">
        <v>56</v>
      </c>
    </row>
    <row r="2944" spans="1:4" x14ac:dyDescent="0.2">
      <c r="A2944" s="3" t="s">
        <v>997</v>
      </c>
      <c r="B2944" t="s">
        <v>8</v>
      </c>
      <c r="C2944" s="3" t="s">
        <v>999</v>
      </c>
      <c r="D2944" s="3" t="s">
        <v>56</v>
      </c>
    </row>
    <row r="2945" spans="1:4" x14ac:dyDescent="0.2">
      <c r="A2945" s="3" t="s">
        <v>997</v>
      </c>
      <c r="B2945" t="s">
        <v>8</v>
      </c>
      <c r="C2945" s="3" t="s">
        <v>1000</v>
      </c>
      <c r="D2945" s="3" t="s">
        <v>56</v>
      </c>
    </row>
    <row r="2946" spans="1:4" x14ac:dyDescent="0.2">
      <c r="A2946" s="3" t="s">
        <v>997</v>
      </c>
      <c r="B2946" t="s">
        <v>8</v>
      </c>
      <c r="C2946" s="3" t="s">
        <v>1001</v>
      </c>
      <c r="D2946" s="3" t="s">
        <v>56</v>
      </c>
    </row>
    <row r="2947" spans="1:4" x14ac:dyDescent="0.2">
      <c r="A2947" s="3" t="s">
        <v>997</v>
      </c>
      <c r="B2947" t="s">
        <v>8</v>
      </c>
      <c r="C2947" s="3" t="s">
        <v>1002</v>
      </c>
      <c r="D2947" s="3" t="s">
        <v>56</v>
      </c>
    </row>
    <row r="2948" spans="1:4" x14ac:dyDescent="0.2">
      <c r="A2948" s="3" t="s">
        <v>997</v>
      </c>
      <c r="B2948" t="s">
        <v>8</v>
      </c>
      <c r="C2948" s="3" t="s">
        <v>720</v>
      </c>
      <c r="D2948" s="3" t="s">
        <v>56</v>
      </c>
    </row>
    <row r="2949" spans="1:4" x14ac:dyDescent="0.2">
      <c r="A2949" s="3" t="s">
        <v>997</v>
      </c>
      <c r="B2949" t="s">
        <v>8</v>
      </c>
      <c r="C2949" s="3" t="s">
        <v>721</v>
      </c>
      <c r="D2949" s="3" t="s">
        <v>56</v>
      </c>
    </row>
    <row r="2950" spans="1:4" x14ac:dyDescent="0.2">
      <c r="A2950" s="3" t="s">
        <v>997</v>
      </c>
      <c r="B2950" t="s">
        <v>8</v>
      </c>
      <c r="C2950" s="3" t="s">
        <v>722</v>
      </c>
      <c r="D2950" s="3" t="s">
        <v>56</v>
      </c>
    </row>
    <row r="2951" spans="1:4" x14ac:dyDescent="0.2">
      <c r="A2951" s="3" t="s">
        <v>997</v>
      </c>
      <c r="B2951" t="s">
        <v>8</v>
      </c>
      <c r="C2951" s="3" t="s">
        <v>1003</v>
      </c>
      <c r="D2951" s="3" t="s">
        <v>56</v>
      </c>
    </row>
    <row r="2952" spans="1:4" x14ac:dyDescent="0.2">
      <c r="A2952" s="3" t="s">
        <v>997</v>
      </c>
      <c r="B2952" t="s">
        <v>8</v>
      </c>
      <c r="C2952" s="3" t="s">
        <v>1004</v>
      </c>
      <c r="D2952" s="3" t="s">
        <v>56</v>
      </c>
    </row>
    <row r="2953" spans="1:4" x14ac:dyDescent="0.2">
      <c r="A2953" s="3" t="s">
        <v>997</v>
      </c>
      <c r="B2953" t="s">
        <v>8</v>
      </c>
      <c r="C2953" s="3" t="s">
        <v>1005</v>
      </c>
      <c r="D2953" s="3" t="s">
        <v>56</v>
      </c>
    </row>
    <row r="2954" spans="1:4" x14ac:dyDescent="0.2">
      <c r="A2954" s="3" t="s">
        <v>997</v>
      </c>
      <c r="B2954" t="s">
        <v>8</v>
      </c>
      <c r="C2954" s="3" t="s">
        <v>1006</v>
      </c>
      <c r="D2954" s="3" t="s">
        <v>56</v>
      </c>
    </row>
    <row r="2955" spans="1:4" x14ac:dyDescent="0.2">
      <c r="A2955" s="3" t="s">
        <v>997</v>
      </c>
      <c r="B2955" t="s">
        <v>8</v>
      </c>
      <c r="C2955" s="3" t="s">
        <v>880</v>
      </c>
      <c r="D2955" s="3" t="s">
        <v>56</v>
      </c>
    </row>
    <row r="2956" spans="1:4" x14ac:dyDescent="0.2">
      <c r="A2956" s="3" t="s">
        <v>997</v>
      </c>
      <c r="B2956" t="s">
        <v>8</v>
      </c>
      <c r="C2956" s="3" t="s">
        <v>881</v>
      </c>
      <c r="D2956" s="3" t="s">
        <v>56</v>
      </c>
    </row>
    <row r="2957" spans="1:4" x14ac:dyDescent="0.2">
      <c r="A2957" s="3" t="s">
        <v>997</v>
      </c>
      <c r="B2957" t="s">
        <v>8</v>
      </c>
      <c r="C2957" s="3" t="s">
        <v>922</v>
      </c>
      <c r="D2957" s="3" t="s">
        <v>56</v>
      </c>
    </row>
    <row r="2958" spans="1:4" x14ac:dyDescent="0.2">
      <c r="A2958" s="3" t="s">
        <v>997</v>
      </c>
      <c r="B2958" t="s">
        <v>8</v>
      </c>
      <c r="C2958" s="3" t="s">
        <v>923</v>
      </c>
      <c r="D2958" s="3" t="s">
        <v>56</v>
      </c>
    </row>
    <row r="2959" spans="1:4" x14ac:dyDescent="0.2">
      <c r="A2959" s="3" t="s">
        <v>997</v>
      </c>
      <c r="B2959" t="s">
        <v>8</v>
      </c>
      <c r="C2959" s="3" t="s">
        <v>924</v>
      </c>
      <c r="D2959" s="3" t="s">
        <v>56</v>
      </c>
    </row>
    <row r="2960" spans="1:4" x14ac:dyDescent="0.2">
      <c r="A2960" s="3" t="s">
        <v>997</v>
      </c>
      <c r="B2960" t="s">
        <v>8</v>
      </c>
      <c r="C2960" s="3" t="s">
        <v>925</v>
      </c>
      <c r="D2960" s="3" t="s">
        <v>56</v>
      </c>
    </row>
    <row r="2961" spans="1:4" x14ac:dyDescent="0.2">
      <c r="A2961" s="3" t="s">
        <v>997</v>
      </c>
      <c r="B2961" t="s">
        <v>8</v>
      </c>
      <c r="C2961" s="3" t="s">
        <v>1007</v>
      </c>
      <c r="D2961" s="3" t="s">
        <v>56</v>
      </c>
    </row>
    <row r="2962" spans="1:4" x14ac:dyDescent="0.2">
      <c r="A2962" s="3" t="s">
        <v>997</v>
      </c>
      <c r="B2962" t="s">
        <v>8</v>
      </c>
      <c r="C2962" s="3" t="s">
        <v>1008</v>
      </c>
      <c r="D2962" s="3" t="s">
        <v>56</v>
      </c>
    </row>
    <row r="2963" spans="1:4" x14ac:dyDescent="0.2">
      <c r="A2963" s="3" t="s">
        <v>997</v>
      </c>
      <c r="B2963" t="s">
        <v>8</v>
      </c>
      <c r="C2963" s="3" t="s">
        <v>1009</v>
      </c>
      <c r="D2963" s="3" t="s">
        <v>56</v>
      </c>
    </row>
    <row r="2964" spans="1:4" x14ac:dyDescent="0.2">
      <c r="A2964" s="3" t="s">
        <v>997</v>
      </c>
      <c r="B2964" t="s">
        <v>8</v>
      </c>
      <c r="C2964" s="3" t="s">
        <v>1010</v>
      </c>
      <c r="D2964" s="3" t="s">
        <v>56</v>
      </c>
    </row>
    <row r="2965" spans="1:4" x14ac:dyDescent="0.2">
      <c r="A2965" s="3" t="s">
        <v>997</v>
      </c>
      <c r="B2965" t="s">
        <v>8</v>
      </c>
      <c r="C2965" s="3" t="s">
        <v>1011</v>
      </c>
      <c r="D2965" s="3" t="s">
        <v>56</v>
      </c>
    </row>
    <row r="2966" spans="1:4" x14ac:dyDescent="0.2">
      <c r="A2966" s="3" t="s">
        <v>997</v>
      </c>
      <c r="B2966" t="s">
        <v>8</v>
      </c>
      <c r="C2966" s="3" t="s">
        <v>1012</v>
      </c>
      <c r="D2966" s="3" t="s">
        <v>56</v>
      </c>
    </row>
    <row r="2967" spans="1:4" x14ac:dyDescent="0.2">
      <c r="A2967" s="3" t="s">
        <v>997</v>
      </c>
      <c r="B2967" t="s">
        <v>8</v>
      </c>
      <c r="C2967" s="3" t="s">
        <v>1013</v>
      </c>
      <c r="D2967" s="3" t="s">
        <v>56</v>
      </c>
    </row>
    <row r="2968" spans="1:4" x14ac:dyDescent="0.2">
      <c r="A2968" s="3" t="s">
        <v>997</v>
      </c>
      <c r="B2968" t="s">
        <v>8</v>
      </c>
      <c r="C2968" s="3" t="s">
        <v>1014</v>
      </c>
      <c r="D2968" s="3" t="s">
        <v>56</v>
      </c>
    </row>
    <row r="2969" spans="1:4" x14ac:dyDescent="0.2">
      <c r="A2969" s="3" t="s">
        <v>997</v>
      </c>
      <c r="B2969" t="s">
        <v>8</v>
      </c>
      <c r="C2969" s="3" t="s">
        <v>1015</v>
      </c>
      <c r="D2969" s="3" t="s">
        <v>56</v>
      </c>
    </row>
    <row r="2970" spans="1:4" x14ac:dyDescent="0.2">
      <c r="A2970" s="3" t="s">
        <v>997</v>
      </c>
      <c r="B2970" t="s">
        <v>8</v>
      </c>
      <c r="C2970" s="3" t="s">
        <v>1016</v>
      </c>
      <c r="D2970" s="3" t="s">
        <v>56</v>
      </c>
    </row>
    <row r="2971" spans="1:4" x14ac:dyDescent="0.2">
      <c r="A2971" s="3" t="s">
        <v>997</v>
      </c>
      <c r="B2971" t="s">
        <v>8</v>
      </c>
      <c r="C2971" s="3" t="s">
        <v>1017</v>
      </c>
      <c r="D2971" s="3" t="s">
        <v>56</v>
      </c>
    </row>
    <row r="2972" spans="1:4" x14ac:dyDescent="0.2">
      <c r="A2972" s="3" t="s">
        <v>997</v>
      </c>
      <c r="B2972" t="s">
        <v>8</v>
      </c>
      <c r="C2972" s="3" t="s">
        <v>1018</v>
      </c>
      <c r="D2972" s="3" t="s">
        <v>56</v>
      </c>
    </row>
    <row r="2973" spans="1:4" x14ac:dyDescent="0.2">
      <c r="A2973" s="3" t="s">
        <v>997</v>
      </c>
      <c r="B2973" t="s">
        <v>8</v>
      </c>
      <c r="C2973" s="3" t="s">
        <v>1019</v>
      </c>
      <c r="D2973" s="3" t="s">
        <v>56</v>
      </c>
    </row>
    <row r="2974" spans="1:4" x14ac:dyDescent="0.2">
      <c r="A2974" s="3" t="s">
        <v>997</v>
      </c>
      <c r="B2974" t="s">
        <v>8</v>
      </c>
      <c r="C2974" s="3" t="s">
        <v>1020</v>
      </c>
      <c r="D2974" s="3" t="s">
        <v>56</v>
      </c>
    </row>
    <row r="2975" spans="1:4" x14ac:dyDescent="0.2">
      <c r="A2975" s="3" t="s">
        <v>997</v>
      </c>
      <c r="B2975" t="s">
        <v>8</v>
      </c>
      <c r="C2975" s="3" t="s">
        <v>882</v>
      </c>
      <c r="D2975" s="3" t="s">
        <v>56</v>
      </c>
    </row>
    <row r="2976" spans="1:4" x14ac:dyDescent="0.2">
      <c r="A2976" s="3" t="s">
        <v>997</v>
      </c>
      <c r="B2976" t="s">
        <v>8</v>
      </c>
      <c r="C2976" s="3" t="s">
        <v>1021</v>
      </c>
      <c r="D2976" s="3" t="s">
        <v>56</v>
      </c>
    </row>
    <row r="2977" spans="1:4" x14ac:dyDescent="0.2">
      <c r="A2977" s="3" t="s">
        <v>997</v>
      </c>
      <c r="B2977" t="s">
        <v>8</v>
      </c>
      <c r="C2977" s="3" t="s">
        <v>1022</v>
      </c>
      <c r="D2977" s="3" t="s">
        <v>56</v>
      </c>
    </row>
    <row r="2978" spans="1:4" x14ac:dyDescent="0.2">
      <c r="A2978" s="3" t="s">
        <v>997</v>
      </c>
      <c r="B2978" t="s">
        <v>8</v>
      </c>
      <c r="C2978" s="3" t="s">
        <v>1023</v>
      </c>
      <c r="D2978" s="3" t="s">
        <v>56</v>
      </c>
    </row>
    <row r="2979" spans="1:4" x14ac:dyDescent="0.2">
      <c r="A2979" s="3" t="s">
        <v>997</v>
      </c>
      <c r="B2979" t="s">
        <v>8</v>
      </c>
      <c r="C2979" s="3" t="s">
        <v>1034</v>
      </c>
      <c r="D2979" s="3" t="s">
        <v>56</v>
      </c>
    </row>
    <row r="2980" spans="1:4" x14ac:dyDescent="0.2">
      <c r="A2980" s="3" t="s">
        <v>997</v>
      </c>
      <c r="B2980" t="s">
        <v>8</v>
      </c>
      <c r="C2980" s="3" t="s">
        <v>1035</v>
      </c>
      <c r="D2980" s="3" t="s">
        <v>56</v>
      </c>
    </row>
    <row r="2981" spans="1:4" x14ac:dyDescent="0.2">
      <c r="A2981" s="3" t="s">
        <v>997</v>
      </c>
      <c r="B2981" t="s">
        <v>8</v>
      </c>
      <c r="C2981" s="3" t="s">
        <v>1030</v>
      </c>
      <c r="D2981" s="3" t="s">
        <v>56</v>
      </c>
    </row>
    <row r="2982" spans="1:4" x14ac:dyDescent="0.2">
      <c r="A2982" s="3" t="s">
        <v>997</v>
      </c>
      <c r="B2982" t="s">
        <v>8</v>
      </c>
      <c r="C2982" s="3" t="s">
        <v>998</v>
      </c>
      <c r="D2982" s="3" t="s">
        <v>57</v>
      </c>
    </row>
    <row r="2983" spans="1:4" x14ac:dyDescent="0.2">
      <c r="A2983" s="3" t="s">
        <v>997</v>
      </c>
      <c r="B2983" t="s">
        <v>8</v>
      </c>
      <c r="C2983" s="3" t="s">
        <v>999</v>
      </c>
      <c r="D2983" s="3" t="s">
        <v>57</v>
      </c>
    </row>
    <row r="2984" spans="1:4" x14ac:dyDescent="0.2">
      <c r="A2984" s="3" t="s">
        <v>997</v>
      </c>
      <c r="B2984" t="s">
        <v>8</v>
      </c>
      <c r="C2984" s="3" t="s">
        <v>1000</v>
      </c>
      <c r="D2984" s="3" t="s">
        <v>57</v>
      </c>
    </row>
    <row r="2985" spans="1:4" x14ac:dyDescent="0.2">
      <c r="A2985" s="3" t="s">
        <v>997</v>
      </c>
      <c r="B2985" t="s">
        <v>8</v>
      </c>
      <c r="C2985" s="3" t="s">
        <v>1001</v>
      </c>
      <c r="D2985" s="3" t="s">
        <v>57</v>
      </c>
    </row>
    <row r="2986" spans="1:4" x14ac:dyDescent="0.2">
      <c r="A2986" s="3" t="s">
        <v>997</v>
      </c>
      <c r="B2986" t="s">
        <v>8</v>
      </c>
      <c r="C2986" s="3" t="s">
        <v>1002</v>
      </c>
      <c r="D2986" s="3" t="s">
        <v>57</v>
      </c>
    </row>
    <row r="2987" spans="1:4" x14ac:dyDescent="0.2">
      <c r="A2987" s="3" t="s">
        <v>997</v>
      </c>
      <c r="B2987" t="s">
        <v>8</v>
      </c>
      <c r="C2987" s="3" t="s">
        <v>720</v>
      </c>
      <c r="D2987" s="3" t="s">
        <v>57</v>
      </c>
    </row>
    <row r="2988" spans="1:4" x14ac:dyDescent="0.2">
      <c r="A2988" s="3" t="s">
        <v>997</v>
      </c>
      <c r="B2988" t="s">
        <v>8</v>
      </c>
      <c r="C2988" s="3" t="s">
        <v>721</v>
      </c>
      <c r="D2988" s="3" t="s">
        <v>57</v>
      </c>
    </row>
    <row r="2989" spans="1:4" x14ac:dyDescent="0.2">
      <c r="A2989" s="3" t="s">
        <v>997</v>
      </c>
      <c r="B2989" t="s">
        <v>8</v>
      </c>
      <c r="C2989" s="3" t="s">
        <v>722</v>
      </c>
      <c r="D2989" s="3" t="s">
        <v>57</v>
      </c>
    </row>
    <row r="2990" spans="1:4" x14ac:dyDescent="0.2">
      <c r="A2990" s="3" t="s">
        <v>997</v>
      </c>
      <c r="B2990" t="s">
        <v>8</v>
      </c>
      <c r="C2990" s="3" t="s">
        <v>1003</v>
      </c>
      <c r="D2990" s="3" t="s">
        <v>57</v>
      </c>
    </row>
    <row r="2991" spans="1:4" x14ac:dyDescent="0.2">
      <c r="A2991" s="3" t="s">
        <v>997</v>
      </c>
      <c r="B2991" t="s">
        <v>8</v>
      </c>
      <c r="C2991" s="3" t="s">
        <v>1004</v>
      </c>
      <c r="D2991" s="3" t="s">
        <v>57</v>
      </c>
    </row>
    <row r="2992" spans="1:4" x14ac:dyDescent="0.2">
      <c r="A2992" s="3" t="s">
        <v>997</v>
      </c>
      <c r="B2992" t="s">
        <v>8</v>
      </c>
      <c r="C2992" s="3" t="s">
        <v>1005</v>
      </c>
      <c r="D2992" s="3" t="s">
        <v>57</v>
      </c>
    </row>
    <row r="2993" spans="1:4" x14ac:dyDescent="0.2">
      <c r="A2993" s="3" t="s">
        <v>997</v>
      </c>
      <c r="B2993" t="s">
        <v>8</v>
      </c>
      <c r="C2993" s="3" t="s">
        <v>1006</v>
      </c>
      <c r="D2993" s="3" t="s">
        <v>57</v>
      </c>
    </row>
    <row r="2994" spans="1:4" x14ac:dyDescent="0.2">
      <c r="A2994" s="3" t="s">
        <v>997</v>
      </c>
      <c r="B2994" t="s">
        <v>8</v>
      </c>
      <c r="C2994" s="3" t="s">
        <v>880</v>
      </c>
      <c r="D2994" s="3" t="s">
        <v>57</v>
      </c>
    </row>
    <row r="2995" spans="1:4" x14ac:dyDescent="0.2">
      <c r="A2995" s="3" t="s">
        <v>997</v>
      </c>
      <c r="B2995" t="s">
        <v>8</v>
      </c>
      <c r="C2995" s="3" t="s">
        <v>881</v>
      </c>
      <c r="D2995" s="3" t="s">
        <v>57</v>
      </c>
    </row>
    <row r="2996" spans="1:4" x14ac:dyDescent="0.2">
      <c r="A2996" s="3" t="s">
        <v>997</v>
      </c>
      <c r="B2996" t="s">
        <v>8</v>
      </c>
      <c r="C2996" s="3" t="s">
        <v>922</v>
      </c>
      <c r="D2996" s="3" t="s">
        <v>57</v>
      </c>
    </row>
    <row r="2997" spans="1:4" x14ac:dyDescent="0.2">
      <c r="A2997" s="3" t="s">
        <v>997</v>
      </c>
      <c r="B2997" t="s">
        <v>8</v>
      </c>
      <c r="C2997" s="3" t="s">
        <v>923</v>
      </c>
      <c r="D2997" s="3" t="s">
        <v>57</v>
      </c>
    </row>
    <row r="2998" spans="1:4" x14ac:dyDescent="0.2">
      <c r="A2998" s="3" t="s">
        <v>997</v>
      </c>
      <c r="B2998" t="s">
        <v>8</v>
      </c>
      <c r="C2998" s="3" t="s">
        <v>924</v>
      </c>
      <c r="D2998" s="3" t="s">
        <v>57</v>
      </c>
    </row>
    <row r="2999" spans="1:4" x14ac:dyDescent="0.2">
      <c r="A2999" s="3" t="s">
        <v>997</v>
      </c>
      <c r="B2999" t="s">
        <v>8</v>
      </c>
      <c r="C2999" s="3" t="s">
        <v>925</v>
      </c>
      <c r="D2999" s="3" t="s">
        <v>57</v>
      </c>
    </row>
    <row r="3000" spans="1:4" x14ac:dyDescent="0.2">
      <c r="A3000" s="3" t="s">
        <v>997</v>
      </c>
      <c r="B3000" t="s">
        <v>8</v>
      </c>
      <c r="C3000" s="3" t="s">
        <v>1007</v>
      </c>
      <c r="D3000" s="3" t="s">
        <v>57</v>
      </c>
    </row>
    <row r="3001" spans="1:4" x14ac:dyDescent="0.2">
      <c r="A3001" s="3" t="s">
        <v>997</v>
      </c>
      <c r="B3001" t="s">
        <v>8</v>
      </c>
      <c r="C3001" s="3" t="s">
        <v>1008</v>
      </c>
      <c r="D3001" s="3" t="s">
        <v>57</v>
      </c>
    </row>
    <row r="3002" spans="1:4" x14ac:dyDescent="0.2">
      <c r="A3002" s="3" t="s">
        <v>997</v>
      </c>
      <c r="B3002" t="s">
        <v>8</v>
      </c>
      <c r="C3002" s="3" t="s">
        <v>1009</v>
      </c>
      <c r="D3002" s="3" t="s">
        <v>57</v>
      </c>
    </row>
    <row r="3003" spans="1:4" x14ac:dyDescent="0.2">
      <c r="A3003" s="3" t="s">
        <v>997</v>
      </c>
      <c r="B3003" t="s">
        <v>8</v>
      </c>
      <c r="C3003" s="3" t="s">
        <v>1010</v>
      </c>
      <c r="D3003" s="3" t="s">
        <v>57</v>
      </c>
    </row>
    <row r="3004" spans="1:4" x14ac:dyDescent="0.2">
      <c r="A3004" s="3" t="s">
        <v>997</v>
      </c>
      <c r="B3004" t="s">
        <v>8</v>
      </c>
      <c r="C3004" s="3" t="s">
        <v>1011</v>
      </c>
      <c r="D3004" s="3" t="s">
        <v>57</v>
      </c>
    </row>
    <row r="3005" spans="1:4" x14ac:dyDescent="0.2">
      <c r="A3005" s="3" t="s">
        <v>997</v>
      </c>
      <c r="B3005" t="s">
        <v>8</v>
      </c>
      <c r="C3005" s="3" t="s">
        <v>1012</v>
      </c>
      <c r="D3005" s="3" t="s">
        <v>57</v>
      </c>
    </row>
    <row r="3006" spans="1:4" x14ac:dyDescent="0.2">
      <c r="A3006" s="3" t="s">
        <v>997</v>
      </c>
      <c r="B3006" t="s">
        <v>8</v>
      </c>
      <c r="C3006" s="3" t="s">
        <v>1013</v>
      </c>
      <c r="D3006" s="3" t="s">
        <v>57</v>
      </c>
    </row>
    <row r="3007" spans="1:4" x14ac:dyDescent="0.2">
      <c r="A3007" s="3" t="s">
        <v>997</v>
      </c>
      <c r="B3007" t="s">
        <v>8</v>
      </c>
      <c r="C3007" s="3" t="s">
        <v>1014</v>
      </c>
      <c r="D3007" s="3" t="s">
        <v>57</v>
      </c>
    </row>
    <row r="3008" spans="1:4" x14ac:dyDescent="0.2">
      <c r="A3008" s="3" t="s">
        <v>997</v>
      </c>
      <c r="B3008" t="s">
        <v>8</v>
      </c>
      <c r="C3008" s="3" t="s">
        <v>1015</v>
      </c>
      <c r="D3008" s="3" t="s">
        <v>57</v>
      </c>
    </row>
    <row r="3009" spans="1:4" x14ac:dyDescent="0.2">
      <c r="A3009" s="3" t="s">
        <v>997</v>
      </c>
      <c r="B3009" t="s">
        <v>8</v>
      </c>
      <c r="C3009" s="3" t="s">
        <v>1016</v>
      </c>
      <c r="D3009" s="3" t="s">
        <v>57</v>
      </c>
    </row>
    <row r="3010" spans="1:4" x14ac:dyDescent="0.2">
      <c r="A3010" s="3" t="s">
        <v>997</v>
      </c>
      <c r="B3010" t="s">
        <v>8</v>
      </c>
      <c r="C3010" s="3" t="s">
        <v>1017</v>
      </c>
      <c r="D3010" s="3" t="s">
        <v>57</v>
      </c>
    </row>
    <row r="3011" spans="1:4" x14ac:dyDescent="0.2">
      <c r="A3011" s="3" t="s">
        <v>997</v>
      </c>
      <c r="B3011" t="s">
        <v>8</v>
      </c>
      <c r="C3011" s="3" t="s">
        <v>1018</v>
      </c>
      <c r="D3011" s="3" t="s">
        <v>57</v>
      </c>
    </row>
    <row r="3012" spans="1:4" x14ac:dyDescent="0.2">
      <c r="A3012" s="3" t="s">
        <v>997</v>
      </c>
      <c r="B3012" t="s">
        <v>8</v>
      </c>
      <c r="C3012" s="3" t="s">
        <v>1019</v>
      </c>
      <c r="D3012" s="3" t="s">
        <v>57</v>
      </c>
    </row>
    <row r="3013" spans="1:4" x14ac:dyDescent="0.2">
      <c r="A3013" s="3" t="s">
        <v>997</v>
      </c>
      <c r="B3013" t="s">
        <v>8</v>
      </c>
      <c r="C3013" s="3" t="s">
        <v>1020</v>
      </c>
      <c r="D3013" s="3" t="s">
        <v>57</v>
      </c>
    </row>
    <row r="3014" spans="1:4" x14ac:dyDescent="0.2">
      <c r="A3014" s="3" t="s">
        <v>997</v>
      </c>
      <c r="B3014" t="s">
        <v>8</v>
      </c>
      <c r="C3014" s="3" t="s">
        <v>882</v>
      </c>
      <c r="D3014" s="3" t="s">
        <v>57</v>
      </c>
    </row>
    <row r="3015" spans="1:4" x14ac:dyDescent="0.2">
      <c r="A3015" s="3" t="s">
        <v>997</v>
      </c>
      <c r="B3015" t="s">
        <v>8</v>
      </c>
      <c r="C3015" s="3" t="s">
        <v>1021</v>
      </c>
      <c r="D3015" s="3" t="s">
        <v>57</v>
      </c>
    </row>
    <row r="3016" spans="1:4" x14ac:dyDescent="0.2">
      <c r="A3016" s="3" t="s">
        <v>997</v>
      </c>
      <c r="B3016" t="s">
        <v>8</v>
      </c>
      <c r="C3016" s="3" t="s">
        <v>1022</v>
      </c>
      <c r="D3016" s="3" t="s">
        <v>57</v>
      </c>
    </row>
    <row r="3017" spans="1:4" x14ac:dyDescent="0.2">
      <c r="A3017" s="3" t="s">
        <v>997</v>
      </c>
      <c r="B3017" t="s">
        <v>8</v>
      </c>
      <c r="C3017" s="3" t="s">
        <v>1023</v>
      </c>
      <c r="D3017" s="3" t="s">
        <v>57</v>
      </c>
    </row>
    <row r="3018" spans="1:4" x14ac:dyDescent="0.2">
      <c r="A3018" s="3" t="s">
        <v>997</v>
      </c>
      <c r="B3018" t="s">
        <v>8</v>
      </c>
      <c r="C3018" s="3" t="s">
        <v>1029</v>
      </c>
      <c r="D3018" s="3" t="s">
        <v>57</v>
      </c>
    </row>
    <row r="3019" spans="1:4" x14ac:dyDescent="0.2">
      <c r="A3019" s="3" t="s">
        <v>997</v>
      </c>
      <c r="B3019" t="s">
        <v>8</v>
      </c>
      <c r="C3019" s="3" t="s">
        <v>1030</v>
      </c>
      <c r="D3019" s="3" t="s">
        <v>57</v>
      </c>
    </row>
    <row r="3020" spans="1:4" x14ac:dyDescent="0.2">
      <c r="A3020" s="3" t="s">
        <v>997</v>
      </c>
      <c r="B3020" t="s">
        <v>8</v>
      </c>
      <c r="C3020" s="3" t="s">
        <v>1031</v>
      </c>
      <c r="D3020" s="3" t="s">
        <v>57</v>
      </c>
    </row>
    <row r="3021" spans="1:4" x14ac:dyDescent="0.2">
      <c r="A3021" s="3" t="s">
        <v>997</v>
      </c>
      <c r="B3021" t="s">
        <v>8</v>
      </c>
      <c r="C3021" s="3" t="s">
        <v>1032</v>
      </c>
      <c r="D3021" s="3" t="s">
        <v>57</v>
      </c>
    </row>
    <row r="3022" spans="1:4" x14ac:dyDescent="0.2">
      <c r="A3022" s="3" t="s">
        <v>997</v>
      </c>
      <c r="B3022" t="s">
        <v>8</v>
      </c>
      <c r="C3022" s="3" t="s">
        <v>1033</v>
      </c>
      <c r="D3022" s="3" t="s">
        <v>57</v>
      </c>
    </row>
    <row r="3023" spans="1:4" x14ac:dyDescent="0.2">
      <c r="A3023" s="3" t="s">
        <v>997</v>
      </c>
      <c r="B3023" t="s">
        <v>8</v>
      </c>
      <c r="C3023" s="3" t="s">
        <v>21</v>
      </c>
      <c r="D3023" s="3" t="s">
        <v>22</v>
      </c>
    </row>
    <row r="3024" spans="1:4" x14ac:dyDescent="0.2">
      <c r="A3024" s="3" t="s">
        <v>997</v>
      </c>
      <c r="B3024" t="s">
        <v>8</v>
      </c>
      <c r="C3024" s="3" t="s">
        <v>1036</v>
      </c>
      <c r="D3024" s="3" t="s">
        <v>22</v>
      </c>
    </row>
    <row r="3025" spans="1:4" x14ac:dyDescent="0.2">
      <c r="A3025" s="3" t="s">
        <v>997</v>
      </c>
      <c r="B3025" t="s">
        <v>8</v>
      </c>
      <c r="C3025" s="3" t="s">
        <v>1037</v>
      </c>
      <c r="D3025" s="3" t="s">
        <v>22</v>
      </c>
    </row>
    <row r="3026" spans="1:4" x14ac:dyDescent="0.2">
      <c r="A3026" s="3" t="s">
        <v>997</v>
      </c>
      <c r="B3026" t="s">
        <v>8</v>
      </c>
      <c r="C3026" s="3" t="s">
        <v>1038</v>
      </c>
      <c r="D3026" s="3" t="s">
        <v>22</v>
      </c>
    </row>
    <row r="3027" spans="1:4" x14ac:dyDescent="0.2">
      <c r="A3027" s="3" t="s">
        <v>997</v>
      </c>
      <c r="B3027" t="s">
        <v>8</v>
      </c>
      <c r="C3027" s="3" t="s">
        <v>1039</v>
      </c>
      <c r="D3027" s="3" t="s">
        <v>22</v>
      </c>
    </row>
    <row r="3028" spans="1:4" x14ac:dyDescent="0.2">
      <c r="A3028" s="3" t="s">
        <v>997</v>
      </c>
      <c r="B3028" t="s">
        <v>8</v>
      </c>
      <c r="C3028" s="3" t="s">
        <v>23</v>
      </c>
      <c r="D3028" s="3" t="s">
        <v>22</v>
      </c>
    </row>
    <row r="3029" spans="1:4" x14ac:dyDescent="0.2">
      <c r="A3029" s="3" t="s">
        <v>1040</v>
      </c>
      <c r="B3029" t="s">
        <v>8</v>
      </c>
      <c r="C3029" s="3" t="s">
        <v>998</v>
      </c>
      <c r="D3029" s="3" t="s">
        <v>53</v>
      </c>
    </row>
    <row r="3030" spans="1:4" x14ac:dyDescent="0.2">
      <c r="A3030" s="3" t="s">
        <v>1040</v>
      </c>
      <c r="B3030" t="s">
        <v>8</v>
      </c>
      <c r="C3030" s="3" t="s">
        <v>999</v>
      </c>
      <c r="D3030" s="3" t="s">
        <v>53</v>
      </c>
    </row>
    <row r="3031" spans="1:4" x14ac:dyDescent="0.2">
      <c r="A3031" s="3" t="s">
        <v>1040</v>
      </c>
      <c r="B3031" t="s">
        <v>8</v>
      </c>
      <c r="C3031" s="3" t="s">
        <v>1041</v>
      </c>
      <c r="D3031" s="3" t="s">
        <v>53</v>
      </c>
    </row>
    <row r="3032" spans="1:4" x14ac:dyDescent="0.2">
      <c r="A3032" s="3" t="s">
        <v>1040</v>
      </c>
      <c r="B3032" t="s">
        <v>8</v>
      </c>
      <c r="C3032" s="3" t="s">
        <v>964</v>
      </c>
      <c r="D3032" s="3" t="s">
        <v>53</v>
      </c>
    </row>
    <row r="3033" spans="1:4" x14ac:dyDescent="0.2">
      <c r="A3033" s="3" t="s">
        <v>1040</v>
      </c>
      <c r="B3033" t="s">
        <v>8</v>
      </c>
      <c r="C3033" s="3" t="s">
        <v>1042</v>
      </c>
      <c r="D3033" s="3" t="s">
        <v>53</v>
      </c>
    </row>
    <row r="3034" spans="1:4" x14ac:dyDescent="0.2">
      <c r="A3034" s="3" t="s">
        <v>1040</v>
      </c>
      <c r="B3034" t="s">
        <v>8</v>
      </c>
      <c r="C3034" s="3" t="s">
        <v>1043</v>
      </c>
      <c r="D3034" s="3" t="s">
        <v>53</v>
      </c>
    </row>
    <row r="3035" spans="1:4" x14ac:dyDescent="0.2">
      <c r="A3035" s="3" t="s">
        <v>1040</v>
      </c>
      <c r="B3035" t="s">
        <v>8</v>
      </c>
      <c r="C3035" s="3" t="s">
        <v>1044</v>
      </c>
      <c r="D3035" s="3" t="s">
        <v>53</v>
      </c>
    </row>
    <row r="3036" spans="1:4" x14ac:dyDescent="0.2">
      <c r="A3036" s="3" t="s">
        <v>1040</v>
      </c>
      <c r="B3036" t="s">
        <v>8</v>
      </c>
      <c r="C3036" s="3" t="s">
        <v>1045</v>
      </c>
      <c r="D3036" s="3" t="s">
        <v>53</v>
      </c>
    </row>
    <row r="3037" spans="1:4" x14ac:dyDescent="0.2">
      <c r="A3037" s="3" t="s">
        <v>1040</v>
      </c>
      <c r="B3037" t="s">
        <v>8</v>
      </c>
      <c r="C3037" s="3" t="s">
        <v>1046</v>
      </c>
      <c r="D3037" s="3" t="s">
        <v>53</v>
      </c>
    </row>
    <row r="3038" spans="1:4" x14ac:dyDescent="0.2">
      <c r="A3038" s="3" t="s">
        <v>1040</v>
      </c>
      <c r="B3038" t="s">
        <v>8</v>
      </c>
      <c r="C3038" s="3" t="s">
        <v>970</v>
      </c>
      <c r="D3038" s="3" t="s">
        <v>53</v>
      </c>
    </row>
    <row r="3039" spans="1:4" x14ac:dyDescent="0.2">
      <c r="A3039" s="3" t="s">
        <v>1040</v>
      </c>
      <c r="B3039" t="s">
        <v>8</v>
      </c>
      <c r="C3039" s="3" t="s">
        <v>971</v>
      </c>
      <c r="D3039" s="3" t="s">
        <v>53</v>
      </c>
    </row>
    <row r="3040" spans="1:4" x14ac:dyDescent="0.2">
      <c r="A3040" s="3" t="s">
        <v>1040</v>
      </c>
      <c r="B3040" t="s">
        <v>8</v>
      </c>
      <c r="C3040" s="3" t="s">
        <v>984</v>
      </c>
      <c r="D3040" s="3" t="s">
        <v>53</v>
      </c>
    </row>
    <row r="3041" spans="1:4" x14ac:dyDescent="0.2">
      <c r="A3041" s="3" t="s">
        <v>1040</v>
      </c>
      <c r="B3041" t="s">
        <v>8</v>
      </c>
      <c r="C3041" s="3" t="s">
        <v>998</v>
      </c>
      <c r="D3041" s="3" t="s">
        <v>54</v>
      </c>
    </row>
    <row r="3042" spans="1:4" x14ac:dyDescent="0.2">
      <c r="A3042" s="3" t="s">
        <v>1040</v>
      </c>
      <c r="B3042" t="s">
        <v>8</v>
      </c>
      <c r="C3042" s="3" t="s">
        <v>999</v>
      </c>
      <c r="D3042" s="3" t="s">
        <v>54</v>
      </c>
    </row>
    <row r="3043" spans="1:4" x14ac:dyDescent="0.2">
      <c r="A3043" s="3" t="s">
        <v>1040</v>
      </c>
      <c r="B3043" t="s">
        <v>8</v>
      </c>
      <c r="C3043" s="3" t="s">
        <v>1041</v>
      </c>
      <c r="D3043" s="3" t="s">
        <v>54</v>
      </c>
    </row>
    <row r="3044" spans="1:4" x14ac:dyDescent="0.2">
      <c r="A3044" s="3" t="s">
        <v>1040</v>
      </c>
      <c r="B3044" t="s">
        <v>8</v>
      </c>
      <c r="C3044" s="3" t="s">
        <v>964</v>
      </c>
      <c r="D3044" s="3" t="s">
        <v>54</v>
      </c>
    </row>
    <row r="3045" spans="1:4" x14ac:dyDescent="0.2">
      <c r="A3045" s="3" t="s">
        <v>1040</v>
      </c>
      <c r="B3045" t="s">
        <v>8</v>
      </c>
      <c r="C3045" s="3" t="s">
        <v>1042</v>
      </c>
      <c r="D3045" s="3" t="s">
        <v>54</v>
      </c>
    </row>
    <row r="3046" spans="1:4" x14ac:dyDescent="0.2">
      <c r="A3046" s="3" t="s">
        <v>1040</v>
      </c>
      <c r="B3046" t="s">
        <v>8</v>
      </c>
      <c r="C3046" s="3" t="s">
        <v>1043</v>
      </c>
      <c r="D3046" s="3" t="s">
        <v>54</v>
      </c>
    </row>
    <row r="3047" spans="1:4" x14ac:dyDescent="0.2">
      <c r="A3047" s="3" t="s">
        <v>1040</v>
      </c>
      <c r="B3047" t="s">
        <v>8</v>
      </c>
      <c r="C3047" s="3" t="s">
        <v>1044</v>
      </c>
      <c r="D3047" s="3" t="s">
        <v>54</v>
      </c>
    </row>
    <row r="3048" spans="1:4" x14ac:dyDescent="0.2">
      <c r="A3048" s="3" t="s">
        <v>1040</v>
      </c>
      <c r="B3048" t="s">
        <v>8</v>
      </c>
      <c r="C3048" s="3" t="s">
        <v>1047</v>
      </c>
      <c r="D3048" s="3" t="s">
        <v>54</v>
      </c>
    </row>
    <row r="3049" spans="1:4" x14ac:dyDescent="0.2">
      <c r="A3049" s="3" t="s">
        <v>1040</v>
      </c>
      <c r="B3049" t="s">
        <v>8</v>
      </c>
      <c r="C3049" s="3" t="s">
        <v>1045</v>
      </c>
      <c r="D3049" s="3" t="s">
        <v>54</v>
      </c>
    </row>
    <row r="3050" spans="1:4" x14ac:dyDescent="0.2">
      <c r="A3050" s="3" t="s">
        <v>1040</v>
      </c>
      <c r="B3050" t="s">
        <v>8</v>
      </c>
      <c r="C3050" s="3" t="s">
        <v>970</v>
      </c>
      <c r="D3050" s="3" t="s">
        <v>54</v>
      </c>
    </row>
    <row r="3051" spans="1:4" x14ac:dyDescent="0.2">
      <c r="A3051" s="3" t="s">
        <v>1040</v>
      </c>
      <c r="B3051" t="s">
        <v>8</v>
      </c>
      <c r="C3051" s="3" t="s">
        <v>971</v>
      </c>
      <c r="D3051" s="3" t="s">
        <v>54</v>
      </c>
    </row>
    <row r="3052" spans="1:4" x14ac:dyDescent="0.2">
      <c r="A3052" s="3" t="s">
        <v>1040</v>
      </c>
      <c r="B3052" t="s">
        <v>8</v>
      </c>
      <c r="C3052" s="3" t="s">
        <v>984</v>
      </c>
      <c r="D3052" s="3" t="s">
        <v>54</v>
      </c>
    </row>
    <row r="3053" spans="1:4" x14ac:dyDescent="0.2">
      <c r="A3053" s="3" t="s">
        <v>1040</v>
      </c>
      <c r="B3053" t="s">
        <v>8</v>
      </c>
      <c r="C3053" s="3" t="s">
        <v>998</v>
      </c>
      <c r="D3053" s="3" t="s">
        <v>55</v>
      </c>
    </row>
    <row r="3054" spans="1:4" x14ac:dyDescent="0.2">
      <c r="A3054" s="3" t="s">
        <v>1040</v>
      </c>
      <c r="B3054" t="s">
        <v>8</v>
      </c>
      <c r="C3054" s="3" t="s">
        <v>999</v>
      </c>
      <c r="D3054" s="3" t="s">
        <v>55</v>
      </c>
    </row>
    <row r="3055" spans="1:4" x14ac:dyDescent="0.2">
      <c r="A3055" s="3" t="s">
        <v>1040</v>
      </c>
      <c r="B3055" t="s">
        <v>8</v>
      </c>
      <c r="C3055" s="3" t="s">
        <v>1041</v>
      </c>
      <c r="D3055" s="3" t="s">
        <v>55</v>
      </c>
    </row>
    <row r="3056" spans="1:4" x14ac:dyDescent="0.2">
      <c r="A3056" s="3" t="s">
        <v>1040</v>
      </c>
      <c r="B3056" t="s">
        <v>8</v>
      </c>
      <c r="C3056" s="3" t="s">
        <v>964</v>
      </c>
      <c r="D3056" s="3" t="s">
        <v>55</v>
      </c>
    </row>
    <row r="3057" spans="1:4" x14ac:dyDescent="0.2">
      <c r="A3057" s="3" t="s">
        <v>1040</v>
      </c>
      <c r="B3057" t="s">
        <v>8</v>
      </c>
      <c r="C3057" s="3" t="s">
        <v>1042</v>
      </c>
      <c r="D3057" s="3" t="s">
        <v>55</v>
      </c>
    </row>
    <row r="3058" spans="1:4" x14ac:dyDescent="0.2">
      <c r="A3058" s="3" t="s">
        <v>1040</v>
      </c>
      <c r="B3058" t="s">
        <v>8</v>
      </c>
      <c r="C3058" s="3" t="s">
        <v>1043</v>
      </c>
      <c r="D3058" s="3" t="s">
        <v>55</v>
      </c>
    </row>
    <row r="3059" spans="1:4" x14ac:dyDescent="0.2">
      <c r="A3059" s="3" t="s">
        <v>1040</v>
      </c>
      <c r="B3059" t="s">
        <v>8</v>
      </c>
      <c r="C3059" s="3" t="s">
        <v>1044</v>
      </c>
      <c r="D3059" s="3" t="s">
        <v>55</v>
      </c>
    </row>
    <row r="3060" spans="1:4" x14ac:dyDescent="0.2">
      <c r="A3060" s="3" t="s">
        <v>1040</v>
      </c>
      <c r="B3060" t="s">
        <v>8</v>
      </c>
      <c r="C3060" s="3" t="s">
        <v>1047</v>
      </c>
      <c r="D3060" s="3" t="s">
        <v>55</v>
      </c>
    </row>
    <row r="3061" spans="1:4" x14ac:dyDescent="0.2">
      <c r="A3061" s="3" t="s">
        <v>1040</v>
      </c>
      <c r="B3061" t="s">
        <v>8</v>
      </c>
      <c r="C3061" s="3" t="s">
        <v>1045</v>
      </c>
      <c r="D3061" s="3" t="s">
        <v>55</v>
      </c>
    </row>
    <row r="3062" spans="1:4" x14ac:dyDescent="0.2">
      <c r="A3062" s="3" t="s">
        <v>1040</v>
      </c>
      <c r="B3062" t="s">
        <v>8</v>
      </c>
      <c r="C3062" s="3" t="s">
        <v>970</v>
      </c>
      <c r="D3062" s="3" t="s">
        <v>55</v>
      </c>
    </row>
    <row r="3063" spans="1:4" x14ac:dyDescent="0.2">
      <c r="A3063" s="3" t="s">
        <v>1040</v>
      </c>
      <c r="B3063" t="s">
        <v>8</v>
      </c>
      <c r="C3063" s="3" t="s">
        <v>971</v>
      </c>
      <c r="D3063" s="3" t="s">
        <v>55</v>
      </c>
    </row>
    <row r="3064" spans="1:4" x14ac:dyDescent="0.2">
      <c r="A3064" s="3" t="s">
        <v>1040</v>
      </c>
      <c r="B3064" t="s">
        <v>8</v>
      </c>
      <c r="C3064" s="3" t="s">
        <v>984</v>
      </c>
      <c r="D3064" s="3" t="s">
        <v>55</v>
      </c>
    </row>
    <row r="3065" spans="1:4" x14ac:dyDescent="0.2">
      <c r="A3065" s="3" t="s">
        <v>1040</v>
      </c>
      <c r="B3065" t="s">
        <v>8</v>
      </c>
      <c r="C3065" s="3" t="s">
        <v>998</v>
      </c>
      <c r="D3065" s="3" t="s">
        <v>56</v>
      </c>
    </row>
    <row r="3066" spans="1:4" x14ac:dyDescent="0.2">
      <c r="A3066" s="3" t="s">
        <v>1040</v>
      </c>
      <c r="B3066" t="s">
        <v>8</v>
      </c>
      <c r="C3066" s="3" t="s">
        <v>999</v>
      </c>
      <c r="D3066" s="3" t="s">
        <v>56</v>
      </c>
    </row>
    <row r="3067" spans="1:4" x14ac:dyDescent="0.2">
      <c r="A3067" s="3" t="s">
        <v>1040</v>
      </c>
      <c r="B3067" t="s">
        <v>8</v>
      </c>
      <c r="C3067" s="3" t="s">
        <v>1041</v>
      </c>
      <c r="D3067" s="3" t="s">
        <v>56</v>
      </c>
    </row>
    <row r="3068" spans="1:4" x14ac:dyDescent="0.2">
      <c r="A3068" s="3" t="s">
        <v>1040</v>
      </c>
      <c r="B3068" t="s">
        <v>8</v>
      </c>
      <c r="C3068" s="3" t="s">
        <v>964</v>
      </c>
      <c r="D3068" s="3" t="s">
        <v>56</v>
      </c>
    </row>
    <row r="3069" spans="1:4" x14ac:dyDescent="0.2">
      <c r="A3069" s="3" t="s">
        <v>1040</v>
      </c>
      <c r="B3069" t="s">
        <v>8</v>
      </c>
      <c r="C3069" s="3" t="s">
        <v>1042</v>
      </c>
      <c r="D3069" s="3" t="s">
        <v>56</v>
      </c>
    </row>
    <row r="3070" spans="1:4" x14ac:dyDescent="0.2">
      <c r="A3070" s="3" t="s">
        <v>1040</v>
      </c>
      <c r="B3070" t="s">
        <v>8</v>
      </c>
      <c r="C3070" s="3" t="s">
        <v>1043</v>
      </c>
      <c r="D3070" s="3" t="s">
        <v>56</v>
      </c>
    </row>
    <row r="3071" spans="1:4" x14ac:dyDescent="0.2">
      <c r="A3071" s="3" t="s">
        <v>1040</v>
      </c>
      <c r="B3071" t="s">
        <v>8</v>
      </c>
      <c r="C3071" s="3" t="s">
        <v>1044</v>
      </c>
      <c r="D3071" s="3" t="s">
        <v>56</v>
      </c>
    </row>
    <row r="3072" spans="1:4" x14ac:dyDescent="0.2">
      <c r="A3072" s="3" t="s">
        <v>1040</v>
      </c>
      <c r="B3072" t="s">
        <v>8</v>
      </c>
      <c r="C3072" s="3" t="s">
        <v>1047</v>
      </c>
      <c r="D3072" s="3" t="s">
        <v>56</v>
      </c>
    </row>
    <row r="3073" spans="1:4" x14ac:dyDescent="0.2">
      <c r="A3073" s="3" t="s">
        <v>1040</v>
      </c>
      <c r="B3073" t="s">
        <v>8</v>
      </c>
      <c r="C3073" s="3" t="s">
        <v>1045</v>
      </c>
      <c r="D3073" s="3" t="s">
        <v>56</v>
      </c>
    </row>
    <row r="3074" spans="1:4" x14ac:dyDescent="0.2">
      <c r="A3074" s="3" t="s">
        <v>1040</v>
      </c>
      <c r="B3074" t="s">
        <v>8</v>
      </c>
      <c r="C3074" s="3" t="s">
        <v>970</v>
      </c>
      <c r="D3074" s="3" t="s">
        <v>56</v>
      </c>
    </row>
    <row r="3075" spans="1:4" x14ac:dyDescent="0.2">
      <c r="A3075" s="3" t="s">
        <v>1040</v>
      </c>
      <c r="B3075" t="s">
        <v>8</v>
      </c>
      <c r="C3075" s="3" t="s">
        <v>971</v>
      </c>
      <c r="D3075" s="3" t="s">
        <v>56</v>
      </c>
    </row>
    <row r="3076" spans="1:4" x14ac:dyDescent="0.2">
      <c r="A3076" s="3" t="s">
        <v>1040</v>
      </c>
      <c r="B3076" t="s">
        <v>8</v>
      </c>
      <c r="C3076" s="3" t="s">
        <v>984</v>
      </c>
      <c r="D3076" s="3" t="s">
        <v>56</v>
      </c>
    </row>
    <row r="3077" spans="1:4" x14ac:dyDescent="0.2">
      <c r="A3077" s="3" t="s">
        <v>1040</v>
      </c>
      <c r="B3077" t="s">
        <v>8</v>
      </c>
      <c r="C3077" s="3" t="s">
        <v>998</v>
      </c>
      <c r="D3077" s="3" t="s">
        <v>57</v>
      </c>
    </row>
    <row r="3078" spans="1:4" x14ac:dyDescent="0.2">
      <c r="A3078" s="3" t="s">
        <v>1040</v>
      </c>
      <c r="B3078" t="s">
        <v>8</v>
      </c>
      <c r="C3078" s="3" t="s">
        <v>999</v>
      </c>
      <c r="D3078" s="3" t="s">
        <v>57</v>
      </c>
    </row>
    <row r="3079" spans="1:4" x14ac:dyDescent="0.2">
      <c r="A3079" s="3" t="s">
        <v>1040</v>
      </c>
      <c r="B3079" t="s">
        <v>8</v>
      </c>
      <c r="C3079" s="3" t="s">
        <v>1041</v>
      </c>
      <c r="D3079" s="3" t="s">
        <v>57</v>
      </c>
    </row>
    <row r="3080" spans="1:4" x14ac:dyDescent="0.2">
      <c r="A3080" s="3" t="s">
        <v>1040</v>
      </c>
      <c r="B3080" t="s">
        <v>8</v>
      </c>
      <c r="C3080" s="3" t="s">
        <v>964</v>
      </c>
      <c r="D3080" s="3" t="s">
        <v>57</v>
      </c>
    </row>
    <row r="3081" spans="1:4" x14ac:dyDescent="0.2">
      <c r="A3081" s="3" t="s">
        <v>1040</v>
      </c>
      <c r="B3081" t="s">
        <v>8</v>
      </c>
      <c r="C3081" s="3" t="s">
        <v>1042</v>
      </c>
      <c r="D3081" s="3" t="s">
        <v>57</v>
      </c>
    </row>
    <row r="3082" spans="1:4" x14ac:dyDescent="0.2">
      <c r="A3082" s="3" t="s">
        <v>1040</v>
      </c>
      <c r="B3082" t="s">
        <v>8</v>
      </c>
      <c r="C3082" s="3" t="s">
        <v>1043</v>
      </c>
      <c r="D3082" s="3" t="s">
        <v>57</v>
      </c>
    </row>
    <row r="3083" spans="1:4" x14ac:dyDescent="0.2">
      <c r="A3083" s="3" t="s">
        <v>1040</v>
      </c>
      <c r="B3083" t="s">
        <v>8</v>
      </c>
      <c r="C3083" s="3" t="s">
        <v>1044</v>
      </c>
      <c r="D3083" s="3" t="s">
        <v>57</v>
      </c>
    </row>
    <row r="3084" spans="1:4" x14ac:dyDescent="0.2">
      <c r="A3084" s="3" t="s">
        <v>1040</v>
      </c>
      <c r="B3084" t="s">
        <v>8</v>
      </c>
      <c r="C3084" s="3" t="s">
        <v>1045</v>
      </c>
      <c r="D3084" s="3" t="s">
        <v>57</v>
      </c>
    </row>
    <row r="3085" spans="1:4" x14ac:dyDescent="0.2">
      <c r="A3085" s="3" t="s">
        <v>1040</v>
      </c>
      <c r="B3085" t="s">
        <v>8</v>
      </c>
      <c r="C3085" s="3" t="s">
        <v>1046</v>
      </c>
      <c r="D3085" s="3" t="s">
        <v>57</v>
      </c>
    </row>
    <row r="3086" spans="1:4" x14ac:dyDescent="0.2">
      <c r="A3086" s="3" t="s">
        <v>1040</v>
      </c>
      <c r="B3086" t="s">
        <v>8</v>
      </c>
      <c r="C3086" s="3" t="s">
        <v>970</v>
      </c>
      <c r="D3086" s="3" t="s">
        <v>57</v>
      </c>
    </row>
    <row r="3087" spans="1:4" x14ac:dyDescent="0.2">
      <c r="A3087" s="3" t="s">
        <v>1040</v>
      </c>
      <c r="B3087" t="s">
        <v>8</v>
      </c>
      <c r="C3087" s="3" t="s">
        <v>971</v>
      </c>
      <c r="D3087" s="3" t="s">
        <v>57</v>
      </c>
    </row>
    <row r="3088" spans="1:4" x14ac:dyDescent="0.2">
      <c r="A3088" s="3" t="s">
        <v>1040</v>
      </c>
      <c r="B3088" t="s">
        <v>8</v>
      </c>
      <c r="C3088" s="3" t="s">
        <v>984</v>
      </c>
      <c r="D3088" s="3" t="s">
        <v>57</v>
      </c>
    </row>
    <row r="3089" spans="1:4" x14ac:dyDescent="0.2">
      <c r="A3089" s="3" t="s">
        <v>1040</v>
      </c>
      <c r="B3089" t="s">
        <v>8</v>
      </c>
      <c r="C3089" s="3" t="s">
        <v>1048</v>
      </c>
      <c r="D3089" s="3" t="s">
        <v>22</v>
      </c>
    </row>
    <row r="3090" spans="1:4" x14ac:dyDescent="0.2">
      <c r="A3090" s="3" t="s">
        <v>1040</v>
      </c>
      <c r="B3090" t="s">
        <v>8</v>
      </c>
      <c r="C3090" s="3" t="s">
        <v>1049</v>
      </c>
      <c r="D3090" s="3" t="s">
        <v>22</v>
      </c>
    </row>
    <row r="3091" spans="1:4" x14ac:dyDescent="0.2">
      <c r="A3091" s="3" t="s">
        <v>1040</v>
      </c>
      <c r="B3091" t="s">
        <v>8</v>
      </c>
      <c r="C3091" s="3" t="s">
        <v>1050</v>
      </c>
      <c r="D3091" s="3" t="s">
        <v>22</v>
      </c>
    </row>
    <row r="3092" spans="1:4" x14ac:dyDescent="0.2">
      <c r="A3092" s="3" t="s">
        <v>1040</v>
      </c>
      <c r="B3092" t="s">
        <v>8</v>
      </c>
      <c r="C3092" s="3" t="s">
        <v>1051</v>
      </c>
      <c r="D3092" s="3" t="s">
        <v>22</v>
      </c>
    </row>
    <row r="3093" spans="1:4" x14ac:dyDescent="0.2">
      <c r="A3093" s="3" t="s">
        <v>1040</v>
      </c>
      <c r="B3093" t="s">
        <v>8</v>
      </c>
      <c r="C3093" s="3" t="s">
        <v>1052</v>
      </c>
      <c r="D3093" s="3" t="s">
        <v>22</v>
      </c>
    </row>
    <row r="3094" spans="1:4" x14ac:dyDescent="0.2">
      <c r="A3094" s="3" t="s">
        <v>1040</v>
      </c>
      <c r="B3094" t="s">
        <v>8</v>
      </c>
      <c r="C3094" s="3" t="s">
        <v>1053</v>
      </c>
      <c r="D3094" s="3" t="s">
        <v>22</v>
      </c>
    </row>
    <row r="3095" spans="1:4" x14ac:dyDescent="0.2">
      <c r="A3095" s="3" t="s">
        <v>1040</v>
      </c>
      <c r="B3095" t="s">
        <v>8</v>
      </c>
      <c r="C3095" s="3" t="s">
        <v>1054</v>
      </c>
      <c r="D3095" s="3" t="s">
        <v>22</v>
      </c>
    </row>
    <row r="3096" spans="1:4" x14ac:dyDescent="0.2">
      <c r="A3096" s="3" t="s">
        <v>1040</v>
      </c>
      <c r="B3096" t="s">
        <v>8</v>
      </c>
      <c r="C3096" s="3" t="s">
        <v>1055</v>
      </c>
      <c r="D3096" s="3" t="s">
        <v>22</v>
      </c>
    </row>
    <row r="3097" spans="1:4" x14ac:dyDescent="0.2">
      <c r="A3097" s="3" t="s">
        <v>1040</v>
      </c>
      <c r="B3097" t="s">
        <v>8</v>
      </c>
      <c r="C3097" s="3" t="s">
        <v>1056</v>
      </c>
      <c r="D3097" s="3" t="s">
        <v>22</v>
      </c>
    </row>
    <row r="3098" spans="1:4" x14ac:dyDescent="0.2">
      <c r="A3098" s="3" t="s">
        <v>1040</v>
      </c>
      <c r="B3098" t="s">
        <v>8</v>
      </c>
      <c r="C3098" s="3" t="s">
        <v>1057</v>
      </c>
      <c r="D3098" s="3" t="s">
        <v>22</v>
      </c>
    </row>
    <row r="3099" spans="1:4" x14ac:dyDescent="0.2">
      <c r="A3099" s="3" t="s">
        <v>1040</v>
      </c>
      <c r="B3099" t="s">
        <v>8</v>
      </c>
      <c r="C3099" s="3" t="s">
        <v>1058</v>
      </c>
      <c r="D3099" s="3" t="s">
        <v>22</v>
      </c>
    </row>
    <row r="3100" spans="1:4" x14ac:dyDescent="0.2">
      <c r="A3100" s="3" t="s">
        <v>1040</v>
      </c>
      <c r="B3100" t="s">
        <v>8</v>
      </c>
      <c r="C3100" s="3" t="s">
        <v>1059</v>
      </c>
      <c r="D3100" s="3" t="s">
        <v>22</v>
      </c>
    </row>
    <row r="3101" spans="1:4" x14ac:dyDescent="0.2">
      <c r="A3101" s="3" t="s">
        <v>1040</v>
      </c>
      <c r="B3101" t="s">
        <v>8</v>
      </c>
      <c r="C3101" s="3" t="s">
        <v>1060</v>
      </c>
      <c r="D3101" s="3" t="s">
        <v>22</v>
      </c>
    </row>
    <row r="3102" spans="1:4" x14ac:dyDescent="0.2">
      <c r="A3102" s="3" t="s">
        <v>1040</v>
      </c>
      <c r="B3102" t="s">
        <v>8</v>
      </c>
      <c r="C3102" s="3" t="s">
        <v>1061</v>
      </c>
      <c r="D3102" s="3" t="s">
        <v>22</v>
      </c>
    </row>
    <row r="3103" spans="1:4" x14ac:dyDescent="0.2">
      <c r="A3103" s="3" t="s">
        <v>1040</v>
      </c>
      <c r="B3103" t="s">
        <v>8</v>
      </c>
      <c r="C3103" s="3" t="s">
        <v>1062</v>
      </c>
      <c r="D3103" s="3" t="s">
        <v>22</v>
      </c>
    </row>
    <row r="3104" spans="1:4" x14ac:dyDescent="0.2">
      <c r="A3104" s="3" t="s">
        <v>1063</v>
      </c>
      <c r="B3104" t="s">
        <v>8</v>
      </c>
      <c r="C3104" s="3" t="s">
        <v>998</v>
      </c>
      <c r="D3104" s="3" t="s">
        <v>53</v>
      </c>
    </row>
    <row r="3105" spans="1:4" x14ac:dyDescent="0.2">
      <c r="A3105" s="3" t="s">
        <v>1063</v>
      </c>
      <c r="B3105" t="s">
        <v>8</v>
      </c>
      <c r="C3105" s="3" t="s">
        <v>999</v>
      </c>
      <c r="D3105" s="3" t="s">
        <v>53</v>
      </c>
    </row>
    <row r="3106" spans="1:4" x14ac:dyDescent="0.2">
      <c r="A3106" s="3" t="s">
        <v>1063</v>
      </c>
      <c r="B3106" t="s">
        <v>8</v>
      </c>
      <c r="C3106" s="3" t="s">
        <v>1064</v>
      </c>
      <c r="D3106" s="3" t="s">
        <v>53</v>
      </c>
    </row>
    <row r="3107" spans="1:4" x14ac:dyDescent="0.2">
      <c r="A3107" s="3" t="s">
        <v>1063</v>
      </c>
      <c r="B3107" t="s">
        <v>8</v>
      </c>
      <c r="C3107" s="3" t="s">
        <v>1042</v>
      </c>
      <c r="D3107" s="3" t="s">
        <v>53</v>
      </c>
    </row>
    <row r="3108" spans="1:4" x14ac:dyDescent="0.2">
      <c r="A3108" s="3" t="s">
        <v>1063</v>
      </c>
      <c r="B3108" t="s">
        <v>8</v>
      </c>
      <c r="C3108" s="3" t="s">
        <v>1043</v>
      </c>
      <c r="D3108" s="3" t="s">
        <v>53</v>
      </c>
    </row>
    <row r="3109" spans="1:4" x14ac:dyDescent="0.2">
      <c r="A3109" s="3" t="s">
        <v>1063</v>
      </c>
      <c r="B3109" t="s">
        <v>8</v>
      </c>
      <c r="C3109" s="3" t="s">
        <v>1044</v>
      </c>
      <c r="D3109" s="3" t="s">
        <v>53</v>
      </c>
    </row>
    <row r="3110" spans="1:4" x14ac:dyDescent="0.2">
      <c r="A3110" s="3" t="s">
        <v>1063</v>
      </c>
      <c r="B3110" t="s">
        <v>8</v>
      </c>
      <c r="C3110" s="3" t="s">
        <v>1045</v>
      </c>
      <c r="D3110" s="3" t="s">
        <v>53</v>
      </c>
    </row>
    <row r="3111" spans="1:4" x14ac:dyDescent="0.2">
      <c r="A3111" s="3" t="s">
        <v>1063</v>
      </c>
      <c r="B3111" t="s">
        <v>8</v>
      </c>
      <c r="C3111" s="3" t="s">
        <v>998</v>
      </c>
      <c r="D3111" s="3" t="s">
        <v>54</v>
      </c>
    </row>
    <row r="3112" spans="1:4" x14ac:dyDescent="0.2">
      <c r="A3112" s="3" t="s">
        <v>1063</v>
      </c>
      <c r="B3112" t="s">
        <v>8</v>
      </c>
      <c r="C3112" s="3" t="s">
        <v>999</v>
      </c>
      <c r="D3112" s="3" t="s">
        <v>54</v>
      </c>
    </row>
    <row r="3113" spans="1:4" x14ac:dyDescent="0.2">
      <c r="A3113" s="3" t="s">
        <v>1063</v>
      </c>
      <c r="B3113" t="s">
        <v>8</v>
      </c>
      <c r="C3113" s="3" t="s">
        <v>1064</v>
      </c>
      <c r="D3113" s="3" t="s">
        <v>54</v>
      </c>
    </row>
    <row r="3114" spans="1:4" x14ac:dyDescent="0.2">
      <c r="A3114" s="3" t="s">
        <v>1063</v>
      </c>
      <c r="B3114" t="s">
        <v>8</v>
      </c>
      <c r="C3114" s="3" t="s">
        <v>1042</v>
      </c>
      <c r="D3114" s="3" t="s">
        <v>54</v>
      </c>
    </row>
    <row r="3115" spans="1:4" x14ac:dyDescent="0.2">
      <c r="A3115" s="3" t="s">
        <v>1063</v>
      </c>
      <c r="B3115" t="s">
        <v>8</v>
      </c>
      <c r="C3115" s="3" t="s">
        <v>1043</v>
      </c>
      <c r="D3115" s="3" t="s">
        <v>54</v>
      </c>
    </row>
    <row r="3116" spans="1:4" x14ac:dyDescent="0.2">
      <c r="A3116" s="3" t="s">
        <v>1063</v>
      </c>
      <c r="B3116" t="s">
        <v>8</v>
      </c>
      <c r="C3116" s="3" t="s">
        <v>1044</v>
      </c>
      <c r="D3116" s="3" t="s">
        <v>54</v>
      </c>
    </row>
    <row r="3117" spans="1:4" x14ac:dyDescent="0.2">
      <c r="A3117" s="3" t="s">
        <v>1063</v>
      </c>
      <c r="B3117" t="s">
        <v>8</v>
      </c>
      <c r="C3117" s="3" t="s">
        <v>1045</v>
      </c>
      <c r="D3117" s="3" t="s">
        <v>54</v>
      </c>
    </row>
    <row r="3118" spans="1:4" x14ac:dyDescent="0.2">
      <c r="A3118" s="3" t="s">
        <v>1063</v>
      </c>
      <c r="B3118" t="s">
        <v>8</v>
      </c>
      <c r="C3118" s="3" t="s">
        <v>998</v>
      </c>
      <c r="D3118" s="3" t="s">
        <v>55</v>
      </c>
    </row>
    <row r="3119" spans="1:4" x14ac:dyDescent="0.2">
      <c r="A3119" s="3" t="s">
        <v>1063</v>
      </c>
      <c r="B3119" t="s">
        <v>8</v>
      </c>
      <c r="C3119" s="3" t="s">
        <v>999</v>
      </c>
      <c r="D3119" s="3" t="s">
        <v>55</v>
      </c>
    </row>
    <row r="3120" spans="1:4" x14ac:dyDescent="0.2">
      <c r="A3120" s="3" t="s">
        <v>1063</v>
      </c>
      <c r="B3120" t="s">
        <v>8</v>
      </c>
      <c r="C3120" s="3" t="s">
        <v>1064</v>
      </c>
      <c r="D3120" s="3" t="s">
        <v>55</v>
      </c>
    </row>
    <row r="3121" spans="1:4" x14ac:dyDescent="0.2">
      <c r="A3121" s="3" t="s">
        <v>1063</v>
      </c>
      <c r="B3121" t="s">
        <v>8</v>
      </c>
      <c r="C3121" s="3" t="s">
        <v>1042</v>
      </c>
      <c r="D3121" s="3" t="s">
        <v>55</v>
      </c>
    </row>
    <row r="3122" spans="1:4" x14ac:dyDescent="0.2">
      <c r="A3122" s="3" t="s">
        <v>1063</v>
      </c>
      <c r="B3122" t="s">
        <v>8</v>
      </c>
      <c r="C3122" s="3" t="s">
        <v>1043</v>
      </c>
      <c r="D3122" s="3" t="s">
        <v>55</v>
      </c>
    </row>
    <row r="3123" spans="1:4" x14ac:dyDescent="0.2">
      <c r="A3123" s="3" t="s">
        <v>1063</v>
      </c>
      <c r="B3123" t="s">
        <v>8</v>
      </c>
      <c r="C3123" s="3" t="s">
        <v>1044</v>
      </c>
      <c r="D3123" s="3" t="s">
        <v>55</v>
      </c>
    </row>
    <row r="3124" spans="1:4" x14ac:dyDescent="0.2">
      <c r="A3124" s="3" t="s">
        <v>1063</v>
      </c>
      <c r="B3124" t="s">
        <v>8</v>
      </c>
      <c r="C3124" s="3" t="s">
        <v>1045</v>
      </c>
      <c r="D3124" s="3" t="s">
        <v>55</v>
      </c>
    </row>
    <row r="3125" spans="1:4" x14ac:dyDescent="0.2">
      <c r="A3125" s="3" t="s">
        <v>1063</v>
      </c>
      <c r="B3125" t="s">
        <v>8</v>
      </c>
      <c r="C3125" s="3" t="s">
        <v>998</v>
      </c>
      <c r="D3125" s="3" t="s">
        <v>56</v>
      </c>
    </row>
    <row r="3126" spans="1:4" x14ac:dyDescent="0.2">
      <c r="A3126" s="3" t="s">
        <v>1063</v>
      </c>
      <c r="B3126" t="s">
        <v>8</v>
      </c>
      <c r="C3126" s="3" t="s">
        <v>999</v>
      </c>
      <c r="D3126" s="3" t="s">
        <v>56</v>
      </c>
    </row>
    <row r="3127" spans="1:4" x14ac:dyDescent="0.2">
      <c r="A3127" s="3" t="s">
        <v>1063</v>
      </c>
      <c r="B3127" t="s">
        <v>8</v>
      </c>
      <c r="C3127" s="3" t="s">
        <v>1064</v>
      </c>
      <c r="D3127" s="3" t="s">
        <v>56</v>
      </c>
    </row>
    <row r="3128" spans="1:4" x14ac:dyDescent="0.2">
      <c r="A3128" s="3" t="s">
        <v>1063</v>
      </c>
      <c r="B3128" t="s">
        <v>8</v>
      </c>
      <c r="C3128" s="3" t="s">
        <v>1042</v>
      </c>
      <c r="D3128" s="3" t="s">
        <v>56</v>
      </c>
    </row>
    <row r="3129" spans="1:4" x14ac:dyDescent="0.2">
      <c r="A3129" s="3" t="s">
        <v>1063</v>
      </c>
      <c r="B3129" t="s">
        <v>8</v>
      </c>
      <c r="C3129" s="3" t="s">
        <v>1043</v>
      </c>
      <c r="D3129" s="3" t="s">
        <v>56</v>
      </c>
    </row>
    <row r="3130" spans="1:4" x14ac:dyDescent="0.2">
      <c r="A3130" s="3" t="s">
        <v>1063</v>
      </c>
      <c r="B3130" t="s">
        <v>8</v>
      </c>
      <c r="C3130" s="3" t="s">
        <v>1044</v>
      </c>
      <c r="D3130" s="3" t="s">
        <v>56</v>
      </c>
    </row>
    <row r="3131" spans="1:4" x14ac:dyDescent="0.2">
      <c r="A3131" s="3" t="s">
        <v>1063</v>
      </c>
      <c r="B3131" t="s">
        <v>8</v>
      </c>
      <c r="C3131" s="3" t="s">
        <v>1045</v>
      </c>
      <c r="D3131" s="3" t="s">
        <v>56</v>
      </c>
    </row>
    <row r="3132" spans="1:4" x14ac:dyDescent="0.2">
      <c r="A3132" s="3" t="s">
        <v>1063</v>
      </c>
      <c r="B3132" t="s">
        <v>8</v>
      </c>
      <c r="C3132" s="3" t="s">
        <v>998</v>
      </c>
      <c r="D3132" s="3" t="s">
        <v>57</v>
      </c>
    </row>
    <row r="3133" spans="1:4" x14ac:dyDescent="0.2">
      <c r="A3133" s="3" t="s">
        <v>1063</v>
      </c>
      <c r="B3133" t="s">
        <v>8</v>
      </c>
      <c r="C3133" s="3" t="s">
        <v>999</v>
      </c>
      <c r="D3133" s="3" t="s">
        <v>57</v>
      </c>
    </row>
    <row r="3134" spans="1:4" x14ac:dyDescent="0.2">
      <c r="A3134" s="3" t="s">
        <v>1063</v>
      </c>
      <c r="B3134" t="s">
        <v>8</v>
      </c>
      <c r="C3134" s="3" t="s">
        <v>1064</v>
      </c>
      <c r="D3134" s="3" t="s">
        <v>57</v>
      </c>
    </row>
    <row r="3135" spans="1:4" x14ac:dyDescent="0.2">
      <c r="A3135" s="3" t="s">
        <v>1063</v>
      </c>
      <c r="B3135" t="s">
        <v>8</v>
      </c>
      <c r="C3135" s="3" t="s">
        <v>1042</v>
      </c>
      <c r="D3135" s="3" t="s">
        <v>57</v>
      </c>
    </row>
    <row r="3136" spans="1:4" x14ac:dyDescent="0.2">
      <c r="A3136" s="3" t="s">
        <v>1063</v>
      </c>
      <c r="B3136" t="s">
        <v>8</v>
      </c>
      <c r="C3136" s="3" t="s">
        <v>1043</v>
      </c>
      <c r="D3136" s="3" t="s">
        <v>57</v>
      </c>
    </row>
    <row r="3137" spans="1:4" x14ac:dyDescent="0.2">
      <c r="A3137" s="3" t="s">
        <v>1063</v>
      </c>
      <c r="B3137" t="s">
        <v>8</v>
      </c>
      <c r="C3137" s="3" t="s">
        <v>1044</v>
      </c>
      <c r="D3137" s="3" t="s">
        <v>57</v>
      </c>
    </row>
    <row r="3138" spans="1:4" x14ac:dyDescent="0.2">
      <c r="A3138" s="3" t="s">
        <v>1063</v>
      </c>
      <c r="B3138" t="s">
        <v>8</v>
      </c>
      <c r="C3138" s="3" t="s">
        <v>1045</v>
      </c>
      <c r="D3138" s="3" t="s">
        <v>57</v>
      </c>
    </row>
    <row r="3139" spans="1:4" x14ac:dyDescent="0.2">
      <c r="A3139" s="3" t="s">
        <v>1065</v>
      </c>
      <c r="B3139" t="s">
        <v>8</v>
      </c>
      <c r="C3139" s="3" t="s">
        <v>1045</v>
      </c>
      <c r="D3139" s="3" t="s">
        <v>53</v>
      </c>
    </row>
    <row r="3140" spans="1:4" x14ac:dyDescent="0.2">
      <c r="A3140" s="3" t="s">
        <v>1065</v>
      </c>
      <c r="B3140" t="s">
        <v>8</v>
      </c>
      <c r="C3140" s="3" t="s">
        <v>1045</v>
      </c>
      <c r="D3140" s="3" t="s">
        <v>54</v>
      </c>
    </row>
    <row r="3141" spans="1:4" x14ac:dyDescent="0.2">
      <c r="A3141" s="3" t="s">
        <v>1065</v>
      </c>
      <c r="B3141" t="s">
        <v>8</v>
      </c>
      <c r="C3141" s="3" t="s">
        <v>1045</v>
      </c>
      <c r="D3141" s="3" t="s">
        <v>55</v>
      </c>
    </row>
    <row r="3142" spans="1:4" x14ac:dyDescent="0.2">
      <c r="A3142" s="3" t="s">
        <v>1065</v>
      </c>
      <c r="B3142" t="s">
        <v>8</v>
      </c>
      <c r="C3142" s="3" t="s">
        <v>1045</v>
      </c>
      <c r="D3142" s="3" t="s">
        <v>56</v>
      </c>
    </row>
    <row r="3143" spans="1:4" x14ac:dyDescent="0.2">
      <c r="A3143" s="3" t="s">
        <v>1065</v>
      </c>
      <c r="B3143" t="s">
        <v>8</v>
      </c>
      <c r="C3143" s="3" t="s">
        <v>1045</v>
      </c>
      <c r="D3143" s="3" t="s">
        <v>57</v>
      </c>
    </row>
    <row r="3144" spans="1:4" x14ac:dyDescent="0.2">
      <c r="A3144" s="3" t="s">
        <v>1066</v>
      </c>
      <c r="B3144" t="s">
        <v>8</v>
      </c>
      <c r="C3144" s="3" t="s">
        <v>1067</v>
      </c>
      <c r="D3144" s="3" t="s">
        <v>53</v>
      </c>
    </row>
    <row r="3145" spans="1:4" x14ac:dyDescent="0.2">
      <c r="A3145" s="3" t="s">
        <v>1066</v>
      </c>
      <c r="B3145" t="s">
        <v>8</v>
      </c>
      <c r="C3145" s="3" t="s">
        <v>1068</v>
      </c>
      <c r="D3145" s="3" t="s">
        <v>53</v>
      </c>
    </row>
    <row r="3146" spans="1:4" x14ac:dyDescent="0.2">
      <c r="A3146" s="3" t="s">
        <v>1066</v>
      </c>
      <c r="B3146" t="s">
        <v>8</v>
      </c>
      <c r="C3146" s="3" t="s">
        <v>1069</v>
      </c>
      <c r="D3146" s="3" t="s">
        <v>53</v>
      </c>
    </row>
    <row r="3147" spans="1:4" x14ac:dyDescent="0.2">
      <c r="A3147" s="3" t="s">
        <v>1066</v>
      </c>
      <c r="B3147" t="s">
        <v>8</v>
      </c>
      <c r="C3147" s="3" t="s">
        <v>1070</v>
      </c>
      <c r="D3147" s="3" t="s">
        <v>53</v>
      </c>
    </row>
    <row r="3148" spans="1:4" x14ac:dyDescent="0.2">
      <c r="A3148" s="3" t="s">
        <v>1066</v>
      </c>
      <c r="B3148" t="s">
        <v>8</v>
      </c>
      <c r="C3148" s="3" t="s">
        <v>1071</v>
      </c>
      <c r="D3148" s="3" t="s">
        <v>53</v>
      </c>
    </row>
    <row r="3149" spans="1:4" x14ac:dyDescent="0.2">
      <c r="A3149" s="3" t="s">
        <v>1066</v>
      </c>
      <c r="B3149" t="s">
        <v>8</v>
      </c>
      <c r="C3149" s="3" t="s">
        <v>1072</v>
      </c>
      <c r="D3149" s="3" t="s">
        <v>53</v>
      </c>
    </row>
    <row r="3150" spans="1:4" x14ac:dyDescent="0.2">
      <c r="A3150" s="3" t="s">
        <v>1066</v>
      </c>
      <c r="B3150" t="s">
        <v>8</v>
      </c>
      <c r="C3150" s="3" t="s">
        <v>1067</v>
      </c>
      <c r="D3150" s="3" t="s">
        <v>54</v>
      </c>
    </row>
    <row r="3151" spans="1:4" x14ac:dyDescent="0.2">
      <c r="A3151" s="3" t="s">
        <v>1066</v>
      </c>
      <c r="B3151" t="s">
        <v>8</v>
      </c>
      <c r="C3151" s="3" t="s">
        <v>1068</v>
      </c>
      <c r="D3151" s="3" t="s">
        <v>54</v>
      </c>
    </row>
    <row r="3152" spans="1:4" x14ac:dyDescent="0.2">
      <c r="A3152" s="3" t="s">
        <v>1066</v>
      </c>
      <c r="B3152" t="s">
        <v>8</v>
      </c>
      <c r="C3152" s="3" t="s">
        <v>1069</v>
      </c>
      <c r="D3152" s="3" t="s">
        <v>54</v>
      </c>
    </row>
    <row r="3153" spans="1:4" x14ac:dyDescent="0.2">
      <c r="A3153" s="3" t="s">
        <v>1066</v>
      </c>
      <c r="B3153" t="s">
        <v>8</v>
      </c>
      <c r="C3153" s="3" t="s">
        <v>1070</v>
      </c>
      <c r="D3153" s="3" t="s">
        <v>54</v>
      </c>
    </row>
    <row r="3154" spans="1:4" x14ac:dyDescent="0.2">
      <c r="A3154" s="3" t="s">
        <v>1066</v>
      </c>
      <c r="B3154" t="s">
        <v>8</v>
      </c>
      <c r="C3154" s="3" t="s">
        <v>1071</v>
      </c>
      <c r="D3154" s="3" t="s">
        <v>54</v>
      </c>
    </row>
    <row r="3155" spans="1:4" x14ac:dyDescent="0.2">
      <c r="A3155" s="3" t="s">
        <v>1066</v>
      </c>
      <c r="B3155" t="s">
        <v>8</v>
      </c>
      <c r="C3155" s="3" t="s">
        <v>1072</v>
      </c>
      <c r="D3155" s="3" t="s">
        <v>54</v>
      </c>
    </row>
    <row r="3156" spans="1:4" x14ac:dyDescent="0.2">
      <c r="A3156" s="3" t="s">
        <v>1066</v>
      </c>
      <c r="B3156" t="s">
        <v>8</v>
      </c>
      <c r="C3156" s="3" t="s">
        <v>1067</v>
      </c>
      <c r="D3156" s="3" t="s">
        <v>55</v>
      </c>
    </row>
    <row r="3157" spans="1:4" x14ac:dyDescent="0.2">
      <c r="A3157" s="3" t="s">
        <v>1066</v>
      </c>
      <c r="B3157" t="s">
        <v>8</v>
      </c>
      <c r="C3157" s="3" t="s">
        <v>1068</v>
      </c>
      <c r="D3157" s="3" t="s">
        <v>55</v>
      </c>
    </row>
    <row r="3158" spans="1:4" x14ac:dyDescent="0.2">
      <c r="A3158" s="3" t="s">
        <v>1066</v>
      </c>
      <c r="B3158" t="s">
        <v>8</v>
      </c>
      <c r="C3158" s="3" t="s">
        <v>1069</v>
      </c>
      <c r="D3158" s="3" t="s">
        <v>55</v>
      </c>
    </row>
    <row r="3159" spans="1:4" x14ac:dyDescent="0.2">
      <c r="A3159" s="3" t="s">
        <v>1066</v>
      </c>
      <c r="B3159" t="s">
        <v>8</v>
      </c>
      <c r="C3159" s="3" t="s">
        <v>1070</v>
      </c>
      <c r="D3159" s="3" t="s">
        <v>55</v>
      </c>
    </row>
    <row r="3160" spans="1:4" x14ac:dyDescent="0.2">
      <c r="A3160" s="3" t="s">
        <v>1066</v>
      </c>
      <c r="B3160" t="s">
        <v>8</v>
      </c>
      <c r="C3160" s="3" t="s">
        <v>1071</v>
      </c>
      <c r="D3160" s="3" t="s">
        <v>55</v>
      </c>
    </row>
    <row r="3161" spans="1:4" x14ac:dyDescent="0.2">
      <c r="A3161" s="3" t="s">
        <v>1066</v>
      </c>
      <c r="B3161" t="s">
        <v>8</v>
      </c>
      <c r="C3161" s="3" t="s">
        <v>1072</v>
      </c>
      <c r="D3161" s="3" t="s">
        <v>55</v>
      </c>
    </row>
    <row r="3162" spans="1:4" x14ac:dyDescent="0.2">
      <c r="A3162" s="3" t="s">
        <v>1066</v>
      </c>
      <c r="B3162" t="s">
        <v>8</v>
      </c>
      <c r="C3162" s="3" t="s">
        <v>1067</v>
      </c>
      <c r="D3162" s="3" t="s">
        <v>56</v>
      </c>
    </row>
    <row r="3163" spans="1:4" x14ac:dyDescent="0.2">
      <c r="A3163" s="3" t="s">
        <v>1066</v>
      </c>
      <c r="B3163" t="s">
        <v>8</v>
      </c>
      <c r="C3163" s="3" t="s">
        <v>1068</v>
      </c>
      <c r="D3163" s="3" t="s">
        <v>56</v>
      </c>
    </row>
    <row r="3164" spans="1:4" x14ac:dyDescent="0.2">
      <c r="A3164" s="3" t="s">
        <v>1066</v>
      </c>
      <c r="B3164" t="s">
        <v>8</v>
      </c>
      <c r="C3164" s="3" t="s">
        <v>1069</v>
      </c>
      <c r="D3164" s="3" t="s">
        <v>56</v>
      </c>
    </row>
    <row r="3165" spans="1:4" x14ac:dyDescent="0.2">
      <c r="A3165" s="3" t="s">
        <v>1066</v>
      </c>
      <c r="B3165" t="s">
        <v>8</v>
      </c>
      <c r="C3165" s="3" t="s">
        <v>1070</v>
      </c>
      <c r="D3165" s="3" t="s">
        <v>56</v>
      </c>
    </row>
    <row r="3166" spans="1:4" x14ac:dyDescent="0.2">
      <c r="A3166" s="3" t="s">
        <v>1066</v>
      </c>
      <c r="B3166" t="s">
        <v>8</v>
      </c>
      <c r="C3166" s="3" t="s">
        <v>1071</v>
      </c>
      <c r="D3166" s="3" t="s">
        <v>56</v>
      </c>
    </row>
    <row r="3167" spans="1:4" x14ac:dyDescent="0.2">
      <c r="A3167" s="3" t="s">
        <v>1066</v>
      </c>
      <c r="B3167" t="s">
        <v>8</v>
      </c>
      <c r="C3167" s="3" t="s">
        <v>1072</v>
      </c>
      <c r="D3167" s="3" t="s">
        <v>56</v>
      </c>
    </row>
    <row r="3168" spans="1:4" x14ac:dyDescent="0.2">
      <c r="A3168" s="3" t="s">
        <v>1066</v>
      </c>
      <c r="B3168" t="s">
        <v>8</v>
      </c>
      <c r="C3168" s="3" t="s">
        <v>1067</v>
      </c>
      <c r="D3168" s="3" t="s">
        <v>57</v>
      </c>
    </row>
    <row r="3169" spans="1:4" x14ac:dyDescent="0.2">
      <c r="A3169" s="3" t="s">
        <v>1066</v>
      </c>
      <c r="B3169" t="s">
        <v>8</v>
      </c>
      <c r="C3169" s="3" t="s">
        <v>1068</v>
      </c>
      <c r="D3169" s="3" t="s">
        <v>57</v>
      </c>
    </row>
    <row r="3170" spans="1:4" x14ac:dyDescent="0.2">
      <c r="A3170" s="3" t="s">
        <v>1066</v>
      </c>
      <c r="B3170" t="s">
        <v>8</v>
      </c>
      <c r="C3170" s="3" t="s">
        <v>1069</v>
      </c>
      <c r="D3170" s="3" t="s">
        <v>57</v>
      </c>
    </row>
    <row r="3171" spans="1:4" x14ac:dyDescent="0.2">
      <c r="A3171" s="3" t="s">
        <v>1066</v>
      </c>
      <c r="B3171" t="s">
        <v>8</v>
      </c>
      <c r="C3171" s="3" t="s">
        <v>1070</v>
      </c>
      <c r="D3171" s="3" t="s">
        <v>57</v>
      </c>
    </row>
    <row r="3172" spans="1:4" x14ac:dyDescent="0.2">
      <c r="A3172" s="3" t="s">
        <v>1066</v>
      </c>
      <c r="B3172" t="s">
        <v>8</v>
      </c>
      <c r="C3172" s="3" t="s">
        <v>1071</v>
      </c>
      <c r="D3172" s="3" t="s">
        <v>57</v>
      </c>
    </row>
    <row r="3173" spans="1:4" x14ac:dyDescent="0.2">
      <c r="A3173" s="3" t="s">
        <v>1066</v>
      </c>
      <c r="B3173" t="s">
        <v>8</v>
      </c>
      <c r="C3173" s="3" t="s">
        <v>1072</v>
      </c>
      <c r="D3173" s="3" t="s">
        <v>57</v>
      </c>
    </row>
    <row r="3174" spans="1:4" x14ac:dyDescent="0.2">
      <c r="A3174" s="3" t="s">
        <v>1073</v>
      </c>
      <c r="B3174" t="s">
        <v>8</v>
      </c>
      <c r="C3174" s="3" t="s">
        <v>1074</v>
      </c>
      <c r="D3174" s="3" t="s">
        <v>169</v>
      </c>
    </row>
    <row r="3175" spans="1:4" x14ac:dyDescent="0.2">
      <c r="A3175" s="3" t="s">
        <v>1073</v>
      </c>
      <c r="B3175" t="s">
        <v>8</v>
      </c>
      <c r="C3175" s="3" t="s">
        <v>1075</v>
      </c>
      <c r="D3175" s="3" t="s">
        <v>169</v>
      </c>
    </row>
    <row r="3176" spans="1:4" x14ac:dyDescent="0.2">
      <c r="A3176" s="3" t="s">
        <v>1073</v>
      </c>
      <c r="B3176" t="s">
        <v>8</v>
      </c>
      <c r="C3176" s="3" t="s">
        <v>1076</v>
      </c>
      <c r="D3176" s="3" t="s">
        <v>169</v>
      </c>
    </row>
    <row r="3177" spans="1:4" x14ac:dyDescent="0.2">
      <c r="A3177" s="3" t="s">
        <v>1073</v>
      </c>
      <c r="B3177" t="s">
        <v>8</v>
      </c>
      <c r="C3177" s="3" t="s">
        <v>1077</v>
      </c>
      <c r="D3177" s="3" t="s">
        <v>169</v>
      </c>
    </row>
    <row r="3178" spans="1:4" x14ac:dyDescent="0.2">
      <c r="A3178" s="3" t="s">
        <v>1078</v>
      </c>
      <c r="B3178" t="s">
        <v>8</v>
      </c>
      <c r="C3178" s="3" t="s">
        <v>1079</v>
      </c>
      <c r="D3178" s="3" t="s">
        <v>169</v>
      </c>
    </row>
    <row r="3179" spans="1:4" x14ac:dyDescent="0.2">
      <c r="A3179" s="3" t="s">
        <v>1078</v>
      </c>
      <c r="B3179" t="s">
        <v>8</v>
      </c>
      <c r="C3179" s="3" t="s">
        <v>1080</v>
      </c>
      <c r="D3179" s="3" t="s">
        <v>169</v>
      </c>
    </row>
    <row r="3180" spans="1:4" x14ac:dyDescent="0.2">
      <c r="A3180" s="3" t="s">
        <v>1081</v>
      </c>
      <c r="B3180" t="s">
        <v>8</v>
      </c>
      <c r="C3180" s="3" t="s">
        <v>1079</v>
      </c>
      <c r="D3180" s="3" t="s">
        <v>169</v>
      </c>
    </row>
    <row r="3181" spans="1:4" x14ac:dyDescent="0.2">
      <c r="A3181" s="3" t="s">
        <v>1081</v>
      </c>
      <c r="B3181" t="s">
        <v>8</v>
      </c>
      <c r="C3181" s="3" t="s">
        <v>1082</v>
      </c>
      <c r="D3181" s="3" t="s">
        <v>169</v>
      </c>
    </row>
    <row r="3182" spans="1:4" x14ac:dyDescent="0.2">
      <c r="A3182" s="3" t="s">
        <v>1081</v>
      </c>
      <c r="B3182" t="s">
        <v>8</v>
      </c>
      <c r="C3182" s="3" t="s">
        <v>1083</v>
      </c>
      <c r="D3182" s="3" t="s">
        <v>169</v>
      </c>
    </row>
    <row r="3183" spans="1:4" x14ac:dyDescent="0.2">
      <c r="A3183" s="3" t="s">
        <v>1081</v>
      </c>
      <c r="B3183" t="s">
        <v>8</v>
      </c>
      <c r="C3183" s="3" t="s">
        <v>1084</v>
      </c>
      <c r="D3183" s="3" t="s">
        <v>169</v>
      </c>
    </row>
    <row r="3184" spans="1:4" x14ac:dyDescent="0.2">
      <c r="A3184" s="3" t="s">
        <v>1081</v>
      </c>
      <c r="B3184" t="s">
        <v>8</v>
      </c>
      <c r="C3184" s="3" t="s">
        <v>1085</v>
      </c>
      <c r="D3184" s="3" t="s">
        <v>169</v>
      </c>
    </row>
    <row r="3185" spans="1:4" x14ac:dyDescent="0.2">
      <c r="A3185" s="3" t="s">
        <v>1081</v>
      </c>
      <c r="B3185" t="s">
        <v>8</v>
      </c>
      <c r="C3185" s="3" t="s">
        <v>1086</v>
      </c>
      <c r="D3185" s="3" t="s">
        <v>169</v>
      </c>
    </row>
    <row r="3186" spans="1:4" x14ac:dyDescent="0.2">
      <c r="A3186" s="3" t="s">
        <v>1087</v>
      </c>
      <c r="B3186" t="s">
        <v>8</v>
      </c>
      <c r="C3186" s="3" t="s">
        <v>1088</v>
      </c>
      <c r="D3186" s="3" t="s">
        <v>53</v>
      </c>
    </row>
    <row r="3187" spans="1:4" x14ac:dyDescent="0.2">
      <c r="A3187" s="3" t="s">
        <v>1087</v>
      </c>
      <c r="B3187" t="s">
        <v>8</v>
      </c>
      <c r="C3187" s="3" t="s">
        <v>1088</v>
      </c>
      <c r="D3187" s="3" t="s">
        <v>54</v>
      </c>
    </row>
    <row r="3188" spans="1:4" x14ac:dyDescent="0.2">
      <c r="A3188" s="3" t="s">
        <v>1087</v>
      </c>
      <c r="B3188" t="s">
        <v>8</v>
      </c>
      <c r="C3188" s="3" t="s">
        <v>1088</v>
      </c>
      <c r="D3188" s="3" t="s">
        <v>55</v>
      </c>
    </row>
    <row r="3189" spans="1:4" x14ac:dyDescent="0.2">
      <c r="A3189" s="3" t="s">
        <v>1087</v>
      </c>
      <c r="B3189" t="s">
        <v>8</v>
      </c>
      <c r="C3189" s="3" t="s">
        <v>1088</v>
      </c>
      <c r="D3189" s="3" t="s">
        <v>56</v>
      </c>
    </row>
    <row r="3190" spans="1:4" x14ac:dyDescent="0.2">
      <c r="A3190" s="3" t="s">
        <v>1087</v>
      </c>
      <c r="B3190" t="s">
        <v>8</v>
      </c>
      <c r="C3190" s="3" t="s">
        <v>1088</v>
      </c>
      <c r="D3190" s="3" t="s">
        <v>57</v>
      </c>
    </row>
    <row r="3191" spans="1:4" x14ac:dyDescent="0.2">
      <c r="A3191" s="3" t="s">
        <v>1087</v>
      </c>
      <c r="B3191" t="s">
        <v>8</v>
      </c>
      <c r="C3191" s="3" t="s">
        <v>1089</v>
      </c>
      <c r="D3191" s="3" t="s">
        <v>169</v>
      </c>
    </row>
    <row r="3192" spans="1:4" x14ac:dyDescent="0.2">
      <c r="A3192" s="3" t="s">
        <v>1090</v>
      </c>
      <c r="B3192" t="s">
        <v>8</v>
      </c>
      <c r="C3192" s="3" t="s">
        <v>1091</v>
      </c>
      <c r="D3192" s="3" t="s">
        <v>169</v>
      </c>
    </row>
    <row r="3193" spans="1:4" x14ac:dyDescent="0.2">
      <c r="A3193" s="3" t="s">
        <v>1090</v>
      </c>
      <c r="B3193" t="s">
        <v>8</v>
      </c>
      <c r="C3193" s="3" t="s">
        <v>1092</v>
      </c>
      <c r="D3193" s="3" t="s">
        <v>169</v>
      </c>
    </row>
    <row r="3194" spans="1:4" x14ac:dyDescent="0.2">
      <c r="A3194" s="3" t="s">
        <v>1093</v>
      </c>
      <c r="B3194" t="s">
        <v>8</v>
      </c>
      <c r="C3194" s="3" t="s">
        <v>1094</v>
      </c>
      <c r="D3194" s="3" t="s">
        <v>53</v>
      </c>
    </row>
    <row r="3195" spans="1:4" x14ac:dyDescent="0.2">
      <c r="A3195" s="3" t="s">
        <v>1093</v>
      </c>
      <c r="B3195" t="s">
        <v>8</v>
      </c>
      <c r="C3195" s="3" t="s">
        <v>1095</v>
      </c>
      <c r="D3195" s="3" t="s">
        <v>53</v>
      </c>
    </row>
    <row r="3196" spans="1:4" x14ac:dyDescent="0.2">
      <c r="A3196" s="3" t="s">
        <v>1093</v>
      </c>
      <c r="B3196" t="s">
        <v>8</v>
      </c>
      <c r="C3196" s="3" t="s">
        <v>1096</v>
      </c>
      <c r="D3196" s="3" t="s">
        <v>53</v>
      </c>
    </row>
    <row r="3197" spans="1:4" x14ac:dyDescent="0.2">
      <c r="A3197" s="3" t="s">
        <v>1093</v>
      </c>
      <c r="B3197" t="s">
        <v>8</v>
      </c>
      <c r="C3197" s="3" t="s">
        <v>1097</v>
      </c>
      <c r="D3197" s="3" t="s">
        <v>53</v>
      </c>
    </row>
    <row r="3198" spans="1:4" x14ac:dyDescent="0.2">
      <c r="A3198" s="3" t="s">
        <v>1093</v>
      </c>
      <c r="B3198" t="s">
        <v>8</v>
      </c>
      <c r="C3198" s="3" t="s">
        <v>1098</v>
      </c>
      <c r="D3198" s="3" t="s">
        <v>53</v>
      </c>
    </row>
    <row r="3199" spans="1:4" x14ac:dyDescent="0.2">
      <c r="A3199" s="3" t="s">
        <v>1093</v>
      </c>
      <c r="B3199" t="s">
        <v>8</v>
      </c>
      <c r="C3199" s="3" t="s">
        <v>1094</v>
      </c>
      <c r="D3199" s="3" t="s">
        <v>54</v>
      </c>
    </row>
    <row r="3200" spans="1:4" x14ac:dyDescent="0.2">
      <c r="A3200" s="3" t="s">
        <v>1093</v>
      </c>
      <c r="B3200" t="s">
        <v>8</v>
      </c>
      <c r="C3200" s="3" t="s">
        <v>1095</v>
      </c>
      <c r="D3200" s="3" t="s">
        <v>54</v>
      </c>
    </row>
    <row r="3201" spans="1:4" x14ac:dyDescent="0.2">
      <c r="A3201" s="3" t="s">
        <v>1093</v>
      </c>
      <c r="B3201" t="s">
        <v>8</v>
      </c>
      <c r="C3201" s="3" t="s">
        <v>1096</v>
      </c>
      <c r="D3201" s="3" t="s">
        <v>54</v>
      </c>
    </row>
    <row r="3202" spans="1:4" x14ac:dyDescent="0.2">
      <c r="A3202" s="3" t="s">
        <v>1093</v>
      </c>
      <c r="B3202" t="s">
        <v>8</v>
      </c>
      <c r="C3202" s="3" t="s">
        <v>1097</v>
      </c>
      <c r="D3202" s="3" t="s">
        <v>54</v>
      </c>
    </row>
    <row r="3203" spans="1:4" x14ac:dyDescent="0.2">
      <c r="A3203" s="3" t="s">
        <v>1093</v>
      </c>
      <c r="B3203" t="s">
        <v>8</v>
      </c>
      <c r="C3203" s="3" t="s">
        <v>1098</v>
      </c>
      <c r="D3203" s="3" t="s">
        <v>54</v>
      </c>
    </row>
    <row r="3204" spans="1:4" x14ac:dyDescent="0.2">
      <c r="A3204" s="3" t="s">
        <v>1093</v>
      </c>
      <c r="B3204" t="s">
        <v>8</v>
      </c>
      <c r="C3204" s="3" t="s">
        <v>1094</v>
      </c>
      <c r="D3204" s="3" t="s">
        <v>55</v>
      </c>
    </row>
    <row r="3205" spans="1:4" x14ac:dyDescent="0.2">
      <c r="A3205" s="3" t="s">
        <v>1093</v>
      </c>
      <c r="B3205" t="s">
        <v>8</v>
      </c>
      <c r="C3205" s="3" t="s">
        <v>1095</v>
      </c>
      <c r="D3205" s="3" t="s">
        <v>55</v>
      </c>
    </row>
    <row r="3206" spans="1:4" x14ac:dyDescent="0.2">
      <c r="A3206" s="3" t="s">
        <v>1093</v>
      </c>
      <c r="B3206" t="s">
        <v>8</v>
      </c>
      <c r="C3206" s="3" t="s">
        <v>1096</v>
      </c>
      <c r="D3206" s="3" t="s">
        <v>55</v>
      </c>
    </row>
    <row r="3207" spans="1:4" x14ac:dyDescent="0.2">
      <c r="A3207" s="3" t="s">
        <v>1093</v>
      </c>
      <c r="B3207" t="s">
        <v>8</v>
      </c>
      <c r="C3207" s="3" t="s">
        <v>1097</v>
      </c>
      <c r="D3207" s="3" t="s">
        <v>55</v>
      </c>
    </row>
    <row r="3208" spans="1:4" x14ac:dyDescent="0.2">
      <c r="A3208" s="3" t="s">
        <v>1093</v>
      </c>
      <c r="B3208" t="s">
        <v>8</v>
      </c>
      <c r="C3208" s="3" t="s">
        <v>1098</v>
      </c>
      <c r="D3208" s="3" t="s">
        <v>55</v>
      </c>
    </row>
    <row r="3209" spans="1:4" x14ac:dyDescent="0.2">
      <c r="A3209" s="3" t="s">
        <v>1093</v>
      </c>
      <c r="B3209" t="s">
        <v>8</v>
      </c>
      <c r="C3209" s="3" t="s">
        <v>1094</v>
      </c>
      <c r="D3209" s="3" t="s">
        <v>56</v>
      </c>
    </row>
    <row r="3210" spans="1:4" x14ac:dyDescent="0.2">
      <c r="A3210" s="3" t="s">
        <v>1093</v>
      </c>
      <c r="B3210" t="s">
        <v>8</v>
      </c>
      <c r="C3210" s="3" t="s">
        <v>1095</v>
      </c>
      <c r="D3210" s="3" t="s">
        <v>56</v>
      </c>
    </row>
    <row r="3211" spans="1:4" x14ac:dyDescent="0.2">
      <c r="A3211" s="3" t="s">
        <v>1093</v>
      </c>
      <c r="B3211" t="s">
        <v>8</v>
      </c>
      <c r="C3211" s="3" t="s">
        <v>1096</v>
      </c>
      <c r="D3211" s="3" t="s">
        <v>56</v>
      </c>
    </row>
    <row r="3212" spans="1:4" x14ac:dyDescent="0.2">
      <c r="A3212" s="3" t="s">
        <v>1093</v>
      </c>
      <c r="B3212" t="s">
        <v>8</v>
      </c>
      <c r="C3212" s="3" t="s">
        <v>1097</v>
      </c>
      <c r="D3212" s="3" t="s">
        <v>56</v>
      </c>
    </row>
    <row r="3213" spans="1:4" x14ac:dyDescent="0.2">
      <c r="A3213" s="3" t="s">
        <v>1093</v>
      </c>
      <c r="B3213" t="s">
        <v>8</v>
      </c>
      <c r="C3213" s="3" t="s">
        <v>1098</v>
      </c>
      <c r="D3213" s="3" t="s">
        <v>56</v>
      </c>
    </row>
    <row r="3214" spans="1:4" x14ac:dyDescent="0.2">
      <c r="A3214" s="3" t="s">
        <v>1093</v>
      </c>
      <c r="B3214" t="s">
        <v>8</v>
      </c>
      <c r="C3214" s="3" t="s">
        <v>1094</v>
      </c>
      <c r="D3214" s="3" t="s">
        <v>57</v>
      </c>
    </row>
    <row r="3215" spans="1:4" x14ac:dyDescent="0.2">
      <c r="A3215" s="3" t="s">
        <v>1093</v>
      </c>
      <c r="B3215" t="s">
        <v>8</v>
      </c>
      <c r="C3215" s="3" t="s">
        <v>1095</v>
      </c>
      <c r="D3215" s="3" t="s">
        <v>57</v>
      </c>
    </row>
    <row r="3216" spans="1:4" x14ac:dyDescent="0.2">
      <c r="A3216" s="3" t="s">
        <v>1093</v>
      </c>
      <c r="B3216" t="s">
        <v>8</v>
      </c>
      <c r="C3216" s="3" t="s">
        <v>1096</v>
      </c>
      <c r="D3216" s="3" t="s">
        <v>57</v>
      </c>
    </row>
    <row r="3217" spans="1:4" x14ac:dyDescent="0.2">
      <c r="A3217" s="3" t="s">
        <v>1093</v>
      </c>
      <c r="B3217" t="s">
        <v>8</v>
      </c>
      <c r="C3217" s="3" t="s">
        <v>1097</v>
      </c>
      <c r="D3217" s="3" t="s">
        <v>57</v>
      </c>
    </row>
    <row r="3218" spans="1:4" x14ac:dyDescent="0.2">
      <c r="A3218" s="3" t="s">
        <v>1093</v>
      </c>
      <c r="B3218" t="s">
        <v>8</v>
      </c>
      <c r="C3218" s="3" t="s">
        <v>1098</v>
      </c>
      <c r="D3218" s="3" t="s">
        <v>57</v>
      </c>
    </row>
    <row r="3219" spans="1:4" x14ac:dyDescent="0.2">
      <c r="A3219" s="3" t="s">
        <v>1093</v>
      </c>
      <c r="B3219" t="s">
        <v>8</v>
      </c>
      <c r="C3219" s="3" t="s">
        <v>1082</v>
      </c>
      <c r="D3219" s="3" t="s">
        <v>169</v>
      </c>
    </row>
    <row r="3220" spans="1:4" x14ac:dyDescent="0.2">
      <c r="A3220" s="3" t="s">
        <v>1093</v>
      </c>
      <c r="B3220" t="s">
        <v>8</v>
      </c>
      <c r="C3220" s="3" t="s">
        <v>1083</v>
      </c>
      <c r="D3220" s="3" t="s">
        <v>169</v>
      </c>
    </row>
    <row r="3221" spans="1:4" x14ac:dyDescent="0.2">
      <c r="A3221" s="3" t="s">
        <v>1093</v>
      </c>
      <c r="B3221" t="s">
        <v>8</v>
      </c>
      <c r="C3221" s="3" t="s">
        <v>1084</v>
      </c>
      <c r="D3221" s="3" t="s">
        <v>169</v>
      </c>
    </row>
    <row r="3222" spans="1:4" x14ac:dyDescent="0.2">
      <c r="A3222" s="3" t="s">
        <v>1093</v>
      </c>
      <c r="B3222" t="s">
        <v>8</v>
      </c>
      <c r="C3222" s="3" t="s">
        <v>1085</v>
      </c>
      <c r="D3222" s="3" t="s">
        <v>169</v>
      </c>
    </row>
    <row r="3223" spans="1:4" x14ac:dyDescent="0.2">
      <c r="A3223" s="3" t="s">
        <v>1093</v>
      </c>
      <c r="B3223" t="s">
        <v>8</v>
      </c>
      <c r="C3223" s="3" t="s">
        <v>1086</v>
      </c>
      <c r="D3223" s="3" t="s">
        <v>169</v>
      </c>
    </row>
    <row r="3224" spans="1:4" x14ac:dyDescent="0.2">
      <c r="A3224" s="3" t="s">
        <v>1093</v>
      </c>
      <c r="B3224" t="s">
        <v>8</v>
      </c>
      <c r="C3224" s="3" t="s">
        <v>1099</v>
      </c>
      <c r="D3224" s="3" t="s">
        <v>169</v>
      </c>
    </row>
    <row r="3225" spans="1:4" x14ac:dyDescent="0.2">
      <c r="A3225" s="3" t="s">
        <v>1093</v>
      </c>
      <c r="B3225" t="s">
        <v>8</v>
      </c>
      <c r="C3225" s="3" t="s">
        <v>1100</v>
      </c>
      <c r="D3225" s="3" t="s">
        <v>169</v>
      </c>
    </row>
    <row r="3226" spans="1:4" x14ac:dyDescent="0.2">
      <c r="A3226" s="3" t="s">
        <v>1093</v>
      </c>
      <c r="B3226" t="s">
        <v>8</v>
      </c>
      <c r="C3226" s="3" t="s">
        <v>1101</v>
      </c>
      <c r="D3226" s="3" t="s">
        <v>169</v>
      </c>
    </row>
    <row r="3227" spans="1:4" x14ac:dyDescent="0.2">
      <c r="A3227" s="3" t="s">
        <v>1093</v>
      </c>
      <c r="B3227" t="s">
        <v>8</v>
      </c>
      <c r="C3227" s="3" t="s">
        <v>1102</v>
      </c>
      <c r="D3227" s="3" t="s">
        <v>169</v>
      </c>
    </row>
    <row r="3228" spans="1:4" x14ac:dyDescent="0.2">
      <c r="A3228" s="3" t="s">
        <v>1103</v>
      </c>
      <c r="B3228" t="s">
        <v>8</v>
      </c>
      <c r="C3228" s="3" t="s">
        <v>972</v>
      </c>
      <c r="D3228" s="3" t="s">
        <v>53</v>
      </c>
    </row>
    <row r="3229" spans="1:4" x14ac:dyDescent="0.2">
      <c r="A3229" s="3" t="s">
        <v>1103</v>
      </c>
      <c r="B3229" t="s">
        <v>8</v>
      </c>
      <c r="C3229" s="3" t="s">
        <v>973</v>
      </c>
      <c r="D3229" s="3" t="s">
        <v>53</v>
      </c>
    </row>
    <row r="3230" spans="1:4" x14ac:dyDescent="0.2">
      <c r="A3230" s="3" t="s">
        <v>1103</v>
      </c>
      <c r="B3230" t="s">
        <v>8</v>
      </c>
      <c r="C3230" s="3" t="s">
        <v>1104</v>
      </c>
      <c r="D3230" s="3" t="s">
        <v>53</v>
      </c>
    </row>
    <row r="3231" spans="1:4" x14ac:dyDescent="0.2">
      <c r="A3231" s="3" t="s">
        <v>1103</v>
      </c>
      <c r="B3231" t="s">
        <v>8</v>
      </c>
      <c r="C3231" s="3" t="s">
        <v>299</v>
      </c>
      <c r="D3231" s="3" t="s">
        <v>53</v>
      </c>
    </row>
    <row r="3232" spans="1:4" x14ac:dyDescent="0.2">
      <c r="A3232" s="3" t="s">
        <v>1103</v>
      </c>
      <c r="B3232" t="s">
        <v>8</v>
      </c>
      <c r="C3232" s="3" t="s">
        <v>300</v>
      </c>
      <c r="D3232" s="3" t="s">
        <v>53</v>
      </c>
    </row>
    <row r="3233" spans="1:4" x14ac:dyDescent="0.2">
      <c r="A3233" s="3" t="s">
        <v>1103</v>
      </c>
      <c r="B3233" t="s">
        <v>8</v>
      </c>
      <c r="C3233" s="3" t="s">
        <v>1105</v>
      </c>
      <c r="D3233" s="3" t="s">
        <v>53</v>
      </c>
    </row>
    <row r="3234" spans="1:4" x14ac:dyDescent="0.2">
      <c r="A3234" s="3" t="s">
        <v>1103</v>
      </c>
      <c r="B3234" t="s">
        <v>8</v>
      </c>
      <c r="C3234" s="3" t="s">
        <v>1106</v>
      </c>
      <c r="D3234" s="3" t="s">
        <v>53</v>
      </c>
    </row>
    <row r="3235" spans="1:4" x14ac:dyDescent="0.2">
      <c r="A3235" s="3" t="s">
        <v>1103</v>
      </c>
      <c r="B3235" t="s">
        <v>8</v>
      </c>
      <c r="C3235" s="3" t="s">
        <v>1107</v>
      </c>
      <c r="D3235" s="3" t="s">
        <v>53</v>
      </c>
    </row>
    <row r="3236" spans="1:4" x14ac:dyDescent="0.2">
      <c r="A3236" s="3" t="s">
        <v>1103</v>
      </c>
      <c r="B3236" t="s">
        <v>8</v>
      </c>
      <c r="C3236" s="3" t="s">
        <v>1108</v>
      </c>
      <c r="D3236" s="3" t="s">
        <v>53</v>
      </c>
    </row>
    <row r="3237" spans="1:4" x14ac:dyDescent="0.2">
      <c r="A3237" s="3" t="s">
        <v>1103</v>
      </c>
      <c r="B3237" t="s">
        <v>8</v>
      </c>
      <c r="C3237" s="3" t="s">
        <v>1109</v>
      </c>
      <c r="D3237" s="3" t="s">
        <v>53</v>
      </c>
    </row>
    <row r="3238" spans="1:4" x14ac:dyDescent="0.2">
      <c r="A3238" s="3" t="s">
        <v>1103</v>
      </c>
      <c r="B3238" t="s">
        <v>8</v>
      </c>
      <c r="C3238" s="3" t="s">
        <v>1110</v>
      </c>
      <c r="D3238" s="3" t="s">
        <v>53</v>
      </c>
    </row>
    <row r="3239" spans="1:4" x14ac:dyDescent="0.2">
      <c r="A3239" s="3" t="s">
        <v>1103</v>
      </c>
      <c r="B3239" t="s">
        <v>8</v>
      </c>
      <c r="C3239" s="3" t="s">
        <v>1111</v>
      </c>
      <c r="D3239" s="3" t="s">
        <v>53</v>
      </c>
    </row>
    <row r="3240" spans="1:4" x14ac:dyDescent="0.2">
      <c r="A3240" s="3" t="s">
        <v>1103</v>
      </c>
      <c r="B3240" t="s">
        <v>8</v>
      </c>
      <c r="C3240" s="3" t="s">
        <v>1112</v>
      </c>
      <c r="D3240" s="3" t="s">
        <v>53</v>
      </c>
    </row>
    <row r="3241" spans="1:4" x14ac:dyDescent="0.2">
      <c r="A3241" s="3" t="s">
        <v>1103</v>
      </c>
      <c r="B3241" t="s">
        <v>8</v>
      </c>
      <c r="C3241" s="3" t="s">
        <v>1113</v>
      </c>
      <c r="D3241" s="3" t="s">
        <v>53</v>
      </c>
    </row>
    <row r="3242" spans="1:4" x14ac:dyDescent="0.2">
      <c r="A3242" s="3" t="s">
        <v>1103</v>
      </c>
      <c r="B3242" t="s">
        <v>8</v>
      </c>
      <c r="C3242" s="3" t="s">
        <v>1114</v>
      </c>
      <c r="D3242" s="3" t="s">
        <v>53</v>
      </c>
    </row>
    <row r="3243" spans="1:4" x14ac:dyDescent="0.2">
      <c r="A3243" s="3" t="s">
        <v>1103</v>
      </c>
      <c r="B3243" t="s">
        <v>8</v>
      </c>
      <c r="C3243" s="3" t="s">
        <v>1115</v>
      </c>
      <c r="D3243" s="3" t="s">
        <v>53</v>
      </c>
    </row>
    <row r="3244" spans="1:4" x14ac:dyDescent="0.2">
      <c r="A3244" s="3" t="s">
        <v>1103</v>
      </c>
      <c r="B3244" t="s">
        <v>8</v>
      </c>
      <c r="C3244" s="3" t="s">
        <v>1116</v>
      </c>
      <c r="D3244" s="3" t="s">
        <v>53</v>
      </c>
    </row>
    <row r="3245" spans="1:4" x14ac:dyDescent="0.2">
      <c r="A3245" s="3" t="s">
        <v>1103</v>
      </c>
      <c r="B3245" t="s">
        <v>8</v>
      </c>
      <c r="C3245" s="3" t="s">
        <v>1117</v>
      </c>
      <c r="D3245" s="3" t="s">
        <v>53</v>
      </c>
    </row>
    <row r="3246" spans="1:4" x14ac:dyDescent="0.2">
      <c r="A3246" s="3" t="s">
        <v>1103</v>
      </c>
      <c r="B3246" t="s">
        <v>8</v>
      </c>
      <c r="C3246" s="3" t="s">
        <v>1118</v>
      </c>
      <c r="D3246" s="3" t="s">
        <v>53</v>
      </c>
    </row>
    <row r="3247" spans="1:4" x14ac:dyDescent="0.2">
      <c r="A3247" s="3" t="s">
        <v>1103</v>
      </c>
      <c r="B3247" t="s">
        <v>8</v>
      </c>
      <c r="C3247" s="3" t="s">
        <v>1119</v>
      </c>
      <c r="D3247" s="3" t="s">
        <v>53</v>
      </c>
    </row>
    <row r="3248" spans="1:4" x14ac:dyDescent="0.2">
      <c r="A3248" s="3" t="s">
        <v>1103</v>
      </c>
      <c r="B3248" t="s">
        <v>8</v>
      </c>
      <c r="C3248" s="3" t="s">
        <v>1120</v>
      </c>
      <c r="D3248" s="3" t="s">
        <v>53</v>
      </c>
    </row>
    <row r="3249" spans="1:4" x14ac:dyDescent="0.2">
      <c r="A3249" s="3" t="s">
        <v>1103</v>
      </c>
      <c r="B3249" t="s">
        <v>8</v>
      </c>
      <c r="C3249" s="3" t="s">
        <v>1121</v>
      </c>
      <c r="D3249" s="3" t="s">
        <v>53</v>
      </c>
    </row>
    <row r="3250" spans="1:4" x14ac:dyDescent="0.2">
      <c r="A3250" s="3" t="s">
        <v>1103</v>
      </c>
      <c r="B3250" t="s">
        <v>8</v>
      </c>
      <c r="C3250" s="3" t="s">
        <v>1122</v>
      </c>
      <c r="D3250" s="3" t="s">
        <v>53</v>
      </c>
    </row>
    <row r="3251" spans="1:4" x14ac:dyDescent="0.2">
      <c r="A3251" s="3" t="s">
        <v>1103</v>
      </c>
      <c r="B3251" t="s">
        <v>8</v>
      </c>
      <c r="C3251" s="3" t="s">
        <v>1123</v>
      </c>
      <c r="D3251" s="3" t="s">
        <v>53</v>
      </c>
    </row>
    <row r="3252" spans="1:4" x14ac:dyDescent="0.2">
      <c r="A3252" s="3" t="s">
        <v>1103</v>
      </c>
      <c r="B3252" t="s">
        <v>8</v>
      </c>
      <c r="C3252" s="3" t="s">
        <v>1124</v>
      </c>
      <c r="D3252" s="3" t="s">
        <v>53</v>
      </c>
    </row>
    <row r="3253" spans="1:4" x14ac:dyDescent="0.2">
      <c r="A3253" s="3" t="s">
        <v>1103</v>
      </c>
      <c r="B3253" t="s">
        <v>8</v>
      </c>
      <c r="C3253" s="3" t="s">
        <v>1125</v>
      </c>
      <c r="D3253" s="3" t="s">
        <v>53</v>
      </c>
    </row>
    <row r="3254" spans="1:4" x14ac:dyDescent="0.2">
      <c r="A3254" s="3" t="s">
        <v>1103</v>
      </c>
      <c r="B3254" t="s">
        <v>8</v>
      </c>
      <c r="C3254" s="3" t="s">
        <v>972</v>
      </c>
      <c r="D3254" s="3" t="s">
        <v>54</v>
      </c>
    </row>
    <row r="3255" spans="1:4" x14ac:dyDescent="0.2">
      <c r="A3255" s="3" t="s">
        <v>1103</v>
      </c>
      <c r="B3255" t="s">
        <v>8</v>
      </c>
      <c r="C3255" s="3" t="s">
        <v>973</v>
      </c>
      <c r="D3255" s="3" t="s">
        <v>54</v>
      </c>
    </row>
    <row r="3256" spans="1:4" x14ac:dyDescent="0.2">
      <c r="A3256" s="3" t="s">
        <v>1103</v>
      </c>
      <c r="B3256" t="s">
        <v>8</v>
      </c>
      <c r="C3256" s="3" t="s">
        <v>1104</v>
      </c>
      <c r="D3256" s="3" t="s">
        <v>54</v>
      </c>
    </row>
    <row r="3257" spans="1:4" x14ac:dyDescent="0.2">
      <c r="A3257" s="3" t="s">
        <v>1103</v>
      </c>
      <c r="B3257" t="s">
        <v>8</v>
      </c>
      <c r="C3257" s="3" t="s">
        <v>299</v>
      </c>
      <c r="D3257" s="3" t="s">
        <v>54</v>
      </c>
    </row>
    <row r="3258" spans="1:4" x14ac:dyDescent="0.2">
      <c r="A3258" s="3" t="s">
        <v>1103</v>
      </c>
      <c r="B3258" t="s">
        <v>8</v>
      </c>
      <c r="C3258" s="3" t="s">
        <v>300</v>
      </c>
      <c r="D3258" s="3" t="s">
        <v>54</v>
      </c>
    </row>
    <row r="3259" spans="1:4" x14ac:dyDescent="0.2">
      <c r="A3259" s="3" t="s">
        <v>1103</v>
      </c>
      <c r="B3259" t="s">
        <v>8</v>
      </c>
      <c r="C3259" s="3" t="s">
        <v>1126</v>
      </c>
      <c r="D3259" s="3" t="s">
        <v>54</v>
      </c>
    </row>
    <row r="3260" spans="1:4" x14ac:dyDescent="0.2">
      <c r="A3260" s="3" t="s">
        <v>1103</v>
      </c>
      <c r="B3260" t="s">
        <v>8</v>
      </c>
      <c r="C3260" s="3" t="s">
        <v>1105</v>
      </c>
      <c r="D3260" s="3" t="s">
        <v>54</v>
      </c>
    </row>
    <row r="3261" spans="1:4" x14ac:dyDescent="0.2">
      <c r="A3261" s="3" t="s">
        <v>1103</v>
      </c>
      <c r="B3261" t="s">
        <v>8</v>
      </c>
      <c r="C3261" s="3" t="s">
        <v>1106</v>
      </c>
      <c r="D3261" s="3" t="s">
        <v>54</v>
      </c>
    </row>
    <row r="3262" spans="1:4" x14ac:dyDescent="0.2">
      <c r="A3262" s="3" t="s">
        <v>1103</v>
      </c>
      <c r="B3262" t="s">
        <v>8</v>
      </c>
      <c r="C3262" s="3" t="s">
        <v>1107</v>
      </c>
      <c r="D3262" s="3" t="s">
        <v>54</v>
      </c>
    </row>
    <row r="3263" spans="1:4" x14ac:dyDescent="0.2">
      <c r="A3263" s="3" t="s">
        <v>1103</v>
      </c>
      <c r="B3263" t="s">
        <v>8</v>
      </c>
      <c r="C3263" s="3" t="s">
        <v>1108</v>
      </c>
      <c r="D3263" s="3" t="s">
        <v>54</v>
      </c>
    </row>
    <row r="3264" spans="1:4" x14ac:dyDescent="0.2">
      <c r="A3264" s="3" t="s">
        <v>1103</v>
      </c>
      <c r="B3264" t="s">
        <v>8</v>
      </c>
      <c r="C3264" s="3" t="s">
        <v>1109</v>
      </c>
      <c r="D3264" s="3" t="s">
        <v>54</v>
      </c>
    </row>
    <row r="3265" spans="1:4" x14ac:dyDescent="0.2">
      <c r="A3265" s="3" t="s">
        <v>1103</v>
      </c>
      <c r="B3265" t="s">
        <v>8</v>
      </c>
      <c r="C3265" s="3" t="s">
        <v>1110</v>
      </c>
      <c r="D3265" s="3" t="s">
        <v>54</v>
      </c>
    </row>
    <row r="3266" spans="1:4" x14ac:dyDescent="0.2">
      <c r="A3266" s="3" t="s">
        <v>1103</v>
      </c>
      <c r="B3266" t="s">
        <v>8</v>
      </c>
      <c r="C3266" s="3" t="s">
        <v>1111</v>
      </c>
      <c r="D3266" s="3" t="s">
        <v>54</v>
      </c>
    </row>
    <row r="3267" spans="1:4" x14ac:dyDescent="0.2">
      <c r="A3267" s="3" t="s">
        <v>1103</v>
      </c>
      <c r="B3267" t="s">
        <v>8</v>
      </c>
      <c r="C3267" s="3" t="s">
        <v>1112</v>
      </c>
      <c r="D3267" s="3" t="s">
        <v>54</v>
      </c>
    </row>
    <row r="3268" spans="1:4" x14ac:dyDescent="0.2">
      <c r="A3268" s="3" t="s">
        <v>1103</v>
      </c>
      <c r="B3268" t="s">
        <v>8</v>
      </c>
      <c r="C3268" s="3" t="s">
        <v>1113</v>
      </c>
      <c r="D3268" s="3" t="s">
        <v>54</v>
      </c>
    </row>
    <row r="3269" spans="1:4" x14ac:dyDescent="0.2">
      <c r="A3269" s="3" t="s">
        <v>1103</v>
      </c>
      <c r="B3269" t="s">
        <v>8</v>
      </c>
      <c r="C3269" s="3" t="s">
        <v>1114</v>
      </c>
      <c r="D3269" s="3" t="s">
        <v>54</v>
      </c>
    </row>
    <row r="3270" spans="1:4" x14ac:dyDescent="0.2">
      <c r="A3270" s="3" t="s">
        <v>1103</v>
      </c>
      <c r="B3270" t="s">
        <v>8</v>
      </c>
      <c r="C3270" s="3" t="s">
        <v>1115</v>
      </c>
      <c r="D3270" s="3" t="s">
        <v>54</v>
      </c>
    </row>
    <row r="3271" spans="1:4" x14ac:dyDescent="0.2">
      <c r="A3271" s="3" t="s">
        <v>1103</v>
      </c>
      <c r="B3271" t="s">
        <v>8</v>
      </c>
      <c r="C3271" s="3" t="s">
        <v>1116</v>
      </c>
      <c r="D3271" s="3" t="s">
        <v>54</v>
      </c>
    </row>
    <row r="3272" spans="1:4" x14ac:dyDescent="0.2">
      <c r="A3272" s="3" t="s">
        <v>1103</v>
      </c>
      <c r="B3272" t="s">
        <v>8</v>
      </c>
      <c r="C3272" s="3" t="s">
        <v>1117</v>
      </c>
      <c r="D3272" s="3" t="s">
        <v>54</v>
      </c>
    </row>
    <row r="3273" spans="1:4" x14ac:dyDescent="0.2">
      <c r="A3273" s="3" t="s">
        <v>1103</v>
      </c>
      <c r="B3273" t="s">
        <v>8</v>
      </c>
      <c r="C3273" s="3" t="s">
        <v>1118</v>
      </c>
      <c r="D3273" s="3" t="s">
        <v>54</v>
      </c>
    </row>
    <row r="3274" spans="1:4" x14ac:dyDescent="0.2">
      <c r="A3274" s="3" t="s">
        <v>1103</v>
      </c>
      <c r="B3274" t="s">
        <v>8</v>
      </c>
      <c r="C3274" s="3" t="s">
        <v>1119</v>
      </c>
      <c r="D3274" s="3" t="s">
        <v>54</v>
      </c>
    </row>
    <row r="3275" spans="1:4" x14ac:dyDescent="0.2">
      <c r="A3275" s="3" t="s">
        <v>1103</v>
      </c>
      <c r="B3275" t="s">
        <v>8</v>
      </c>
      <c r="C3275" s="3" t="s">
        <v>1120</v>
      </c>
      <c r="D3275" s="3" t="s">
        <v>54</v>
      </c>
    </row>
    <row r="3276" spans="1:4" x14ac:dyDescent="0.2">
      <c r="A3276" s="3" t="s">
        <v>1103</v>
      </c>
      <c r="B3276" t="s">
        <v>8</v>
      </c>
      <c r="C3276" s="3" t="s">
        <v>1121</v>
      </c>
      <c r="D3276" s="3" t="s">
        <v>54</v>
      </c>
    </row>
    <row r="3277" spans="1:4" x14ac:dyDescent="0.2">
      <c r="A3277" s="3" t="s">
        <v>1103</v>
      </c>
      <c r="B3277" t="s">
        <v>8</v>
      </c>
      <c r="C3277" s="3" t="s">
        <v>1122</v>
      </c>
      <c r="D3277" s="3" t="s">
        <v>54</v>
      </c>
    </row>
    <row r="3278" spans="1:4" x14ac:dyDescent="0.2">
      <c r="A3278" s="3" t="s">
        <v>1103</v>
      </c>
      <c r="B3278" t="s">
        <v>8</v>
      </c>
      <c r="C3278" s="3" t="s">
        <v>1123</v>
      </c>
      <c r="D3278" s="3" t="s">
        <v>54</v>
      </c>
    </row>
    <row r="3279" spans="1:4" x14ac:dyDescent="0.2">
      <c r="A3279" s="3" t="s">
        <v>1103</v>
      </c>
      <c r="B3279" t="s">
        <v>8</v>
      </c>
      <c r="C3279" s="3" t="s">
        <v>1124</v>
      </c>
      <c r="D3279" s="3" t="s">
        <v>54</v>
      </c>
    </row>
    <row r="3280" spans="1:4" x14ac:dyDescent="0.2">
      <c r="A3280" s="3" t="s">
        <v>1103</v>
      </c>
      <c r="B3280" t="s">
        <v>8</v>
      </c>
      <c r="C3280" s="3" t="s">
        <v>1125</v>
      </c>
      <c r="D3280" s="3" t="s">
        <v>54</v>
      </c>
    </row>
    <row r="3281" spans="1:4" x14ac:dyDescent="0.2">
      <c r="A3281" s="3" t="s">
        <v>1103</v>
      </c>
      <c r="B3281" t="s">
        <v>8</v>
      </c>
      <c r="C3281" s="3" t="s">
        <v>1127</v>
      </c>
      <c r="D3281" s="3" t="s">
        <v>54</v>
      </c>
    </row>
    <row r="3282" spans="1:4" x14ac:dyDescent="0.2">
      <c r="A3282" s="3" t="s">
        <v>1103</v>
      </c>
      <c r="B3282" t="s">
        <v>8</v>
      </c>
      <c r="C3282" s="3" t="s">
        <v>972</v>
      </c>
      <c r="D3282" s="3" t="s">
        <v>55</v>
      </c>
    </row>
    <row r="3283" spans="1:4" x14ac:dyDescent="0.2">
      <c r="A3283" s="3" t="s">
        <v>1103</v>
      </c>
      <c r="B3283" t="s">
        <v>8</v>
      </c>
      <c r="C3283" s="3" t="s">
        <v>973</v>
      </c>
      <c r="D3283" s="3" t="s">
        <v>55</v>
      </c>
    </row>
    <row r="3284" spans="1:4" x14ac:dyDescent="0.2">
      <c r="A3284" s="3" t="s">
        <v>1103</v>
      </c>
      <c r="B3284" t="s">
        <v>8</v>
      </c>
      <c r="C3284" s="3" t="s">
        <v>1104</v>
      </c>
      <c r="D3284" s="3" t="s">
        <v>55</v>
      </c>
    </row>
    <row r="3285" spans="1:4" x14ac:dyDescent="0.2">
      <c r="A3285" s="3" t="s">
        <v>1103</v>
      </c>
      <c r="B3285" t="s">
        <v>8</v>
      </c>
      <c r="C3285" s="3" t="s">
        <v>299</v>
      </c>
      <c r="D3285" s="3" t="s">
        <v>55</v>
      </c>
    </row>
    <row r="3286" spans="1:4" x14ac:dyDescent="0.2">
      <c r="A3286" s="3" t="s">
        <v>1103</v>
      </c>
      <c r="B3286" t="s">
        <v>8</v>
      </c>
      <c r="C3286" s="3" t="s">
        <v>300</v>
      </c>
      <c r="D3286" s="3" t="s">
        <v>55</v>
      </c>
    </row>
    <row r="3287" spans="1:4" x14ac:dyDescent="0.2">
      <c r="A3287" s="3" t="s">
        <v>1103</v>
      </c>
      <c r="B3287" t="s">
        <v>8</v>
      </c>
      <c r="C3287" s="3" t="s">
        <v>1126</v>
      </c>
      <c r="D3287" s="3" t="s">
        <v>55</v>
      </c>
    </row>
    <row r="3288" spans="1:4" x14ac:dyDescent="0.2">
      <c r="A3288" s="3" t="s">
        <v>1103</v>
      </c>
      <c r="B3288" t="s">
        <v>8</v>
      </c>
      <c r="C3288" s="3" t="s">
        <v>1105</v>
      </c>
      <c r="D3288" s="3" t="s">
        <v>55</v>
      </c>
    </row>
    <row r="3289" spans="1:4" x14ac:dyDescent="0.2">
      <c r="A3289" s="3" t="s">
        <v>1103</v>
      </c>
      <c r="B3289" t="s">
        <v>8</v>
      </c>
      <c r="C3289" s="3" t="s">
        <v>1106</v>
      </c>
      <c r="D3289" s="3" t="s">
        <v>55</v>
      </c>
    </row>
    <row r="3290" spans="1:4" x14ac:dyDescent="0.2">
      <c r="A3290" s="3" t="s">
        <v>1103</v>
      </c>
      <c r="B3290" t="s">
        <v>8</v>
      </c>
      <c r="C3290" s="3" t="s">
        <v>1107</v>
      </c>
      <c r="D3290" s="3" t="s">
        <v>55</v>
      </c>
    </row>
    <row r="3291" spans="1:4" x14ac:dyDescent="0.2">
      <c r="A3291" s="3" t="s">
        <v>1103</v>
      </c>
      <c r="B3291" t="s">
        <v>8</v>
      </c>
      <c r="C3291" s="3" t="s">
        <v>1108</v>
      </c>
      <c r="D3291" s="3" t="s">
        <v>55</v>
      </c>
    </row>
    <row r="3292" spans="1:4" x14ac:dyDescent="0.2">
      <c r="A3292" s="3" t="s">
        <v>1103</v>
      </c>
      <c r="B3292" t="s">
        <v>8</v>
      </c>
      <c r="C3292" s="3" t="s">
        <v>1109</v>
      </c>
      <c r="D3292" s="3" t="s">
        <v>55</v>
      </c>
    </row>
    <row r="3293" spans="1:4" x14ac:dyDescent="0.2">
      <c r="A3293" s="3" t="s">
        <v>1103</v>
      </c>
      <c r="B3293" t="s">
        <v>8</v>
      </c>
      <c r="C3293" s="3" t="s">
        <v>1110</v>
      </c>
      <c r="D3293" s="3" t="s">
        <v>55</v>
      </c>
    </row>
    <row r="3294" spans="1:4" x14ac:dyDescent="0.2">
      <c r="A3294" s="3" t="s">
        <v>1103</v>
      </c>
      <c r="B3294" t="s">
        <v>8</v>
      </c>
      <c r="C3294" s="3" t="s">
        <v>1111</v>
      </c>
      <c r="D3294" s="3" t="s">
        <v>55</v>
      </c>
    </row>
    <row r="3295" spans="1:4" x14ac:dyDescent="0.2">
      <c r="A3295" s="3" t="s">
        <v>1103</v>
      </c>
      <c r="B3295" t="s">
        <v>8</v>
      </c>
      <c r="C3295" s="3" t="s">
        <v>1112</v>
      </c>
      <c r="D3295" s="3" t="s">
        <v>55</v>
      </c>
    </row>
    <row r="3296" spans="1:4" x14ac:dyDescent="0.2">
      <c r="A3296" s="3" t="s">
        <v>1103</v>
      </c>
      <c r="B3296" t="s">
        <v>8</v>
      </c>
      <c r="C3296" s="3" t="s">
        <v>1113</v>
      </c>
      <c r="D3296" s="3" t="s">
        <v>55</v>
      </c>
    </row>
    <row r="3297" spans="1:4" x14ac:dyDescent="0.2">
      <c r="A3297" s="3" t="s">
        <v>1103</v>
      </c>
      <c r="B3297" t="s">
        <v>8</v>
      </c>
      <c r="C3297" s="3" t="s">
        <v>1114</v>
      </c>
      <c r="D3297" s="3" t="s">
        <v>55</v>
      </c>
    </row>
    <row r="3298" spans="1:4" x14ac:dyDescent="0.2">
      <c r="A3298" s="3" t="s">
        <v>1103</v>
      </c>
      <c r="B3298" t="s">
        <v>8</v>
      </c>
      <c r="C3298" s="3" t="s">
        <v>1115</v>
      </c>
      <c r="D3298" s="3" t="s">
        <v>55</v>
      </c>
    </row>
    <row r="3299" spans="1:4" x14ac:dyDescent="0.2">
      <c r="A3299" s="3" t="s">
        <v>1103</v>
      </c>
      <c r="B3299" t="s">
        <v>8</v>
      </c>
      <c r="C3299" s="3" t="s">
        <v>1116</v>
      </c>
      <c r="D3299" s="3" t="s">
        <v>55</v>
      </c>
    </row>
    <row r="3300" spans="1:4" x14ac:dyDescent="0.2">
      <c r="A3300" s="3" t="s">
        <v>1103</v>
      </c>
      <c r="B3300" t="s">
        <v>8</v>
      </c>
      <c r="C3300" s="3" t="s">
        <v>1117</v>
      </c>
      <c r="D3300" s="3" t="s">
        <v>55</v>
      </c>
    </row>
    <row r="3301" spans="1:4" x14ac:dyDescent="0.2">
      <c r="A3301" s="3" t="s">
        <v>1103</v>
      </c>
      <c r="B3301" t="s">
        <v>8</v>
      </c>
      <c r="C3301" s="3" t="s">
        <v>1118</v>
      </c>
      <c r="D3301" s="3" t="s">
        <v>55</v>
      </c>
    </row>
    <row r="3302" spans="1:4" x14ac:dyDescent="0.2">
      <c r="A3302" s="3" t="s">
        <v>1103</v>
      </c>
      <c r="B3302" t="s">
        <v>8</v>
      </c>
      <c r="C3302" s="3" t="s">
        <v>1119</v>
      </c>
      <c r="D3302" s="3" t="s">
        <v>55</v>
      </c>
    </row>
    <row r="3303" spans="1:4" x14ac:dyDescent="0.2">
      <c r="A3303" s="3" t="s">
        <v>1103</v>
      </c>
      <c r="B3303" t="s">
        <v>8</v>
      </c>
      <c r="C3303" s="3" t="s">
        <v>1120</v>
      </c>
      <c r="D3303" s="3" t="s">
        <v>55</v>
      </c>
    </row>
    <row r="3304" spans="1:4" x14ac:dyDescent="0.2">
      <c r="A3304" s="3" t="s">
        <v>1103</v>
      </c>
      <c r="B3304" t="s">
        <v>8</v>
      </c>
      <c r="C3304" s="3" t="s">
        <v>1121</v>
      </c>
      <c r="D3304" s="3" t="s">
        <v>55</v>
      </c>
    </row>
    <row r="3305" spans="1:4" x14ac:dyDescent="0.2">
      <c r="A3305" s="3" t="s">
        <v>1103</v>
      </c>
      <c r="B3305" t="s">
        <v>8</v>
      </c>
      <c r="C3305" s="3" t="s">
        <v>1122</v>
      </c>
      <c r="D3305" s="3" t="s">
        <v>55</v>
      </c>
    </row>
    <row r="3306" spans="1:4" x14ac:dyDescent="0.2">
      <c r="A3306" s="3" t="s">
        <v>1103</v>
      </c>
      <c r="B3306" t="s">
        <v>8</v>
      </c>
      <c r="C3306" s="3" t="s">
        <v>1123</v>
      </c>
      <c r="D3306" s="3" t="s">
        <v>55</v>
      </c>
    </row>
    <row r="3307" spans="1:4" x14ac:dyDescent="0.2">
      <c r="A3307" s="3" t="s">
        <v>1103</v>
      </c>
      <c r="B3307" t="s">
        <v>8</v>
      </c>
      <c r="C3307" s="3" t="s">
        <v>1124</v>
      </c>
      <c r="D3307" s="3" t="s">
        <v>55</v>
      </c>
    </row>
    <row r="3308" spans="1:4" x14ac:dyDescent="0.2">
      <c r="A3308" s="3" t="s">
        <v>1103</v>
      </c>
      <c r="B3308" t="s">
        <v>8</v>
      </c>
      <c r="C3308" s="3" t="s">
        <v>1125</v>
      </c>
      <c r="D3308" s="3" t="s">
        <v>55</v>
      </c>
    </row>
    <row r="3309" spans="1:4" x14ac:dyDescent="0.2">
      <c r="A3309" s="3" t="s">
        <v>1103</v>
      </c>
      <c r="B3309" t="s">
        <v>8</v>
      </c>
      <c r="C3309" s="3" t="s">
        <v>1128</v>
      </c>
      <c r="D3309" s="3" t="s">
        <v>55</v>
      </c>
    </row>
    <row r="3310" spans="1:4" x14ac:dyDescent="0.2">
      <c r="A3310" s="3" t="s">
        <v>1103</v>
      </c>
      <c r="B3310" t="s">
        <v>8</v>
      </c>
      <c r="C3310" s="3" t="s">
        <v>972</v>
      </c>
      <c r="D3310" s="3" t="s">
        <v>56</v>
      </c>
    </row>
    <row r="3311" spans="1:4" x14ac:dyDescent="0.2">
      <c r="A3311" s="3" t="s">
        <v>1103</v>
      </c>
      <c r="B3311" t="s">
        <v>8</v>
      </c>
      <c r="C3311" s="3" t="s">
        <v>973</v>
      </c>
      <c r="D3311" s="3" t="s">
        <v>56</v>
      </c>
    </row>
    <row r="3312" spans="1:4" x14ac:dyDescent="0.2">
      <c r="A3312" s="3" t="s">
        <v>1103</v>
      </c>
      <c r="B3312" t="s">
        <v>8</v>
      </c>
      <c r="C3312" s="3" t="s">
        <v>1104</v>
      </c>
      <c r="D3312" s="3" t="s">
        <v>56</v>
      </c>
    </row>
    <row r="3313" spans="1:4" x14ac:dyDescent="0.2">
      <c r="A3313" s="3" t="s">
        <v>1103</v>
      </c>
      <c r="B3313" t="s">
        <v>8</v>
      </c>
      <c r="C3313" s="3" t="s">
        <v>299</v>
      </c>
      <c r="D3313" s="3" t="s">
        <v>56</v>
      </c>
    </row>
    <row r="3314" spans="1:4" x14ac:dyDescent="0.2">
      <c r="A3314" s="3" t="s">
        <v>1103</v>
      </c>
      <c r="B3314" t="s">
        <v>8</v>
      </c>
      <c r="C3314" s="3" t="s">
        <v>300</v>
      </c>
      <c r="D3314" s="3" t="s">
        <v>56</v>
      </c>
    </row>
    <row r="3315" spans="1:4" x14ac:dyDescent="0.2">
      <c r="A3315" s="3" t="s">
        <v>1103</v>
      </c>
      <c r="B3315" t="s">
        <v>8</v>
      </c>
      <c r="C3315" s="3" t="s">
        <v>1126</v>
      </c>
      <c r="D3315" s="3" t="s">
        <v>56</v>
      </c>
    </row>
    <row r="3316" spans="1:4" x14ac:dyDescent="0.2">
      <c r="A3316" s="3" t="s">
        <v>1103</v>
      </c>
      <c r="B3316" t="s">
        <v>8</v>
      </c>
      <c r="C3316" s="3" t="s">
        <v>1105</v>
      </c>
      <c r="D3316" s="3" t="s">
        <v>56</v>
      </c>
    </row>
    <row r="3317" spans="1:4" x14ac:dyDescent="0.2">
      <c r="A3317" s="3" t="s">
        <v>1103</v>
      </c>
      <c r="B3317" t="s">
        <v>8</v>
      </c>
      <c r="C3317" s="3" t="s">
        <v>1106</v>
      </c>
      <c r="D3317" s="3" t="s">
        <v>56</v>
      </c>
    </row>
    <row r="3318" spans="1:4" x14ac:dyDescent="0.2">
      <c r="A3318" s="3" t="s">
        <v>1103</v>
      </c>
      <c r="B3318" t="s">
        <v>8</v>
      </c>
      <c r="C3318" s="3" t="s">
        <v>1107</v>
      </c>
      <c r="D3318" s="3" t="s">
        <v>56</v>
      </c>
    </row>
    <row r="3319" spans="1:4" x14ac:dyDescent="0.2">
      <c r="A3319" s="3" t="s">
        <v>1103</v>
      </c>
      <c r="B3319" t="s">
        <v>8</v>
      </c>
      <c r="C3319" s="3" t="s">
        <v>1108</v>
      </c>
      <c r="D3319" s="3" t="s">
        <v>56</v>
      </c>
    </row>
    <row r="3320" spans="1:4" x14ac:dyDescent="0.2">
      <c r="A3320" s="3" t="s">
        <v>1103</v>
      </c>
      <c r="B3320" t="s">
        <v>8</v>
      </c>
      <c r="C3320" s="3" t="s">
        <v>1109</v>
      </c>
      <c r="D3320" s="3" t="s">
        <v>56</v>
      </c>
    </row>
    <row r="3321" spans="1:4" x14ac:dyDescent="0.2">
      <c r="A3321" s="3" t="s">
        <v>1103</v>
      </c>
      <c r="B3321" t="s">
        <v>8</v>
      </c>
      <c r="C3321" s="3" t="s">
        <v>1110</v>
      </c>
      <c r="D3321" s="3" t="s">
        <v>56</v>
      </c>
    </row>
    <row r="3322" spans="1:4" x14ac:dyDescent="0.2">
      <c r="A3322" s="3" t="s">
        <v>1103</v>
      </c>
      <c r="B3322" t="s">
        <v>8</v>
      </c>
      <c r="C3322" s="3" t="s">
        <v>1111</v>
      </c>
      <c r="D3322" s="3" t="s">
        <v>56</v>
      </c>
    </row>
    <row r="3323" spans="1:4" x14ac:dyDescent="0.2">
      <c r="A3323" s="3" t="s">
        <v>1103</v>
      </c>
      <c r="B3323" t="s">
        <v>8</v>
      </c>
      <c r="C3323" s="3" t="s">
        <v>1112</v>
      </c>
      <c r="D3323" s="3" t="s">
        <v>56</v>
      </c>
    </row>
    <row r="3324" spans="1:4" x14ac:dyDescent="0.2">
      <c r="A3324" s="3" t="s">
        <v>1103</v>
      </c>
      <c r="B3324" t="s">
        <v>8</v>
      </c>
      <c r="C3324" s="3" t="s">
        <v>1113</v>
      </c>
      <c r="D3324" s="3" t="s">
        <v>56</v>
      </c>
    </row>
    <row r="3325" spans="1:4" x14ac:dyDescent="0.2">
      <c r="A3325" s="3" t="s">
        <v>1103</v>
      </c>
      <c r="B3325" t="s">
        <v>8</v>
      </c>
      <c r="C3325" s="3" t="s">
        <v>1114</v>
      </c>
      <c r="D3325" s="3" t="s">
        <v>56</v>
      </c>
    </row>
    <row r="3326" spans="1:4" x14ac:dyDescent="0.2">
      <c r="A3326" s="3" t="s">
        <v>1103</v>
      </c>
      <c r="B3326" t="s">
        <v>8</v>
      </c>
      <c r="C3326" s="3" t="s">
        <v>1115</v>
      </c>
      <c r="D3326" s="3" t="s">
        <v>56</v>
      </c>
    </row>
    <row r="3327" spans="1:4" x14ac:dyDescent="0.2">
      <c r="A3327" s="3" t="s">
        <v>1103</v>
      </c>
      <c r="B3327" t="s">
        <v>8</v>
      </c>
      <c r="C3327" s="3" t="s">
        <v>1116</v>
      </c>
      <c r="D3327" s="3" t="s">
        <v>56</v>
      </c>
    </row>
    <row r="3328" spans="1:4" x14ac:dyDescent="0.2">
      <c r="A3328" s="3" t="s">
        <v>1103</v>
      </c>
      <c r="B3328" t="s">
        <v>8</v>
      </c>
      <c r="C3328" s="3" t="s">
        <v>1117</v>
      </c>
      <c r="D3328" s="3" t="s">
        <v>56</v>
      </c>
    </row>
    <row r="3329" spans="1:4" x14ac:dyDescent="0.2">
      <c r="A3329" s="3" t="s">
        <v>1103</v>
      </c>
      <c r="B3329" t="s">
        <v>8</v>
      </c>
      <c r="C3329" s="3" t="s">
        <v>1118</v>
      </c>
      <c r="D3329" s="3" t="s">
        <v>56</v>
      </c>
    </row>
    <row r="3330" spans="1:4" x14ac:dyDescent="0.2">
      <c r="A3330" s="3" t="s">
        <v>1103</v>
      </c>
      <c r="B3330" t="s">
        <v>8</v>
      </c>
      <c r="C3330" s="3" t="s">
        <v>1119</v>
      </c>
      <c r="D3330" s="3" t="s">
        <v>56</v>
      </c>
    </row>
    <row r="3331" spans="1:4" x14ac:dyDescent="0.2">
      <c r="A3331" s="3" t="s">
        <v>1103</v>
      </c>
      <c r="B3331" t="s">
        <v>8</v>
      </c>
      <c r="C3331" s="3" t="s">
        <v>1120</v>
      </c>
      <c r="D3331" s="3" t="s">
        <v>56</v>
      </c>
    </row>
    <row r="3332" spans="1:4" x14ac:dyDescent="0.2">
      <c r="A3332" s="3" t="s">
        <v>1103</v>
      </c>
      <c r="B3332" t="s">
        <v>8</v>
      </c>
      <c r="C3332" s="3" t="s">
        <v>1121</v>
      </c>
      <c r="D3332" s="3" t="s">
        <v>56</v>
      </c>
    </row>
    <row r="3333" spans="1:4" x14ac:dyDescent="0.2">
      <c r="A3333" s="3" t="s">
        <v>1103</v>
      </c>
      <c r="B3333" t="s">
        <v>8</v>
      </c>
      <c r="C3333" s="3" t="s">
        <v>1122</v>
      </c>
      <c r="D3333" s="3" t="s">
        <v>56</v>
      </c>
    </row>
    <row r="3334" spans="1:4" x14ac:dyDescent="0.2">
      <c r="A3334" s="3" t="s">
        <v>1103</v>
      </c>
      <c r="B3334" t="s">
        <v>8</v>
      </c>
      <c r="C3334" s="3" t="s">
        <v>1123</v>
      </c>
      <c r="D3334" s="3" t="s">
        <v>56</v>
      </c>
    </row>
    <row r="3335" spans="1:4" x14ac:dyDescent="0.2">
      <c r="A3335" s="3" t="s">
        <v>1103</v>
      </c>
      <c r="B3335" t="s">
        <v>8</v>
      </c>
      <c r="C3335" s="3" t="s">
        <v>1124</v>
      </c>
      <c r="D3335" s="3" t="s">
        <v>56</v>
      </c>
    </row>
    <row r="3336" spans="1:4" x14ac:dyDescent="0.2">
      <c r="A3336" s="3" t="s">
        <v>1103</v>
      </c>
      <c r="B3336" t="s">
        <v>8</v>
      </c>
      <c r="C3336" s="3" t="s">
        <v>1125</v>
      </c>
      <c r="D3336" s="3" t="s">
        <v>56</v>
      </c>
    </row>
    <row r="3337" spans="1:4" x14ac:dyDescent="0.2">
      <c r="A3337" s="3" t="s">
        <v>1103</v>
      </c>
      <c r="B3337" t="s">
        <v>8</v>
      </c>
      <c r="C3337" s="3" t="s">
        <v>1129</v>
      </c>
      <c r="D3337" s="3" t="s">
        <v>56</v>
      </c>
    </row>
    <row r="3338" spans="1:4" x14ac:dyDescent="0.2">
      <c r="A3338" s="3" t="s">
        <v>1103</v>
      </c>
      <c r="B3338" t="s">
        <v>8</v>
      </c>
      <c r="C3338" s="3" t="s">
        <v>972</v>
      </c>
      <c r="D3338" s="3" t="s">
        <v>57</v>
      </c>
    </row>
    <row r="3339" spans="1:4" x14ac:dyDescent="0.2">
      <c r="A3339" s="3" t="s">
        <v>1103</v>
      </c>
      <c r="B3339" t="s">
        <v>8</v>
      </c>
      <c r="C3339" s="3" t="s">
        <v>973</v>
      </c>
      <c r="D3339" s="3" t="s">
        <v>57</v>
      </c>
    </row>
    <row r="3340" spans="1:4" x14ac:dyDescent="0.2">
      <c r="A3340" s="3" t="s">
        <v>1103</v>
      </c>
      <c r="B3340" t="s">
        <v>8</v>
      </c>
      <c r="C3340" s="3" t="s">
        <v>1104</v>
      </c>
      <c r="D3340" s="3" t="s">
        <v>57</v>
      </c>
    </row>
    <row r="3341" spans="1:4" x14ac:dyDescent="0.2">
      <c r="A3341" s="3" t="s">
        <v>1103</v>
      </c>
      <c r="B3341" t="s">
        <v>8</v>
      </c>
      <c r="C3341" s="3" t="s">
        <v>299</v>
      </c>
      <c r="D3341" s="3" t="s">
        <v>57</v>
      </c>
    </row>
    <row r="3342" spans="1:4" x14ac:dyDescent="0.2">
      <c r="A3342" s="3" t="s">
        <v>1103</v>
      </c>
      <c r="B3342" t="s">
        <v>8</v>
      </c>
      <c r="C3342" s="3" t="s">
        <v>300</v>
      </c>
      <c r="D3342" s="3" t="s">
        <v>57</v>
      </c>
    </row>
    <row r="3343" spans="1:4" x14ac:dyDescent="0.2">
      <c r="A3343" s="3" t="s">
        <v>1103</v>
      </c>
      <c r="B3343" t="s">
        <v>8</v>
      </c>
      <c r="C3343" s="3" t="s">
        <v>1126</v>
      </c>
      <c r="D3343" s="3" t="s">
        <v>57</v>
      </c>
    </row>
    <row r="3344" spans="1:4" x14ac:dyDescent="0.2">
      <c r="A3344" s="3" t="s">
        <v>1103</v>
      </c>
      <c r="B3344" t="s">
        <v>8</v>
      </c>
      <c r="C3344" s="3" t="s">
        <v>1105</v>
      </c>
      <c r="D3344" s="3" t="s">
        <v>57</v>
      </c>
    </row>
    <row r="3345" spans="1:4" x14ac:dyDescent="0.2">
      <c r="A3345" s="3" t="s">
        <v>1103</v>
      </c>
      <c r="B3345" t="s">
        <v>8</v>
      </c>
      <c r="C3345" s="3" t="s">
        <v>1106</v>
      </c>
      <c r="D3345" s="3" t="s">
        <v>57</v>
      </c>
    </row>
    <row r="3346" spans="1:4" x14ac:dyDescent="0.2">
      <c r="A3346" s="3" t="s">
        <v>1103</v>
      </c>
      <c r="B3346" t="s">
        <v>8</v>
      </c>
      <c r="C3346" s="3" t="s">
        <v>1107</v>
      </c>
      <c r="D3346" s="3" t="s">
        <v>57</v>
      </c>
    </row>
    <row r="3347" spans="1:4" x14ac:dyDescent="0.2">
      <c r="A3347" s="3" t="s">
        <v>1103</v>
      </c>
      <c r="B3347" t="s">
        <v>8</v>
      </c>
      <c r="C3347" s="3" t="s">
        <v>1108</v>
      </c>
      <c r="D3347" s="3" t="s">
        <v>57</v>
      </c>
    </row>
    <row r="3348" spans="1:4" x14ac:dyDescent="0.2">
      <c r="A3348" s="3" t="s">
        <v>1103</v>
      </c>
      <c r="B3348" t="s">
        <v>8</v>
      </c>
      <c r="C3348" s="3" t="s">
        <v>1109</v>
      </c>
      <c r="D3348" s="3" t="s">
        <v>57</v>
      </c>
    </row>
    <row r="3349" spans="1:4" x14ac:dyDescent="0.2">
      <c r="A3349" s="3" t="s">
        <v>1103</v>
      </c>
      <c r="B3349" t="s">
        <v>8</v>
      </c>
      <c r="C3349" s="3" t="s">
        <v>1110</v>
      </c>
      <c r="D3349" s="3" t="s">
        <v>57</v>
      </c>
    </row>
    <row r="3350" spans="1:4" x14ac:dyDescent="0.2">
      <c r="A3350" s="3" t="s">
        <v>1103</v>
      </c>
      <c r="B3350" t="s">
        <v>8</v>
      </c>
      <c r="C3350" s="3" t="s">
        <v>1111</v>
      </c>
      <c r="D3350" s="3" t="s">
        <v>57</v>
      </c>
    </row>
    <row r="3351" spans="1:4" x14ac:dyDescent="0.2">
      <c r="A3351" s="3" t="s">
        <v>1103</v>
      </c>
      <c r="B3351" t="s">
        <v>8</v>
      </c>
      <c r="C3351" s="3" t="s">
        <v>1112</v>
      </c>
      <c r="D3351" s="3" t="s">
        <v>57</v>
      </c>
    </row>
    <row r="3352" spans="1:4" x14ac:dyDescent="0.2">
      <c r="A3352" s="3" t="s">
        <v>1103</v>
      </c>
      <c r="B3352" t="s">
        <v>8</v>
      </c>
      <c r="C3352" s="3" t="s">
        <v>1113</v>
      </c>
      <c r="D3352" s="3" t="s">
        <v>57</v>
      </c>
    </row>
    <row r="3353" spans="1:4" x14ac:dyDescent="0.2">
      <c r="A3353" s="3" t="s">
        <v>1103</v>
      </c>
      <c r="B3353" t="s">
        <v>8</v>
      </c>
      <c r="C3353" s="3" t="s">
        <v>1114</v>
      </c>
      <c r="D3353" s="3" t="s">
        <v>57</v>
      </c>
    </row>
    <row r="3354" spans="1:4" x14ac:dyDescent="0.2">
      <c r="A3354" s="3" t="s">
        <v>1103</v>
      </c>
      <c r="B3354" t="s">
        <v>8</v>
      </c>
      <c r="C3354" s="3" t="s">
        <v>1115</v>
      </c>
      <c r="D3354" s="3" t="s">
        <v>57</v>
      </c>
    </row>
    <row r="3355" spans="1:4" x14ac:dyDescent="0.2">
      <c r="A3355" s="3" t="s">
        <v>1103</v>
      </c>
      <c r="B3355" t="s">
        <v>8</v>
      </c>
      <c r="C3355" s="3" t="s">
        <v>1116</v>
      </c>
      <c r="D3355" s="3" t="s">
        <v>57</v>
      </c>
    </row>
    <row r="3356" spans="1:4" x14ac:dyDescent="0.2">
      <c r="A3356" s="3" t="s">
        <v>1103</v>
      </c>
      <c r="B3356" t="s">
        <v>8</v>
      </c>
      <c r="C3356" s="3" t="s">
        <v>1117</v>
      </c>
      <c r="D3356" s="3" t="s">
        <v>57</v>
      </c>
    </row>
    <row r="3357" spans="1:4" x14ac:dyDescent="0.2">
      <c r="A3357" s="3" t="s">
        <v>1103</v>
      </c>
      <c r="B3357" t="s">
        <v>8</v>
      </c>
      <c r="C3357" s="3" t="s">
        <v>1118</v>
      </c>
      <c r="D3357" s="3" t="s">
        <v>57</v>
      </c>
    </row>
    <row r="3358" spans="1:4" x14ac:dyDescent="0.2">
      <c r="A3358" s="3" t="s">
        <v>1103</v>
      </c>
      <c r="B3358" t="s">
        <v>8</v>
      </c>
      <c r="C3358" s="3" t="s">
        <v>1119</v>
      </c>
      <c r="D3358" s="3" t="s">
        <v>57</v>
      </c>
    </row>
    <row r="3359" spans="1:4" x14ac:dyDescent="0.2">
      <c r="A3359" s="3" t="s">
        <v>1103</v>
      </c>
      <c r="B3359" t="s">
        <v>8</v>
      </c>
      <c r="C3359" s="3" t="s">
        <v>1120</v>
      </c>
      <c r="D3359" s="3" t="s">
        <v>57</v>
      </c>
    </row>
    <row r="3360" spans="1:4" x14ac:dyDescent="0.2">
      <c r="A3360" s="3" t="s">
        <v>1103</v>
      </c>
      <c r="B3360" t="s">
        <v>8</v>
      </c>
      <c r="C3360" s="3" t="s">
        <v>1121</v>
      </c>
      <c r="D3360" s="3" t="s">
        <v>57</v>
      </c>
    </row>
    <row r="3361" spans="1:4" x14ac:dyDescent="0.2">
      <c r="A3361" s="3" t="s">
        <v>1103</v>
      </c>
      <c r="B3361" t="s">
        <v>8</v>
      </c>
      <c r="C3361" s="3" t="s">
        <v>1122</v>
      </c>
      <c r="D3361" s="3" t="s">
        <v>57</v>
      </c>
    </row>
    <row r="3362" spans="1:4" x14ac:dyDescent="0.2">
      <c r="A3362" s="3" t="s">
        <v>1103</v>
      </c>
      <c r="B3362" t="s">
        <v>8</v>
      </c>
      <c r="C3362" s="3" t="s">
        <v>1123</v>
      </c>
      <c r="D3362" s="3" t="s">
        <v>57</v>
      </c>
    </row>
    <row r="3363" spans="1:4" x14ac:dyDescent="0.2">
      <c r="A3363" s="3" t="s">
        <v>1103</v>
      </c>
      <c r="B3363" t="s">
        <v>8</v>
      </c>
      <c r="C3363" s="3" t="s">
        <v>1124</v>
      </c>
      <c r="D3363" s="3" t="s">
        <v>57</v>
      </c>
    </row>
    <row r="3364" spans="1:4" x14ac:dyDescent="0.2">
      <c r="A3364" s="3" t="s">
        <v>1103</v>
      </c>
      <c r="B3364" t="s">
        <v>8</v>
      </c>
      <c r="C3364" s="3" t="s">
        <v>1125</v>
      </c>
      <c r="D3364" s="3" t="s">
        <v>57</v>
      </c>
    </row>
    <row r="3365" spans="1:4" x14ac:dyDescent="0.2">
      <c r="A3365" s="3" t="s">
        <v>1103</v>
      </c>
      <c r="B3365" t="s">
        <v>8</v>
      </c>
      <c r="C3365" s="3" t="s">
        <v>1130</v>
      </c>
      <c r="D3365" s="3" t="s">
        <v>57</v>
      </c>
    </row>
    <row r="3366" spans="1:4" x14ac:dyDescent="0.2">
      <c r="A3366" s="3" t="s">
        <v>1103</v>
      </c>
      <c r="B3366" t="s">
        <v>8</v>
      </c>
      <c r="C3366" s="3" t="s">
        <v>1131</v>
      </c>
      <c r="D3366" s="3" t="s">
        <v>169</v>
      </c>
    </row>
    <row r="3367" spans="1:4" x14ac:dyDescent="0.2">
      <c r="A3367" s="3" t="s">
        <v>1103</v>
      </c>
      <c r="B3367" t="s">
        <v>8</v>
      </c>
      <c r="C3367" s="3" t="s">
        <v>1132</v>
      </c>
      <c r="D3367" s="3" t="s">
        <v>169</v>
      </c>
    </row>
    <row r="3368" spans="1:4" x14ac:dyDescent="0.2">
      <c r="A3368" s="3" t="s">
        <v>1103</v>
      </c>
      <c r="B3368" t="s">
        <v>8</v>
      </c>
      <c r="C3368" s="3" t="s">
        <v>1133</v>
      </c>
      <c r="D3368" s="3" t="s">
        <v>169</v>
      </c>
    </row>
    <row r="3369" spans="1:4" x14ac:dyDescent="0.2">
      <c r="A3369" s="3" t="s">
        <v>1103</v>
      </c>
      <c r="B3369" t="s">
        <v>8</v>
      </c>
      <c r="C3369" s="3" t="s">
        <v>1134</v>
      </c>
      <c r="D3369" s="3" t="s">
        <v>169</v>
      </c>
    </row>
    <row r="3370" spans="1:4" x14ac:dyDescent="0.2">
      <c r="A3370" s="3" t="s">
        <v>1103</v>
      </c>
      <c r="B3370" t="s">
        <v>8</v>
      </c>
      <c r="C3370" s="3" t="s">
        <v>1135</v>
      </c>
      <c r="D3370" s="3" t="s">
        <v>169</v>
      </c>
    </row>
    <row r="3371" spans="1:4" x14ac:dyDescent="0.2">
      <c r="A3371" s="3" t="s">
        <v>1103</v>
      </c>
      <c r="B3371" t="s">
        <v>8</v>
      </c>
      <c r="C3371" s="3" t="s">
        <v>1136</v>
      </c>
      <c r="D3371" s="3" t="s">
        <v>169</v>
      </c>
    </row>
    <row r="3372" spans="1:4" x14ac:dyDescent="0.2">
      <c r="A3372" s="3" t="s">
        <v>1103</v>
      </c>
      <c r="B3372" t="s">
        <v>8</v>
      </c>
      <c r="C3372" s="3" t="s">
        <v>1137</v>
      </c>
      <c r="D3372" s="3" t="s">
        <v>169</v>
      </c>
    </row>
    <row r="3373" spans="1:4" x14ac:dyDescent="0.2">
      <c r="A3373" s="3" t="s">
        <v>1103</v>
      </c>
      <c r="B3373" t="s">
        <v>8</v>
      </c>
      <c r="C3373" s="3" t="s">
        <v>1138</v>
      </c>
      <c r="D3373" s="3" t="s">
        <v>169</v>
      </c>
    </row>
    <row r="3374" spans="1:4" x14ac:dyDescent="0.2">
      <c r="A3374" s="3" t="s">
        <v>1103</v>
      </c>
      <c r="B3374" t="s">
        <v>8</v>
      </c>
      <c r="C3374" s="3" t="s">
        <v>1139</v>
      </c>
      <c r="D3374" s="3" t="s">
        <v>169</v>
      </c>
    </row>
    <row r="3375" spans="1:4" x14ac:dyDescent="0.2">
      <c r="A3375" s="3" t="s">
        <v>1103</v>
      </c>
      <c r="B3375" t="s">
        <v>8</v>
      </c>
      <c r="C3375" s="3" t="s">
        <v>1140</v>
      </c>
      <c r="D3375" s="3" t="s">
        <v>22</v>
      </c>
    </row>
    <row r="3376" spans="1:4" x14ac:dyDescent="0.2">
      <c r="A3376" s="3" t="s">
        <v>1103</v>
      </c>
      <c r="B3376" t="s">
        <v>8</v>
      </c>
      <c r="C3376" s="3" t="s">
        <v>1141</v>
      </c>
      <c r="D3376" s="3" t="s">
        <v>22</v>
      </c>
    </row>
    <row r="3377" spans="1:4" x14ac:dyDescent="0.2">
      <c r="A3377" s="3" t="s">
        <v>1103</v>
      </c>
      <c r="B3377" t="s">
        <v>8</v>
      </c>
      <c r="C3377" s="3" t="s">
        <v>1142</v>
      </c>
      <c r="D3377" s="3" t="s">
        <v>22</v>
      </c>
    </row>
    <row r="3378" spans="1:4" x14ac:dyDescent="0.2">
      <c r="A3378" s="3" t="s">
        <v>1103</v>
      </c>
      <c r="B3378" t="s">
        <v>8</v>
      </c>
      <c r="C3378" s="3" t="s">
        <v>283</v>
      </c>
      <c r="D3378" s="3" t="s">
        <v>22</v>
      </c>
    </row>
    <row r="3379" spans="1:4" x14ac:dyDescent="0.2">
      <c r="A3379" s="3" t="s">
        <v>1143</v>
      </c>
      <c r="B3379" t="s">
        <v>8</v>
      </c>
      <c r="C3379" s="3" t="s">
        <v>288</v>
      </c>
      <c r="D3379" s="3" t="s">
        <v>53</v>
      </c>
    </row>
    <row r="3380" spans="1:4" x14ac:dyDescent="0.2">
      <c r="A3380" s="3" t="s">
        <v>1143</v>
      </c>
      <c r="B3380" t="s">
        <v>8</v>
      </c>
      <c r="C3380" s="3" t="s">
        <v>1144</v>
      </c>
      <c r="D3380" s="3" t="s">
        <v>53</v>
      </c>
    </row>
    <row r="3381" spans="1:4" x14ac:dyDescent="0.2">
      <c r="A3381" s="3" t="s">
        <v>1143</v>
      </c>
      <c r="B3381" t="s">
        <v>8</v>
      </c>
      <c r="C3381" s="3" t="s">
        <v>1145</v>
      </c>
      <c r="D3381" s="3" t="s">
        <v>53</v>
      </c>
    </row>
    <row r="3382" spans="1:4" x14ac:dyDescent="0.2">
      <c r="A3382" s="3" t="s">
        <v>1143</v>
      </c>
      <c r="B3382" t="s">
        <v>8</v>
      </c>
      <c r="C3382" s="3" t="s">
        <v>1146</v>
      </c>
      <c r="D3382" s="3" t="s">
        <v>53</v>
      </c>
    </row>
    <row r="3383" spans="1:4" x14ac:dyDescent="0.2">
      <c r="A3383" s="3" t="s">
        <v>1143</v>
      </c>
      <c r="B3383" t="s">
        <v>8</v>
      </c>
      <c r="C3383" s="3" t="s">
        <v>1147</v>
      </c>
      <c r="D3383" s="3" t="s">
        <v>53</v>
      </c>
    </row>
    <row r="3384" spans="1:4" x14ac:dyDescent="0.2">
      <c r="A3384" s="3" t="s">
        <v>1143</v>
      </c>
      <c r="B3384" t="s">
        <v>8</v>
      </c>
      <c r="C3384" s="3" t="s">
        <v>1148</v>
      </c>
      <c r="D3384" s="3" t="s">
        <v>53</v>
      </c>
    </row>
    <row r="3385" spans="1:4" x14ac:dyDescent="0.2">
      <c r="A3385" s="3" t="s">
        <v>1143</v>
      </c>
      <c r="B3385" t="s">
        <v>8</v>
      </c>
      <c r="C3385" s="3" t="s">
        <v>1149</v>
      </c>
      <c r="D3385" s="3" t="s">
        <v>53</v>
      </c>
    </row>
    <row r="3386" spans="1:4" x14ac:dyDescent="0.2">
      <c r="A3386" s="3" t="s">
        <v>1143</v>
      </c>
      <c r="B3386" t="s">
        <v>8</v>
      </c>
      <c r="C3386" s="3" t="s">
        <v>288</v>
      </c>
      <c r="D3386" s="3" t="s">
        <v>54</v>
      </c>
    </row>
    <row r="3387" spans="1:4" x14ac:dyDescent="0.2">
      <c r="A3387" s="3" t="s">
        <v>1143</v>
      </c>
      <c r="B3387" t="s">
        <v>8</v>
      </c>
      <c r="C3387" s="3" t="s">
        <v>1144</v>
      </c>
      <c r="D3387" s="3" t="s">
        <v>54</v>
      </c>
    </row>
    <row r="3388" spans="1:4" x14ac:dyDescent="0.2">
      <c r="A3388" s="3" t="s">
        <v>1143</v>
      </c>
      <c r="B3388" t="s">
        <v>8</v>
      </c>
      <c r="C3388" s="3" t="s">
        <v>1145</v>
      </c>
      <c r="D3388" s="3" t="s">
        <v>54</v>
      </c>
    </row>
    <row r="3389" spans="1:4" x14ac:dyDescent="0.2">
      <c r="A3389" s="3" t="s">
        <v>1143</v>
      </c>
      <c r="B3389" t="s">
        <v>8</v>
      </c>
      <c r="C3389" s="3" t="s">
        <v>1146</v>
      </c>
      <c r="D3389" s="3" t="s">
        <v>54</v>
      </c>
    </row>
    <row r="3390" spans="1:4" x14ac:dyDescent="0.2">
      <c r="A3390" s="3" t="s">
        <v>1143</v>
      </c>
      <c r="B3390" t="s">
        <v>8</v>
      </c>
      <c r="C3390" s="3" t="s">
        <v>1147</v>
      </c>
      <c r="D3390" s="3" t="s">
        <v>54</v>
      </c>
    </row>
    <row r="3391" spans="1:4" x14ac:dyDescent="0.2">
      <c r="A3391" s="3" t="s">
        <v>1143</v>
      </c>
      <c r="B3391" t="s">
        <v>8</v>
      </c>
      <c r="C3391" s="3" t="s">
        <v>1148</v>
      </c>
      <c r="D3391" s="3" t="s">
        <v>54</v>
      </c>
    </row>
    <row r="3392" spans="1:4" x14ac:dyDescent="0.2">
      <c r="A3392" s="3" t="s">
        <v>1143</v>
      </c>
      <c r="B3392" t="s">
        <v>8</v>
      </c>
      <c r="C3392" s="3" t="s">
        <v>1149</v>
      </c>
      <c r="D3392" s="3" t="s">
        <v>54</v>
      </c>
    </row>
    <row r="3393" spans="1:4" x14ac:dyDescent="0.2">
      <c r="A3393" s="3" t="s">
        <v>1143</v>
      </c>
      <c r="B3393" t="s">
        <v>8</v>
      </c>
      <c r="C3393" s="3" t="s">
        <v>288</v>
      </c>
      <c r="D3393" s="3" t="s">
        <v>55</v>
      </c>
    </row>
    <row r="3394" spans="1:4" x14ac:dyDescent="0.2">
      <c r="A3394" s="3" t="s">
        <v>1143</v>
      </c>
      <c r="B3394" t="s">
        <v>8</v>
      </c>
      <c r="C3394" s="3" t="s">
        <v>1144</v>
      </c>
      <c r="D3394" s="3" t="s">
        <v>55</v>
      </c>
    </row>
    <row r="3395" spans="1:4" x14ac:dyDescent="0.2">
      <c r="A3395" s="3" t="s">
        <v>1143</v>
      </c>
      <c r="B3395" t="s">
        <v>8</v>
      </c>
      <c r="C3395" s="3" t="s">
        <v>1145</v>
      </c>
      <c r="D3395" s="3" t="s">
        <v>55</v>
      </c>
    </row>
    <row r="3396" spans="1:4" x14ac:dyDescent="0.2">
      <c r="A3396" s="3" t="s">
        <v>1143</v>
      </c>
      <c r="B3396" t="s">
        <v>8</v>
      </c>
      <c r="C3396" s="3" t="s">
        <v>1146</v>
      </c>
      <c r="D3396" s="3" t="s">
        <v>55</v>
      </c>
    </row>
    <row r="3397" spans="1:4" x14ac:dyDescent="0.2">
      <c r="A3397" s="3" t="s">
        <v>1143</v>
      </c>
      <c r="B3397" t="s">
        <v>8</v>
      </c>
      <c r="C3397" s="3" t="s">
        <v>1147</v>
      </c>
      <c r="D3397" s="3" t="s">
        <v>55</v>
      </c>
    </row>
    <row r="3398" spans="1:4" x14ac:dyDescent="0.2">
      <c r="A3398" s="3" t="s">
        <v>1143</v>
      </c>
      <c r="B3398" t="s">
        <v>8</v>
      </c>
      <c r="C3398" s="3" t="s">
        <v>1148</v>
      </c>
      <c r="D3398" s="3" t="s">
        <v>55</v>
      </c>
    </row>
    <row r="3399" spans="1:4" x14ac:dyDescent="0.2">
      <c r="A3399" s="3" t="s">
        <v>1143</v>
      </c>
      <c r="B3399" t="s">
        <v>8</v>
      </c>
      <c r="C3399" s="3" t="s">
        <v>1149</v>
      </c>
      <c r="D3399" s="3" t="s">
        <v>55</v>
      </c>
    </row>
    <row r="3400" spans="1:4" x14ac:dyDescent="0.2">
      <c r="A3400" s="3" t="s">
        <v>1143</v>
      </c>
      <c r="B3400" t="s">
        <v>8</v>
      </c>
      <c r="C3400" s="3" t="s">
        <v>288</v>
      </c>
      <c r="D3400" s="3" t="s">
        <v>56</v>
      </c>
    </row>
    <row r="3401" spans="1:4" x14ac:dyDescent="0.2">
      <c r="A3401" s="3" t="s">
        <v>1143</v>
      </c>
      <c r="B3401" t="s">
        <v>8</v>
      </c>
      <c r="C3401" s="3" t="s">
        <v>1144</v>
      </c>
      <c r="D3401" s="3" t="s">
        <v>56</v>
      </c>
    </row>
    <row r="3402" spans="1:4" x14ac:dyDescent="0.2">
      <c r="A3402" s="3" t="s">
        <v>1143</v>
      </c>
      <c r="B3402" t="s">
        <v>8</v>
      </c>
      <c r="C3402" s="3" t="s">
        <v>1145</v>
      </c>
      <c r="D3402" s="3" t="s">
        <v>56</v>
      </c>
    </row>
    <row r="3403" spans="1:4" x14ac:dyDescent="0.2">
      <c r="A3403" s="3" t="s">
        <v>1143</v>
      </c>
      <c r="B3403" t="s">
        <v>8</v>
      </c>
      <c r="C3403" s="3" t="s">
        <v>1146</v>
      </c>
      <c r="D3403" s="3" t="s">
        <v>56</v>
      </c>
    </row>
    <row r="3404" spans="1:4" x14ac:dyDescent="0.2">
      <c r="A3404" s="3" t="s">
        <v>1143</v>
      </c>
      <c r="B3404" t="s">
        <v>8</v>
      </c>
      <c r="C3404" s="3" t="s">
        <v>1147</v>
      </c>
      <c r="D3404" s="3" t="s">
        <v>56</v>
      </c>
    </row>
    <row r="3405" spans="1:4" x14ac:dyDescent="0.2">
      <c r="A3405" s="3" t="s">
        <v>1143</v>
      </c>
      <c r="B3405" t="s">
        <v>8</v>
      </c>
      <c r="C3405" s="3" t="s">
        <v>1148</v>
      </c>
      <c r="D3405" s="3" t="s">
        <v>56</v>
      </c>
    </row>
    <row r="3406" spans="1:4" x14ac:dyDescent="0.2">
      <c r="A3406" s="3" t="s">
        <v>1143</v>
      </c>
      <c r="B3406" t="s">
        <v>8</v>
      </c>
      <c r="C3406" s="3" t="s">
        <v>1149</v>
      </c>
      <c r="D3406" s="3" t="s">
        <v>56</v>
      </c>
    </row>
    <row r="3407" spans="1:4" x14ac:dyDescent="0.2">
      <c r="A3407" s="3" t="s">
        <v>1143</v>
      </c>
      <c r="B3407" t="s">
        <v>8</v>
      </c>
      <c r="C3407" s="3" t="s">
        <v>288</v>
      </c>
      <c r="D3407" s="3" t="s">
        <v>57</v>
      </c>
    </row>
    <row r="3408" spans="1:4" x14ac:dyDescent="0.2">
      <c r="A3408" s="3" t="s">
        <v>1143</v>
      </c>
      <c r="B3408" t="s">
        <v>8</v>
      </c>
      <c r="C3408" s="3" t="s">
        <v>1144</v>
      </c>
      <c r="D3408" s="3" t="s">
        <v>57</v>
      </c>
    </row>
    <row r="3409" spans="1:4" x14ac:dyDescent="0.2">
      <c r="A3409" s="3" t="s">
        <v>1143</v>
      </c>
      <c r="B3409" t="s">
        <v>8</v>
      </c>
      <c r="C3409" s="3" t="s">
        <v>1145</v>
      </c>
      <c r="D3409" s="3" t="s">
        <v>57</v>
      </c>
    </row>
    <row r="3410" spans="1:4" x14ac:dyDescent="0.2">
      <c r="A3410" s="3" t="s">
        <v>1143</v>
      </c>
      <c r="B3410" t="s">
        <v>8</v>
      </c>
      <c r="C3410" s="3" t="s">
        <v>1146</v>
      </c>
      <c r="D3410" s="3" t="s">
        <v>57</v>
      </c>
    </row>
    <row r="3411" spans="1:4" x14ac:dyDescent="0.2">
      <c r="A3411" s="3" t="s">
        <v>1143</v>
      </c>
      <c r="B3411" t="s">
        <v>8</v>
      </c>
      <c r="C3411" s="3" t="s">
        <v>1147</v>
      </c>
      <c r="D3411" s="3" t="s">
        <v>57</v>
      </c>
    </row>
    <row r="3412" spans="1:4" x14ac:dyDescent="0.2">
      <c r="A3412" s="3" t="s">
        <v>1143</v>
      </c>
      <c r="B3412" t="s">
        <v>8</v>
      </c>
      <c r="C3412" s="3" t="s">
        <v>1148</v>
      </c>
      <c r="D3412" s="3" t="s">
        <v>57</v>
      </c>
    </row>
    <row r="3413" spans="1:4" x14ac:dyDescent="0.2">
      <c r="A3413" s="3" t="s">
        <v>1143</v>
      </c>
      <c r="B3413" t="s">
        <v>8</v>
      </c>
      <c r="C3413" s="3" t="s">
        <v>1149</v>
      </c>
      <c r="D3413" s="3" t="s">
        <v>57</v>
      </c>
    </row>
    <row r="3414" spans="1:4" x14ac:dyDescent="0.2">
      <c r="A3414" s="3" t="s">
        <v>1143</v>
      </c>
      <c r="B3414" t="s">
        <v>8</v>
      </c>
      <c r="C3414" s="3" t="s">
        <v>303</v>
      </c>
      <c r="D3414" s="3" t="s">
        <v>169</v>
      </c>
    </row>
    <row r="3415" spans="1:4" x14ac:dyDescent="0.2">
      <c r="A3415" s="3" t="s">
        <v>1143</v>
      </c>
      <c r="B3415" t="s">
        <v>8</v>
      </c>
      <c r="C3415" s="3" t="s">
        <v>1150</v>
      </c>
      <c r="D3415" s="3" t="s">
        <v>169</v>
      </c>
    </row>
    <row r="3416" spans="1:4" x14ac:dyDescent="0.2">
      <c r="A3416" s="3" t="s">
        <v>1151</v>
      </c>
      <c r="B3416" t="s">
        <v>8</v>
      </c>
      <c r="C3416" s="3" t="s">
        <v>288</v>
      </c>
      <c r="D3416" s="3" t="s">
        <v>53</v>
      </c>
    </row>
    <row r="3417" spans="1:4" x14ac:dyDescent="0.2">
      <c r="A3417" s="3" t="s">
        <v>1151</v>
      </c>
      <c r="B3417" t="s">
        <v>8</v>
      </c>
      <c r="C3417" s="3" t="s">
        <v>1152</v>
      </c>
      <c r="D3417" s="3" t="s">
        <v>53</v>
      </c>
    </row>
    <row r="3418" spans="1:4" x14ac:dyDescent="0.2">
      <c r="A3418" s="3" t="s">
        <v>1151</v>
      </c>
      <c r="B3418" t="s">
        <v>8</v>
      </c>
      <c r="C3418" s="3" t="s">
        <v>1153</v>
      </c>
      <c r="D3418" s="3" t="s">
        <v>53</v>
      </c>
    </row>
    <row r="3419" spans="1:4" x14ac:dyDescent="0.2">
      <c r="A3419" s="3" t="s">
        <v>1151</v>
      </c>
      <c r="B3419" t="s">
        <v>8</v>
      </c>
      <c r="C3419" s="3" t="s">
        <v>1146</v>
      </c>
      <c r="D3419" s="3" t="s">
        <v>53</v>
      </c>
    </row>
    <row r="3420" spans="1:4" x14ac:dyDescent="0.2">
      <c r="A3420" s="3" t="s">
        <v>1151</v>
      </c>
      <c r="B3420" t="s">
        <v>8</v>
      </c>
      <c r="C3420" s="3" t="s">
        <v>1147</v>
      </c>
      <c r="D3420" s="3" t="s">
        <v>53</v>
      </c>
    </row>
    <row r="3421" spans="1:4" x14ac:dyDescent="0.2">
      <c r="A3421" s="3" t="s">
        <v>1151</v>
      </c>
      <c r="B3421" t="s">
        <v>8</v>
      </c>
      <c r="C3421" s="3" t="s">
        <v>288</v>
      </c>
      <c r="D3421" s="3" t="s">
        <v>54</v>
      </c>
    </row>
    <row r="3422" spans="1:4" x14ac:dyDescent="0.2">
      <c r="A3422" s="3" t="s">
        <v>1151</v>
      </c>
      <c r="B3422" t="s">
        <v>8</v>
      </c>
      <c r="C3422" s="3" t="s">
        <v>1152</v>
      </c>
      <c r="D3422" s="3" t="s">
        <v>54</v>
      </c>
    </row>
    <row r="3423" spans="1:4" x14ac:dyDescent="0.2">
      <c r="A3423" s="3" t="s">
        <v>1151</v>
      </c>
      <c r="B3423" t="s">
        <v>8</v>
      </c>
      <c r="C3423" s="3" t="s">
        <v>1153</v>
      </c>
      <c r="D3423" s="3" t="s">
        <v>54</v>
      </c>
    </row>
    <row r="3424" spans="1:4" x14ac:dyDescent="0.2">
      <c r="A3424" s="3" t="s">
        <v>1151</v>
      </c>
      <c r="B3424" t="s">
        <v>8</v>
      </c>
      <c r="C3424" s="3" t="s">
        <v>1146</v>
      </c>
      <c r="D3424" s="3" t="s">
        <v>54</v>
      </c>
    </row>
    <row r="3425" spans="1:4" x14ac:dyDescent="0.2">
      <c r="A3425" s="3" t="s">
        <v>1151</v>
      </c>
      <c r="B3425" t="s">
        <v>8</v>
      </c>
      <c r="C3425" s="3" t="s">
        <v>1147</v>
      </c>
      <c r="D3425" s="3" t="s">
        <v>54</v>
      </c>
    </row>
    <row r="3426" spans="1:4" x14ac:dyDescent="0.2">
      <c r="A3426" s="3" t="s">
        <v>1151</v>
      </c>
      <c r="B3426" t="s">
        <v>8</v>
      </c>
      <c r="C3426" s="3" t="s">
        <v>288</v>
      </c>
      <c r="D3426" s="3" t="s">
        <v>55</v>
      </c>
    </row>
    <row r="3427" spans="1:4" x14ac:dyDescent="0.2">
      <c r="A3427" s="3" t="s">
        <v>1151</v>
      </c>
      <c r="B3427" t="s">
        <v>8</v>
      </c>
      <c r="C3427" s="3" t="s">
        <v>1152</v>
      </c>
      <c r="D3427" s="3" t="s">
        <v>55</v>
      </c>
    </row>
    <row r="3428" spans="1:4" x14ac:dyDescent="0.2">
      <c r="A3428" s="3" t="s">
        <v>1151</v>
      </c>
      <c r="B3428" t="s">
        <v>8</v>
      </c>
      <c r="C3428" s="3" t="s">
        <v>1153</v>
      </c>
      <c r="D3428" s="3" t="s">
        <v>55</v>
      </c>
    </row>
    <row r="3429" spans="1:4" x14ac:dyDescent="0.2">
      <c r="A3429" s="3" t="s">
        <v>1151</v>
      </c>
      <c r="B3429" t="s">
        <v>8</v>
      </c>
      <c r="C3429" s="3" t="s">
        <v>1146</v>
      </c>
      <c r="D3429" s="3" t="s">
        <v>55</v>
      </c>
    </row>
    <row r="3430" spans="1:4" x14ac:dyDescent="0.2">
      <c r="A3430" s="3" t="s">
        <v>1151</v>
      </c>
      <c r="B3430" t="s">
        <v>8</v>
      </c>
      <c r="C3430" s="3" t="s">
        <v>1147</v>
      </c>
      <c r="D3430" s="3" t="s">
        <v>55</v>
      </c>
    </row>
    <row r="3431" spans="1:4" x14ac:dyDescent="0.2">
      <c r="A3431" s="3" t="s">
        <v>1151</v>
      </c>
      <c r="B3431" t="s">
        <v>8</v>
      </c>
      <c r="C3431" s="3" t="s">
        <v>288</v>
      </c>
      <c r="D3431" s="3" t="s">
        <v>56</v>
      </c>
    </row>
    <row r="3432" spans="1:4" x14ac:dyDescent="0.2">
      <c r="A3432" s="3" t="s">
        <v>1151</v>
      </c>
      <c r="B3432" t="s">
        <v>8</v>
      </c>
      <c r="C3432" s="3" t="s">
        <v>1152</v>
      </c>
      <c r="D3432" s="3" t="s">
        <v>56</v>
      </c>
    </row>
    <row r="3433" spans="1:4" x14ac:dyDescent="0.2">
      <c r="A3433" s="3" t="s">
        <v>1151</v>
      </c>
      <c r="B3433" t="s">
        <v>8</v>
      </c>
      <c r="C3433" s="3" t="s">
        <v>1153</v>
      </c>
      <c r="D3433" s="3" t="s">
        <v>56</v>
      </c>
    </row>
    <row r="3434" spans="1:4" x14ac:dyDescent="0.2">
      <c r="A3434" s="3" t="s">
        <v>1151</v>
      </c>
      <c r="B3434" t="s">
        <v>8</v>
      </c>
      <c r="C3434" s="3" t="s">
        <v>1146</v>
      </c>
      <c r="D3434" s="3" t="s">
        <v>56</v>
      </c>
    </row>
    <row r="3435" spans="1:4" x14ac:dyDescent="0.2">
      <c r="A3435" s="3" t="s">
        <v>1151</v>
      </c>
      <c r="B3435" t="s">
        <v>8</v>
      </c>
      <c r="C3435" s="3" t="s">
        <v>1147</v>
      </c>
      <c r="D3435" s="3" t="s">
        <v>56</v>
      </c>
    </row>
    <row r="3436" spans="1:4" x14ac:dyDescent="0.2">
      <c r="A3436" s="3" t="s">
        <v>1151</v>
      </c>
      <c r="B3436" t="s">
        <v>8</v>
      </c>
      <c r="C3436" s="3" t="s">
        <v>288</v>
      </c>
      <c r="D3436" s="3" t="s">
        <v>57</v>
      </c>
    </row>
    <row r="3437" spans="1:4" x14ac:dyDescent="0.2">
      <c r="A3437" s="3" t="s">
        <v>1151</v>
      </c>
      <c r="B3437" t="s">
        <v>8</v>
      </c>
      <c r="C3437" s="3" t="s">
        <v>1152</v>
      </c>
      <c r="D3437" s="3" t="s">
        <v>57</v>
      </c>
    </row>
    <row r="3438" spans="1:4" x14ac:dyDescent="0.2">
      <c r="A3438" s="3" t="s">
        <v>1151</v>
      </c>
      <c r="B3438" t="s">
        <v>8</v>
      </c>
      <c r="C3438" s="3" t="s">
        <v>1153</v>
      </c>
      <c r="D3438" s="3" t="s">
        <v>57</v>
      </c>
    </row>
    <row r="3439" spans="1:4" x14ac:dyDescent="0.2">
      <c r="A3439" s="3" t="s">
        <v>1151</v>
      </c>
      <c r="B3439" t="s">
        <v>8</v>
      </c>
      <c r="C3439" s="3" t="s">
        <v>1146</v>
      </c>
      <c r="D3439" s="3" t="s">
        <v>57</v>
      </c>
    </row>
    <row r="3440" spans="1:4" x14ac:dyDescent="0.2">
      <c r="A3440" s="3" t="s">
        <v>1151</v>
      </c>
      <c r="B3440" t="s">
        <v>8</v>
      </c>
      <c r="C3440" s="3" t="s">
        <v>1147</v>
      </c>
      <c r="D3440" s="3" t="s">
        <v>57</v>
      </c>
    </row>
    <row r="3441" spans="1:4" x14ac:dyDescent="0.2">
      <c r="A3441" s="3" t="s">
        <v>1151</v>
      </c>
      <c r="B3441" t="s">
        <v>8</v>
      </c>
      <c r="C3441" s="3" t="s">
        <v>1154</v>
      </c>
      <c r="D3441" s="3" t="s">
        <v>169</v>
      </c>
    </row>
    <row r="3442" spans="1:4" x14ac:dyDescent="0.2">
      <c r="A3442" s="3" t="s">
        <v>1151</v>
      </c>
      <c r="B3442" t="s">
        <v>8</v>
      </c>
      <c r="C3442" s="3" t="s">
        <v>1155</v>
      </c>
      <c r="D3442" s="3" t="s">
        <v>169</v>
      </c>
    </row>
    <row r="3443" spans="1:4" x14ac:dyDescent="0.2">
      <c r="A3443" s="3" t="s">
        <v>1151</v>
      </c>
      <c r="B3443" t="s">
        <v>8</v>
      </c>
      <c r="C3443" s="3" t="s">
        <v>1156</v>
      </c>
      <c r="D3443" s="3" t="s">
        <v>169</v>
      </c>
    </row>
    <row r="3444" spans="1:4" x14ac:dyDescent="0.2">
      <c r="A3444" s="3" t="s">
        <v>1151</v>
      </c>
      <c r="B3444" t="s">
        <v>8</v>
      </c>
      <c r="C3444" s="3" t="s">
        <v>1157</v>
      </c>
      <c r="D3444" s="3" t="s">
        <v>169</v>
      </c>
    </row>
    <row r="3445" spans="1:4" x14ac:dyDescent="0.2">
      <c r="A3445" s="3" t="s">
        <v>1151</v>
      </c>
      <c r="B3445" t="s">
        <v>8</v>
      </c>
      <c r="C3445" s="3" t="s">
        <v>1158</v>
      </c>
      <c r="D3445" s="3" t="s">
        <v>169</v>
      </c>
    </row>
    <row r="3446" spans="1:4" x14ac:dyDescent="0.2">
      <c r="A3446" s="3" t="s">
        <v>1151</v>
      </c>
      <c r="B3446" t="s">
        <v>8</v>
      </c>
      <c r="C3446" s="3" t="s">
        <v>1159</v>
      </c>
      <c r="D3446" s="3" t="s">
        <v>169</v>
      </c>
    </row>
    <row r="3447" spans="1:4" x14ac:dyDescent="0.2">
      <c r="A3447" s="3" t="s">
        <v>1151</v>
      </c>
      <c r="B3447" t="s">
        <v>8</v>
      </c>
      <c r="C3447" s="3" t="s">
        <v>1160</v>
      </c>
      <c r="D3447" s="3" t="s">
        <v>169</v>
      </c>
    </row>
    <row r="3448" spans="1:4" x14ac:dyDescent="0.2">
      <c r="A3448" s="3" t="s">
        <v>1151</v>
      </c>
      <c r="B3448" t="s">
        <v>8</v>
      </c>
      <c r="C3448" s="3" t="s">
        <v>1161</v>
      </c>
      <c r="D3448" s="3" t="s">
        <v>169</v>
      </c>
    </row>
    <row r="3449" spans="1:4" x14ac:dyDescent="0.2">
      <c r="A3449" s="3" t="s">
        <v>1151</v>
      </c>
      <c r="B3449" t="s">
        <v>8</v>
      </c>
      <c r="C3449" s="3" t="s">
        <v>1162</v>
      </c>
      <c r="D3449" s="3" t="s">
        <v>169</v>
      </c>
    </row>
    <row r="3450" spans="1:4" x14ac:dyDescent="0.2">
      <c r="A3450" s="3" t="s">
        <v>1151</v>
      </c>
      <c r="B3450" t="s">
        <v>8</v>
      </c>
      <c r="C3450" s="3" t="s">
        <v>1163</v>
      </c>
      <c r="D3450" s="3" t="s">
        <v>169</v>
      </c>
    </row>
    <row r="3451" spans="1:4" x14ac:dyDescent="0.2">
      <c r="A3451" s="3" t="s">
        <v>1151</v>
      </c>
      <c r="B3451" t="s">
        <v>8</v>
      </c>
      <c r="C3451" s="3" t="s">
        <v>1164</v>
      </c>
      <c r="D3451" s="3" t="s">
        <v>169</v>
      </c>
    </row>
    <row r="3452" spans="1:4" x14ac:dyDescent="0.2">
      <c r="A3452" s="3" t="s">
        <v>1165</v>
      </c>
      <c r="B3452" t="s">
        <v>8</v>
      </c>
      <c r="C3452" s="3" t="s">
        <v>1166</v>
      </c>
      <c r="D3452" s="3" t="s">
        <v>53</v>
      </c>
    </row>
    <row r="3453" spans="1:4" x14ac:dyDescent="0.2">
      <c r="A3453" s="3" t="s">
        <v>1165</v>
      </c>
      <c r="B3453" t="s">
        <v>8</v>
      </c>
      <c r="C3453" s="3" t="s">
        <v>1167</v>
      </c>
      <c r="D3453" s="3" t="s">
        <v>53</v>
      </c>
    </row>
    <row r="3454" spans="1:4" x14ac:dyDescent="0.2">
      <c r="A3454" s="3" t="s">
        <v>1165</v>
      </c>
      <c r="B3454" t="s">
        <v>8</v>
      </c>
      <c r="C3454" s="3" t="s">
        <v>1168</v>
      </c>
      <c r="D3454" s="3" t="s">
        <v>53</v>
      </c>
    </row>
    <row r="3455" spans="1:4" x14ac:dyDescent="0.2">
      <c r="A3455" s="3" t="s">
        <v>1165</v>
      </c>
      <c r="B3455" t="s">
        <v>8</v>
      </c>
      <c r="C3455" s="3" t="s">
        <v>1166</v>
      </c>
      <c r="D3455" s="3" t="s">
        <v>54</v>
      </c>
    </row>
    <row r="3456" spans="1:4" x14ac:dyDescent="0.2">
      <c r="A3456" s="3" t="s">
        <v>1165</v>
      </c>
      <c r="B3456" t="s">
        <v>8</v>
      </c>
      <c r="C3456" s="3" t="s">
        <v>1167</v>
      </c>
      <c r="D3456" s="3" t="s">
        <v>54</v>
      </c>
    </row>
    <row r="3457" spans="1:4" x14ac:dyDescent="0.2">
      <c r="A3457" s="3" t="s">
        <v>1165</v>
      </c>
      <c r="B3457" t="s">
        <v>8</v>
      </c>
      <c r="C3457" s="3" t="s">
        <v>1168</v>
      </c>
      <c r="D3457" s="3" t="s">
        <v>54</v>
      </c>
    </row>
    <row r="3458" spans="1:4" x14ac:dyDescent="0.2">
      <c r="A3458" s="3" t="s">
        <v>1165</v>
      </c>
      <c r="B3458" t="s">
        <v>8</v>
      </c>
      <c r="C3458" s="3" t="s">
        <v>1166</v>
      </c>
      <c r="D3458" s="3" t="s">
        <v>55</v>
      </c>
    </row>
    <row r="3459" spans="1:4" x14ac:dyDescent="0.2">
      <c r="A3459" s="3" t="s">
        <v>1165</v>
      </c>
      <c r="B3459" t="s">
        <v>8</v>
      </c>
      <c r="C3459" s="3" t="s">
        <v>1167</v>
      </c>
      <c r="D3459" s="3" t="s">
        <v>55</v>
      </c>
    </row>
    <row r="3460" spans="1:4" x14ac:dyDescent="0.2">
      <c r="A3460" s="3" t="s">
        <v>1165</v>
      </c>
      <c r="B3460" t="s">
        <v>8</v>
      </c>
      <c r="C3460" s="3" t="s">
        <v>1168</v>
      </c>
      <c r="D3460" s="3" t="s">
        <v>55</v>
      </c>
    </row>
    <row r="3461" spans="1:4" x14ac:dyDescent="0.2">
      <c r="A3461" s="3" t="s">
        <v>1165</v>
      </c>
      <c r="B3461" t="s">
        <v>8</v>
      </c>
      <c r="C3461" s="3" t="s">
        <v>1166</v>
      </c>
      <c r="D3461" s="3" t="s">
        <v>56</v>
      </c>
    </row>
    <row r="3462" spans="1:4" x14ac:dyDescent="0.2">
      <c r="A3462" s="3" t="s">
        <v>1165</v>
      </c>
      <c r="B3462" t="s">
        <v>8</v>
      </c>
      <c r="C3462" s="3" t="s">
        <v>1167</v>
      </c>
      <c r="D3462" s="3" t="s">
        <v>56</v>
      </c>
    </row>
    <row r="3463" spans="1:4" x14ac:dyDescent="0.2">
      <c r="A3463" s="3" t="s">
        <v>1165</v>
      </c>
      <c r="B3463" t="s">
        <v>8</v>
      </c>
      <c r="C3463" s="3" t="s">
        <v>1168</v>
      </c>
      <c r="D3463" s="3" t="s">
        <v>56</v>
      </c>
    </row>
    <row r="3464" spans="1:4" x14ac:dyDescent="0.2">
      <c r="A3464" s="3" t="s">
        <v>1165</v>
      </c>
      <c r="B3464" t="s">
        <v>8</v>
      </c>
      <c r="C3464" s="3" t="s">
        <v>1166</v>
      </c>
      <c r="D3464" s="3" t="s">
        <v>57</v>
      </c>
    </row>
    <row r="3465" spans="1:4" x14ac:dyDescent="0.2">
      <c r="A3465" s="3" t="s">
        <v>1165</v>
      </c>
      <c r="B3465" t="s">
        <v>8</v>
      </c>
      <c r="C3465" s="3" t="s">
        <v>1167</v>
      </c>
      <c r="D3465" s="3" t="s">
        <v>57</v>
      </c>
    </row>
    <row r="3466" spans="1:4" x14ac:dyDescent="0.2">
      <c r="A3466" s="3" t="s">
        <v>1165</v>
      </c>
      <c r="B3466" t="s">
        <v>8</v>
      </c>
      <c r="C3466" s="3" t="s">
        <v>1168</v>
      </c>
      <c r="D3466" s="3" t="s">
        <v>57</v>
      </c>
    </row>
    <row r="3467" spans="1:4" x14ac:dyDescent="0.2">
      <c r="A3467" s="3" t="s">
        <v>1165</v>
      </c>
      <c r="B3467" t="s">
        <v>8</v>
      </c>
      <c r="C3467" s="3" t="s">
        <v>1169</v>
      </c>
      <c r="D3467" s="3" t="s">
        <v>169</v>
      </c>
    </row>
    <row r="3468" spans="1:4" x14ac:dyDescent="0.2">
      <c r="A3468" s="3" t="s">
        <v>1165</v>
      </c>
      <c r="B3468" t="s">
        <v>8</v>
      </c>
      <c r="C3468" s="3" t="s">
        <v>1170</v>
      </c>
      <c r="D3468" s="3" t="s">
        <v>169</v>
      </c>
    </row>
    <row r="3469" spans="1:4" x14ac:dyDescent="0.2">
      <c r="A3469" s="3" t="s">
        <v>1171</v>
      </c>
      <c r="B3469" t="s">
        <v>8</v>
      </c>
      <c r="C3469" s="3" t="s">
        <v>1166</v>
      </c>
      <c r="D3469" s="3" t="s">
        <v>53</v>
      </c>
    </row>
    <row r="3470" spans="1:4" x14ac:dyDescent="0.2">
      <c r="A3470" s="3" t="s">
        <v>1171</v>
      </c>
      <c r="B3470" t="s">
        <v>8</v>
      </c>
      <c r="C3470" s="3" t="s">
        <v>1167</v>
      </c>
      <c r="D3470" s="3" t="s">
        <v>53</v>
      </c>
    </row>
    <row r="3471" spans="1:4" x14ac:dyDescent="0.2">
      <c r="A3471" s="3" t="s">
        <v>1171</v>
      </c>
      <c r="B3471" t="s">
        <v>8</v>
      </c>
      <c r="C3471" s="3" t="s">
        <v>1168</v>
      </c>
      <c r="D3471" s="3" t="s">
        <v>53</v>
      </c>
    </row>
    <row r="3472" spans="1:4" x14ac:dyDescent="0.2">
      <c r="A3472" s="3" t="s">
        <v>1171</v>
      </c>
      <c r="B3472" t="s">
        <v>8</v>
      </c>
      <c r="C3472" s="3" t="s">
        <v>1166</v>
      </c>
      <c r="D3472" s="3" t="s">
        <v>54</v>
      </c>
    </row>
    <row r="3473" spans="1:4" x14ac:dyDescent="0.2">
      <c r="A3473" s="3" t="s">
        <v>1171</v>
      </c>
      <c r="B3473" t="s">
        <v>8</v>
      </c>
      <c r="C3473" s="3" t="s">
        <v>1167</v>
      </c>
      <c r="D3473" s="3" t="s">
        <v>54</v>
      </c>
    </row>
    <row r="3474" spans="1:4" x14ac:dyDescent="0.2">
      <c r="A3474" s="3" t="s">
        <v>1171</v>
      </c>
      <c r="B3474" t="s">
        <v>8</v>
      </c>
      <c r="C3474" s="3" t="s">
        <v>1168</v>
      </c>
      <c r="D3474" s="3" t="s">
        <v>54</v>
      </c>
    </row>
    <row r="3475" spans="1:4" x14ac:dyDescent="0.2">
      <c r="A3475" s="3" t="s">
        <v>1171</v>
      </c>
      <c r="B3475" t="s">
        <v>8</v>
      </c>
      <c r="C3475" s="3" t="s">
        <v>1166</v>
      </c>
      <c r="D3475" s="3" t="s">
        <v>55</v>
      </c>
    </row>
    <row r="3476" spans="1:4" x14ac:dyDescent="0.2">
      <c r="A3476" s="3" t="s">
        <v>1171</v>
      </c>
      <c r="B3476" t="s">
        <v>8</v>
      </c>
      <c r="C3476" s="3" t="s">
        <v>1167</v>
      </c>
      <c r="D3476" s="3" t="s">
        <v>55</v>
      </c>
    </row>
    <row r="3477" spans="1:4" x14ac:dyDescent="0.2">
      <c r="A3477" s="3" t="s">
        <v>1171</v>
      </c>
      <c r="B3477" t="s">
        <v>8</v>
      </c>
      <c r="C3477" s="3" t="s">
        <v>1168</v>
      </c>
      <c r="D3477" s="3" t="s">
        <v>55</v>
      </c>
    </row>
    <row r="3478" spans="1:4" x14ac:dyDescent="0.2">
      <c r="A3478" s="3" t="s">
        <v>1171</v>
      </c>
      <c r="B3478" t="s">
        <v>8</v>
      </c>
      <c r="C3478" s="3" t="s">
        <v>1166</v>
      </c>
      <c r="D3478" s="3" t="s">
        <v>56</v>
      </c>
    </row>
    <row r="3479" spans="1:4" x14ac:dyDescent="0.2">
      <c r="A3479" s="3" t="s">
        <v>1171</v>
      </c>
      <c r="B3479" t="s">
        <v>8</v>
      </c>
      <c r="C3479" s="3" t="s">
        <v>1167</v>
      </c>
      <c r="D3479" s="3" t="s">
        <v>56</v>
      </c>
    </row>
    <row r="3480" spans="1:4" x14ac:dyDescent="0.2">
      <c r="A3480" s="3" t="s">
        <v>1171</v>
      </c>
      <c r="B3480" t="s">
        <v>8</v>
      </c>
      <c r="C3480" s="3" t="s">
        <v>1168</v>
      </c>
      <c r="D3480" s="3" t="s">
        <v>56</v>
      </c>
    </row>
    <row r="3481" spans="1:4" x14ac:dyDescent="0.2">
      <c r="A3481" s="3" t="s">
        <v>1171</v>
      </c>
      <c r="B3481" t="s">
        <v>8</v>
      </c>
      <c r="C3481" s="3" t="s">
        <v>1166</v>
      </c>
      <c r="D3481" s="3" t="s">
        <v>57</v>
      </c>
    </row>
    <row r="3482" spans="1:4" x14ac:dyDescent="0.2">
      <c r="A3482" s="3" t="s">
        <v>1171</v>
      </c>
      <c r="B3482" t="s">
        <v>8</v>
      </c>
      <c r="C3482" s="3" t="s">
        <v>1167</v>
      </c>
      <c r="D3482" s="3" t="s">
        <v>57</v>
      </c>
    </row>
    <row r="3483" spans="1:4" x14ac:dyDescent="0.2">
      <c r="A3483" s="3" t="s">
        <v>1171</v>
      </c>
      <c r="B3483" t="s">
        <v>8</v>
      </c>
      <c r="C3483" s="3" t="s">
        <v>1168</v>
      </c>
      <c r="D3483" s="3" t="s">
        <v>57</v>
      </c>
    </row>
    <row r="3484" spans="1:4" x14ac:dyDescent="0.2">
      <c r="A3484" s="3" t="s">
        <v>1172</v>
      </c>
      <c r="B3484" t="s">
        <v>8</v>
      </c>
      <c r="C3484" s="3" t="s">
        <v>1173</v>
      </c>
      <c r="D3484" s="3" t="s">
        <v>53</v>
      </c>
    </row>
    <row r="3485" spans="1:4" x14ac:dyDescent="0.2">
      <c r="A3485" s="3" t="s">
        <v>1172</v>
      </c>
      <c r="B3485" t="s">
        <v>8</v>
      </c>
      <c r="C3485" s="3" t="s">
        <v>1174</v>
      </c>
      <c r="D3485" s="3" t="s">
        <v>53</v>
      </c>
    </row>
    <row r="3486" spans="1:4" x14ac:dyDescent="0.2">
      <c r="A3486" s="3" t="s">
        <v>1172</v>
      </c>
      <c r="B3486" t="s">
        <v>8</v>
      </c>
      <c r="C3486" s="3" t="s">
        <v>1175</v>
      </c>
      <c r="D3486" s="3" t="s">
        <v>53</v>
      </c>
    </row>
    <row r="3487" spans="1:4" x14ac:dyDescent="0.2">
      <c r="A3487" s="3" t="s">
        <v>1172</v>
      </c>
      <c r="B3487" t="s">
        <v>8</v>
      </c>
      <c r="C3487" s="3" t="s">
        <v>1176</v>
      </c>
      <c r="D3487" s="3" t="s">
        <v>53</v>
      </c>
    </row>
    <row r="3488" spans="1:4" x14ac:dyDescent="0.2">
      <c r="A3488" s="3" t="s">
        <v>1172</v>
      </c>
      <c r="B3488" t="s">
        <v>8</v>
      </c>
      <c r="C3488" s="3" t="s">
        <v>1177</v>
      </c>
      <c r="D3488" s="3" t="s">
        <v>53</v>
      </c>
    </row>
    <row r="3489" spans="1:4" x14ac:dyDescent="0.2">
      <c r="A3489" s="3" t="s">
        <v>1172</v>
      </c>
      <c r="B3489" t="s">
        <v>8</v>
      </c>
      <c r="C3489" s="3" t="s">
        <v>1178</v>
      </c>
      <c r="D3489" s="3" t="s">
        <v>53</v>
      </c>
    </row>
    <row r="3490" spans="1:4" x14ac:dyDescent="0.2">
      <c r="A3490" s="3" t="s">
        <v>1172</v>
      </c>
      <c r="B3490" t="s">
        <v>8</v>
      </c>
      <c r="C3490" s="3" t="s">
        <v>1179</v>
      </c>
      <c r="D3490" s="3" t="s">
        <v>53</v>
      </c>
    </row>
    <row r="3491" spans="1:4" x14ac:dyDescent="0.2">
      <c r="A3491" s="3" t="s">
        <v>1172</v>
      </c>
      <c r="B3491" t="s">
        <v>8</v>
      </c>
      <c r="C3491" s="3" t="s">
        <v>1173</v>
      </c>
      <c r="D3491" s="3" t="s">
        <v>54</v>
      </c>
    </row>
    <row r="3492" spans="1:4" x14ac:dyDescent="0.2">
      <c r="A3492" s="3" t="s">
        <v>1172</v>
      </c>
      <c r="B3492" t="s">
        <v>8</v>
      </c>
      <c r="C3492" s="3" t="s">
        <v>1174</v>
      </c>
      <c r="D3492" s="3" t="s">
        <v>54</v>
      </c>
    </row>
    <row r="3493" spans="1:4" x14ac:dyDescent="0.2">
      <c r="A3493" s="3" t="s">
        <v>1172</v>
      </c>
      <c r="B3493" t="s">
        <v>8</v>
      </c>
      <c r="C3493" s="3" t="s">
        <v>1175</v>
      </c>
      <c r="D3493" s="3" t="s">
        <v>54</v>
      </c>
    </row>
    <row r="3494" spans="1:4" x14ac:dyDescent="0.2">
      <c r="A3494" s="3" t="s">
        <v>1172</v>
      </c>
      <c r="B3494" t="s">
        <v>8</v>
      </c>
      <c r="C3494" s="3" t="s">
        <v>1176</v>
      </c>
      <c r="D3494" s="3" t="s">
        <v>54</v>
      </c>
    </row>
    <row r="3495" spans="1:4" x14ac:dyDescent="0.2">
      <c r="A3495" s="3" t="s">
        <v>1172</v>
      </c>
      <c r="B3495" t="s">
        <v>8</v>
      </c>
      <c r="C3495" s="3" t="s">
        <v>1177</v>
      </c>
      <c r="D3495" s="3" t="s">
        <v>54</v>
      </c>
    </row>
    <row r="3496" spans="1:4" x14ac:dyDescent="0.2">
      <c r="A3496" s="3" t="s">
        <v>1172</v>
      </c>
      <c r="B3496" t="s">
        <v>8</v>
      </c>
      <c r="C3496" s="3" t="s">
        <v>1179</v>
      </c>
      <c r="D3496" s="3" t="s">
        <v>54</v>
      </c>
    </row>
    <row r="3497" spans="1:4" x14ac:dyDescent="0.2">
      <c r="A3497" s="3" t="s">
        <v>1172</v>
      </c>
      <c r="B3497" t="s">
        <v>8</v>
      </c>
      <c r="C3497" s="3" t="s">
        <v>1173</v>
      </c>
      <c r="D3497" s="3" t="s">
        <v>55</v>
      </c>
    </row>
    <row r="3498" spans="1:4" x14ac:dyDescent="0.2">
      <c r="A3498" s="3" t="s">
        <v>1172</v>
      </c>
      <c r="B3498" t="s">
        <v>8</v>
      </c>
      <c r="C3498" s="3" t="s">
        <v>1174</v>
      </c>
      <c r="D3498" s="3" t="s">
        <v>55</v>
      </c>
    </row>
    <row r="3499" spans="1:4" x14ac:dyDescent="0.2">
      <c r="A3499" s="3" t="s">
        <v>1172</v>
      </c>
      <c r="B3499" t="s">
        <v>8</v>
      </c>
      <c r="C3499" s="3" t="s">
        <v>1175</v>
      </c>
      <c r="D3499" s="3" t="s">
        <v>55</v>
      </c>
    </row>
    <row r="3500" spans="1:4" x14ac:dyDescent="0.2">
      <c r="A3500" s="3" t="s">
        <v>1172</v>
      </c>
      <c r="B3500" t="s">
        <v>8</v>
      </c>
      <c r="C3500" s="3" t="s">
        <v>1176</v>
      </c>
      <c r="D3500" s="3" t="s">
        <v>55</v>
      </c>
    </row>
    <row r="3501" spans="1:4" x14ac:dyDescent="0.2">
      <c r="A3501" s="3" t="s">
        <v>1172</v>
      </c>
      <c r="B3501" t="s">
        <v>8</v>
      </c>
      <c r="C3501" s="3" t="s">
        <v>1177</v>
      </c>
      <c r="D3501" s="3" t="s">
        <v>55</v>
      </c>
    </row>
    <row r="3502" spans="1:4" x14ac:dyDescent="0.2">
      <c r="A3502" s="3" t="s">
        <v>1172</v>
      </c>
      <c r="B3502" t="s">
        <v>8</v>
      </c>
      <c r="C3502" s="3" t="s">
        <v>1179</v>
      </c>
      <c r="D3502" s="3" t="s">
        <v>55</v>
      </c>
    </row>
    <row r="3503" spans="1:4" x14ac:dyDescent="0.2">
      <c r="A3503" s="3" t="s">
        <v>1172</v>
      </c>
      <c r="B3503" t="s">
        <v>8</v>
      </c>
      <c r="C3503" s="3" t="s">
        <v>1173</v>
      </c>
      <c r="D3503" s="3" t="s">
        <v>56</v>
      </c>
    </row>
    <row r="3504" spans="1:4" x14ac:dyDescent="0.2">
      <c r="A3504" s="3" t="s">
        <v>1172</v>
      </c>
      <c r="B3504" t="s">
        <v>8</v>
      </c>
      <c r="C3504" s="3" t="s">
        <v>1174</v>
      </c>
      <c r="D3504" s="3" t="s">
        <v>56</v>
      </c>
    </row>
    <row r="3505" spans="1:4" x14ac:dyDescent="0.2">
      <c r="A3505" s="3" t="s">
        <v>1172</v>
      </c>
      <c r="B3505" t="s">
        <v>8</v>
      </c>
      <c r="C3505" s="3" t="s">
        <v>1175</v>
      </c>
      <c r="D3505" s="3" t="s">
        <v>56</v>
      </c>
    </row>
    <row r="3506" spans="1:4" x14ac:dyDescent="0.2">
      <c r="A3506" s="3" t="s">
        <v>1172</v>
      </c>
      <c r="B3506" t="s">
        <v>8</v>
      </c>
      <c r="C3506" s="3" t="s">
        <v>1176</v>
      </c>
      <c r="D3506" s="3" t="s">
        <v>56</v>
      </c>
    </row>
    <row r="3507" spans="1:4" x14ac:dyDescent="0.2">
      <c r="A3507" s="3" t="s">
        <v>1172</v>
      </c>
      <c r="B3507" t="s">
        <v>8</v>
      </c>
      <c r="C3507" s="3" t="s">
        <v>1177</v>
      </c>
      <c r="D3507" s="3" t="s">
        <v>56</v>
      </c>
    </row>
    <row r="3508" spans="1:4" x14ac:dyDescent="0.2">
      <c r="A3508" s="3" t="s">
        <v>1172</v>
      </c>
      <c r="B3508" t="s">
        <v>8</v>
      </c>
      <c r="C3508" s="3" t="s">
        <v>1179</v>
      </c>
      <c r="D3508" s="3" t="s">
        <v>56</v>
      </c>
    </row>
    <row r="3509" spans="1:4" x14ac:dyDescent="0.2">
      <c r="A3509" s="3" t="s">
        <v>1172</v>
      </c>
      <c r="B3509" t="s">
        <v>8</v>
      </c>
      <c r="C3509" s="3" t="s">
        <v>1173</v>
      </c>
      <c r="D3509" s="3" t="s">
        <v>57</v>
      </c>
    </row>
    <row r="3510" spans="1:4" x14ac:dyDescent="0.2">
      <c r="A3510" s="3" t="s">
        <v>1172</v>
      </c>
      <c r="B3510" t="s">
        <v>8</v>
      </c>
      <c r="C3510" s="3" t="s">
        <v>1174</v>
      </c>
      <c r="D3510" s="3" t="s">
        <v>57</v>
      </c>
    </row>
    <row r="3511" spans="1:4" x14ac:dyDescent="0.2">
      <c r="A3511" s="3" t="s">
        <v>1172</v>
      </c>
      <c r="B3511" t="s">
        <v>8</v>
      </c>
      <c r="C3511" s="3" t="s">
        <v>1175</v>
      </c>
      <c r="D3511" s="3" t="s">
        <v>57</v>
      </c>
    </row>
    <row r="3512" spans="1:4" x14ac:dyDescent="0.2">
      <c r="A3512" s="3" t="s">
        <v>1172</v>
      </c>
      <c r="B3512" t="s">
        <v>8</v>
      </c>
      <c r="C3512" s="3" t="s">
        <v>1176</v>
      </c>
      <c r="D3512" s="3" t="s">
        <v>57</v>
      </c>
    </row>
    <row r="3513" spans="1:4" x14ac:dyDescent="0.2">
      <c r="A3513" s="3" t="s">
        <v>1172</v>
      </c>
      <c r="B3513" t="s">
        <v>8</v>
      </c>
      <c r="C3513" s="3" t="s">
        <v>1177</v>
      </c>
      <c r="D3513" s="3" t="s">
        <v>57</v>
      </c>
    </row>
    <row r="3514" spans="1:4" x14ac:dyDescent="0.2">
      <c r="A3514" s="3" t="s">
        <v>1172</v>
      </c>
      <c r="B3514" t="s">
        <v>8</v>
      </c>
      <c r="C3514" s="3" t="s">
        <v>1179</v>
      </c>
      <c r="D3514" s="3" t="s">
        <v>57</v>
      </c>
    </row>
    <row r="3515" spans="1:4" x14ac:dyDescent="0.2">
      <c r="A3515" s="3" t="s">
        <v>1172</v>
      </c>
      <c r="B3515" t="s">
        <v>8</v>
      </c>
      <c r="C3515" s="3" t="s">
        <v>1180</v>
      </c>
      <c r="D3515" s="3" t="s">
        <v>169</v>
      </c>
    </row>
    <row r="3516" spans="1:4" x14ac:dyDescent="0.2">
      <c r="A3516" s="3" t="s">
        <v>1172</v>
      </c>
      <c r="B3516" t="s">
        <v>8</v>
      </c>
      <c r="C3516" s="3" t="s">
        <v>1181</v>
      </c>
      <c r="D3516" s="3" t="s">
        <v>169</v>
      </c>
    </row>
    <row r="3517" spans="1:4" x14ac:dyDescent="0.2">
      <c r="A3517" s="3" t="s">
        <v>1172</v>
      </c>
      <c r="B3517" t="s">
        <v>8</v>
      </c>
      <c r="C3517" s="3" t="s">
        <v>1182</v>
      </c>
      <c r="D3517" s="3" t="s">
        <v>169</v>
      </c>
    </row>
    <row r="3518" spans="1:4" x14ac:dyDescent="0.2">
      <c r="A3518" s="3" t="s">
        <v>1172</v>
      </c>
      <c r="B3518" t="s">
        <v>8</v>
      </c>
      <c r="C3518" s="3" t="s">
        <v>1183</v>
      </c>
      <c r="D3518" s="3" t="s">
        <v>169</v>
      </c>
    </row>
    <row r="3519" spans="1:4" x14ac:dyDescent="0.2">
      <c r="A3519" s="3" t="s">
        <v>1172</v>
      </c>
      <c r="B3519" t="s">
        <v>8</v>
      </c>
      <c r="C3519" s="3" t="s">
        <v>1184</v>
      </c>
      <c r="D3519" s="3" t="s">
        <v>169</v>
      </c>
    </row>
    <row r="3520" spans="1:4" x14ac:dyDescent="0.2">
      <c r="A3520" s="3" t="s">
        <v>1172</v>
      </c>
      <c r="B3520" t="s">
        <v>8</v>
      </c>
      <c r="C3520" s="3" t="s">
        <v>1185</v>
      </c>
      <c r="D3520" s="3" t="s">
        <v>169</v>
      </c>
    </row>
    <row r="3521" spans="1:4" x14ac:dyDescent="0.2">
      <c r="A3521" s="3" t="s">
        <v>1172</v>
      </c>
      <c r="B3521" t="s">
        <v>8</v>
      </c>
      <c r="C3521" s="3" t="s">
        <v>1186</v>
      </c>
      <c r="D3521" s="3" t="s">
        <v>169</v>
      </c>
    </row>
    <row r="3522" spans="1:4" x14ac:dyDescent="0.2">
      <c r="A3522" s="3" t="s">
        <v>1187</v>
      </c>
      <c r="B3522" t="s">
        <v>8</v>
      </c>
      <c r="C3522" s="3" t="s">
        <v>1177</v>
      </c>
      <c r="D3522" s="3" t="s">
        <v>53</v>
      </c>
    </row>
    <row r="3523" spans="1:4" x14ac:dyDescent="0.2">
      <c r="A3523" s="3" t="s">
        <v>1187</v>
      </c>
      <c r="B3523" t="s">
        <v>8</v>
      </c>
      <c r="C3523" s="3" t="s">
        <v>1177</v>
      </c>
      <c r="D3523" s="3" t="s">
        <v>54</v>
      </c>
    </row>
    <row r="3524" spans="1:4" x14ac:dyDescent="0.2">
      <c r="A3524" s="3" t="s">
        <v>1187</v>
      </c>
      <c r="B3524" t="s">
        <v>8</v>
      </c>
      <c r="C3524" s="3" t="s">
        <v>1177</v>
      </c>
      <c r="D3524" s="3" t="s">
        <v>55</v>
      </c>
    </row>
    <row r="3525" spans="1:4" x14ac:dyDescent="0.2">
      <c r="A3525" s="3" t="s">
        <v>1187</v>
      </c>
      <c r="B3525" t="s">
        <v>8</v>
      </c>
      <c r="C3525" s="3" t="s">
        <v>1177</v>
      </c>
      <c r="D3525" s="3" t="s">
        <v>56</v>
      </c>
    </row>
    <row r="3526" spans="1:4" x14ac:dyDescent="0.2">
      <c r="A3526" s="3" t="s">
        <v>1187</v>
      </c>
      <c r="B3526" t="s">
        <v>8</v>
      </c>
      <c r="C3526" s="3" t="s">
        <v>1177</v>
      </c>
      <c r="D3526" s="3" t="s">
        <v>57</v>
      </c>
    </row>
    <row r="3527" spans="1:4" x14ac:dyDescent="0.2">
      <c r="A3527" s="3" t="s">
        <v>1187</v>
      </c>
      <c r="B3527" t="s">
        <v>8</v>
      </c>
      <c r="C3527" s="3" t="s">
        <v>1188</v>
      </c>
      <c r="D3527" s="3" t="s">
        <v>169</v>
      </c>
    </row>
    <row r="3528" spans="1:4" x14ac:dyDescent="0.2">
      <c r="A3528" s="3" t="s">
        <v>1187</v>
      </c>
      <c r="B3528" t="s">
        <v>8</v>
      </c>
      <c r="C3528" s="3" t="s">
        <v>1189</v>
      </c>
      <c r="D3528" s="3" t="s">
        <v>169</v>
      </c>
    </row>
    <row r="3529" spans="1:4" x14ac:dyDescent="0.2">
      <c r="A3529" s="3" t="s">
        <v>1187</v>
      </c>
      <c r="B3529" t="s">
        <v>8</v>
      </c>
      <c r="C3529" s="3" t="s">
        <v>1190</v>
      </c>
      <c r="D3529" s="3" t="s">
        <v>169</v>
      </c>
    </row>
    <row r="3530" spans="1:4" x14ac:dyDescent="0.2">
      <c r="A3530" s="3" t="s">
        <v>1191</v>
      </c>
      <c r="B3530" t="s">
        <v>8</v>
      </c>
      <c r="C3530" s="3" t="s">
        <v>1192</v>
      </c>
      <c r="D3530" s="3" t="s">
        <v>53</v>
      </c>
    </row>
    <row r="3531" spans="1:4" x14ac:dyDescent="0.2">
      <c r="A3531" s="3" t="s">
        <v>1191</v>
      </c>
      <c r="B3531" t="s">
        <v>8</v>
      </c>
      <c r="C3531" s="3" t="s">
        <v>1177</v>
      </c>
      <c r="D3531" s="3" t="s">
        <v>53</v>
      </c>
    </row>
    <row r="3532" spans="1:4" x14ac:dyDescent="0.2">
      <c r="A3532" s="3" t="s">
        <v>1191</v>
      </c>
      <c r="B3532" t="s">
        <v>8</v>
      </c>
      <c r="C3532" s="3" t="s">
        <v>1192</v>
      </c>
      <c r="D3532" s="3" t="s">
        <v>54</v>
      </c>
    </row>
    <row r="3533" spans="1:4" x14ac:dyDescent="0.2">
      <c r="A3533" s="3" t="s">
        <v>1191</v>
      </c>
      <c r="B3533" t="s">
        <v>8</v>
      </c>
      <c r="C3533" s="3" t="s">
        <v>1177</v>
      </c>
      <c r="D3533" s="3" t="s">
        <v>54</v>
      </c>
    </row>
    <row r="3534" spans="1:4" x14ac:dyDescent="0.2">
      <c r="A3534" s="3" t="s">
        <v>1191</v>
      </c>
      <c r="B3534" t="s">
        <v>8</v>
      </c>
      <c r="C3534" s="3" t="s">
        <v>1192</v>
      </c>
      <c r="D3534" s="3" t="s">
        <v>55</v>
      </c>
    </row>
    <row r="3535" spans="1:4" x14ac:dyDescent="0.2">
      <c r="A3535" s="3" t="s">
        <v>1191</v>
      </c>
      <c r="B3535" t="s">
        <v>8</v>
      </c>
      <c r="C3535" s="3" t="s">
        <v>1177</v>
      </c>
      <c r="D3535" s="3" t="s">
        <v>55</v>
      </c>
    </row>
    <row r="3536" spans="1:4" x14ac:dyDescent="0.2">
      <c r="A3536" s="3" t="s">
        <v>1191</v>
      </c>
      <c r="B3536" t="s">
        <v>8</v>
      </c>
      <c r="C3536" s="3" t="s">
        <v>1192</v>
      </c>
      <c r="D3536" s="3" t="s">
        <v>56</v>
      </c>
    </row>
    <row r="3537" spans="1:4" x14ac:dyDescent="0.2">
      <c r="A3537" s="3" t="s">
        <v>1191</v>
      </c>
      <c r="B3537" t="s">
        <v>8</v>
      </c>
      <c r="C3537" s="3" t="s">
        <v>1177</v>
      </c>
      <c r="D3537" s="3" t="s">
        <v>56</v>
      </c>
    </row>
    <row r="3538" spans="1:4" x14ac:dyDescent="0.2">
      <c r="A3538" s="3" t="s">
        <v>1191</v>
      </c>
      <c r="B3538" t="s">
        <v>8</v>
      </c>
      <c r="C3538" s="3" t="s">
        <v>1192</v>
      </c>
      <c r="D3538" s="3" t="s">
        <v>57</v>
      </c>
    </row>
    <row r="3539" spans="1:4" x14ac:dyDescent="0.2">
      <c r="A3539" s="3" t="s">
        <v>1191</v>
      </c>
      <c r="B3539" t="s">
        <v>8</v>
      </c>
      <c r="C3539" s="3" t="s">
        <v>1177</v>
      </c>
      <c r="D3539" s="3" t="s">
        <v>57</v>
      </c>
    </row>
    <row r="3540" spans="1:4" x14ac:dyDescent="0.2">
      <c r="A3540" s="3" t="s">
        <v>1191</v>
      </c>
      <c r="B3540" t="s">
        <v>8</v>
      </c>
      <c r="C3540" s="3" t="s">
        <v>1193</v>
      </c>
      <c r="D3540" s="3" t="s">
        <v>169</v>
      </c>
    </row>
    <row r="3541" spans="1:4" x14ac:dyDescent="0.2">
      <c r="A3541" s="3" t="s">
        <v>1191</v>
      </c>
      <c r="B3541" t="s">
        <v>8</v>
      </c>
      <c r="C3541" s="3" t="s">
        <v>1194</v>
      </c>
      <c r="D3541" s="3" t="s">
        <v>169</v>
      </c>
    </row>
    <row r="3542" spans="1:4" x14ac:dyDescent="0.2">
      <c r="A3542" s="3" t="s">
        <v>1191</v>
      </c>
      <c r="B3542" t="s">
        <v>8</v>
      </c>
      <c r="C3542" s="3" t="s">
        <v>1195</v>
      </c>
      <c r="D3542" s="3" t="s">
        <v>169</v>
      </c>
    </row>
    <row r="3543" spans="1:4" x14ac:dyDescent="0.2">
      <c r="A3543" s="3" t="s">
        <v>1196</v>
      </c>
      <c r="B3543" t="s">
        <v>8</v>
      </c>
      <c r="C3543" s="3" t="s">
        <v>1197</v>
      </c>
      <c r="D3543" s="3" t="s">
        <v>53</v>
      </c>
    </row>
    <row r="3544" spans="1:4" x14ac:dyDescent="0.2">
      <c r="A3544" s="3" t="s">
        <v>1196</v>
      </c>
      <c r="B3544" t="s">
        <v>8</v>
      </c>
      <c r="C3544" s="3" t="s">
        <v>1197</v>
      </c>
      <c r="D3544" s="3" t="s">
        <v>54</v>
      </c>
    </row>
    <row r="3545" spans="1:4" x14ac:dyDescent="0.2">
      <c r="A3545" s="3" t="s">
        <v>1196</v>
      </c>
      <c r="B3545" t="s">
        <v>8</v>
      </c>
      <c r="C3545" s="3" t="s">
        <v>1197</v>
      </c>
      <c r="D3545" s="3" t="s">
        <v>55</v>
      </c>
    </row>
    <row r="3546" spans="1:4" x14ac:dyDescent="0.2">
      <c r="A3546" s="3" t="s">
        <v>1196</v>
      </c>
      <c r="B3546" t="s">
        <v>8</v>
      </c>
      <c r="C3546" s="3" t="s">
        <v>1197</v>
      </c>
      <c r="D3546" s="3" t="s">
        <v>56</v>
      </c>
    </row>
    <row r="3547" spans="1:4" x14ac:dyDescent="0.2">
      <c r="A3547" s="3" t="s">
        <v>1196</v>
      </c>
      <c r="B3547" t="s">
        <v>8</v>
      </c>
      <c r="C3547" s="3" t="s">
        <v>1197</v>
      </c>
      <c r="D3547" s="3" t="s">
        <v>57</v>
      </c>
    </row>
    <row r="3548" spans="1:4" x14ac:dyDescent="0.2">
      <c r="A3548" s="3" t="s">
        <v>1196</v>
      </c>
      <c r="B3548" t="s">
        <v>8</v>
      </c>
      <c r="C3548" s="3" t="s">
        <v>1198</v>
      </c>
      <c r="D3548" s="3" t="s">
        <v>169</v>
      </c>
    </row>
    <row r="3549" spans="1:4" x14ac:dyDescent="0.2">
      <c r="A3549" s="3" t="s">
        <v>1196</v>
      </c>
      <c r="B3549" t="s">
        <v>8</v>
      </c>
      <c r="C3549" s="3" t="s">
        <v>1199</v>
      </c>
      <c r="D3549" s="3" t="s">
        <v>169</v>
      </c>
    </row>
    <row r="3550" spans="1:4" x14ac:dyDescent="0.2">
      <c r="A3550" s="3" t="s">
        <v>1196</v>
      </c>
      <c r="B3550" t="s">
        <v>8</v>
      </c>
      <c r="C3550" s="3" t="s">
        <v>1200</v>
      </c>
      <c r="D3550" s="3" t="s">
        <v>169</v>
      </c>
    </row>
    <row r="3551" spans="1:4" x14ac:dyDescent="0.2">
      <c r="A3551" s="3" t="s">
        <v>1196</v>
      </c>
      <c r="B3551" t="s">
        <v>8</v>
      </c>
      <c r="C3551" s="3" t="s">
        <v>1201</v>
      </c>
      <c r="D3551" s="3" t="s">
        <v>169</v>
      </c>
    </row>
    <row r="3552" spans="1:4" x14ac:dyDescent="0.2">
      <c r="A3552" s="3" t="s">
        <v>1196</v>
      </c>
      <c r="B3552" t="s">
        <v>8</v>
      </c>
      <c r="C3552" s="3" t="s">
        <v>1202</v>
      </c>
      <c r="D3552" s="3" t="s">
        <v>169</v>
      </c>
    </row>
    <row r="3553" spans="1:4" x14ac:dyDescent="0.2">
      <c r="A3553" s="3" t="s">
        <v>1196</v>
      </c>
      <c r="B3553" t="s">
        <v>8</v>
      </c>
      <c r="C3553" s="3" t="s">
        <v>1203</v>
      </c>
      <c r="D3553" s="3" t="s">
        <v>169</v>
      </c>
    </row>
    <row r="3554" spans="1:4" x14ac:dyDescent="0.2">
      <c r="A3554" s="3" t="s">
        <v>1204</v>
      </c>
      <c r="B3554" t="s">
        <v>8</v>
      </c>
      <c r="C3554" s="3" t="s">
        <v>1205</v>
      </c>
      <c r="D3554" s="3" t="s">
        <v>169</v>
      </c>
    </row>
    <row r="3555" spans="1:4" x14ac:dyDescent="0.2">
      <c r="A3555" s="3" t="s">
        <v>1204</v>
      </c>
      <c r="B3555" t="s">
        <v>8</v>
      </c>
      <c r="C3555" s="3" t="s">
        <v>1206</v>
      </c>
      <c r="D3555" s="3" t="s">
        <v>169</v>
      </c>
    </row>
    <row r="3556" spans="1:4" x14ac:dyDescent="0.2">
      <c r="A3556" s="3" t="s">
        <v>1204</v>
      </c>
      <c r="B3556" t="s">
        <v>8</v>
      </c>
      <c r="C3556" s="3" t="s">
        <v>1207</v>
      </c>
      <c r="D3556" s="3" t="s">
        <v>169</v>
      </c>
    </row>
    <row r="3557" spans="1:4" x14ac:dyDescent="0.2">
      <c r="A3557" s="3" t="s">
        <v>1204</v>
      </c>
      <c r="B3557" t="s">
        <v>8</v>
      </c>
      <c r="C3557" s="3" t="s">
        <v>1208</v>
      </c>
      <c r="D3557" s="3" t="s">
        <v>169</v>
      </c>
    </row>
    <row r="3558" spans="1:4" x14ac:dyDescent="0.2">
      <c r="A3558" s="3" t="s">
        <v>1204</v>
      </c>
      <c r="B3558" t="s">
        <v>8</v>
      </c>
      <c r="C3558" s="3" t="s">
        <v>1209</v>
      </c>
      <c r="D3558" s="3" t="s">
        <v>169</v>
      </c>
    </row>
    <row r="3559" spans="1:4" x14ac:dyDescent="0.2">
      <c r="A3559" s="3" t="s">
        <v>1204</v>
      </c>
      <c r="B3559" t="s">
        <v>8</v>
      </c>
      <c r="C3559" s="3" t="s">
        <v>1210</v>
      </c>
      <c r="D3559" s="3" t="s">
        <v>169</v>
      </c>
    </row>
    <row r="3560" spans="1:4" x14ac:dyDescent="0.2">
      <c r="A3560" s="3" t="s">
        <v>1204</v>
      </c>
      <c r="B3560" t="s">
        <v>8</v>
      </c>
      <c r="C3560" s="3" t="s">
        <v>1211</v>
      </c>
      <c r="D3560" s="3" t="s">
        <v>169</v>
      </c>
    </row>
    <row r="3561" spans="1:4" x14ac:dyDescent="0.2">
      <c r="A3561" s="3" t="s">
        <v>1204</v>
      </c>
      <c r="B3561" t="s">
        <v>8</v>
      </c>
      <c r="C3561" s="3" t="s">
        <v>1212</v>
      </c>
      <c r="D3561" s="3" t="s">
        <v>169</v>
      </c>
    </row>
    <row r="3562" spans="1:4" x14ac:dyDescent="0.2">
      <c r="A3562" s="3" t="s">
        <v>1213</v>
      </c>
      <c r="B3562" t="s">
        <v>8</v>
      </c>
      <c r="C3562" s="3" t="s">
        <v>1214</v>
      </c>
      <c r="D3562" s="3" t="s">
        <v>169</v>
      </c>
    </row>
    <row r="3563" spans="1:4" x14ac:dyDescent="0.2">
      <c r="A3563" s="3" t="s">
        <v>1213</v>
      </c>
      <c r="B3563" t="s">
        <v>8</v>
      </c>
      <c r="C3563" s="3" t="s">
        <v>1215</v>
      </c>
      <c r="D3563" s="3" t="s">
        <v>169</v>
      </c>
    </row>
    <row r="3564" spans="1:4" x14ac:dyDescent="0.2">
      <c r="A3564" s="3" t="s">
        <v>1213</v>
      </c>
      <c r="B3564" t="s">
        <v>8</v>
      </c>
      <c r="C3564" s="3" t="s">
        <v>1216</v>
      </c>
      <c r="D3564" s="3" t="s">
        <v>169</v>
      </c>
    </row>
    <row r="3565" spans="1:4" x14ac:dyDescent="0.2">
      <c r="A3565" s="3" t="s">
        <v>1213</v>
      </c>
      <c r="B3565" t="s">
        <v>8</v>
      </c>
      <c r="C3565" s="3" t="s">
        <v>1217</v>
      </c>
      <c r="D3565" s="3" t="s">
        <v>169</v>
      </c>
    </row>
    <row r="3566" spans="1:4" x14ac:dyDescent="0.2">
      <c r="A3566" s="3" t="s">
        <v>1213</v>
      </c>
      <c r="B3566" t="s">
        <v>8</v>
      </c>
      <c r="C3566" s="3" t="s">
        <v>1208</v>
      </c>
      <c r="D3566" s="3" t="s">
        <v>169</v>
      </c>
    </row>
    <row r="3567" spans="1:4" x14ac:dyDescent="0.2">
      <c r="A3567" s="3" t="s">
        <v>1213</v>
      </c>
      <c r="B3567" t="s">
        <v>8</v>
      </c>
      <c r="C3567" s="3" t="s">
        <v>1218</v>
      </c>
      <c r="D3567" s="3" t="s">
        <v>169</v>
      </c>
    </row>
    <row r="3568" spans="1:4" x14ac:dyDescent="0.2">
      <c r="A3568" s="3" t="s">
        <v>1219</v>
      </c>
      <c r="B3568" t="s">
        <v>8</v>
      </c>
      <c r="C3568" s="3" t="s">
        <v>1220</v>
      </c>
      <c r="D3568" s="3" t="s">
        <v>53</v>
      </c>
    </row>
    <row r="3569" spans="1:4" x14ac:dyDescent="0.2">
      <c r="A3569" s="3" t="s">
        <v>1219</v>
      </c>
      <c r="B3569" t="s">
        <v>8</v>
      </c>
      <c r="C3569" s="3" t="s">
        <v>1221</v>
      </c>
      <c r="D3569" s="3" t="s">
        <v>53</v>
      </c>
    </row>
    <row r="3570" spans="1:4" x14ac:dyDescent="0.2">
      <c r="A3570" s="3" t="s">
        <v>1219</v>
      </c>
      <c r="B3570" t="s">
        <v>8</v>
      </c>
      <c r="C3570" s="3" t="s">
        <v>1222</v>
      </c>
      <c r="D3570" s="3" t="s">
        <v>53</v>
      </c>
    </row>
    <row r="3571" spans="1:4" x14ac:dyDescent="0.2">
      <c r="A3571" s="3" t="s">
        <v>1219</v>
      </c>
      <c r="B3571" t="s">
        <v>8</v>
      </c>
      <c r="C3571" s="3" t="s">
        <v>1220</v>
      </c>
      <c r="D3571" s="3" t="s">
        <v>54</v>
      </c>
    </row>
    <row r="3572" spans="1:4" x14ac:dyDescent="0.2">
      <c r="A3572" s="3" t="s">
        <v>1219</v>
      </c>
      <c r="B3572" t="s">
        <v>8</v>
      </c>
      <c r="C3572" s="3" t="s">
        <v>1221</v>
      </c>
      <c r="D3572" s="3" t="s">
        <v>54</v>
      </c>
    </row>
    <row r="3573" spans="1:4" x14ac:dyDescent="0.2">
      <c r="A3573" s="3" t="s">
        <v>1219</v>
      </c>
      <c r="B3573" t="s">
        <v>8</v>
      </c>
      <c r="C3573" s="3" t="s">
        <v>1222</v>
      </c>
      <c r="D3573" s="3" t="s">
        <v>54</v>
      </c>
    </row>
    <row r="3574" spans="1:4" x14ac:dyDescent="0.2">
      <c r="A3574" s="3" t="s">
        <v>1219</v>
      </c>
      <c r="B3574" t="s">
        <v>8</v>
      </c>
      <c r="C3574" s="3" t="s">
        <v>1220</v>
      </c>
      <c r="D3574" s="3" t="s">
        <v>55</v>
      </c>
    </row>
    <row r="3575" spans="1:4" x14ac:dyDescent="0.2">
      <c r="A3575" s="3" t="s">
        <v>1219</v>
      </c>
      <c r="B3575" t="s">
        <v>8</v>
      </c>
      <c r="C3575" s="3" t="s">
        <v>1221</v>
      </c>
      <c r="D3575" s="3" t="s">
        <v>55</v>
      </c>
    </row>
    <row r="3576" spans="1:4" x14ac:dyDescent="0.2">
      <c r="A3576" s="3" t="s">
        <v>1219</v>
      </c>
      <c r="B3576" t="s">
        <v>8</v>
      </c>
      <c r="C3576" s="3" t="s">
        <v>1222</v>
      </c>
      <c r="D3576" s="3" t="s">
        <v>55</v>
      </c>
    </row>
    <row r="3577" spans="1:4" x14ac:dyDescent="0.2">
      <c r="A3577" s="3" t="s">
        <v>1219</v>
      </c>
      <c r="B3577" t="s">
        <v>8</v>
      </c>
      <c r="C3577" s="3" t="s">
        <v>1220</v>
      </c>
      <c r="D3577" s="3" t="s">
        <v>56</v>
      </c>
    </row>
    <row r="3578" spans="1:4" x14ac:dyDescent="0.2">
      <c r="A3578" s="3" t="s">
        <v>1219</v>
      </c>
      <c r="B3578" t="s">
        <v>8</v>
      </c>
      <c r="C3578" s="3" t="s">
        <v>1221</v>
      </c>
      <c r="D3578" s="3" t="s">
        <v>56</v>
      </c>
    </row>
    <row r="3579" spans="1:4" x14ac:dyDescent="0.2">
      <c r="A3579" s="3" t="s">
        <v>1219</v>
      </c>
      <c r="B3579" t="s">
        <v>8</v>
      </c>
      <c r="C3579" s="3" t="s">
        <v>1222</v>
      </c>
      <c r="D3579" s="3" t="s">
        <v>56</v>
      </c>
    </row>
    <row r="3580" spans="1:4" x14ac:dyDescent="0.2">
      <c r="A3580" s="3" t="s">
        <v>1219</v>
      </c>
      <c r="B3580" t="s">
        <v>8</v>
      </c>
      <c r="C3580" s="3" t="s">
        <v>1220</v>
      </c>
      <c r="D3580" s="3" t="s">
        <v>57</v>
      </c>
    </row>
    <row r="3581" spans="1:4" x14ac:dyDescent="0.2">
      <c r="A3581" s="3" t="s">
        <v>1219</v>
      </c>
      <c r="B3581" t="s">
        <v>8</v>
      </c>
      <c r="C3581" s="3" t="s">
        <v>1221</v>
      </c>
      <c r="D3581" s="3" t="s">
        <v>57</v>
      </c>
    </row>
    <row r="3582" spans="1:4" x14ac:dyDescent="0.2">
      <c r="A3582" s="3" t="s">
        <v>1219</v>
      </c>
      <c r="B3582" t="s">
        <v>8</v>
      </c>
      <c r="C3582" s="3" t="s">
        <v>1222</v>
      </c>
      <c r="D3582" s="3" t="s">
        <v>57</v>
      </c>
    </row>
    <row r="3583" spans="1:4" x14ac:dyDescent="0.2">
      <c r="A3583" s="3" t="s">
        <v>1219</v>
      </c>
      <c r="B3583" t="s">
        <v>8</v>
      </c>
      <c r="C3583" s="3" t="s">
        <v>1223</v>
      </c>
      <c r="D3583" s="3" t="s">
        <v>169</v>
      </c>
    </row>
    <row r="3584" spans="1:4" x14ac:dyDescent="0.2">
      <c r="A3584" s="3" t="s">
        <v>1219</v>
      </c>
      <c r="B3584" t="s">
        <v>8</v>
      </c>
      <c r="C3584" s="3" t="s">
        <v>1224</v>
      </c>
      <c r="D3584" s="3" t="s">
        <v>169</v>
      </c>
    </row>
    <row r="3585" spans="1:4" x14ac:dyDescent="0.2">
      <c r="A3585" s="3" t="s">
        <v>1219</v>
      </c>
      <c r="B3585" t="s">
        <v>8</v>
      </c>
      <c r="C3585" s="3" t="s">
        <v>1225</v>
      </c>
      <c r="D3585" s="3" t="s">
        <v>169</v>
      </c>
    </row>
    <row r="3586" spans="1:4" x14ac:dyDescent="0.2">
      <c r="A3586" s="3" t="s">
        <v>1219</v>
      </c>
      <c r="B3586" t="s">
        <v>8</v>
      </c>
      <c r="C3586" s="3" t="s">
        <v>1226</v>
      </c>
      <c r="D3586" s="3" t="s">
        <v>169</v>
      </c>
    </row>
    <row r="3587" spans="1:4" x14ac:dyDescent="0.2">
      <c r="A3587" s="3" t="s">
        <v>1219</v>
      </c>
      <c r="B3587" t="s">
        <v>8</v>
      </c>
      <c r="C3587" s="3" t="s">
        <v>1227</v>
      </c>
      <c r="D3587" s="3" t="s">
        <v>169</v>
      </c>
    </row>
    <row r="3588" spans="1:4" x14ac:dyDescent="0.2">
      <c r="A3588" s="3" t="s">
        <v>1228</v>
      </c>
      <c r="B3588" t="s">
        <v>8</v>
      </c>
      <c r="C3588" s="3" t="s">
        <v>1229</v>
      </c>
      <c r="D3588" s="3" t="s">
        <v>169</v>
      </c>
    </row>
    <row r="3589" spans="1:4" x14ac:dyDescent="0.2">
      <c r="A3589" s="3" t="s">
        <v>1228</v>
      </c>
      <c r="B3589" t="s">
        <v>8</v>
      </c>
      <c r="C3589" s="3" t="s">
        <v>1230</v>
      </c>
      <c r="D3589" s="3" t="s">
        <v>169</v>
      </c>
    </row>
    <row r="3590" spans="1:4" x14ac:dyDescent="0.2">
      <c r="A3590" s="3" t="s">
        <v>1228</v>
      </c>
      <c r="B3590" t="s">
        <v>8</v>
      </c>
      <c r="C3590" s="3" t="s">
        <v>1231</v>
      </c>
      <c r="D3590" s="3" t="s">
        <v>169</v>
      </c>
    </row>
    <row r="3591" spans="1:4" x14ac:dyDescent="0.2">
      <c r="A3591" s="3" t="s">
        <v>1232</v>
      </c>
      <c r="B3591" t="s">
        <v>8</v>
      </c>
      <c r="C3591" s="3" t="s">
        <v>1192</v>
      </c>
      <c r="D3591" s="3" t="s">
        <v>53</v>
      </c>
    </row>
    <row r="3592" spans="1:4" x14ac:dyDescent="0.2">
      <c r="A3592" s="3" t="s">
        <v>1232</v>
      </c>
      <c r="B3592" t="s">
        <v>8</v>
      </c>
      <c r="C3592" s="3" t="s">
        <v>1192</v>
      </c>
      <c r="D3592" s="3" t="s">
        <v>54</v>
      </c>
    </row>
    <row r="3593" spans="1:4" x14ac:dyDescent="0.2">
      <c r="A3593" s="3" t="s">
        <v>1232</v>
      </c>
      <c r="B3593" t="s">
        <v>8</v>
      </c>
      <c r="C3593" s="3" t="s">
        <v>1192</v>
      </c>
      <c r="D3593" s="3" t="s">
        <v>55</v>
      </c>
    </row>
    <row r="3594" spans="1:4" x14ac:dyDescent="0.2">
      <c r="A3594" s="3" t="s">
        <v>1232</v>
      </c>
      <c r="B3594" t="s">
        <v>8</v>
      </c>
      <c r="C3594" s="3" t="s">
        <v>1192</v>
      </c>
      <c r="D3594" s="3" t="s">
        <v>56</v>
      </c>
    </row>
    <row r="3595" spans="1:4" x14ac:dyDescent="0.2">
      <c r="A3595" s="3" t="s">
        <v>1232</v>
      </c>
      <c r="B3595" t="s">
        <v>8</v>
      </c>
      <c r="C3595" s="3" t="s">
        <v>1192</v>
      </c>
      <c r="D3595" s="3" t="s">
        <v>57</v>
      </c>
    </row>
    <row r="3596" spans="1:4" x14ac:dyDescent="0.2">
      <c r="A3596" s="3" t="s">
        <v>1233</v>
      </c>
      <c r="B3596" t="s">
        <v>8</v>
      </c>
      <c r="C3596" s="3" t="s">
        <v>166</v>
      </c>
      <c r="D3596" s="3" t="s">
        <v>53</v>
      </c>
    </row>
    <row r="3597" spans="1:4" x14ac:dyDescent="0.2">
      <c r="A3597" s="3" t="s">
        <v>1233</v>
      </c>
      <c r="B3597" t="s">
        <v>8</v>
      </c>
      <c r="C3597" s="3" t="s">
        <v>167</v>
      </c>
      <c r="D3597" s="3" t="s">
        <v>53</v>
      </c>
    </row>
    <row r="3598" spans="1:4" x14ac:dyDescent="0.2">
      <c r="A3598" s="3" t="s">
        <v>1233</v>
      </c>
      <c r="B3598" t="s">
        <v>8</v>
      </c>
      <c r="C3598" s="3" t="s">
        <v>166</v>
      </c>
      <c r="D3598" s="3" t="s">
        <v>54</v>
      </c>
    </row>
    <row r="3599" spans="1:4" x14ac:dyDescent="0.2">
      <c r="A3599" s="3" t="s">
        <v>1233</v>
      </c>
      <c r="B3599" t="s">
        <v>8</v>
      </c>
      <c r="C3599" s="3" t="s">
        <v>167</v>
      </c>
      <c r="D3599" s="3" t="s">
        <v>54</v>
      </c>
    </row>
    <row r="3600" spans="1:4" x14ac:dyDescent="0.2">
      <c r="A3600" s="3" t="s">
        <v>1233</v>
      </c>
      <c r="B3600" t="s">
        <v>8</v>
      </c>
      <c r="C3600" s="3" t="s">
        <v>166</v>
      </c>
      <c r="D3600" s="3" t="s">
        <v>55</v>
      </c>
    </row>
    <row r="3601" spans="1:4" x14ac:dyDescent="0.2">
      <c r="A3601" s="3" t="s">
        <v>1233</v>
      </c>
      <c r="B3601" t="s">
        <v>8</v>
      </c>
      <c r="C3601" s="3" t="s">
        <v>167</v>
      </c>
      <c r="D3601" s="3" t="s">
        <v>55</v>
      </c>
    </row>
    <row r="3602" spans="1:4" x14ac:dyDescent="0.2">
      <c r="A3602" s="3" t="s">
        <v>1233</v>
      </c>
      <c r="B3602" t="s">
        <v>8</v>
      </c>
      <c r="C3602" s="3" t="s">
        <v>166</v>
      </c>
      <c r="D3602" s="3" t="s">
        <v>56</v>
      </c>
    </row>
    <row r="3603" spans="1:4" x14ac:dyDescent="0.2">
      <c r="A3603" s="3" t="s">
        <v>1233</v>
      </c>
      <c r="B3603" t="s">
        <v>8</v>
      </c>
      <c r="C3603" s="3" t="s">
        <v>167</v>
      </c>
      <c r="D3603" s="3" t="s">
        <v>56</v>
      </c>
    </row>
    <row r="3604" spans="1:4" x14ac:dyDescent="0.2">
      <c r="A3604" s="3" t="s">
        <v>1233</v>
      </c>
      <c r="B3604" t="s">
        <v>8</v>
      </c>
      <c r="C3604" s="3" t="s">
        <v>166</v>
      </c>
      <c r="D3604" s="3" t="s">
        <v>57</v>
      </c>
    </row>
    <row r="3605" spans="1:4" x14ac:dyDescent="0.2">
      <c r="A3605" s="3" t="s">
        <v>1233</v>
      </c>
      <c r="B3605" t="s">
        <v>8</v>
      </c>
      <c r="C3605" s="3" t="s">
        <v>167</v>
      </c>
      <c r="D3605" s="3" t="s">
        <v>57</v>
      </c>
    </row>
    <row r="3606" spans="1:4" x14ac:dyDescent="0.2">
      <c r="A3606" s="3" t="s">
        <v>1233</v>
      </c>
      <c r="B3606" t="s">
        <v>8</v>
      </c>
      <c r="C3606" s="3" t="s">
        <v>1234</v>
      </c>
      <c r="D3606" s="3" t="s">
        <v>10</v>
      </c>
    </row>
    <row r="3607" spans="1:4" x14ac:dyDescent="0.2">
      <c r="A3607" s="3" t="s">
        <v>1233</v>
      </c>
      <c r="B3607" t="s">
        <v>8</v>
      </c>
      <c r="C3607" s="3" t="s">
        <v>1235</v>
      </c>
      <c r="D3607" s="3" t="s">
        <v>10</v>
      </c>
    </row>
    <row r="3608" spans="1:4" x14ac:dyDescent="0.2">
      <c r="A3608" s="3" t="s">
        <v>1236</v>
      </c>
      <c r="B3608" t="s">
        <v>8</v>
      </c>
      <c r="C3608" s="3" t="s">
        <v>1237</v>
      </c>
      <c r="D3608" s="3" t="s">
        <v>10</v>
      </c>
    </row>
    <row r="3609" spans="1:4" x14ac:dyDescent="0.2">
      <c r="A3609" s="3" t="s">
        <v>1236</v>
      </c>
      <c r="B3609" t="s">
        <v>8</v>
      </c>
      <c r="C3609" s="3" t="s">
        <v>1237</v>
      </c>
      <c r="D3609" s="3" t="s">
        <v>11</v>
      </c>
    </row>
    <row r="3610" spans="1:4" x14ac:dyDescent="0.2">
      <c r="A3610" s="3" t="s">
        <v>1238</v>
      </c>
      <c r="B3610" t="s">
        <v>8</v>
      </c>
      <c r="C3610" s="3" t="s">
        <v>617</v>
      </c>
      <c r="D3610" s="3" t="s">
        <v>10</v>
      </c>
    </row>
    <row r="3611" spans="1:4" x14ac:dyDescent="0.2">
      <c r="A3611" s="3" t="s">
        <v>1238</v>
      </c>
      <c r="B3611" t="s">
        <v>8</v>
      </c>
      <c r="C3611" s="3" t="s">
        <v>1239</v>
      </c>
      <c r="D3611" s="3" t="s">
        <v>10</v>
      </c>
    </row>
    <row r="3612" spans="1:4" x14ac:dyDescent="0.2">
      <c r="A3612" s="3" t="s">
        <v>1238</v>
      </c>
      <c r="B3612" t="s">
        <v>8</v>
      </c>
      <c r="C3612" s="3" t="s">
        <v>1240</v>
      </c>
      <c r="D3612" s="3" t="s">
        <v>10</v>
      </c>
    </row>
    <row r="3613" spans="1:4" x14ac:dyDescent="0.2">
      <c r="A3613" s="3" t="s">
        <v>1238</v>
      </c>
      <c r="B3613" t="s">
        <v>8</v>
      </c>
      <c r="C3613" s="3" t="s">
        <v>618</v>
      </c>
      <c r="D3613" s="3" t="s">
        <v>10</v>
      </c>
    </row>
    <row r="3614" spans="1:4" x14ac:dyDescent="0.2">
      <c r="A3614" s="3" t="s">
        <v>1238</v>
      </c>
      <c r="B3614" t="s">
        <v>8</v>
      </c>
      <c r="C3614" s="3" t="s">
        <v>1241</v>
      </c>
      <c r="D3614" s="3" t="s">
        <v>10</v>
      </c>
    </row>
    <row r="3615" spans="1:4" x14ac:dyDescent="0.2">
      <c r="A3615" s="3" t="s">
        <v>1238</v>
      </c>
      <c r="B3615" t="s">
        <v>8</v>
      </c>
      <c r="C3615" s="3" t="s">
        <v>617</v>
      </c>
      <c r="D3615" s="3" t="s">
        <v>11</v>
      </c>
    </row>
    <row r="3616" spans="1:4" x14ac:dyDescent="0.2">
      <c r="A3616" s="3" t="s">
        <v>1238</v>
      </c>
      <c r="B3616" t="s">
        <v>8</v>
      </c>
      <c r="C3616" s="3" t="s">
        <v>1239</v>
      </c>
      <c r="D3616" s="3" t="s">
        <v>11</v>
      </c>
    </row>
    <row r="3617" spans="1:4" x14ac:dyDescent="0.2">
      <c r="A3617" s="3" t="s">
        <v>1238</v>
      </c>
      <c r="B3617" t="s">
        <v>8</v>
      </c>
      <c r="C3617" s="3" t="s">
        <v>1240</v>
      </c>
      <c r="D3617" s="3" t="s">
        <v>11</v>
      </c>
    </row>
    <row r="3618" spans="1:4" x14ac:dyDescent="0.2">
      <c r="A3618" s="3" t="s">
        <v>1238</v>
      </c>
      <c r="B3618" t="s">
        <v>8</v>
      </c>
      <c r="C3618" s="3" t="s">
        <v>620</v>
      </c>
      <c r="D3618" s="3" t="s">
        <v>11</v>
      </c>
    </row>
    <row r="3619" spans="1:4" x14ac:dyDescent="0.2">
      <c r="A3619" s="3" t="s">
        <v>1242</v>
      </c>
      <c r="B3619" t="s">
        <v>8</v>
      </c>
      <c r="C3619" s="3" t="s">
        <v>1243</v>
      </c>
      <c r="D3619" s="3" t="s">
        <v>169</v>
      </c>
    </row>
    <row r="3620" spans="1:4" x14ac:dyDescent="0.2">
      <c r="A3620" s="3" t="s">
        <v>1242</v>
      </c>
      <c r="B3620" t="s">
        <v>8</v>
      </c>
      <c r="C3620" s="3" t="s">
        <v>1244</v>
      </c>
      <c r="D3620" s="3" t="s">
        <v>10</v>
      </c>
    </row>
    <row r="3621" spans="1:4" x14ac:dyDescent="0.2">
      <c r="A3621" s="3" t="s">
        <v>1242</v>
      </c>
      <c r="B3621" t="s">
        <v>8</v>
      </c>
      <c r="C3621" s="3" t="s">
        <v>1245</v>
      </c>
      <c r="D3621" s="3" t="s">
        <v>10</v>
      </c>
    </row>
    <row r="3622" spans="1:4" x14ac:dyDescent="0.2">
      <c r="A3622" s="3" t="s">
        <v>1242</v>
      </c>
      <c r="B3622" t="s">
        <v>8</v>
      </c>
      <c r="C3622" s="3" t="s">
        <v>1246</v>
      </c>
      <c r="D3622" s="3" t="s">
        <v>10</v>
      </c>
    </row>
    <row r="3623" spans="1:4" x14ac:dyDescent="0.2">
      <c r="A3623" s="3" t="s">
        <v>1242</v>
      </c>
      <c r="B3623" t="s">
        <v>8</v>
      </c>
      <c r="C3623" s="3" t="s">
        <v>1247</v>
      </c>
      <c r="D3623" s="3" t="s">
        <v>10</v>
      </c>
    </row>
    <row r="3624" spans="1:4" x14ac:dyDescent="0.2">
      <c r="A3624" s="3" t="s">
        <v>1242</v>
      </c>
      <c r="B3624" t="s">
        <v>8</v>
      </c>
      <c r="C3624" s="3" t="s">
        <v>1248</v>
      </c>
      <c r="D3624" s="3" t="s">
        <v>10</v>
      </c>
    </row>
    <row r="3625" spans="1:4" x14ac:dyDescent="0.2">
      <c r="A3625" s="3" t="s">
        <v>1242</v>
      </c>
      <c r="B3625" t="s">
        <v>8</v>
      </c>
      <c r="C3625" s="3" t="s">
        <v>1249</v>
      </c>
      <c r="D3625" s="3" t="s">
        <v>10</v>
      </c>
    </row>
    <row r="3626" spans="1:4" x14ac:dyDescent="0.2">
      <c r="A3626" s="3" t="s">
        <v>1242</v>
      </c>
      <c r="B3626" t="s">
        <v>8</v>
      </c>
      <c r="C3626" s="3" t="s">
        <v>1250</v>
      </c>
      <c r="D3626" s="3" t="s">
        <v>10</v>
      </c>
    </row>
    <row r="3627" spans="1:4" x14ac:dyDescent="0.2">
      <c r="A3627" s="3" t="s">
        <v>1242</v>
      </c>
      <c r="B3627" t="s">
        <v>8</v>
      </c>
      <c r="C3627" s="3" t="s">
        <v>1251</v>
      </c>
      <c r="D3627" s="3" t="s">
        <v>10</v>
      </c>
    </row>
    <row r="3628" spans="1:4" x14ac:dyDescent="0.2">
      <c r="A3628" s="3" t="s">
        <v>1242</v>
      </c>
      <c r="B3628" t="s">
        <v>8</v>
      </c>
      <c r="C3628" s="3" t="s">
        <v>1252</v>
      </c>
      <c r="D3628" s="3" t="s">
        <v>10</v>
      </c>
    </row>
    <row r="3629" spans="1:4" x14ac:dyDescent="0.2">
      <c r="A3629" s="3" t="s">
        <v>1242</v>
      </c>
      <c r="B3629" t="s">
        <v>8</v>
      </c>
      <c r="C3629" s="3" t="s">
        <v>1253</v>
      </c>
      <c r="D3629" s="3" t="s">
        <v>10</v>
      </c>
    </row>
    <row r="3630" spans="1:4" x14ac:dyDescent="0.2">
      <c r="A3630" s="3" t="s">
        <v>1242</v>
      </c>
      <c r="B3630" t="s">
        <v>8</v>
      </c>
      <c r="C3630" s="3" t="s">
        <v>1254</v>
      </c>
      <c r="D3630" s="3" t="s">
        <v>10</v>
      </c>
    </row>
    <row r="3631" spans="1:4" x14ac:dyDescent="0.2">
      <c r="A3631" s="3" t="s">
        <v>1242</v>
      </c>
      <c r="B3631" t="s">
        <v>8</v>
      </c>
      <c r="C3631" s="3" t="s">
        <v>1255</v>
      </c>
      <c r="D3631" s="3" t="s">
        <v>10</v>
      </c>
    </row>
    <row r="3632" spans="1:4" x14ac:dyDescent="0.2">
      <c r="A3632" s="3" t="s">
        <v>1242</v>
      </c>
      <c r="B3632" t="s">
        <v>8</v>
      </c>
      <c r="C3632" s="3" t="s">
        <v>1256</v>
      </c>
      <c r="D3632" s="3" t="s">
        <v>10</v>
      </c>
    </row>
    <row r="3633" spans="1:4" x14ac:dyDescent="0.2">
      <c r="A3633" s="3" t="s">
        <v>1242</v>
      </c>
      <c r="B3633" t="s">
        <v>8</v>
      </c>
      <c r="C3633" s="3" t="s">
        <v>1257</v>
      </c>
      <c r="D3633" s="3" t="s">
        <v>10</v>
      </c>
    </row>
    <row r="3634" spans="1:4" x14ac:dyDescent="0.2">
      <c r="A3634" s="3" t="s">
        <v>1242</v>
      </c>
      <c r="B3634" t="s">
        <v>8</v>
      </c>
      <c r="C3634" s="3" t="s">
        <v>1258</v>
      </c>
      <c r="D3634" s="3" t="s">
        <v>10</v>
      </c>
    </row>
    <row r="3635" spans="1:4" x14ac:dyDescent="0.2">
      <c r="A3635" s="3" t="s">
        <v>1242</v>
      </c>
      <c r="B3635" t="s">
        <v>8</v>
      </c>
      <c r="C3635" s="3" t="s">
        <v>1259</v>
      </c>
      <c r="D3635" s="3" t="s">
        <v>10</v>
      </c>
    </row>
    <row r="3636" spans="1:4" x14ac:dyDescent="0.2">
      <c r="A3636" s="3" t="s">
        <v>1242</v>
      </c>
      <c r="B3636" t="s">
        <v>8</v>
      </c>
      <c r="C3636" s="3" t="s">
        <v>1260</v>
      </c>
      <c r="D3636" s="3" t="s">
        <v>10</v>
      </c>
    </row>
    <row r="3637" spans="1:4" x14ac:dyDescent="0.2">
      <c r="A3637" s="3" t="s">
        <v>1242</v>
      </c>
      <c r="B3637" t="s">
        <v>8</v>
      </c>
      <c r="C3637" s="3" t="s">
        <v>1261</v>
      </c>
      <c r="D3637" s="3" t="s">
        <v>10</v>
      </c>
    </row>
    <row r="3638" spans="1:4" x14ac:dyDescent="0.2">
      <c r="A3638" s="3" t="s">
        <v>1242</v>
      </c>
      <c r="B3638" t="s">
        <v>8</v>
      </c>
      <c r="C3638" s="3" t="s">
        <v>1247</v>
      </c>
      <c r="D3638" s="3" t="s">
        <v>11</v>
      </c>
    </row>
    <row r="3639" spans="1:4" x14ac:dyDescent="0.2">
      <c r="A3639" s="3" t="s">
        <v>1242</v>
      </c>
      <c r="B3639" t="s">
        <v>8</v>
      </c>
      <c r="C3639" s="3" t="s">
        <v>1249</v>
      </c>
      <c r="D3639" s="3" t="s">
        <v>11</v>
      </c>
    </row>
    <row r="3640" spans="1:4" x14ac:dyDescent="0.2">
      <c r="A3640" s="3" t="s">
        <v>1242</v>
      </c>
      <c r="B3640" t="s">
        <v>8</v>
      </c>
      <c r="C3640" s="3" t="s">
        <v>1250</v>
      </c>
      <c r="D3640" s="3" t="s">
        <v>11</v>
      </c>
    </row>
    <row r="3641" spans="1:4" x14ac:dyDescent="0.2">
      <c r="A3641" s="3" t="s">
        <v>1242</v>
      </c>
      <c r="B3641" t="s">
        <v>8</v>
      </c>
      <c r="C3641" s="3" t="s">
        <v>1252</v>
      </c>
      <c r="D3641" s="3" t="s">
        <v>11</v>
      </c>
    </row>
    <row r="3642" spans="1:4" x14ac:dyDescent="0.2">
      <c r="A3642" s="3" t="s">
        <v>1242</v>
      </c>
      <c r="B3642" t="s">
        <v>8</v>
      </c>
      <c r="C3642" s="3" t="s">
        <v>1253</v>
      </c>
      <c r="D3642" s="3" t="s">
        <v>11</v>
      </c>
    </row>
    <row r="3643" spans="1:4" x14ac:dyDescent="0.2">
      <c r="A3643" s="3" t="s">
        <v>1242</v>
      </c>
      <c r="B3643" t="s">
        <v>8</v>
      </c>
      <c r="C3643" s="3" t="s">
        <v>1255</v>
      </c>
      <c r="D3643" s="3" t="s">
        <v>11</v>
      </c>
    </row>
    <row r="3644" spans="1:4" x14ac:dyDescent="0.2">
      <c r="A3644" s="3" t="s">
        <v>1242</v>
      </c>
      <c r="B3644" t="s">
        <v>8</v>
      </c>
      <c r="C3644" s="3" t="s">
        <v>1256</v>
      </c>
      <c r="D3644" s="3" t="s">
        <v>11</v>
      </c>
    </row>
    <row r="3645" spans="1:4" x14ac:dyDescent="0.2">
      <c r="A3645" s="3" t="s">
        <v>1242</v>
      </c>
      <c r="B3645" t="s">
        <v>8</v>
      </c>
      <c r="C3645" s="3" t="s">
        <v>1258</v>
      </c>
      <c r="D3645" s="3" t="s">
        <v>11</v>
      </c>
    </row>
    <row r="3646" spans="1:4" x14ac:dyDescent="0.2">
      <c r="A3646" s="3" t="s">
        <v>1242</v>
      </c>
      <c r="B3646" t="s">
        <v>8</v>
      </c>
      <c r="C3646" s="3" t="s">
        <v>1262</v>
      </c>
      <c r="D3646" s="3" t="s">
        <v>11</v>
      </c>
    </row>
    <row r="3647" spans="1:4" x14ac:dyDescent="0.2">
      <c r="A3647" s="3" t="s">
        <v>1242</v>
      </c>
      <c r="B3647" t="s">
        <v>8</v>
      </c>
      <c r="C3647" s="3" t="s">
        <v>1263</v>
      </c>
      <c r="D3647" s="3" t="s">
        <v>11</v>
      </c>
    </row>
    <row r="3648" spans="1:4" x14ac:dyDescent="0.2">
      <c r="A3648" s="3" t="s">
        <v>1242</v>
      </c>
      <c r="B3648" t="s">
        <v>8</v>
      </c>
      <c r="C3648" s="3" t="s">
        <v>1264</v>
      </c>
      <c r="D3648" s="3" t="s">
        <v>11</v>
      </c>
    </row>
    <row r="3649" spans="1:4" x14ac:dyDescent="0.2">
      <c r="A3649" s="3" t="s">
        <v>1242</v>
      </c>
      <c r="B3649" t="s">
        <v>8</v>
      </c>
      <c r="C3649" s="3" t="s">
        <v>1265</v>
      </c>
      <c r="D3649" s="3" t="s">
        <v>11</v>
      </c>
    </row>
    <row r="3650" spans="1:4" x14ac:dyDescent="0.2">
      <c r="A3650" s="3" t="s">
        <v>1242</v>
      </c>
      <c r="B3650" t="s">
        <v>8</v>
      </c>
      <c r="C3650" s="3" t="s">
        <v>1266</v>
      </c>
      <c r="D3650" s="3" t="s">
        <v>11</v>
      </c>
    </row>
    <row r="3651" spans="1:4" x14ac:dyDescent="0.2">
      <c r="A3651" s="3" t="s">
        <v>1267</v>
      </c>
      <c r="B3651" t="s">
        <v>8</v>
      </c>
      <c r="C3651" s="3" t="s">
        <v>1268</v>
      </c>
      <c r="D3651" s="3" t="s">
        <v>10</v>
      </c>
    </row>
    <row r="3652" spans="1:4" x14ac:dyDescent="0.2">
      <c r="A3652" s="3" t="s">
        <v>1267</v>
      </c>
      <c r="B3652" t="s">
        <v>8</v>
      </c>
      <c r="C3652" s="3" t="s">
        <v>1246</v>
      </c>
      <c r="D3652" s="3" t="s">
        <v>10</v>
      </c>
    </row>
    <row r="3653" spans="1:4" x14ac:dyDescent="0.2">
      <c r="A3653" s="3" t="s">
        <v>1267</v>
      </c>
      <c r="B3653" t="s">
        <v>8</v>
      </c>
      <c r="C3653" s="3" t="s">
        <v>1269</v>
      </c>
      <c r="D3653" s="3" t="s">
        <v>10</v>
      </c>
    </row>
    <row r="3654" spans="1:4" x14ac:dyDescent="0.2">
      <c r="A3654" s="3" t="s">
        <v>1267</v>
      </c>
      <c r="B3654" t="s">
        <v>8</v>
      </c>
      <c r="C3654" s="3" t="s">
        <v>1270</v>
      </c>
      <c r="D3654" s="3" t="s">
        <v>10</v>
      </c>
    </row>
    <row r="3655" spans="1:4" x14ac:dyDescent="0.2">
      <c r="A3655" s="3" t="s">
        <v>1267</v>
      </c>
      <c r="B3655" t="s">
        <v>8</v>
      </c>
      <c r="C3655" s="3" t="s">
        <v>1271</v>
      </c>
      <c r="D3655" s="3" t="s">
        <v>10</v>
      </c>
    </row>
    <row r="3656" spans="1:4" x14ac:dyDescent="0.2">
      <c r="A3656" s="3" t="s">
        <v>1267</v>
      </c>
      <c r="B3656" t="s">
        <v>8</v>
      </c>
      <c r="C3656" s="3" t="s">
        <v>1272</v>
      </c>
      <c r="D3656" s="3" t="s">
        <v>10</v>
      </c>
    </row>
    <row r="3657" spans="1:4" x14ac:dyDescent="0.2">
      <c r="A3657" s="3" t="s">
        <v>1267</v>
      </c>
      <c r="B3657" t="s">
        <v>8</v>
      </c>
      <c r="C3657" s="3" t="s">
        <v>1273</v>
      </c>
      <c r="D3657" s="3" t="s">
        <v>10</v>
      </c>
    </row>
    <row r="3658" spans="1:4" x14ac:dyDescent="0.2">
      <c r="A3658" s="3" t="s">
        <v>1267</v>
      </c>
      <c r="B3658" t="s">
        <v>8</v>
      </c>
      <c r="C3658" s="3" t="s">
        <v>1274</v>
      </c>
      <c r="D3658" s="3" t="s">
        <v>10</v>
      </c>
    </row>
    <row r="3659" spans="1:4" x14ac:dyDescent="0.2">
      <c r="A3659" s="3" t="s">
        <v>1267</v>
      </c>
      <c r="B3659" t="s">
        <v>8</v>
      </c>
      <c r="C3659" s="3" t="s">
        <v>1249</v>
      </c>
      <c r="D3659" s="3" t="s">
        <v>10</v>
      </c>
    </row>
    <row r="3660" spans="1:4" x14ac:dyDescent="0.2">
      <c r="A3660" s="3" t="s">
        <v>1267</v>
      </c>
      <c r="B3660" t="s">
        <v>8</v>
      </c>
      <c r="C3660" s="3" t="s">
        <v>1250</v>
      </c>
      <c r="D3660" s="3" t="s">
        <v>10</v>
      </c>
    </row>
    <row r="3661" spans="1:4" x14ac:dyDescent="0.2">
      <c r="A3661" s="3" t="s">
        <v>1267</v>
      </c>
      <c r="B3661" t="s">
        <v>8</v>
      </c>
      <c r="C3661" s="3" t="s">
        <v>1251</v>
      </c>
      <c r="D3661" s="3" t="s">
        <v>10</v>
      </c>
    </row>
    <row r="3662" spans="1:4" x14ac:dyDescent="0.2">
      <c r="A3662" s="3" t="s">
        <v>1267</v>
      </c>
      <c r="B3662" t="s">
        <v>8</v>
      </c>
      <c r="C3662" s="3" t="s">
        <v>1252</v>
      </c>
      <c r="D3662" s="3" t="s">
        <v>10</v>
      </c>
    </row>
    <row r="3663" spans="1:4" x14ac:dyDescent="0.2">
      <c r="A3663" s="3" t="s">
        <v>1267</v>
      </c>
      <c r="B3663" t="s">
        <v>8</v>
      </c>
      <c r="C3663" s="3" t="s">
        <v>1275</v>
      </c>
      <c r="D3663" s="3" t="s">
        <v>10</v>
      </c>
    </row>
    <row r="3664" spans="1:4" x14ac:dyDescent="0.2">
      <c r="A3664" s="3" t="s">
        <v>1267</v>
      </c>
      <c r="B3664" t="s">
        <v>8</v>
      </c>
      <c r="C3664" s="3" t="s">
        <v>1276</v>
      </c>
      <c r="D3664" s="3" t="s">
        <v>10</v>
      </c>
    </row>
    <row r="3665" spans="1:4" x14ac:dyDescent="0.2">
      <c r="A3665" s="3" t="s">
        <v>1267</v>
      </c>
      <c r="B3665" t="s">
        <v>8</v>
      </c>
      <c r="C3665" s="3" t="s">
        <v>1277</v>
      </c>
      <c r="D3665" s="3" t="s">
        <v>10</v>
      </c>
    </row>
    <row r="3666" spans="1:4" x14ac:dyDescent="0.2">
      <c r="A3666" s="3" t="s">
        <v>1267</v>
      </c>
      <c r="B3666" t="s">
        <v>8</v>
      </c>
      <c r="C3666" s="3" t="s">
        <v>136</v>
      </c>
      <c r="D3666" s="3" t="s">
        <v>10</v>
      </c>
    </row>
    <row r="3667" spans="1:4" x14ac:dyDescent="0.2">
      <c r="A3667" s="3" t="s">
        <v>1267</v>
      </c>
      <c r="B3667" t="s">
        <v>8</v>
      </c>
      <c r="C3667" s="3" t="s">
        <v>1254</v>
      </c>
      <c r="D3667" s="3" t="s">
        <v>10</v>
      </c>
    </row>
    <row r="3668" spans="1:4" x14ac:dyDescent="0.2">
      <c r="A3668" s="3" t="s">
        <v>1267</v>
      </c>
      <c r="B3668" t="s">
        <v>8</v>
      </c>
      <c r="C3668" s="3" t="s">
        <v>1255</v>
      </c>
      <c r="D3668" s="3" t="s">
        <v>10</v>
      </c>
    </row>
    <row r="3669" spans="1:4" x14ac:dyDescent="0.2">
      <c r="A3669" s="3" t="s">
        <v>1267</v>
      </c>
      <c r="B3669" t="s">
        <v>8</v>
      </c>
      <c r="C3669" s="3" t="s">
        <v>1256</v>
      </c>
      <c r="D3669" s="3" t="s">
        <v>10</v>
      </c>
    </row>
    <row r="3670" spans="1:4" x14ac:dyDescent="0.2">
      <c r="A3670" s="3" t="s">
        <v>1267</v>
      </c>
      <c r="B3670" t="s">
        <v>8</v>
      </c>
      <c r="C3670" s="3" t="s">
        <v>1257</v>
      </c>
      <c r="D3670" s="3" t="s">
        <v>10</v>
      </c>
    </row>
    <row r="3671" spans="1:4" x14ac:dyDescent="0.2">
      <c r="A3671" s="3" t="s">
        <v>1267</v>
      </c>
      <c r="B3671" t="s">
        <v>8</v>
      </c>
      <c r="C3671" s="3" t="s">
        <v>1258</v>
      </c>
      <c r="D3671" s="3" t="s">
        <v>10</v>
      </c>
    </row>
    <row r="3672" spans="1:4" x14ac:dyDescent="0.2">
      <c r="A3672" s="3" t="s">
        <v>1267</v>
      </c>
      <c r="B3672" t="s">
        <v>8</v>
      </c>
      <c r="C3672" s="3" t="s">
        <v>1278</v>
      </c>
      <c r="D3672" s="3" t="s">
        <v>10</v>
      </c>
    </row>
    <row r="3673" spans="1:4" x14ac:dyDescent="0.2">
      <c r="A3673" s="3" t="s">
        <v>1267</v>
      </c>
      <c r="B3673" t="s">
        <v>8</v>
      </c>
      <c r="C3673" s="3" t="s">
        <v>1279</v>
      </c>
      <c r="D3673" s="3" t="s">
        <v>10</v>
      </c>
    </row>
    <row r="3674" spans="1:4" x14ac:dyDescent="0.2">
      <c r="A3674" s="3" t="s">
        <v>1267</v>
      </c>
      <c r="B3674" t="s">
        <v>8</v>
      </c>
      <c r="C3674" s="3" t="s">
        <v>1280</v>
      </c>
      <c r="D3674" s="3" t="s">
        <v>10</v>
      </c>
    </row>
    <row r="3675" spans="1:4" x14ac:dyDescent="0.2">
      <c r="A3675" s="3" t="s">
        <v>1267</v>
      </c>
      <c r="B3675" t="s">
        <v>8</v>
      </c>
      <c r="C3675" s="3" t="s">
        <v>1281</v>
      </c>
      <c r="D3675" s="3" t="s">
        <v>10</v>
      </c>
    </row>
    <row r="3676" spans="1:4" x14ac:dyDescent="0.2">
      <c r="A3676" s="3" t="s">
        <v>1267</v>
      </c>
      <c r="B3676" t="s">
        <v>8</v>
      </c>
      <c r="C3676" s="3" t="s">
        <v>1282</v>
      </c>
      <c r="D3676" s="3" t="s">
        <v>10</v>
      </c>
    </row>
    <row r="3677" spans="1:4" x14ac:dyDescent="0.2">
      <c r="A3677" s="3" t="s">
        <v>1267</v>
      </c>
      <c r="B3677" t="s">
        <v>8</v>
      </c>
      <c r="C3677" s="3" t="s">
        <v>1283</v>
      </c>
      <c r="D3677" s="3" t="s">
        <v>10</v>
      </c>
    </row>
    <row r="3678" spans="1:4" x14ac:dyDescent="0.2">
      <c r="A3678" s="3" t="s">
        <v>1267</v>
      </c>
      <c r="B3678" t="s">
        <v>8</v>
      </c>
      <c r="C3678" s="3" t="s">
        <v>1284</v>
      </c>
      <c r="D3678" s="3" t="s">
        <v>10</v>
      </c>
    </row>
    <row r="3679" spans="1:4" x14ac:dyDescent="0.2">
      <c r="A3679" s="3" t="s">
        <v>1267</v>
      </c>
      <c r="B3679" t="s">
        <v>8</v>
      </c>
      <c r="C3679" s="3" t="s">
        <v>1259</v>
      </c>
      <c r="D3679" s="3" t="s">
        <v>10</v>
      </c>
    </row>
    <row r="3680" spans="1:4" x14ac:dyDescent="0.2">
      <c r="A3680" s="3" t="s">
        <v>1267</v>
      </c>
      <c r="B3680" t="s">
        <v>8</v>
      </c>
      <c r="C3680" s="3" t="s">
        <v>1260</v>
      </c>
      <c r="D3680" s="3" t="s">
        <v>10</v>
      </c>
    </row>
    <row r="3681" spans="1:4" x14ac:dyDescent="0.2">
      <c r="A3681" s="3" t="s">
        <v>1267</v>
      </c>
      <c r="B3681" t="s">
        <v>8</v>
      </c>
      <c r="C3681" s="3" t="s">
        <v>1261</v>
      </c>
      <c r="D3681" s="3" t="s">
        <v>10</v>
      </c>
    </row>
    <row r="3682" spans="1:4" x14ac:dyDescent="0.2">
      <c r="A3682" s="3" t="s">
        <v>1267</v>
      </c>
      <c r="B3682" t="s">
        <v>8</v>
      </c>
      <c r="C3682" s="3" t="s">
        <v>1270</v>
      </c>
      <c r="D3682" s="3" t="s">
        <v>11</v>
      </c>
    </row>
    <row r="3683" spans="1:4" x14ac:dyDescent="0.2">
      <c r="A3683" s="3" t="s">
        <v>1267</v>
      </c>
      <c r="B3683" t="s">
        <v>8</v>
      </c>
      <c r="C3683" s="3" t="s">
        <v>1271</v>
      </c>
      <c r="D3683" s="3" t="s">
        <v>11</v>
      </c>
    </row>
    <row r="3684" spans="1:4" x14ac:dyDescent="0.2">
      <c r="A3684" s="3" t="s">
        <v>1267</v>
      </c>
      <c r="B3684" t="s">
        <v>8</v>
      </c>
      <c r="C3684" s="3" t="s">
        <v>1249</v>
      </c>
      <c r="D3684" s="3" t="s">
        <v>11</v>
      </c>
    </row>
    <row r="3685" spans="1:4" x14ac:dyDescent="0.2">
      <c r="A3685" s="3" t="s">
        <v>1267</v>
      </c>
      <c r="B3685" t="s">
        <v>8</v>
      </c>
      <c r="C3685" s="3" t="s">
        <v>1250</v>
      </c>
      <c r="D3685" s="3" t="s">
        <v>11</v>
      </c>
    </row>
    <row r="3686" spans="1:4" x14ac:dyDescent="0.2">
      <c r="A3686" s="3" t="s">
        <v>1267</v>
      </c>
      <c r="B3686" t="s">
        <v>8</v>
      </c>
      <c r="C3686" s="3" t="s">
        <v>1252</v>
      </c>
      <c r="D3686" s="3" t="s">
        <v>11</v>
      </c>
    </row>
    <row r="3687" spans="1:4" x14ac:dyDescent="0.2">
      <c r="A3687" s="3" t="s">
        <v>1267</v>
      </c>
      <c r="B3687" t="s">
        <v>8</v>
      </c>
      <c r="C3687" s="3" t="s">
        <v>1285</v>
      </c>
      <c r="D3687" s="3" t="s">
        <v>11</v>
      </c>
    </row>
    <row r="3688" spans="1:4" x14ac:dyDescent="0.2">
      <c r="A3688" s="3" t="s">
        <v>1267</v>
      </c>
      <c r="B3688" t="s">
        <v>8</v>
      </c>
      <c r="C3688" s="3" t="s">
        <v>1255</v>
      </c>
      <c r="D3688" s="3" t="s">
        <v>11</v>
      </c>
    </row>
    <row r="3689" spans="1:4" x14ac:dyDescent="0.2">
      <c r="A3689" s="3" t="s">
        <v>1267</v>
      </c>
      <c r="B3689" t="s">
        <v>8</v>
      </c>
      <c r="C3689" s="3" t="s">
        <v>1256</v>
      </c>
      <c r="D3689" s="3" t="s">
        <v>11</v>
      </c>
    </row>
    <row r="3690" spans="1:4" x14ac:dyDescent="0.2">
      <c r="A3690" s="3" t="s">
        <v>1267</v>
      </c>
      <c r="B3690" t="s">
        <v>8</v>
      </c>
      <c r="C3690" s="3" t="s">
        <v>1286</v>
      </c>
      <c r="D3690" s="3" t="s">
        <v>11</v>
      </c>
    </row>
    <row r="3691" spans="1:4" x14ac:dyDescent="0.2">
      <c r="A3691" s="3" t="s">
        <v>1267</v>
      </c>
      <c r="B3691" t="s">
        <v>8</v>
      </c>
      <c r="C3691" s="3" t="s">
        <v>1287</v>
      </c>
      <c r="D3691" s="3" t="s">
        <v>11</v>
      </c>
    </row>
    <row r="3692" spans="1:4" x14ac:dyDescent="0.2">
      <c r="A3692" s="3" t="s">
        <v>1267</v>
      </c>
      <c r="B3692" t="s">
        <v>8</v>
      </c>
      <c r="C3692" s="3" t="s">
        <v>1258</v>
      </c>
      <c r="D3692" s="3" t="s">
        <v>11</v>
      </c>
    </row>
    <row r="3693" spans="1:4" x14ac:dyDescent="0.2">
      <c r="A3693" s="3" t="s">
        <v>1267</v>
      </c>
      <c r="B3693" t="s">
        <v>8</v>
      </c>
      <c r="C3693" s="3" t="s">
        <v>1262</v>
      </c>
      <c r="D3693" s="3" t="s">
        <v>11</v>
      </c>
    </row>
    <row r="3694" spans="1:4" x14ac:dyDescent="0.2">
      <c r="A3694" s="3" t="s">
        <v>1267</v>
      </c>
      <c r="B3694" t="s">
        <v>8</v>
      </c>
      <c r="C3694" s="3" t="s">
        <v>1288</v>
      </c>
      <c r="D3694" s="3" t="s">
        <v>11</v>
      </c>
    </row>
    <row r="3695" spans="1:4" x14ac:dyDescent="0.2">
      <c r="A3695" s="3" t="s">
        <v>1267</v>
      </c>
      <c r="B3695" t="s">
        <v>8</v>
      </c>
      <c r="C3695" s="3" t="s">
        <v>1289</v>
      </c>
      <c r="D3695" s="3" t="s">
        <v>11</v>
      </c>
    </row>
    <row r="3696" spans="1:4" x14ac:dyDescent="0.2">
      <c r="A3696" s="3" t="s">
        <v>1267</v>
      </c>
      <c r="B3696" t="s">
        <v>8</v>
      </c>
      <c r="C3696" s="3" t="s">
        <v>1290</v>
      </c>
      <c r="D3696" s="3" t="s">
        <v>11</v>
      </c>
    </row>
    <row r="3697" spans="1:4" x14ac:dyDescent="0.2">
      <c r="A3697" s="3" t="s">
        <v>1267</v>
      </c>
      <c r="B3697" t="s">
        <v>8</v>
      </c>
      <c r="C3697" s="3" t="s">
        <v>1264</v>
      </c>
      <c r="D3697" s="3" t="s">
        <v>11</v>
      </c>
    </row>
    <row r="3698" spans="1:4" x14ac:dyDescent="0.2">
      <c r="A3698" s="3" t="s">
        <v>1267</v>
      </c>
      <c r="B3698" t="s">
        <v>8</v>
      </c>
      <c r="C3698" s="3" t="s">
        <v>1266</v>
      </c>
      <c r="D3698" s="3" t="s">
        <v>11</v>
      </c>
    </row>
    <row r="3699" spans="1:4" x14ac:dyDescent="0.2">
      <c r="A3699" s="3" t="s">
        <v>1291</v>
      </c>
      <c r="B3699" t="s">
        <v>8</v>
      </c>
      <c r="C3699" s="3" t="s">
        <v>1292</v>
      </c>
      <c r="D3699" s="3" t="s">
        <v>10</v>
      </c>
    </row>
    <row r="3700" spans="1:4" x14ac:dyDescent="0.2">
      <c r="A3700" s="3" t="s">
        <v>1291</v>
      </c>
      <c r="B3700" t="s">
        <v>8</v>
      </c>
      <c r="C3700" s="3" t="s">
        <v>1292</v>
      </c>
      <c r="D3700" s="3" t="s">
        <v>11</v>
      </c>
    </row>
    <row r="3701" spans="1:4" x14ac:dyDescent="0.2">
      <c r="A3701" s="3" t="s">
        <v>1293</v>
      </c>
      <c r="B3701" t="s">
        <v>8</v>
      </c>
      <c r="C3701" s="3" t="s">
        <v>1294</v>
      </c>
      <c r="D3701" s="3" t="s">
        <v>10</v>
      </c>
    </row>
    <row r="3702" spans="1:4" x14ac:dyDescent="0.2">
      <c r="A3702" s="3" t="s">
        <v>1293</v>
      </c>
      <c r="B3702" t="s">
        <v>8</v>
      </c>
      <c r="C3702" s="3" t="s">
        <v>1294</v>
      </c>
      <c r="D3702" s="3" t="s">
        <v>11</v>
      </c>
    </row>
    <row r="3703" spans="1:4" x14ac:dyDescent="0.2">
      <c r="A3703" s="3" t="s">
        <v>1295</v>
      </c>
      <c r="B3703" t="s">
        <v>8</v>
      </c>
      <c r="C3703" s="3" t="s">
        <v>1296</v>
      </c>
      <c r="D3703" s="3" t="s">
        <v>53</v>
      </c>
    </row>
    <row r="3704" spans="1:4" x14ac:dyDescent="0.2">
      <c r="A3704" s="3" t="s">
        <v>1295</v>
      </c>
      <c r="B3704" t="s">
        <v>8</v>
      </c>
      <c r="C3704" s="3" t="s">
        <v>182</v>
      </c>
      <c r="D3704" s="3" t="s">
        <v>53</v>
      </c>
    </row>
    <row r="3705" spans="1:4" x14ac:dyDescent="0.2">
      <c r="A3705" s="3" t="s">
        <v>1295</v>
      </c>
      <c r="B3705" t="s">
        <v>8</v>
      </c>
      <c r="C3705" s="3" t="s">
        <v>1297</v>
      </c>
      <c r="D3705" s="3" t="s">
        <v>53</v>
      </c>
    </row>
    <row r="3706" spans="1:4" x14ac:dyDescent="0.2">
      <c r="A3706" s="3" t="s">
        <v>1295</v>
      </c>
      <c r="B3706" t="s">
        <v>8</v>
      </c>
      <c r="C3706" s="3" t="s">
        <v>1298</v>
      </c>
      <c r="D3706" s="3" t="s">
        <v>53</v>
      </c>
    </row>
    <row r="3707" spans="1:4" x14ac:dyDescent="0.2">
      <c r="A3707" s="3" t="s">
        <v>1295</v>
      </c>
      <c r="B3707" t="s">
        <v>8</v>
      </c>
      <c r="C3707" s="3" t="s">
        <v>1299</v>
      </c>
      <c r="D3707" s="3" t="s">
        <v>53</v>
      </c>
    </row>
    <row r="3708" spans="1:4" x14ac:dyDescent="0.2">
      <c r="A3708" s="3" t="s">
        <v>1295</v>
      </c>
      <c r="B3708" t="s">
        <v>8</v>
      </c>
      <c r="C3708" s="3" t="s">
        <v>1300</v>
      </c>
      <c r="D3708" s="3" t="s">
        <v>53</v>
      </c>
    </row>
    <row r="3709" spans="1:4" x14ac:dyDescent="0.2">
      <c r="A3709" s="3" t="s">
        <v>1295</v>
      </c>
      <c r="B3709" t="s">
        <v>8</v>
      </c>
      <c r="C3709" s="3" t="s">
        <v>1296</v>
      </c>
      <c r="D3709" s="3" t="s">
        <v>54</v>
      </c>
    </row>
    <row r="3710" spans="1:4" x14ac:dyDescent="0.2">
      <c r="A3710" s="3" t="s">
        <v>1295</v>
      </c>
      <c r="B3710" t="s">
        <v>8</v>
      </c>
      <c r="C3710" s="3" t="s">
        <v>182</v>
      </c>
      <c r="D3710" s="3" t="s">
        <v>54</v>
      </c>
    </row>
    <row r="3711" spans="1:4" x14ac:dyDescent="0.2">
      <c r="A3711" s="3" t="s">
        <v>1295</v>
      </c>
      <c r="B3711" t="s">
        <v>8</v>
      </c>
      <c r="C3711" s="3" t="s">
        <v>1297</v>
      </c>
      <c r="D3711" s="3" t="s">
        <v>54</v>
      </c>
    </row>
    <row r="3712" spans="1:4" x14ac:dyDescent="0.2">
      <c r="A3712" s="3" t="s">
        <v>1295</v>
      </c>
      <c r="B3712" t="s">
        <v>8</v>
      </c>
      <c r="C3712" s="3" t="s">
        <v>1298</v>
      </c>
      <c r="D3712" s="3" t="s">
        <v>54</v>
      </c>
    </row>
    <row r="3713" spans="1:4" x14ac:dyDescent="0.2">
      <c r="A3713" s="3" t="s">
        <v>1295</v>
      </c>
      <c r="B3713" t="s">
        <v>8</v>
      </c>
      <c r="C3713" s="3" t="s">
        <v>1299</v>
      </c>
      <c r="D3713" s="3" t="s">
        <v>54</v>
      </c>
    </row>
    <row r="3714" spans="1:4" x14ac:dyDescent="0.2">
      <c r="A3714" s="3" t="s">
        <v>1295</v>
      </c>
      <c r="B3714" t="s">
        <v>8</v>
      </c>
      <c r="C3714" s="3" t="s">
        <v>1300</v>
      </c>
      <c r="D3714" s="3" t="s">
        <v>54</v>
      </c>
    </row>
    <row r="3715" spans="1:4" x14ac:dyDescent="0.2">
      <c r="A3715" s="3" t="s">
        <v>1295</v>
      </c>
      <c r="B3715" t="s">
        <v>8</v>
      </c>
      <c r="C3715" s="3" t="s">
        <v>1301</v>
      </c>
      <c r="D3715" s="3" t="s">
        <v>55</v>
      </c>
    </row>
    <row r="3716" spans="1:4" x14ac:dyDescent="0.2">
      <c r="A3716" s="3" t="s">
        <v>1295</v>
      </c>
      <c r="B3716" t="s">
        <v>8</v>
      </c>
      <c r="C3716" s="3" t="s">
        <v>182</v>
      </c>
      <c r="D3716" s="3" t="s">
        <v>55</v>
      </c>
    </row>
    <row r="3717" spans="1:4" x14ac:dyDescent="0.2">
      <c r="A3717" s="3" t="s">
        <v>1295</v>
      </c>
      <c r="B3717" t="s">
        <v>8</v>
      </c>
      <c r="C3717" s="3" t="s">
        <v>1297</v>
      </c>
      <c r="D3717" s="3" t="s">
        <v>55</v>
      </c>
    </row>
    <row r="3718" spans="1:4" x14ac:dyDescent="0.2">
      <c r="A3718" s="3" t="s">
        <v>1295</v>
      </c>
      <c r="B3718" t="s">
        <v>8</v>
      </c>
      <c r="C3718" s="3" t="s">
        <v>1298</v>
      </c>
      <c r="D3718" s="3" t="s">
        <v>55</v>
      </c>
    </row>
    <row r="3719" spans="1:4" x14ac:dyDescent="0.2">
      <c r="A3719" s="3" t="s">
        <v>1295</v>
      </c>
      <c r="B3719" t="s">
        <v>8</v>
      </c>
      <c r="C3719" s="3" t="s">
        <v>1299</v>
      </c>
      <c r="D3719" s="3" t="s">
        <v>55</v>
      </c>
    </row>
    <row r="3720" spans="1:4" x14ac:dyDescent="0.2">
      <c r="A3720" s="3" t="s">
        <v>1295</v>
      </c>
      <c r="B3720" t="s">
        <v>8</v>
      </c>
      <c r="C3720" s="3" t="s">
        <v>1300</v>
      </c>
      <c r="D3720" s="3" t="s">
        <v>55</v>
      </c>
    </row>
    <row r="3721" spans="1:4" x14ac:dyDescent="0.2">
      <c r="A3721" s="3" t="s">
        <v>1295</v>
      </c>
      <c r="B3721" t="s">
        <v>8</v>
      </c>
      <c r="C3721" s="3" t="s">
        <v>1302</v>
      </c>
      <c r="D3721" s="3" t="s">
        <v>55</v>
      </c>
    </row>
    <row r="3722" spans="1:4" x14ac:dyDescent="0.2">
      <c r="A3722" s="3" t="s">
        <v>1295</v>
      </c>
      <c r="B3722" t="s">
        <v>8</v>
      </c>
      <c r="C3722" s="3" t="s">
        <v>1303</v>
      </c>
      <c r="D3722" s="3" t="s">
        <v>56</v>
      </c>
    </row>
    <row r="3723" spans="1:4" x14ac:dyDescent="0.2">
      <c r="A3723" s="3" t="s">
        <v>1295</v>
      </c>
      <c r="B3723" t="s">
        <v>8</v>
      </c>
      <c r="C3723" s="3" t="s">
        <v>182</v>
      </c>
      <c r="D3723" s="3" t="s">
        <v>56</v>
      </c>
    </row>
    <row r="3724" spans="1:4" x14ac:dyDescent="0.2">
      <c r="A3724" s="3" t="s">
        <v>1295</v>
      </c>
      <c r="B3724" t="s">
        <v>8</v>
      </c>
      <c r="C3724" s="3" t="s">
        <v>1297</v>
      </c>
      <c r="D3724" s="3" t="s">
        <v>56</v>
      </c>
    </row>
    <row r="3725" spans="1:4" x14ac:dyDescent="0.2">
      <c r="A3725" s="3" t="s">
        <v>1295</v>
      </c>
      <c r="B3725" t="s">
        <v>8</v>
      </c>
      <c r="C3725" s="3" t="s">
        <v>1298</v>
      </c>
      <c r="D3725" s="3" t="s">
        <v>56</v>
      </c>
    </row>
    <row r="3726" spans="1:4" x14ac:dyDescent="0.2">
      <c r="A3726" s="3" t="s">
        <v>1295</v>
      </c>
      <c r="B3726" t="s">
        <v>8</v>
      </c>
      <c r="C3726" s="3" t="s">
        <v>1299</v>
      </c>
      <c r="D3726" s="3" t="s">
        <v>56</v>
      </c>
    </row>
    <row r="3727" spans="1:4" x14ac:dyDescent="0.2">
      <c r="A3727" s="3" t="s">
        <v>1295</v>
      </c>
      <c r="B3727" t="s">
        <v>8</v>
      </c>
      <c r="C3727" s="3" t="s">
        <v>1300</v>
      </c>
      <c r="D3727" s="3" t="s">
        <v>56</v>
      </c>
    </row>
    <row r="3728" spans="1:4" x14ac:dyDescent="0.2">
      <c r="A3728" s="3" t="s">
        <v>1295</v>
      </c>
      <c r="B3728" t="s">
        <v>8</v>
      </c>
      <c r="C3728" s="3" t="s">
        <v>1301</v>
      </c>
      <c r="D3728" s="3" t="s">
        <v>57</v>
      </c>
    </row>
    <row r="3729" spans="1:4" x14ac:dyDescent="0.2">
      <c r="A3729" s="3" t="s">
        <v>1295</v>
      </c>
      <c r="B3729" t="s">
        <v>8</v>
      </c>
      <c r="C3729" s="3" t="s">
        <v>182</v>
      </c>
      <c r="D3729" s="3" t="s">
        <v>57</v>
      </c>
    </row>
    <row r="3730" spans="1:4" x14ac:dyDescent="0.2">
      <c r="A3730" s="3" t="s">
        <v>1295</v>
      </c>
      <c r="B3730" t="s">
        <v>8</v>
      </c>
      <c r="C3730" s="3" t="s">
        <v>1297</v>
      </c>
      <c r="D3730" s="3" t="s">
        <v>57</v>
      </c>
    </row>
    <row r="3731" spans="1:4" x14ac:dyDescent="0.2">
      <c r="A3731" s="3" t="s">
        <v>1295</v>
      </c>
      <c r="B3731" t="s">
        <v>8</v>
      </c>
      <c r="C3731" s="3" t="s">
        <v>1298</v>
      </c>
      <c r="D3731" s="3" t="s">
        <v>57</v>
      </c>
    </row>
    <row r="3732" spans="1:4" x14ac:dyDescent="0.2">
      <c r="A3732" s="3" t="s">
        <v>1295</v>
      </c>
      <c r="B3732" t="s">
        <v>8</v>
      </c>
      <c r="C3732" s="3" t="s">
        <v>1299</v>
      </c>
      <c r="D3732" s="3" t="s">
        <v>57</v>
      </c>
    </row>
    <row r="3733" spans="1:4" x14ac:dyDescent="0.2">
      <c r="A3733" s="3" t="s">
        <v>1295</v>
      </c>
      <c r="B3733" t="s">
        <v>8</v>
      </c>
      <c r="C3733" s="3" t="s">
        <v>1300</v>
      </c>
      <c r="D3733" s="3" t="s">
        <v>57</v>
      </c>
    </row>
    <row r="3734" spans="1:4" x14ac:dyDescent="0.2">
      <c r="A3734" s="3" t="s">
        <v>1295</v>
      </c>
      <c r="B3734" t="s">
        <v>8</v>
      </c>
      <c r="C3734" s="3" t="s">
        <v>1304</v>
      </c>
      <c r="D3734" s="3" t="s">
        <v>169</v>
      </c>
    </row>
    <row r="3735" spans="1:4" x14ac:dyDescent="0.2">
      <c r="A3735" s="3" t="s">
        <v>1295</v>
      </c>
      <c r="B3735" t="s">
        <v>8</v>
      </c>
      <c r="C3735" s="3" t="s">
        <v>1305</v>
      </c>
      <c r="D3735" s="3" t="s">
        <v>169</v>
      </c>
    </row>
    <row r="3736" spans="1:4" x14ac:dyDescent="0.2">
      <c r="A3736" s="3" t="s">
        <v>1295</v>
      </c>
      <c r="B3736" t="s">
        <v>8</v>
      </c>
      <c r="C3736" s="3" t="s">
        <v>1306</v>
      </c>
      <c r="D3736" s="3" t="s">
        <v>10</v>
      </c>
    </row>
    <row r="3737" spans="1:4" x14ac:dyDescent="0.2">
      <c r="A3737" s="3" t="s">
        <v>1295</v>
      </c>
      <c r="B3737" t="s">
        <v>8</v>
      </c>
      <c r="C3737" s="3" t="s">
        <v>1307</v>
      </c>
      <c r="D3737" s="3" t="s">
        <v>10</v>
      </c>
    </row>
    <row r="3738" spans="1:4" x14ac:dyDescent="0.2">
      <c r="A3738" s="3" t="s">
        <v>1295</v>
      </c>
      <c r="B3738" t="s">
        <v>8</v>
      </c>
      <c r="C3738" s="3" t="s">
        <v>1306</v>
      </c>
      <c r="D3738" s="3" t="s">
        <v>11</v>
      </c>
    </row>
    <row r="3739" spans="1:4" x14ac:dyDescent="0.2">
      <c r="A3739" s="3" t="s">
        <v>1295</v>
      </c>
      <c r="B3739" t="s">
        <v>8</v>
      </c>
      <c r="C3739" s="3" t="s">
        <v>1307</v>
      </c>
      <c r="D3739" s="3" t="s">
        <v>11</v>
      </c>
    </row>
    <row r="3740" spans="1:4" x14ac:dyDescent="0.2">
      <c r="A3740" s="3" t="s">
        <v>1295</v>
      </c>
      <c r="B3740" t="s">
        <v>8</v>
      </c>
      <c r="C3740" s="3" t="s">
        <v>1308</v>
      </c>
      <c r="D3740" s="3" t="s">
        <v>11</v>
      </c>
    </row>
    <row r="3741" spans="1:4" x14ac:dyDescent="0.2">
      <c r="A3741" s="3" t="s">
        <v>1295</v>
      </c>
      <c r="B3741" t="s">
        <v>8</v>
      </c>
      <c r="C3741" s="3" t="s">
        <v>1309</v>
      </c>
      <c r="D3741" s="3" t="s">
        <v>11</v>
      </c>
    </row>
    <row r="3742" spans="1:4" x14ac:dyDescent="0.2">
      <c r="A3742" s="3" t="s">
        <v>1310</v>
      </c>
      <c r="B3742" t="s">
        <v>8</v>
      </c>
      <c r="C3742" s="3" t="s">
        <v>1311</v>
      </c>
      <c r="D3742" s="3" t="s">
        <v>10</v>
      </c>
    </row>
    <row r="3743" spans="1:4" x14ac:dyDescent="0.2">
      <c r="A3743" s="3" t="s">
        <v>1310</v>
      </c>
      <c r="B3743" t="s">
        <v>8</v>
      </c>
      <c r="C3743" s="3" t="s">
        <v>1311</v>
      </c>
      <c r="D3743" s="3" t="s">
        <v>11</v>
      </c>
    </row>
    <row r="3744" spans="1:4" x14ac:dyDescent="0.2">
      <c r="A3744" s="3" t="s">
        <v>1312</v>
      </c>
      <c r="B3744" t="s">
        <v>8</v>
      </c>
      <c r="C3744" s="3" t="s">
        <v>1311</v>
      </c>
      <c r="D3744" s="3" t="s">
        <v>10</v>
      </c>
    </row>
    <row r="3745" spans="1:4" x14ac:dyDescent="0.2">
      <c r="A3745" s="3" t="s">
        <v>1312</v>
      </c>
      <c r="B3745" t="s">
        <v>8</v>
      </c>
      <c r="C3745" s="3" t="s">
        <v>1311</v>
      </c>
      <c r="D3745" s="3" t="s">
        <v>11</v>
      </c>
    </row>
    <row r="3746" spans="1:4" x14ac:dyDescent="0.2">
      <c r="A3746" s="3" t="s">
        <v>1313</v>
      </c>
      <c r="B3746" t="s">
        <v>8</v>
      </c>
      <c r="C3746" s="3" t="s">
        <v>1314</v>
      </c>
      <c r="D3746" s="3" t="s">
        <v>53</v>
      </c>
    </row>
    <row r="3747" spans="1:4" x14ac:dyDescent="0.2">
      <c r="A3747" s="3" t="s">
        <v>1313</v>
      </c>
      <c r="B3747" t="s">
        <v>8</v>
      </c>
      <c r="C3747" s="3" t="s">
        <v>1315</v>
      </c>
      <c r="D3747" s="3" t="s">
        <v>53</v>
      </c>
    </row>
    <row r="3748" spans="1:4" x14ac:dyDescent="0.2">
      <c r="A3748" s="3" t="s">
        <v>1313</v>
      </c>
      <c r="B3748" t="s">
        <v>8</v>
      </c>
      <c r="C3748" s="3" t="s">
        <v>1314</v>
      </c>
      <c r="D3748" s="3" t="s">
        <v>54</v>
      </c>
    </row>
    <row r="3749" spans="1:4" x14ac:dyDescent="0.2">
      <c r="A3749" s="3" t="s">
        <v>1313</v>
      </c>
      <c r="B3749" t="s">
        <v>8</v>
      </c>
      <c r="C3749" s="3" t="s">
        <v>1315</v>
      </c>
      <c r="D3749" s="3" t="s">
        <v>54</v>
      </c>
    </row>
    <row r="3750" spans="1:4" x14ac:dyDescent="0.2">
      <c r="A3750" s="3" t="s">
        <v>1313</v>
      </c>
      <c r="B3750" t="s">
        <v>8</v>
      </c>
      <c r="C3750" s="3" t="s">
        <v>1314</v>
      </c>
      <c r="D3750" s="3" t="s">
        <v>55</v>
      </c>
    </row>
    <row r="3751" spans="1:4" x14ac:dyDescent="0.2">
      <c r="A3751" s="3" t="s">
        <v>1313</v>
      </c>
      <c r="B3751" t="s">
        <v>8</v>
      </c>
      <c r="C3751" s="3" t="s">
        <v>1315</v>
      </c>
      <c r="D3751" s="3" t="s">
        <v>55</v>
      </c>
    </row>
    <row r="3752" spans="1:4" x14ac:dyDescent="0.2">
      <c r="A3752" s="3" t="s">
        <v>1313</v>
      </c>
      <c r="B3752" t="s">
        <v>8</v>
      </c>
      <c r="C3752" s="3" t="s">
        <v>1314</v>
      </c>
      <c r="D3752" s="3" t="s">
        <v>56</v>
      </c>
    </row>
    <row r="3753" spans="1:4" x14ac:dyDescent="0.2">
      <c r="A3753" s="3" t="s">
        <v>1313</v>
      </c>
      <c r="B3753" t="s">
        <v>8</v>
      </c>
      <c r="C3753" s="3" t="s">
        <v>1315</v>
      </c>
      <c r="D3753" s="3" t="s">
        <v>56</v>
      </c>
    </row>
    <row r="3754" spans="1:4" x14ac:dyDescent="0.2">
      <c r="A3754" s="3" t="s">
        <v>1313</v>
      </c>
      <c r="B3754" t="s">
        <v>8</v>
      </c>
      <c r="C3754" s="3" t="s">
        <v>1314</v>
      </c>
      <c r="D3754" s="3" t="s">
        <v>57</v>
      </c>
    </row>
    <row r="3755" spans="1:4" x14ac:dyDescent="0.2">
      <c r="A3755" s="3" t="s">
        <v>1313</v>
      </c>
      <c r="B3755" t="s">
        <v>8</v>
      </c>
      <c r="C3755" s="3" t="s">
        <v>1315</v>
      </c>
      <c r="D3755" s="3" t="s">
        <v>57</v>
      </c>
    </row>
    <row r="3756" spans="1:4" x14ac:dyDescent="0.2">
      <c r="A3756" s="3" t="s">
        <v>1313</v>
      </c>
      <c r="B3756" t="s">
        <v>8</v>
      </c>
      <c r="C3756" s="3" t="s">
        <v>1316</v>
      </c>
      <c r="D3756" s="3" t="s">
        <v>57</v>
      </c>
    </row>
    <row r="3757" spans="1:4" x14ac:dyDescent="0.2">
      <c r="A3757" s="3" t="s">
        <v>1313</v>
      </c>
      <c r="B3757" t="s">
        <v>8</v>
      </c>
      <c r="C3757" s="3" t="s">
        <v>19</v>
      </c>
      <c r="D3757" s="3" t="s">
        <v>10</v>
      </c>
    </row>
    <row r="3758" spans="1:4" x14ac:dyDescent="0.2">
      <c r="A3758" s="3" t="s">
        <v>1313</v>
      </c>
      <c r="B3758" t="s">
        <v>8</v>
      </c>
      <c r="C3758" s="3" t="s">
        <v>20</v>
      </c>
      <c r="D3758" s="3" t="s">
        <v>10</v>
      </c>
    </row>
    <row r="3759" spans="1:4" x14ac:dyDescent="0.2">
      <c r="A3759" s="3" t="s">
        <v>1313</v>
      </c>
      <c r="B3759" t="s">
        <v>8</v>
      </c>
      <c r="C3759" s="3" t="s">
        <v>19</v>
      </c>
      <c r="D3759" s="3" t="s">
        <v>11</v>
      </c>
    </row>
    <row r="3760" spans="1:4" x14ac:dyDescent="0.2">
      <c r="A3760" s="3" t="s">
        <v>1313</v>
      </c>
      <c r="B3760" t="s">
        <v>8</v>
      </c>
      <c r="C3760" s="3" t="s">
        <v>1308</v>
      </c>
      <c r="D3760" s="3" t="s">
        <v>11</v>
      </c>
    </row>
    <row r="3761" spans="1:4" x14ac:dyDescent="0.2">
      <c r="A3761" s="3" t="s">
        <v>1313</v>
      </c>
      <c r="B3761" t="s">
        <v>8</v>
      </c>
      <c r="C3761" s="3" t="s">
        <v>1309</v>
      </c>
      <c r="D3761" s="3" t="s">
        <v>11</v>
      </c>
    </row>
    <row r="3762" spans="1:4" x14ac:dyDescent="0.2">
      <c r="A3762" s="3" t="s">
        <v>1317</v>
      </c>
      <c r="B3762" t="s">
        <v>8</v>
      </c>
      <c r="C3762" s="3" t="s">
        <v>19</v>
      </c>
      <c r="D3762" s="3" t="s">
        <v>10</v>
      </c>
    </row>
    <row r="3763" spans="1:4" x14ac:dyDescent="0.2">
      <c r="A3763" s="3" t="s">
        <v>1317</v>
      </c>
      <c r="B3763" t="s">
        <v>8</v>
      </c>
      <c r="C3763" s="3" t="s">
        <v>20</v>
      </c>
      <c r="D3763" s="3" t="s">
        <v>10</v>
      </c>
    </row>
    <row r="3764" spans="1:4" x14ac:dyDescent="0.2">
      <c r="A3764" s="3" t="s">
        <v>1317</v>
      </c>
      <c r="B3764" t="s">
        <v>8</v>
      </c>
      <c r="C3764" s="3" t="s">
        <v>19</v>
      </c>
      <c r="D3764" s="3" t="s">
        <v>11</v>
      </c>
    </row>
    <row r="3765" spans="1:4" x14ac:dyDescent="0.2">
      <c r="A3765" s="3" t="s">
        <v>1317</v>
      </c>
      <c r="B3765" t="s">
        <v>8</v>
      </c>
      <c r="C3765" s="3" t="s">
        <v>1308</v>
      </c>
      <c r="D3765" s="3" t="s">
        <v>11</v>
      </c>
    </row>
    <row r="3766" spans="1:4" x14ac:dyDescent="0.2">
      <c r="A3766" s="3" t="s">
        <v>1317</v>
      </c>
      <c r="B3766" t="s">
        <v>8</v>
      </c>
      <c r="C3766" s="3" t="s">
        <v>1309</v>
      </c>
      <c r="D3766" s="3" t="s">
        <v>11</v>
      </c>
    </row>
    <row r="3767" spans="1:4" x14ac:dyDescent="0.2">
      <c r="A3767" s="3" t="s">
        <v>1318</v>
      </c>
      <c r="B3767" t="s">
        <v>8</v>
      </c>
      <c r="C3767" s="3" t="s">
        <v>969</v>
      </c>
      <c r="D3767" s="3" t="s">
        <v>53</v>
      </c>
    </row>
    <row r="3768" spans="1:4" x14ac:dyDescent="0.2">
      <c r="A3768" s="3" t="s">
        <v>1318</v>
      </c>
      <c r="B3768" t="s">
        <v>8</v>
      </c>
      <c r="C3768" s="3" t="s">
        <v>849</v>
      </c>
      <c r="D3768" s="3" t="s">
        <v>53</v>
      </c>
    </row>
    <row r="3769" spans="1:4" x14ac:dyDescent="0.2">
      <c r="A3769" s="3" t="s">
        <v>1318</v>
      </c>
      <c r="B3769" t="s">
        <v>8</v>
      </c>
      <c r="C3769" s="3" t="s">
        <v>850</v>
      </c>
      <c r="D3769" s="3" t="s">
        <v>53</v>
      </c>
    </row>
    <row r="3770" spans="1:4" x14ac:dyDescent="0.2">
      <c r="A3770" s="3" t="s">
        <v>1318</v>
      </c>
      <c r="B3770" t="s">
        <v>8</v>
      </c>
      <c r="C3770" s="3" t="s">
        <v>851</v>
      </c>
      <c r="D3770" s="3" t="s">
        <v>53</v>
      </c>
    </row>
    <row r="3771" spans="1:4" x14ac:dyDescent="0.2">
      <c r="A3771" s="3" t="s">
        <v>1318</v>
      </c>
      <c r="B3771" t="s">
        <v>8</v>
      </c>
      <c r="C3771" s="3" t="s">
        <v>969</v>
      </c>
      <c r="D3771" s="3" t="s">
        <v>54</v>
      </c>
    </row>
    <row r="3772" spans="1:4" x14ac:dyDescent="0.2">
      <c r="A3772" s="3" t="s">
        <v>1318</v>
      </c>
      <c r="B3772" t="s">
        <v>8</v>
      </c>
      <c r="C3772" s="3" t="s">
        <v>849</v>
      </c>
      <c r="D3772" s="3" t="s">
        <v>54</v>
      </c>
    </row>
    <row r="3773" spans="1:4" x14ac:dyDescent="0.2">
      <c r="A3773" s="3" t="s">
        <v>1318</v>
      </c>
      <c r="B3773" t="s">
        <v>8</v>
      </c>
      <c r="C3773" s="3" t="s">
        <v>850</v>
      </c>
      <c r="D3773" s="3" t="s">
        <v>54</v>
      </c>
    </row>
    <row r="3774" spans="1:4" x14ac:dyDescent="0.2">
      <c r="A3774" s="3" t="s">
        <v>1318</v>
      </c>
      <c r="B3774" t="s">
        <v>8</v>
      </c>
      <c r="C3774" s="3" t="s">
        <v>851</v>
      </c>
      <c r="D3774" s="3" t="s">
        <v>54</v>
      </c>
    </row>
    <row r="3775" spans="1:4" x14ac:dyDescent="0.2">
      <c r="A3775" s="3" t="s">
        <v>1318</v>
      </c>
      <c r="B3775" t="s">
        <v>8</v>
      </c>
      <c r="C3775" s="3" t="s">
        <v>969</v>
      </c>
      <c r="D3775" s="3" t="s">
        <v>55</v>
      </c>
    </row>
    <row r="3776" spans="1:4" x14ac:dyDescent="0.2">
      <c r="A3776" s="3" t="s">
        <v>1318</v>
      </c>
      <c r="B3776" t="s">
        <v>8</v>
      </c>
      <c r="C3776" s="3" t="s">
        <v>849</v>
      </c>
      <c r="D3776" s="3" t="s">
        <v>55</v>
      </c>
    </row>
    <row r="3777" spans="1:4" x14ac:dyDescent="0.2">
      <c r="A3777" s="3" t="s">
        <v>1318</v>
      </c>
      <c r="B3777" t="s">
        <v>8</v>
      </c>
      <c r="C3777" s="3" t="s">
        <v>850</v>
      </c>
      <c r="D3777" s="3" t="s">
        <v>55</v>
      </c>
    </row>
    <row r="3778" spans="1:4" x14ac:dyDescent="0.2">
      <c r="A3778" s="3" t="s">
        <v>1318</v>
      </c>
      <c r="B3778" t="s">
        <v>8</v>
      </c>
      <c r="C3778" s="3" t="s">
        <v>851</v>
      </c>
      <c r="D3778" s="3" t="s">
        <v>55</v>
      </c>
    </row>
    <row r="3779" spans="1:4" x14ac:dyDescent="0.2">
      <c r="A3779" s="3" t="s">
        <v>1318</v>
      </c>
      <c r="B3779" t="s">
        <v>8</v>
      </c>
      <c r="C3779" s="3" t="s">
        <v>969</v>
      </c>
      <c r="D3779" s="3" t="s">
        <v>56</v>
      </c>
    </row>
    <row r="3780" spans="1:4" x14ac:dyDescent="0.2">
      <c r="A3780" s="3" t="s">
        <v>1318</v>
      </c>
      <c r="B3780" t="s">
        <v>8</v>
      </c>
      <c r="C3780" s="3" t="s">
        <v>849</v>
      </c>
      <c r="D3780" s="3" t="s">
        <v>56</v>
      </c>
    </row>
    <row r="3781" spans="1:4" x14ac:dyDescent="0.2">
      <c r="A3781" s="3" t="s">
        <v>1318</v>
      </c>
      <c r="B3781" t="s">
        <v>8</v>
      </c>
      <c r="C3781" s="3" t="s">
        <v>850</v>
      </c>
      <c r="D3781" s="3" t="s">
        <v>56</v>
      </c>
    </row>
    <row r="3782" spans="1:4" x14ac:dyDescent="0.2">
      <c r="A3782" s="3" t="s">
        <v>1318</v>
      </c>
      <c r="B3782" t="s">
        <v>8</v>
      </c>
      <c r="C3782" s="3" t="s">
        <v>851</v>
      </c>
      <c r="D3782" s="3" t="s">
        <v>56</v>
      </c>
    </row>
    <row r="3783" spans="1:4" x14ac:dyDescent="0.2">
      <c r="A3783" s="3" t="s">
        <v>1318</v>
      </c>
      <c r="B3783" t="s">
        <v>8</v>
      </c>
      <c r="C3783" s="3" t="s">
        <v>969</v>
      </c>
      <c r="D3783" s="3" t="s">
        <v>57</v>
      </c>
    </row>
    <row r="3784" spans="1:4" x14ac:dyDescent="0.2">
      <c r="A3784" s="3" t="s">
        <v>1318</v>
      </c>
      <c r="B3784" t="s">
        <v>8</v>
      </c>
      <c r="C3784" s="3" t="s">
        <v>849</v>
      </c>
      <c r="D3784" s="3" t="s">
        <v>57</v>
      </c>
    </row>
    <row r="3785" spans="1:4" x14ac:dyDescent="0.2">
      <c r="A3785" s="3" t="s">
        <v>1318</v>
      </c>
      <c r="B3785" t="s">
        <v>8</v>
      </c>
      <c r="C3785" s="3" t="s">
        <v>850</v>
      </c>
      <c r="D3785" s="3" t="s">
        <v>57</v>
      </c>
    </row>
    <row r="3786" spans="1:4" x14ac:dyDescent="0.2">
      <c r="A3786" s="3" t="s">
        <v>1318</v>
      </c>
      <c r="B3786" t="s">
        <v>8</v>
      </c>
      <c r="C3786" s="3" t="s">
        <v>851</v>
      </c>
      <c r="D3786" s="3" t="s">
        <v>57</v>
      </c>
    </row>
    <row r="3787" spans="1:4" x14ac:dyDescent="0.2">
      <c r="A3787" s="3" t="s">
        <v>1318</v>
      </c>
      <c r="B3787" t="s">
        <v>8</v>
      </c>
      <c r="C3787" s="3" t="s">
        <v>1308</v>
      </c>
      <c r="D3787" s="3" t="s">
        <v>11</v>
      </c>
    </row>
    <row r="3788" spans="1:4" x14ac:dyDescent="0.2">
      <c r="A3788" s="3" t="s">
        <v>1318</v>
      </c>
      <c r="B3788" t="s">
        <v>8</v>
      </c>
      <c r="C3788" s="3" t="s">
        <v>1309</v>
      </c>
      <c r="D3788" s="3" t="s">
        <v>11</v>
      </c>
    </row>
    <row r="3789" spans="1:4" x14ac:dyDescent="0.2">
      <c r="A3789" s="3" t="s">
        <v>1319</v>
      </c>
      <c r="B3789" t="s">
        <v>8</v>
      </c>
      <c r="C3789" s="3" t="s">
        <v>1308</v>
      </c>
      <c r="D3789" s="3" t="s">
        <v>11</v>
      </c>
    </row>
    <row r="3790" spans="1:4" x14ac:dyDescent="0.2">
      <c r="A3790" s="3" t="s">
        <v>1319</v>
      </c>
      <c r="B3790" t="s">
        <v>8</v>
      </c>
      <c r="C3790" s="3" t="s">
        <v>1309</v>
      </c>
      <c r="D3790" s="3" t="s">
        <v>11</v>
      </c>
    </row>
    <row r="3791" spans="1:4" x14ac:dyDescent="0.2">
      <c r="A3791" s="3" t="s">
        <v>1320</v>
      </c>
      <c r="B3791" t="s">
        <v>8</v>
      </c>
      <c r="C3791" s="3" t="s">
        <v>1321</v>
      </c>
      <c r="D3791" s="3" t="s">
        <v>53</v>
      </c>
    </row>
    <row r="3792" spans="1:4" x14ac:dyDescent="0.2">
      <c r="A3792" s="3" t="s">
        <v>1320</v>
      </c>
      <c r="B3792" t="s">
        <v>8</v>
      </c>
      <c r="C3792" s="3" t="s">
        <v>1322</v>
      </c>
      <c r="D3792" s="3" t="s">
        <v>53</v>
      </c>
    </row>
    <row r="3793" spans="1:4" x14ac:dyDescent="0.2">
      <c r="A3793" s="3" t="s">
        <v>1320</v>
      </c>
      <c r="B3793" t="s">
        <v>8</v>
      </c>
      <c r="C3793" s="3" t="s">
        <v>1323</v>
      </c>
      <c r="D3793" s="3" t="s">
        <v>53</v>
      </c>
    </row>
    <row r="3794" spans="1:4" x14ac:dyDescent="0.2">
      <c r="A3794" s="3" t="s">
        <v>1320</v>
      </c>
      <c r="B3794" t="s">
        <v>8</v>
      </c>
      <c r="C3794" s="3" t="s">
        <v>1324</v>
      </c>
      <c r="D3794" s="3" t="s">
        <v>53</v>
      </c>
    </row>
    <row r="3795" spans="1:4" x14ac:dyDescent="0.2">
      <c r="A3795" s="3" t="s">
        <v>1320</v>
      </c>
      <c r="B3795" t="s">
        <v>8</v>
      </c>
      <c r="C3795" s="3" t="s">
        <v>1325</v>
      </c>
      <c r="D3795" s="3" t="s">
        <v>53</v>
      </c>
    </row>
    <row r="3796" spans="1:4" x14ac:dyDescent="0.2">
      <c r="A3796" s="3" t="s">
        <v>1320</v>
      </c>
      <c r="B3796" t="s">
        <v>8</v>
      </c>
      <c r="C3796" s="3" t="s">
        <v>1326</v>
      </c>
      <c r="D3796" s="3" t="s">
        <v>53</v>
      </c>
    </row>
    <row r="3797" spans="1:4" x14ac:dyDescent="0.2">
      <c r="A3797" s="3" t="s">
        <v>1320</v>
      </c>
      <c r="B3797" t="s">
        <v>8</v>
      </c>
      <c r="C3797" s="3" t="s">
        <v>1321</v>
      </c>
      <c r="D3797" s="3" t="s">
        <v>54</v>
      </c>
    </row>
    <row r="3798" spans="1:4" x14ac:dyDescent="0.2">
      <c r="A3798" s="3" t="s">
        <v>1320</v>
      </c>
      <c r="B3798" t="s">
        <v>8</v>
      </c>
      <c r="C3798" s="3" t="s">
        <v>1322</v>
      </c>
      <c r="D3798" s="3" t="s">
        <v>54</v>
      </c>
    </row>
    <row r="3799" spans="1:4" x14ac:dyDescent="0.2">
      <c r="A3799" s="3" t="s">
        <v>1320</v>
      </c>
      <c r="B3799" t="s">
        <v>8</v>
      </c>
      <c r="C3799" s="3" t="s">
        <v>1323</v>
      </c>
      <c r="D3799" s="3" t="s">
        <v>54</v>
      </c>
    </row>
    <row r="3800" spans="1:4" x14ac:dyDescent="0.2">
      <c r="A3800" s="3" t="s">
        <v>1320</v>
      </c>
      <c r="B3800" t="s">
        <v>8</v>
      </c>
      <c r="C3800" s="3" t="s">
        <v>1324</v>
      </c>
      <c r="D3800" s="3" t="s">
        <v>54</v>
      </c>
    </row>
    <row r="3801" spans="1:4" x14ac:dyDescent="0.2">
      <c r="A3801" s="3" t="s">
        <v>1320</v>
      </c>
      <c r="B3801" t="s">
        <v>8</v>
      </c>
      <c r="C3801" s="3" t="s">
        <v>1325</v>
      </c>
      <c r="D3801" s="3" t="s">
        <v>54</v>
      </c>
    </row>
    <row r="3802" spans="1:4" x14ac:dyDescent="0.2">
      <c r="A3802" s="3" t="s">
        <v>1320</v>
      </c>
      <c r="B3802" t="s">
        <v>8</v>
      </c>
      <c r="C3802" s="3" t="s">
        <v>1326</v>
      </c>
      <c r="D3802" s="3" t="s">
        <v>54</v>
      </c>
    </row>
    <row r="3803" spans="1:4" x14ac:dyDescent="0.2">
      <c r="A3803" s="3" t="s">
        <v>1320</v>
      </c>
      <c r="B3803" t="s">
        <v>8</v>
      </c>
      <c r="C3803" s="3" t="s">
        <v>1321</v>
      </c>
      <c r="D3803" s="3" t="s">
        <v>55</v>
      </c>
    </row>
    <row r="3804" spans="1:4" x14ac:dyDescent="0.2">
      <c r="A3804" s="3" t="s">
        <v>1320</v>
      </c>
      <c r="B3804" t="s">
        <v>8</v>
      </c>
      <c r="C3804" s="3" t="s">
        <v>1322</v>
      </c>
      <c r="D3804" s="3" t="s">
        <v>55</v>
      </c>
    </row>
    <row r="3805" spans="1:4" x14ac:dyDescent="0.2">
      <c r="A3805" s="3" t="s">
        <v>1320</v>
      </c>
      <c r="B3805" t="s">
        <v>8</v>
      </c>
      <c r="C3805" s="3" t="s">
        <v>1323</v>
      </c>
      <c r="D3805" s="3" t="s">
        <v>55</v>
      </c>
    </row>
    <row r="3806" spans="1:4" x14ac:dyDescent="0.2">
      <c r="A3806" s="3" t="s">
        <v>1320</v>
      </c>
      <c r="B3806" t="s">
        <v>8</v>
      </c>
      <c r="C3806" s="3" t="s">
        <v>1324</v>
      </c>
      <c r="D3806" s="3" t="s">
        <v>55</v>
      </c>
    </row>
    <row r="3807" spans="1:4" x14ac:dyDescent="0.2">
      <c r="A3807" s="3" t="s">
        <v>1320</v>
      </c>
      <c r="B3807" t="s">
        <v>8</v>
      </c>
      <c r="C3807" s="3" t="s">
        <v>1325</v>
      </c>
      <c r="D3807" s="3" t="s">
        <v>55</v>
      </c>
    </row>
    <row r="3808" spans="1:4" x14ac:dyDescent="0.2">
      <c r="A3808" s="3" t="s">
        <v>1320</v>
      </c>
      <c r="B3808" t="s">
        <v>8</v>
      </c>
      <c r="C3808" s="3" t="s">
        <v>1326</v>
      </c>
      <c r="D3808" s="3" t="s">
        <v>55</v>
      </c>
    </row>
    <row r="3809" spans="1:4" x14ac:dyDescent="0.2">
      <c r="A3809" s="3" t="s">
        <v>1320</v>
      </c>
      <c r="B3809" t="s">
        <v>8</v>
      </c>
      <c r="C3809" s="3" t="s">
        <v>1321</v>
      </c>
      <c r="D3809" s="3" t="s">
        <v>56</v>
      </c>
    </row>
    <row r="3810" spans="1:4" x14ac:dyDescent="0.2">
      <c r="A3810" s="3" t="s">
        <v>1320</v>
      </c>
      <c r="B3810" t="s">
        <v>8</v>
      </c>
      <c r="C3810" s="3" t="s">
        <v>1322</v>
      </c>
      <c r="D3810" s="3" t="s">
        <v>56</v>
      </c>
    </row>
    <row r="3811" spans="1:4" x14ac:dyDescent="0.2">
      <c r="A3811" s="3" t="s">
        <v>1320</v>
      </c>
      <c r="B3811" t="s">
        <v>8</v>
      </c>
      <c r="C3811" s="3" t="s">
        <v>1323</v>
      </c>
      <c r="D3811" s="3" t="s">
        <v>56</v>
      </c>
    </row>
    <row r="3812" spans="1:4" x14ac:dyDescent="0.2">
      <c r="A3812" s="3" t="s">
        <v>1320</v>
      </c>
      <c r="B3812" t="s">
        <v>8</v>
      </c>
      <c r="C3812" s="3" t="s">
        <v>1324</v>
      </c>
      <c r="D3812" s="3" t="s">
        <v>56</v>
      </c>
    </row>
    <row r="3813" spans="1:4" x14ac:dyDescent="0.2">
      <c r="A3813" s="3" t="s">
        <v>1320</v>
      </c>
      <c r="B3813" t="s">
        <v>8</v>
      </c>
      <c r="C3813" s="3" t="s">
        <v>1325</v>
      </c>
      <c r="D3813" s="3" t="s">
        <v>56</v>
      </c>
    </row>
    <row r="3814" spans="1:4" x14ac:dyDescent="0.2">
      <c r="A3814" s="3" t="s">
        <v>1320</v>
      </c>
      <c r="B3814" t="s">
        <v>8</v>
      </c>
      <c r="C3814" s="3" t="s">
        <v>1326</v>
      </c>
      <c r="D3814" s="3" t="s">
        <v>56</v>
      </c>
    </row>
    <row r="3815" spans="1:4" x14ac:dyDescent="0.2">
      <c r="A3815" s="3" t="s">
        <v>1320</v>
      </c>
      <c r="B3815" t="s">
        <v>8</v>
      </c>
      <c r="C3815" s="3" t="s">
        <v>1321</v>
      </c>
      <c r="D3815" s="3" t="s">
        <v>57</v>
      </c>
    </row>
    <row r="3816" spans="1:4" x14ac:dyDescent="0.2">
      <c r="A3816" s="3" t="s">
        <v>1320</v>
      </c>
      <c r="B3816" t="s">
        <v>8</v>
      </c>
      <c r="C3816" s="3" t="s">
        <v>1322</v>
      </c>
      <c r="D3816" s="3" t="s">
        <v>57</v>
      </c>
    </row>
    <row r="3817" spans="1:4" x14ac:dyDescent="0.2">
      <c r="A3817" s="3" t="s">
        <v>1320</v>
      </c>
      <c r="B3817" t="s">
        <v>8</v>
      </c>
      <c r="C3817" s="3" t="s">
        <v>1323</v>
      </c>
      <c r="D3817" s="3" t="s">
        <v>57</v>
      </c>
    </row>
    <row r="3818" spans="1:4" x14ac:dyDescent="0.2">
      <c r="A3818" s="3" t="s">
        <v>1320</v>
      </c>
      <c r="B3818" t="s">
        <v>8</v>
      </c>
      <c r="C3818" s="3" t="s">
        <v>1324</v>
      </c>
      <c r="D3818" s="3" t="s">
        <v>57</v>
      </c>
    </row>
    <row r="3819" spans="1:4" x14ac:dyDescent="0.2">
      <c r="A3819" s="3" t="s">
        <v>1320</v>
      </c>
      <c r="B3819" t="s">
        <v>8</v>
      </c>
      <c r="C3819" s="3" t="s">
        <v>1325</v>
      </c>
      <c r="D3819" s="3" t="s">
        <v>57</v>
      </c>
    </row>
    <row r="3820" spans="1:4" x14ac:dyDescent="0.2">
      <c r="A3820" s="3" t="s">
        <v>1320</v>
      </c>
      <c r="B3820" t="s">
        <v>8</v>
      </c>
      <c r="C3820" s="3" t="s">
        <v>1326</v>
      </c>
      <c r="D3820" s="3" t="s">
        <v>57</v>
      </c>
    </row>
    <row r="3821" spans="1:4" x14ac:dyDescent="0.2">
      <c r="A3821" s="3" t="s">
        <v>1320</v>
      </c>
      <c r="B3821" t="s">
        <v>8</v>
      </c>
      <c r="C3821" s="3" t="s">
        <v>1327</v>
      </c>
      <c r="D3821" s="3" t="s">
        <v>169</v>
      </c>
    </row>
    <row r="3822" spans="1:4" x14ac:dyDescent="0.2">
      <c r="A3822" s="3" t="s">
        <v>1320</v>
      </c>
      <c r="B3822" t="s">
        <v>8</v>
      </c>
      <c r="C3822" s="3" t="s">
        <v>1328</v>
      </c>
      <c r="D3822" s="3" t="s">
        <v>169</v>
      </c>
    </row>
    <row r="3823" spans="1:4" x14ac:dyDescent="0.2">
      <c r="A3823" s="3" t="s">
        <v>1320</v>
      </c>
      <c r="B3823" t="s">
        <v>8</v>
      </c>
      <c r="C3823" s="3" t="s">
        <v>1329</v>
      </c>
      <c r="D3823" s="3" t="s">
        <v>169</v>
      </c>
    </row>
    <row r="3824" spans="1:4" x14ac:dyDescent="0.2">
      <c r="A3824" s="3" t="s">
        <v>1320</v>
      </c>
      <c r="B3824" t="s">
        <v>8</v>
      </c>
      <c r="C3824" s="3" t="s">
        <v>1330</v>
      </c>
      <c r="D3824" s="3" t="s">
        <v>10</v>
      </c>
    </row>
    <row r="3825" spans="1:4" x14ac:dyDescent="0.2">
      <c r="A3825" s="3" t="s">
        <v>1320</v>
      </c>
      <c r="B3825" t="s">
        <v>8</v>
      </c>
      <c r="C3825" s="3" t="s">
        <v>1331</v>
      </c>
      <c r="D3825" s="3" t="s">
        <v>10</v>
      </c>
    </row>
    <row r="3826" spans="1:4" x14ac:dyDescent="0.2">
      <c r="A3826" s="3" t="s">
        <v>1320</v>
      </c>
      <c r="B3826" t="s">
        <v>8</v>
      </c>
      <c r="C3826" s="3" t="s">
        <v>1332</v>
      </c>
      <c r="D3826" s="3" t="s">
        <v>10</v>
      </c>
    </row>
    <row r="3827" spans="1:4" x14ac:dyDescent="0.2">
      <c r="A3827" s="3" t="s">
        <v>1320</v>
      </c>
      <c r="B3827" t="s">
        <v>8</v>
      </c>
      <c r="C3827" s="3" t="s">
        <v>1333</v>
      </c>
      <c r="D3827" s="3" t="s">
        <v>10</v>
      </c>
    </row>
    <row r="3828" spans="1:4" x14ac:dyDescent="0.2">
      <c r="A3828" s="3" t="s">
        <v>1320</v>
      </c>
      <c r="B3828" t="s">
        <v>8</v>
      </c>
      <c r="C3828" s="3" t="s">
        <v>1334</v>
      </c>
      <c r="D3828" s="3" t="s">
        <v>10</v>
      </c>
    </row>
    <row r="3829" spans="1:4" x14ac:dyDescent="0.2">
      <c r="A3829" s="3" t="s">
        <v>1320</v>
      </c>
      <c r="B3829" t="s">
        <v>8</v>
      </c>
      <c r="C3829" s="3" t="s">
        <v>1335</v>
      </c>
      <c r="D3829" s="3" t="s">
        <v>10</v>
      </c>
    </row>
    <row r="3830" spans="1:4" x14ac:dyDescent="0.2">
      <c r="A3830" s="3" t="s">
        <v>1320</v>
      </c>
      <c r="B3830" t="s">
        <v>8</v>
      </c>
      <c r="C3830" s="3" t="s">
        <v>1336</v>
      </c>
      <c r="D3830" s="3" t="s">
        <v>10</v>
      </c>
    </row>
    <row r="3831" spans="1:4" x14ac:dyDescent="0.2">
      <c r="A3831" s="3" t="s">
        <v>1320</v>
      </c>
      <c r="B3831" t="s">
        <v>8</v>
      </c>
      <c r="C3831" s="3" t="s">
        <v>88</v>
      </c>
      <c r="D3831" s="3" t="s">
        <v>10</v>
      </c>
    </row>
    <row r="3832" spans="1:4" x14ac:dyDescent="0.2">
      <c r="A3832" s="3" t="s">
        <v>1320</v>
      </c>
      <c r="B3832" t="s">
        <v>8</v>
      </c>
      <c r="C3832" s="3" t="s">
        <v>1337</v>
      </c>
      <c r="D3832" s="3" t="s">
        <v>10</v>
      </c>
    </row>
    <row r="3833" spans="1:4" x14ac:dyDescent="0.2">
      <c r="A3833" s="3" t="s">
        <v>1320</v>
      </c>
      <c r="B3833" t="s">
        <v>8</v>
      </c>
      <c r="C3833" s="3" t="s">
        <v>1338</v>
      </c>
      <c r="D3833" s="3" t="s">
        <v>10</v>
      </c>
    </row>
    <row r="3834" spans="1:4" x14ac:dyDescent="0.2">
      <c r="A3834" s="3" t="s">
        <v>1320</v>
      </c>
      <c r="B3834" t="s">
        <v>8</v>
      </c>
      <c r="C3834" s="3" t="s">
        <v>1339</v>
      </c>
      <c r="D3834" s="3" t="s">
        <v>10</v>
      </c>
    </row>
    <row r="3835" spans="1:4" x14ac:dyDescent="0.2">
      <c r="A3835" s="3" t="s">
        <v>1320</v>
      </c>
      <c r="B3835" t="s">
        <v>8</v>
      </c>
      <c r="C3835" s="3" t="s">
        <v>1340</v>
      </c>
      <c r="D3835" s="3" t="s">
        <v>10</v>
      </c>
    </row>
    <row r="3836" spans="1:4" x14ac:dyDescent="0.2">
      <c r="A3836" s="3" t="s">
        <v>1320</v>
      </c>
      <c r="B3836" t="s">
        <v>8</v>
      </c>
      <c r="C3836" s="3" t="s">
        <v>1341</v>
      </c>
      <c r="D3836" s="3" t="s">
        <v>10</v>
      </c>
    </row>
    <row r="3837" spans="1:4" x14ac:dyDescent="0.2">
      <c r="A3837" s="3" t="s">
        <v>1320</v>
      </c>
      <c r="B3837" t="s">
        <v>8</v>
      </c>
      <c r="C3837" s="3" t="s">
        <v>1342</v>
      </c>
      <c r="D3837" s="3" t="s">
        <v>10</v>
      </c>
    </row>
    <row r="3838" spans="1:4" x14ac:dyDescent="0.2">
      <c r="A3838" s="3" t="s">
        <v>1320</v>
      </c>
      <c r="B3838" t="s">
        <v>8</v>
      </c>
      <c r="C3838" s="3" t="s">
        <v>1343</v>
      </c>
      <c r="D3838" s="3" t="s">
        <v>10</v>
      </c>
    </row>
    <row r="3839" spans="1:4" x14ac:dyDescent="0.2">
      <c r="A3839" s="3" t="s">
        <v>1320</v>
      </c>
      <c r="B3839" t="s">
        <v>8</v>
      </c>
      <c r="C3839" s="3" t="s">
        <v>1344</v>
      </c>
      <c r="D3839" s="3" t="s">
        <v>10</v>
      </c>
    </row>
    <row r="3840" spans="1:4" x14ac:dyDescent="0.2">
      <c r="A3840" s="3" t="s">
        <v>1320</v>
      </c>
      <c r="B3840" t="s">
        <v>8</v>
      </c>
      <c r="C3840" s="3" t="s">
        <v>1292</v>
      </c>
      <c r="D3840" s="3" t="s">
        <v>10</v>
      </c>
    </row>
    <row r="3841" spans="1:4" x14ac:dyDescent="0.2">
      <c r="A3841" s="3" t="s">
        <v>1320</v>
      </c>
      <c r="B3841" t="s">
        <v>8</v>
      </c>
      <c r="C3841" s="3" t="s">
        <v>1345</v>
      </c>
      <c r="D3841" s="3" t="s">
        <v>10</v>
      </c>
    </row>
    <row r="3842" spans="1:4" x14ac:dyDescent="0.2">
      <c r="A3842" s="3" t="s">
        <v>1320</v>
      </c>
      <c r="B3842" t="s">
        <v>8</v>
      </c>
      <c r="C3842" s="3" t="s">
        <v>1346</v>
      </c>
      <c r="D3842" s="3" t="s">
        <v>10</v>
      </c>
    </row>
    <row r="3843" spans="1:4" x14ac:dyDescent="0.2">
      <c r="A3843" s="3" t="s">
        <v>1320</v>
      </c>
      <c r="B3843" t="s">
        <v>8</v>
      </c>
      <c r="C3843" s="3" t="s">
        <v>1347</v>
      </c>
      <c r="D3843" s="3" t="s">
        <v>10</v>
      </c>
    </row>
    <row r="3844" spans="1:4" x14ac:dyDescent="0.2">
      <c r="A3844" s="3" t="s">
        <v>1320</v>
      </c>
      <c r="B3844" t="s">
        <v>8</v>
      </c>
      <c r="C3844" s="3" t="s">
        <v>1348</v>
      </c>
      <c r="D3844" s="3" t="s">
        <v>10</v>
      </c>
    </row>
    <row r="3845" spans="1:4" x14ac:dyDescent="0.2">
      <c r="A3845" s="3" t="s">
        <v>1320</v>
      </c>
      <c r="B3845" t="s">
        <v>8</v>
      </c>
      <c r="C3845" s="3" t="s">
        <v>1239</v>
      </c>
      <c r="D3845" s="3" t="s">
        <v>10</v>
      </c>
    </row>
    <row r="3846" spans="1:4" x14ac:dyDescent="0.2">
      <c r="A3846" s="3" t="s">
        <v>1320</v>
      </c>
      <c r="B3846" t="s">
        <v>8</v>
      </c>
      <c r="C3846" s="3" t="s">
        <v>1240</v>
      </c>
      <c r="D3846" s="3" t="s">
        <v>10</v>
      </c>
    </row>
    <row r="3847" spans="1:4" x14ac:dyDescent="0.2">
      <c r="A3847" s="3" t="s">
        <v>1320</v>
      </c>
      <c r="B3847" t="s">
        <v>8</v>
      </c>
      <c r="C3847" s="3" t="s">
        <v>1349</v>
      </c>
      <c r="D3847" s="3" t="s">
        <v>10</v>
      </c>
    </row>
    <row r="3848" spans="1:4" x14ac:dyDescent="0.2">
      <c r="A3848" s="3" t="s">
        <v>1320</v>
      </c>
      <c r="B3848" t="s">
        <v>8</v>
      </c>
      <c r="C3848" s="3" t="s">
        <v>1350</v>
      </c>
      <c r="D3848" s="3" t="s">
        <v>10</v>
      </c>
    </row>
    <row r="3849" spans="1:4" x14ac:dyDescent="0.2">
      <c r="A3849" s="3" t="s">
        <v>1320</v>
      </c>
      <c r="B3849" t="s">
        <v>8</v>
      </c>
      <c r="C3849" s="3" t="s">
        <v>1351</v>
      </c>
      <c r="D3849" s="3" t="s">
        <v>10</v>
      </c>
    </row>
    <row r="3850" spans="1:4" x14ac:dyDescent="0.2">
      <c r="A3850" s="3" t="s">
        <v>1320</v>
      </c>
      <c r="B3850" t="s">
        <v>8</v>
      </c>
      <c r="C3850" s="3" t="s">
        <v>1352</v>
      </c>
      <c r="D3850" s="3" t="s">
        <v>10</v>
      </c>
    </row>
    <row r="3851" spans="1:4" x14ac:dyDescent="0.2">
      <c r="A3851" s="3" t="s">
        <v>1320</v>
      </c>
      <c r="B3851" t="s">
        <v>8</v>
      </c>
      <c r="C3851" s="3" t="s">
        <v>1353</v>
      </c>
      <c r="D3851" s="3" t="s">
        <v>10</v>
      </c>
    </row>
    <row r="3852" spans="1:4" x14ac:dyDescent="0.2">
      <c r="A3852" s="3" t="s">
        <v>1320</v>
      </c>
      <c r="B3852" t="s">
        <v>8</v>
      </c>
      <c r="C3852" s="3" t="s">
        <v>1354</v>
      </c>
      <c r="D3852" s="3" t="s">
        <v>10</v>
      </c>
    </row>
    <row r="3853" spans="1:4" x14ac:dyDescent="0.2">
      <c r="A3853" s="3" t="s">
        <v>1320</v>
      </c>
      <c r="B3853" t="s">
        <v>8</v>
      </c>
      <c r="C3853" s="3" t="s">
        <v>1355</v>
      </c>
      <c r="D3853" s="3" t="s">
        <v>10</v>
      </c>
    </row>
    <row r="3854" spans="1:4" x14ac:dyDescent="0.2">
      <c r="A3854" s="3" t="s">
        <v>1320</v>
      </c>
      <c r="B3854" t="s">
        <v>8</v>
      </c>
      <c r="C3854" s="3" t="s">
        <v>1356</v>
      </c>
      <c r="D3854" s="3" t="s">
        <v>10</v>
      </c>
    </row>
    <row r="3855" spans="1:4" x14ac:dyDescent="0.2">
      <c r="A3855" s="3" t="s">
        <v>1320</v>
      </c>
      <c r="B3855" t="s">
        <v>8</v>
      </c>
      <c r="C3855" s="3" t="s">
        <v>1357</v>
      </c>
      <c r="D3855" s="3" t="s">
        <v>10</v>
      </c>
    </row>
    <row r="3856" spans="1:4" x14ac:dyDescent="0.2">
      <c r="A3856" s="3" t="s">
        <v>1320</v>
      </c>
      <c r="B3856" t="s">
        <v>8</v>
      </c>
      <c r="C3856" s="3" t="s">
        <v>1358</v>
      </c>
      <c r="D3856" s="3" t="s">
        <v>10</v>
      </c>
    </row>
    <row r="3857" spans="1:4" x14ac:dyDescent="0.2">
      <c r="A3857" s="3" t="s">
        <v>1320</v>
      </c>
      <c r="B3857" t="s">
        <v>8</v>
      </c>
      <c r="C3857" s="3" t="s">
        <v>1359</v>
      </c>
      <c r="D3857" s="3" t="s">
        <v>10</v>
      </c>
    </row>
    <row r="3858" spans="1:4" x14ac:dyDescent="0.2">
      <c r="A3858" s="3" t="s">
        <v>1320</v>
      </c>
      <c r="B3858" t="s">
        <v>8</v>
      </c>
      <c r="C3858" s="3" t="s">
        <v>1360</v>
      </c>
      <c r="D3858" s="3" t="s">
        <v>10</v>
      </c>
    </row>
    <row r="3859" spans="1:4" x14ac:dyDescent="0.2">
      <c r="A3859" s="3" t="s">
        <v>1320</v>
      </c>
      <c r="B3859" t="s">
        <v>8</v>
      </c>
      <c r="C3859" s="3" t="s">
        <v>1361</v>
      </c>
      <c r="D3859" s="3" t="s">
        <v>10</v>
      </c>
    </row>
    <row r="3860" spans="1:4" x14ac:dyDescent="0.2">
      <c r="A3860" s="3" t="s">
        <v>1320</v>
      </c>
      <c r="B3860" t="s">
        <v>8</v>
      </c>
      <c r="C3860" s="3" t="s">
        <v>1362</v>
      </c>
      <c r="D3860" s="3" t="s">
        <v>10</v>
      </c>
    </row>
    <row r="3861" spans="1:4" x14ac:dyDescent="0.2">
      <c r="A3861" s="3" t="s">
        <v>1320</v>
      </c>
      <c r="B3861" t="s">
        <v>8</v>
      </c>
      <c r="C3861" s="3" t="s">
        <v>1363</v>
      </c>
      <c r="D3861" s="3" t="s">
        <v>10</v>
      </c>
    </row>
    <row r="3862" spans="1:4" x14ac:dyDescent="0.2">
      <c r="A3862" s="3" t="s">
        <v>1320</v>
      </c>
      <c r="B3862" t="s">
        <v>8</v>
      </c>
      <c r="C3862" s="3" t="s">
        <v>1364</v>
      </c>
      <c r="D3862" s="3" t="s">
        <v>10</v>
      </c>
    </row>
    <row r="3863" spans="1:4" x14ac:dyDescent="0.2">
      <c r="A3863" s="3" t="s">
        <v>1320</v>
      </c>
      <c r="B3863" t="s">
        <v>8</v>
      </c>
      <c r="C3863" s="3" t="s">
        <v>1365</v>
      </c>
      <c r="D3863" s="3" t="s">
        <v>10</v>
      </c>
    </row>
    <row r="3864" spans="1:4" x14ac:dyDescent="0.2">
      <c r="A3864" s="3" t="s">
        <v>1320</v>
      </c>
      <c r="B3864" t="s">
        <v>8</v>
      </c>
      <c r="C3864" s="3" t="s">
        <v>1366</v>
      </c>
      <c r="D3864" s="3" t="s">
        <v>10</v>
      </c>
    </row>
    <row r="3865" spans="1:4" x14ac:dyDescent="0.2">
      <c r="A3865" s="3" t="s">
        <v>1320</v>
      </c>
      <c r="B3865" t="s">
        <v>8</v>
      </c>
      <c r="C3865" s="3" t="s">
        <v>1311</v>
      </c>
      <c r="D3865" s="3" t="s">
        <v>10</v>
      </c>
    </row>
    <row r="3866" spans="1:4" x14ac:dyDescent="0.2">
      <c r="A3866" s="3" t="s">
        <v>1320</v>
      </c>
      <c r="B3866" t="s">
        <v>8</v>
      </c>
      <c r="C3866" s="3" t="s">
        <v>1367</v>
      </c>
      <c r="D3866" s="3" t="s">
        <v>10</v>
      </c>
    </row>
    <row r="3867" spans="1:4" x14ac:dyDescent="0.2">
      <c r="A3867" s="3" t="s">
        <v>1320</v>
      </c>
      <c r="B3867" t="s">
        <v>8</v>
      </c>
      <c r="C3867" s="3" t="s">
        <v>1368</v>
      </c>
      <c r="D3867" s="3" t="s">
        <v>10</v>
      </c>
    </row>
    <row r="3868" spans="1:4" x14ac:dyDescent="0.2">
      <c r="A3868" s="3" t="s">
        <v>1320</v>
      </c>
      <c r="B3868" t="s">
        <v>8</v>
      </c>
      <c r="C3868" s="3" t="s">
        <v>1256</v>
      </c>
      <c r="D3868" s="3" t="s">
        <v>10</v>
      </c>
    </row>
    <row r="3869" spans="1:4" x14ac:dyDescent="0.2">
      <c r="A3869" s="3" t="s">
        <v>1320</v>
      </c>
      <c r="B3869" t="s">
        <v>8</v>
      </c>
      <c r="C3869" s="3" t="s">
        <v>1369</v>
      </c>
      <c r="D3869" s="3" t="s">
        <v>10</v>
      </c>
    </row>
    <row r="3870" spans="1:4" x14ac:dyDescent="0.2">
      <c r="A3870" s="3" t="s">
        <v>1320</v>
      </c>
      <c r="B3870" t="s">
        <v>8</v>
      </c>
      <c r="C3870" s="3" t="s">
        <v>1370</v>
      </c>
      <c r="D3870" s="3" t="s">
        <v>10</v>
      </c>
    </row>
    <row r="3871" spans="1:4" x14ac:dyDescent="0.2">
      <c r="A3871" s="3" t="s">
        <v>1320</v>
      </c>
      <c r="B3871" t="s">
        <v>8</v>
      </c>
      <c r="C3871" s="3" t="s">
        <v>1371</v>
      </c>
      <c r="D3871" s="3" t="s">
        <v>10</v>
      </c>
    </row>
    <row r="3872" spans="1:4" x14ac:dyDescent="0.2">
      <c r="A3872" s="3" t="s">
        <v>1320</v>
      </c>
      <c r="B3872" t="s">
        <v>8</v>
      </c>
      <c r="C3872" s="3" t="s">
        <v>1372</v>
      </c>
      <c r="D3872" s="3" t="s">
        <v>10</v>
      </c>
    </row>
    <row r="3873" spans="1:4" x14ac:dyDescent="0.2">
      <c r="A3873" s="3" t="s">
        <v>1320</v>
      </c>
      <c r="B3873" t="s">
        <v>8</v>
      </c>
      <c r="C3873" s="3" t="s">
        <v>1373</v>
      </c>
      <c r="D3873" s="3" t="s">
        <v>10</v>
      </c>
    </row>
    <row r="3874" spans="1:4" x14ac:dyDescent="0.2">
      <c r="A3874" s="3" t="s">
        <v>1320</v>
      </c>
      <c r="B3874" t="s">
        <v>8</v>
      </c>
      <c r="C3874" s="3" t="s">
        <v>1321</v>
      </c>
      <c r="D3874" s="3" t="s">
        <v>10</v>
      </c>
    </row>
    <row r="3875" spans="1:4" x14ac:dyDescent="0.2">
      <c r="A3875" s="3" t="s">
        <v>1320</v>
      </c>
      <c r="B3875" t="s">
        <v>8</v>
      </c>
      <c r="C3875" s="3" t="s">
        <v>1322</v>
      </c>
      <c r="D3875" s="3" t="s">
        <v>10</v>
      </c>
    </row>
    <row r="3876" spans="1:4" x14ac:dyDescent="0.2">
      <c r="A3876" s="3" t="s">
        <v>1320</v>
      </c>
      <c r="B3876" t="s">
        <v>8</v>
      </c>
      <c r="C3876" s="3" t="s">
        <v>1323</v>
      </c>
      <c r="D3876" s="3" t="s">
        <v>10</v>
      </c>
    </row>
    <row r="3877" spans="1:4" x14ac:dyDescent="0.2">
      <c r="A3877" s="3" t="s">
        <v>1320</v>
      </c>
      <c r="B3877" t="s">
        <v>8</v>
      </c>
      <c r="C3877" s="3" t="s">
        <v>1324</v>
      </c>
      <c r="D3877" s="3" t="s">
        <v>10</v>
      </c>
    </row>
    <row r="3878" spans="1:4" x14ac:dyDescent="0.2">
      <c r="A3878" s="3" t="s">
        <v>1320</v>
      </c>
      <c r="B3878" t="s">
        <v>8</v>
      </c>
      <c r="C3878" s="3" t="s">
        <v>1325</v>
      </c>
      <c r="D3878" s="3" t="s">
        <v>10</v>
      </c>
    </row>
    <row r="3879" spans="1:4" x14ac:dyDescent="0.2">
      <c r="A3879" s="3" t="s">
        <v>1320</v>
      </c>
      <c r="B3879" t="s">
        <v>8</v>
      </c>
      <c r="C3879" s="3" t="s">
        <v>92</v>
      </c>
      <c r="D3879" s="3" t="s">
        <v>10</v>
      </c>
    </row>
    <row r="3880" spans="1:4" x14ac:dyDescent="0.2">
      <c r="A3880" s="3" t="s">
        <v>1320</v>
      </c>
      <c r="B3880" t="s">
        <v>8</v>
      </c>
      <c r="C3880" s="3" t="s">
        <v>1374</v>
      </c>
      <c r="D3880" s="3" t="s">
        <v>10</v>
      </c>
    </row>
    <row r="3881" spans="1:4" x14ac:dyDescent="0.2">
      <c r="A3881" s="3" t="s">
        <v>1320</v>
      </c>
      <c r="B3881" t="s">
        <v>8</v>
      </c>
      <c r="C3881" s="3" t="s">
        <v>1241</v>
      </c>
      <c r="D3881" s="3" t="s">
        <v>10</v>
      </c>
    </row>
    <row r="3882" spans="1:4" x14ac:dyDescent="0.2">
      <c r="A3882" s="3" t="s">
        <v>1320</v>
      </c>
      <c r="B3882" t="s">
        <v>8</v>
      </c>
      <c r="C3882" s="3" t="s">
        <v>1261</v>
      </c>
      <c r="D3882" s="3" t="s">
        <v>10</v>
      </c>
    </row>
    <row r="3883" spans="1:4" x14ac:dyDescent="0.2">
      <c r="A3883" s="3" t="s">
        <v>1320</v>
      </c>
      <c r="B3883" t="s">
        <v>8</v>
      </c>
      <c r="C3883" s="3" t="s">
        <v>1331</v>
      </c>
      <c r="D3883" s="3" t="s">
        <v>11</v>
      </c>
    </row>
    <row r="3884" spans="1:4" x14ac:dyDescent="0.2">
      <c r="A3884" s="3" t="s">
        <v>1320</v>
      </c>
      <c r="B3884" t="s">
        <v>8</v>
      </c>
      <c r="C3884" s="3" t="s">
        <v>1332</v>
      </c>
      <c r="D3884" s="3" t="s">
        <v>11</v>
      </c>
    </row>
    <row r="3885" spans="1:4" x14ac:dyDescent="0.2">
      <c r="A3885" s="3" t="s">
        <v>1320</v>
      </c>
      <c r="B3885" t="s">
        <v>8</v>
      </c>
      <c r="C3885" s="3" t="s">
        <v>1336</v>
      </c>
      <c r="D3885" s="3" t="s">
        <v>11</v>
      </c>
    </row>
    <row r="3886" spans="1:4" x14ac:dyDescent="0.2">
      <c r="A3886" s="3" t="s">
        <v>1320</v>
      </c>
      <c r="B3886" t="s">
        <v>8</v>
      </c>
      <c r="C3886" s="3" t="s">
        <v>1337</v>
      </c>
      <c r="D3886" s="3" t="s">
        <v>11</v>
      </c>
    </row>
    <row r="3887" spans="1:4" x14ac:dyDescent="0.2">
      <c r="A3887" s="3" t="s">
        <v>1320</v>
      </c>
      <c r="B3887" t="s">
        <v>8</v>
      </c>
      <c r="C3887" s="3" t="s">
        <v>1341</v>
      </c>
      <c r="D3887" s="3" t="s">
        <v>11</v>
      </c>
    </row>
    <row r="3888" spans="1:4" x14ac:dyDescent="0.2">
      <c r="A3888" s="3" t="s">
        <v>1320</v>
      </c>
      <c r="B3888" t="s">
        <v>8</v>
      </c>
      <c r="C3888" s="3" t="s">
        <v>1342</v>
      </c>
      <c r="D3888" s="3" t="s">
        <v>11</v>
      </c>
    </row>
    <row r="3889" spans="1:4" x14ac:dyDescent="0.2">
      <c r="A3889" s="3" t="s">
        <v>1320</v>
      </c>
      <c r="B3889" t="s">
        <v>8</v>
      </c>
      <c r="C3889" s="3" t="s">
        <v>1375</v>
      </c>
      <c r="D3889" s="3" t="s">
        <v>11</v>
      </c>
    </row>
    <row r="3890" spans="1:4" x14ac:dyDescent="0.2">
      <c r="A3890" s="3" t="s">
        <v>1320</v>
      </c>
      <c r="B3890" t="s">
        <v>8</v>
      </c>
      <c r="C3890" s="3" t="s">
        <v>1292</v>
      </c>
      <c r="D3890" s="3" t="s">
        <v>11</v>
      </c>
    </row>
    <row r="3891" spans="1:4" x14ac:dyDescent="0.2">
      <c r="A3891" s="3" t="s">
        <v>1320</v>
      </c>
      <c r="B3891" t="s">
        <v>8</v>
      </c>
      <c r="C3891" s="3" t="s">
        <v>1345</v>
      </c>
      <c r="D3891" s="3" t="s">
        <v>11</v>
      </c>
    </row>
    <row r="3892" spans="1:4" x14ac:dyDescent="0.2">
      <c r="A3892" s="3" t="s">
        <v>1320</v>
      </c>
      <c r="B3892" t="s">
        <v>8</v>
      </c>
      <c r="C3892" s="3" t="s">
        <v>1346</v>
      </c>
      <c r="D3892" s="3" t="s">
        <v>11</v>
      </c>
    </row>
    <row r="3893" spans="1:4" x14ac:dyDescent="0.2">
      <c r="A3893" s="3" t="s">
        <v>1320</v>
      </c>
      <c r="B3893" t="s">
        <v>8</v>
      </c>
      <c r="C3893" s="3" t="s">
        <v>1347</v>
      </c>
      <c r="D3893" s="3" t="s">
        <v>11</v>
      </c>
    </row>
    <row r="3894" spans="1:4" x14ac:dyDescent="0.2">
      <c r="A3894" s="3" t="s">
        <v>1320</v>
      </c>
      <c r="B3894" t="s">
        <v>8</v>
      </c>
      <c r="C3894" s="3" t="s">
        <v>1239</v>
      </c>
      <c r="D3894" s="3" t="s">
        <v>11</v>
      </c>
    </row>
    <row r="3895" spans="1:4" x14ac:dyDescent="0.2">
      <c r="A3895" s="3" t="s">
        <v>1320</v>
      </c>
      <c r="B3895" t="s">
        <v>8</v>
      </c>
      <c r="C3895" s="3" t="s">
        <v>1240</v>
      </c>
      <c r="D3895" s="3" t="s">
        <v>11</v>
      </c>
    </row>
    <row r="3896" spans="1:4" x14ac:dyDescent="0.2">
      <c r="A3896" s="3" t="s">
        <v>1320</v>
      </c>
      <c r="B3896" t="s">
        <v>8</v>
      </c>
      <c r="C3896" s="3" t="s">
        <v>1376</v>
      </c>
      <c r="D3896" s="3" t="s">
        <v>11</v>
      </c>
    </row>
    <row r="3897" spans="1:4" x14ac:dyDescent="0.2">
      <c r="A3897" s="3" t="s">
        <v>1320</v>
      </c>
      <c r="B3897" t="s">
        <v>8</v>
      </c>
      <c r="C3897" s="3" t="s">
        <v>1350</v>
      </c>
      <c r="D3897" s="3" t="s">
        <v>11</v>
      </c>
    </row>
    <row r="3898" spans="1:4" x14ac:dyDescent="0.2">
      <c r="A3898" s="3" t="s">
        <v>1320</v>
      </c>
      <c r="B3898" t="s">
        <v>8</v>
      </c>
      <c r="C3898" s="3" t="s">
        <v>1351</v>
      </c>
      <c r="D3898" s="3" t="s">
        <v>11</v>
      </c>
    </row>
    <row r="3899" spans="1:4" x14ac:dyDescent="0.2">
      <c r="A3899" s="3" t="s">
        <v>1320</v>
      </c>
      <c r="B3899" t="s">
        <v>8</v>
      </c>
      <c r="C3899" s="3" t="s">
        <v>1352</v>
      </c>
      <c r="D3899" s="3" t="s">
        <v>11</v>
      </c>
    </row>
    <row r="3900" spans="1:4" x14ac:dyDescent="0.2">
      <c r="A3900" s="3" t="s">
        <v>1320</v>
      </c>
      <c r="B3900" t="s">
        <v>8</v>
      </c>
      <c r="C3900" s="3" t="s">
        <v>1353</v>
      </c>
      <c r="D3900" s="3" t="s">
        <v>11</v>
      </c>
    </row>
    <row r="3901" spans="1:4" x14ac:dyDescent="0.2">
      <c r="A3901" s="3" t="s">
        <v>1320</v>
      </c>
      <c r="B3901" t="s">
        <v>8</v>
      </c>
      <c r="C3901" s="3" t="s">
        <v>1354</v>
      </c>
      <c r="D3901" s="3" t="s">
        <v>11</v>
      </c>
    </row>
    <row r="3902" spans="1:4" x14ac:dyDescent="0.2">
      <c r="A3902" s="3" t="s">
        <v>1320</v>
      </c>
      <c r="B3902" t="s">
        <v>8</v>
      </c>
      <c r="C3902" s="3" t="s">
        <v>1355</v>
      </c>
      <c r="D3902" s="3" t="s">
        <v>11</v>
      </c>
    </row>
    <row r="3903" spans="1:4" x14ac:dyDescent="0.2">
      <c r="A3903" s="3" t="s">
        <v>1320</v>
      </c>
      <c r="B3903" t="s">
        <v>8</v>
      </c>
      <c r="C3903" s="3" t="s">
        <v>1356</v>
      </c>
      <c r="D3903" s="3" t="s">
        <v>11</v>
      </c>
    </row>
    <row r="3904" spans="1:4" x14ac:dyDescent="0.2">
      <c r="A3904" s="3" t="s">
        <v>1320</v>
      </c>
      <c r="B3904" t="s">
        <v>8</v>
      </c>
      <c r="C3904" s="3" t="s">
        <v>1357</v>
      </c>
      <c r="D3904" s="3" t="s">
        <v>11</v>
      </c>
    </row>
    <row r="3905" spans="1:4" x14ac:dyDescent="0.2">
      <c r="A3905" s="3" t="s">
        <v>1320</v>
      </c>
      <c r="B3905" t="s">
        <v>8</v>
      </c>
      <c r="C3905" s="3" t="s">
        <v>1358</v>
      </c>
      <c r="D3905" s="3" t="s">
        <v>11</v>
      </c>
    </row>
    <row r="3906" spans="1:4" x14ac:dyDescent="0.2">
      <c r="A3906" s="3" t="s">
        <v>1320</v>
      </c>
      <c r="B3906" t="s">
        <v>8</v>
      </c>
      <c r="C3906" s="3" t="s">
        <v>1359</v>
      </c>
      <c r="D3906" s="3" t="s">
        <v>11</v>
      </c>
    </row>
    <row r="3907" spans="1:4" x14ac:dyDescent="0.2">
      <c r="A3907" s="3" t="s">
        <v>1320</v>
      </c>
      <c r="B3907" t="s">
        <v>8</v>
      </c>
      <c r="C3907" s="3" t="s">
        <v>1360</v>
      </c>
      <c r="D3907" s="3" t="s">
        <v>11</v>
      </c>
    </row>
    <row r="3908" spans="1:4" x14ac:dyDescent="0.2">
      <c r="A3908" s="3" t="s">
        <v>1320</v>
      </c>
      <c r="B3908" t="s">
        <v>8</v>
      </c>
      <c r="C3908" s="3" t="s">
        <v>1361</v>
      </c>
      <c r="D3908" s="3" t="s">
        <v>11</v>
      </c>
    </row>
    <row r="3909" spans="1:4" x14ac:dyDescent="0.2">
      <c r="A3909" s="3" t="s">
        <v>1320</v>
      </c>
      <c r="B3909" t="s">
        <v>8</v>
      </c>
      <c r="C3909" s="3" t="s">
        <v>1362</v>
      </c>
      <c r="D3909" s="3" t="s">
        <v>11</v>
      </c>
    </row>
    <row r="3910" spans="1:4" x14ac:dyDescent="0.2">
      <c r="A3910" s="3" t="s">
        <v>1320</v>
      </c>
      <c r="B3910" t="s">
        <v>8</v>
      </c>
      <c r="C3910" s="3" t="s">
        <v>1363</v>
      </c>
      <c r="D3910" s="3" t="s">
        <v>11</v>
      </c>
    </row>
    <row r="3911" spans="1:4" x14ac:dyDescent="0.2">
      <c r="A3911" s="3" t="s">
        <v>1320</v>
      </c>
      <c r="B3911" t="s">
        <v>8</v>
      </c>
      <c r="C3911" s="3" t="s">
        <v>1364</v>
      </c>
      <c r="D3911" s="3" t="s">
        <v>11</v>
      </c>
    </row>
    <row r="3912" spans="1:4" x14ac:dyDescent="0.2">
      <c r="A3912" s="3" t="s">
        <v>1320</v>
      </c>
      <c r="B3912" t="s">
        <v>8</v>
      </c>
      <c r="C3912" s="3" t="s">
        <v>1365</v>
      </c>
      <c r="D3912" s="3" t="s">
        <v>11</v>
      </c>
    </row>
    <row r="3913" spans="1:4" x14ac:dyDescent="0.2">
      <c r="A3913" s="3" t="s">
        <v>1320</v>
      </c>
      <c r="B3913" t="s">
        <v>8</v>
      </c>
      <c r="C3913" s="3" t="s">
        <v>1366</v>
      </c>
      <c r="D3913" s="3" t="s">
        <v>11</v>
      </c>
    </row>
    <row r="3914" spans="1:4" x14ac:dyDescent="0.2">
      <c r="A3914" s="3" t="s">
        <v>1320</v>
      </c>
      <c r="B3914" t="s">
        <v>8</v>
      </c>
      <c r="C3914" s="3" t="s">
        <v>1311</v>
      </c>
      <c r="D3914" s="3" t="s">
        <v>11</v>
      </c>
    </row>
    <row r="3915" spans="1:4" x14ac:dyDescent="0.2">
      <c r="A3915" s="3" t="s">
        <v>1320</v>
      </c>
      <c r="B3915" t="s">
        <v>8</v>
      </c>
      <c r="C3915" s="3" t="s">
        <v>1367</v>
      </c>
      <c r="D3915" s="3" t="s">
        <v>11</v>
      </c>
    </row>
    <row r="3916" spans="1:4" x14ac:dyDescent="0.2">
      <c r="A3916" s="3" t="s">
        <v>1320</v>
      </c>
      <c r="B3916" t="s">
        <v>8</v>
      </c>
      <c r="C3916" s="3" t="s">
        <v>1368</v>
      </c>
      <c r="D3916" s="3" t="s">
        <v>11</v>
      </c>
    </row>
    <row r="3917" spans="1:4" x14ac:dyDescent="0.2">
      <c r="A3917" s="3" t="s">
        <v>1320</v>
      </c>
      <c r="B3917" t="s">
        <v>8</v>
      </c>
      <c r="C3917" s="3" t="s">
        <v>1256</v>
      </c>
      <c r="D3917" s="3" t="s">
        <v>11</v>
      </c>
    </row>
    <row r="3918" spans="1:4" x14ac:dyDescent="0.2">
      <c r="A3918" s="3" t="s">
        <v>1320</v>
      </c>
      <c r="B3918" t="s">
        <v>8</v>
      </c>
      <c r="C3918" s="3" t="s">
        <v>1369</v>
      </c>
      <c r="D3918" s="3" t="s">
        <v>11</v>
      </c>
    </row>
    <row r="3919" spans="1:4" x14ac:dyDescent="0.2">
      <c r="A3919" s="3" t="s">
        <v>1320</v>
      </c>
      <c r="B3919" t="s">
        <v>8</v>
      </c>
      <c r="C3919" s="3" t="s">
        <v>1377</v>
      </c>
      <c r="D3919" s="3" t="s">
        <v>11</v>
      </c>
    </row>
    <row r="3920" spans="1:4" x14ac:dyDescent="0.2">
      <c r="A3920" s="3" t="s">
        <v>1320</v>
      </c>
      <c r="B3920" t="s">
        <v>8</v>
      </c>
      <c r="C3920" s="3" t="s">
        <v>1378</v>
      </c>
      <c r="D3920" s="3" t="s">
        <v>11</v>
      </c>
    </row>
    <row r="3921" spans="1:4" x14ac:dyDescent="0.2">
      <c r="A3921" s="3" t="s">
        <v>1320</v>
      </c>
      <c r="B3921" t="s">
        <v>8</v>
      </c>
      <c r="C3921" s="3" t="s">
        <v>1379</v>
      </c>
      <c r="D3921" s="3" t="s">
        <v>11</v>
      </c>
    </row>
    <row r="3922" spans="1:4" x14ac:dyDescent="0.2">
      <c r="A3922" s="3" t="s">
        <v>1320</v>
      </c>
      <c r="B3922" t="s">
        <v>8</v>
      </c>
      <c r="C3922" s="3" t="s">
        <v>1380</v>
      </c>
      <c r="D3922" s="3" t="s">
        <v>11</v>
      </c>
    </row>
    <row r="3923" spans="1:4" x14ac:dyDescent="0.2">
      <c r="A3923" s="3" t="s">
        <v>1320</v>
      </c>
      <c r="B3923" t="s">
        <v>8</v>
      </c>
      <c r="C3923" s="3" t="s">
        <v>1381</v>
      </c>
      <c r="D3923" s="3" t="s">
        <v>11</v>
      </c>
    </row>
    <row r="3924" spans="1:4" x14ac:dyDescent="0.2">
      <c r="A3924" s="3" t="s">
        <v>1320</v>
      </c>
      <c r="B3924" t="s">
        <v>8</v>
      </c>
      <c r="C3924" s="3" t="s">
        <v>1382</v>
      </c>
      <c r="D3924" s="3" t="s">
        <v>11</v>
      </c>
    </row>
    <row r="3925" spans="1:4" x14ac:dyDescent="0.2">
      <c r="A3925" s="3" t="s">
        <v>1320</v>
      </c>
      <c r="B3925" t="s">
        <v>8</v>
      </c>
      <c r="C3925" s="3" t="s">
        <v>1383</v>
      </c>
      <c r="D3925" s="3" t="s">
        <v>11</v>
      </c>
    </row>
    <row r="3926" spans="1:4" x14ac:dyDescent="0.2">
      <c r="A3926" s="3" t="s">
        <v>1320</v>
      </c>
      <c r="B3926" t="s">
        <v>8</v>
      </c>
      <c r="C3926" s="3" t="s">
        <v>1384</v>
      </c>
      <c r="D3926" s="3" t="s">
        <v>11</v>
      </c>
    </row>
    <row r="3927" spans="1:4" x14ac:dyDescent="0.2">
      <c r="A3927" s="3" t="s">
        <v>1320</v>
      </c>
      <c r="B3927" t="s">
        <v>8</v>
      </c>
      <c r="C3927" s="3" t="s">
        <v>1385</v>
      </c>
      <c r="D3927" s="3" t="s">
        <v>11</v>
      </c>
    </row>
    <row r="3928" spans="1:4" x14ac:dyDescent="0.2">
      <c r="A3928" s="3" t="s">
        <v>1320</v>
      </c>
      <c r="B3928" t="s">
        <v>8</v>
      </c>
      <c r="C3928" s="3" t="s">
        <v>1386</v>
      </c>
      <c r="D3928" s="3" t="s">
        <v>11</v>
      </c>
    </row>
    <row r="3929" spans="1:4" x14ac:dyDescent="0.2">
      <c r="A3929" s="3" t="s">
        <v>1320</v>
      </c>
      <c r="B3929" t="s">
        <v>8</v>
      </c>
      <c r="C3929" s="3" t="s">
        <v>1387</v>
      </c>
      <c r="D3929" s="3" t="s">
        <v>11</v>
      </c>
    </row>
    <row r="3930" spans="1:4" x14ac:dyDescent="0.2">
      <c r="A3930" s="3" t="s">
        <v>1320</v>
      </c>
      <c r="B3930" t="s">
        <v>8</v>
      </c>
      <c r="C3930" s="3" t="s">
        <v>1388</v>
      </c>
      <c r="D3930" s="3" t="s">
        <v>11</v>
      </c>
    </row>
    <row r="3931" spans="1:4" x14ac:dyDescent="0.2">
      <c r="A3931" s="3" t="s">
        <v>1320</v>
      </c>
      <c r="B3931" t="s">
        <v>8</v>
      </c>
      <c r="C3931" s="3" t="s">
        <v>1389</v>
      </c>
      <c r="D3931" s="3" t="s">
        <v>11</v>
      </c>
    </row>
    <row r="3932" spans="1:4" x14ac:dyDescent="0.2">
      <c r="A3932" s="3" t="s">
        <v>1320</v>
      </c>
      <c r="B3932" t="s">
        <v>8</v>
      </c>
      <c r="C3932" s="3" t="s">
        <v>1321</v>
      </c>
      <c r="D3932" s="3" t="s">
        <v>11</v>
      </c>
    </row>
    <row r="3933" spans="1:4" x14ac:dyDescent="0.2">
      <c r="A3933" s="3" t="s">
        <v>1320</v>
      </c>
      <c r="B3933" t="s">
        <v>8</v>
      </c>
      <c r="C3933" s="3" t="s">
        <v>1322</v>
      </c>
      <c r="D3933" s="3" t="s">
        <v>11</v>
      </c>
    </row>
    <row r="3934" spans="1:4" x14ac:dyDescent="0.2">
      <c r="A3934" s="3" t="s">
        <v>1320</v>
      </c>
      <c r="B3934" t="s">
        <v>8</v>
      </c>
      <c r="C3934" s="3" t="s">
        <v>1323</v>
      </c>
      <c r="D3934" s="3" t="s">
        <v>11</v>
      </c>
    </row>
    <row r="3935" spans="1:4" x14ac:dyDescent="0.2">
      <c r="A3935" s="3" t="s">
        <v>1320</v>
      </c>
      <c r="B3935" t="s">
        <v>8</v>
      </c>
      <c r="C3935" s="3" t="s">
        <v>1324</v>
      </c>
      <c r="D3935" s="3" t="s">
        <v>11</v>
      </c>
    </row>
    <row r="3936" spans="1:4" x14ac:dyDescent="0.2">
      <c r="A3936" s="3" t="s">
        <v>1320</v>
      </c>
      <c r="B3936" t="s">
        <v>8</v>
      </c>
      <c r="C3936" s="3" t="s">
        <v>1325</v>
      </c>
      <c r="D3936" s="3" t="s">
        <v>11</v>
      </c>
    </row>
    <row r="3937" spans="1:4" x14ac:dyDescent="0.2">
      <c r="A3937" s="3" t="s">
        <v>1320</v>
      </c>
      <c r="B3937" t="s">
        <v>8</v>
      </c>
      <c r="C3937" s="3" t="s">
        <v>1390</v>
      </c>
      <c r="D3937" s="3" t="s">
        <v>11</v>
      </c>
    </row>
    <row r="3938" spans="1:4" x14ac:dyDescent="0.2">
      <c r="A3938" s="3" t="s">
        <v>1320</v>
      </c>
      <c r="B3938" t="s">
        <v>8</v>
      </c>
      <c r="C3938" s="3" t="s">
        <v>1391</v>
      </c>
      <c r="D3938" s="3" t="s">
        <v>11</v>
      </c>
    </row>
    <row r="3939" spans="1:4" x14ac:dyDescent="0.2">
      <c r="A3939" s="3" t="s">
        <v>1320</v>
      </c>
      <c r="B3939" t="s">
        <v>8</v>
      </c>
      <c r="C3939" s="3" t="s">
        <v>1392</v>
      </c>
      <c r="D3939" s="3" t="s">
        <v>11</v>
      </c>
    </row>
    <row r="3940" spans="1:4" x14ac:dyDescent="0.2">
      <c r="A3940" s="3" t="s">
        <v>1320</v>
      </c>
      <c r="B3940" t="s">
        <v>8</v>
      </c>
      <c r="C3940" s="3" t="s">
        <v>1393</v>
      </c>
      <c r="D3940" s="3" t="s">
        <v>11</v>
      </c>
    </row>
    <row r="3941" spans="1:4" x14ac:dyDescent="0.2">
      <c r="A3941" s="3" t="s">
        <v>1320</v>
      </c>
      <c r="B3941" t="s">
        <v>8</v>
      </c>
      <c r="C3941" s="3" t="s">
        <v>1264</v>
      </c>
      <c r="D3941" s="3" t="s">
        <v>11</v>
      </c>
    </row>
    <row r="3942" spans="1:4" x14ac:dyDescent="0.2">
      <c r="A3942" s="3" t="s">
        <v>1320</v>
      </c>
      <c r="B3942" t="s">
        <v>8</v>
      </c>
      <c r="C3942" s="3" t="s">
        <v>1394</v>
      </c>
      <c r="D3942" s="3" t="s">
        <v>11</v>
      </c>
    </row>
    <row r="3943" spans="1:4" x14ac:dyDescent="0.2">
      <c r="A3943" s="3" t="s">
        <v>1320</v>
      </c>
      <c r="B3943" t="s">
        <v>8</v>
      </c>
      <c r="C3943" s="3" t="s">
        <v>1395</v>
      </c>
      <c r="D3943" s="3" t="s">
        <v>11</v>
      </c>
    </row>
    <row r="3944" spans="1:4" x14ac:dyDescent="0.2">
      <c r="A3944" s="3" t="s">
        <v>1320</v>
      </c>
      <c r="B3944" t="s">
        <v>8</v>
      </c>
      <c r="C3944" s="3" t="s">
        <v>1396</v>
      </c>
      <c r="D3944" s="3" t="s">
        <v>11</v>
      </c>
    </row>
    <row r="3945" spans="1:4" x14ac:dyDescent="0.2">
      <c r="A3945" s="3" t="s">
        <v>1320</v>
      </c>
      <c r="B3945" t="s">
        <v>8</v>
      </c>
      <c r="C3945" s="3" t="s">
        <v>1397</v>
      </c>
      <c r="D3945" s="3" t="s">
        <v>22</v>
      </c>
    </row>
    <row r="3946" spans="1:4" x14ac:dyDescent="0.2">
      <c r="A3946" s="3" t="s">
        <v>1320</v>
      </c>
      <c r="B3946" t="s">
        <v>8</v>
      </c>
      <c r="C3946" s="3" t="s">
        <v>1398</v>
      </c>
      <c r="D3946" s="3" t="s">
        <v>22</v>
      </c>
    </row>
    <row r="3947" spans="1:4" x14ac:dyDescent="0.2">
      <c r="A3947" s="3" t="s">
        <v>1399</v>
      </c>
      <c r="B3947" t="s">
        <v>8</v>
      </c>
      <c r="C3947" s="3" t="s">
        <v>1369</v>
      </c>
      <c r="D3947" s="3" t="s">
        <v>10</v>
      </c>
    </row>
    <row r="3948" spans="1:4" x14ac:dyDescent="0.2">
      <c r="A3948" s="3" t="s">
        <v>1399</v>
      </c>
      <c r="B3948" t="s">
        <v>8</v>
      </c>
      <c r="C3948" s="3" t="s">
        <v>1369</v>
      </c>
      <c r="D3948" s="3" t="s">
        <v>11</v>
      </c>
    </row>
    <row r="3949" spans="1:4" x14ac:dyDescent="0.2">
      <c r="A3949" s="3" t="s">
        <v>1400</v>
      </c>
      <c r="B3949" t="s">
        <v>8</v>
      </c>
      <c r="C3949" s="3" t="s">
        <v>1369</v>
      </c>
      <c r="D3949" s="3" t="s">
        <v>10</v>
      </c>
    </row>
    <row r="3950" spans="1:4" x14ac:dyDescent="0.2">
      <c r="A3950" s="3" t="s">
        <v>1400</v>
      </c>
      <c r="B3950" t="s">
        <v>8</v>
      </c>
      <c r="C3950" s="3" t="s">
        <v>1369</v>
      </c>
      <c r="D3950" s="3" t="s">
        <v>11</v>
      </c>
    </row>
    <row r="3951" spans="1:4" x14ac:dyDescent="0.2">
      <c r="A3951" s="3" t="s">
        <v>1401</v>
      </c>
      <c r="B3951" t="s">
        <v>8</v>
      </c>
      <c r="C3951" s="3" t="s">
        <v>1402</v>
      </c>
      <c r="D3951" s="3" t="s">
        <v>54</v>
      </c>
    </row>
    <row r="3952" spans="1:4" x14ac:dyDescent="0.2">
      <c r="A3952" s="3" t="s">
        <v>1401</v>
      </c>
      <c r="B3952" t="s">
        <v>8</v>
      </c>
      <c r="C3952" s="3" t="s">
        <v>1403</v>
      </c>
      <c r="D3952" s="3" t="s">
        <v>54</v>
      </c>
    </row>
    <row r="3953" spans="1:4" x14ac:dyDescent="0.2">
      <c r="A3953" s="3" t="s">
        <v>1401</v>
      </c>
      <c r="B3953" t="s">
        <v>8</v>
      </c>
      <c r="C3953" s="3" t="s">
        <v>1404</v>
      </c>
      <c r="D3953" s="3" t="s">
        <v>54</v>
      </c>
    </row>
    <row r="3954" spans="1:4" x14ac:dyDescent="0.2">
      <c r="A3954" s="3" t="s">
        <v>1401</v>
      </c>
      <c r="B3954" t="s">
        <v>8</v>
      </c>
      <c r="C3954" s="3" t="s">
        <v>1405</v>
      </c>
      <c r="D3954" s="3" t="s">
        <v>54</v>
      </c>
    </row>
    <row r="3955" spans="1:4" x14ac:dyDescent="0.2">
      <c r="A3955" s="3" t="s">
        <v>1401</v>
      </c>
      <c r="B3955" t="s">
        <v>8</v>
      </c>
      <c r="C3955" s="3" t="s">
        <v>1406</v>
      </c>
      <c r="D3955" s="3" t="s">
        <v>54</v>
      </c>
    </row>
    <row r="3956" spans="1:4" x14ac:dyDescent="0.2">
      <c r="A3956" s="3" t="s">
        <v>1401</v>
      </c>
      <c r="B3956" t="s">
        <v>8</v>
      </c>
      <c r="C3956" s="3" t="s">
        <v>1407</v>
      </c>
      <c r="D3956" s="3" t="s">
        <v>54</v>
      </c>
    </row>
    <row r="3957" spans="1:4" x14ac:dyDescent="0.2">
      <c r="A3957" s="3" t="s">
        <v>1401</v>
      </c>
      <c r="B3957" t="s">
        <v>8</v>
      </c>
      <c r="C3957" s="3" t="s">
        <v>1408</v>
      </c>
      <c r="D3957" s="3" t="s">
        <v>54</v>
      </c>
    </row>
    <row r="3958" spans="1:4" x14ac:dyDescent="0.2">
      <c r="A3958" s="3" t="s">
        <v>1401</v>
      </c>
      <c r="B3958" t="s">
        <v>8</v>
      </c>
      <c r="C3958" s="3" t="s">
        <v>1402</v>
      </c>
      <c r="D3958" s="3" t="s">
        <v>55</v>
      </c>
    </row>
    <row r="3959" spans="1:4" x14ac:dyDescent="0.2">
      <c r="A3959" s="3" t="s">
        <v>1401</v>
      </c>
      <c r="B3959" t="s">
        <v>8</v>
      </c>
      <c r="C3959" s="3" t="s">
        <v>1403</v>
      </c>
      <c r="D3959" s="3" t="s">
        <v>55</v>
      </c>
    </row>
    <row r="3960" spans="1:4" x14ac:dyDescent="0.2">
      <c r="A3960" s="3" t="s">
        <v>1401</v>
      </c>
      <c r="B3960" t="s">
        <v>8</v>
      </c>
      <c r="C3960" s="3" t="s">
        <v>1404</v>
      </c>
      <c r="D3960" s="3" t="s">
        <v>55</v>
      </c>
    </row>
    <row r="3961" spans="1:4" x14ac:dyDescent="0.2">
      <c r="A3961" s="3" t="s">
        <v>1401</v>
      </c>
      <c r="B3961" t="s">
        <v>8</v>
      </c>
      <c r="C3961" s="3" t="s">
        <v>1405</v>
      </c>
      <c r="D3961" s="3" t="s">
        <v>55</v>
      </c>
    </row>
    <row r="3962" spans="1:4" x14ac:dyDescent="0.2">
      <c r="A3962" s="3" t="s">
        <v>1401</v>
      </c>
      <c r="B3962" t="s">
        <v>8</v>
      </c>
      <c r="C3962" s="3" t="s">
        <v>1406</v>
      </c>
      <c r="D3962" s="3" t="s">
        <v>55</v>
      </c>
    </row>
    <row r="3963" spans="1:4" x14ac:dyDescent="0.2">
      <c r="A3963" s="3" t="s">
        <v>1401</v>
      </c>
      <c r="B3963" t="s">
        <v>8</v>
      </c>
      <c r="C3963" s="3" t="s">
        <v>1407</v>
      </c>
      <c r="D3963" s="3" t="s">
        <v>55</v>
      </c>
    </row>
    <row r="3964" spans="1:4" x14ac:dyDescent="0.2">
      <c r="A3964" s="3" t="s">
        <v>1401</v>
      </c>
      <c r="B3964" t="s">
        <v>8</v>
      </c>
      <c r="C3964" s="3" t="s">
        <v>1408</v>
      </c>
      <c r="D3964" s="3" t="s">
        <v>55</v>
      </c>
    </row>
    <row r="3965" spans="1:4" x14ac:dyDescent="0.2">
      <c r="A3965" s="3" t="s">
        <v>1401</v>
      </c>
      <c r="B3965" t="s">
        <v>8</v>
      </c>
      <c r="C3965" s="3" t="s">
        <v>1402</v>
      </c>
      <c r="D3965" s="3" t="s">
        <v>56</v>
      </c>
    </row>
    <row r="3966" spans="1:4" x14ac:dyDescent="0.2">
      <c r="A3966" s="3" t="s">
        <v>1401</v>
      </c>
      <c r="B3966" t="s">
        <v>8</v>
      </c>
      <c r="C3966" s="3" t="s">
        <v>1403</v>
      </c>
      <c r="D3966" s="3" t="s">
        <v>56</v>
      </c>
    </row>
    <row r="3967" spans="1:4" x14ac:dyDescent="0.2">
      <c r="A3967" s="3" t="s">
        <v>1401</v>
      </c>
      <c r="B3967" t="s">
        <v>8</v>
      </c>
      <c r="C3967" s="3" t="s">
        <v>1404</v>
      </c>
      <c r="D3967" s="3" t="s">
        <v>56</v>
      </c>
    </row>
    <row r="3968" spans="1:4" x14ac:dyDescent="0.2">
      <c r="A3968" s="3" t="s">
        <v>1401</v>
      </c>
      <c r="B3968" t="s">
        <v>8</v>
      </c>
      <c r="C3968" s="3" t="s">
        <v>1405</v>
      </c>
      <c r="D3968" s="3" t="s">
        <v>56</v>
      </c>
    </row>
    <row r="3969" spans="1:4" x14ac:dyDescent="0.2">
      <c r="A3969" s="3" t="s">
        <v>1401</v>
      </c>
      <c r="B3969" t="s">
        <v>8</v>
      </c>
      <c r="C3969" s="3" t="s">
        <v>1406</v>
      </c>
      <c r="D3969" s="3" t="s">
        <v>56</v>
      </c>
    </row>
    <row r="3970" spans="1:4" x14ac:dyDescent="0.2">
      <c r="A3970" s="3" t="s">
        <v>1401</v>
      </c>
      <c r="B3970" t="s">
        <v>8</v>
      </c>
      <c r="C3970" s="3" t="s">
        <v>1407</v>
      </c>
      <c r="D3970" s="3" t="s">
        <v>56</v>
      </c>
    </row>
    <row r="3971" spans="1:4" x14ac:dyDescent="0.2">
      <c r="A3971" s="3" t="s">
        <v>1401</v>
      </c>
      <c r="B3971" t="s">
        <v>8</v>
      </c>
      <c r="C3971" s="3" t="s">
        <v>1408</v>
      </c>
      <c r="D3971" s="3" t="s">
        <v>56</v>
      </c>
    </row>
    <row r="3972" spans="1:4" x14ac:dyDescent="0.2">
      <c r="A3972" s="3" t="s">
        <v>1401</v>
      </c>
      <c r="B3972" t="s">
        <v>8</v>
      </c>
      <c r="C3972" s="3" t="s">
        <v>409</v>
      </c>
      <c r="D3972" s="3" t="s">
        <v>169</v>
      </c>
    </row>
    <row r="3973" spans="1:4" x14ac:dyDescent="0.2">
      <c r="A3973" s="3" t="s">
        <v>1401</v>
      </c>
      <c r="B3973" t="s">
        <v>8</v>
      </c>
      <c r="C3973" s="3" t="s">
        <v>410</v>
      </c>
      <c r="D3973" s="3" t="s">
        <v>169</v>
      </c>
    </row>
    <row r="3974" spans="1:4" x14ac:dyDescent="0.2">
      <c r="A3974" s="3" t="s">
        <v>1401</v>
      </c>
      <c r="B3974" t="s">
        <v>8</v>
      </c>
      <c r="C3974" s="3" t="s">
        <v>1409</v>
      </c>
      <c r="D3974" s="3" t="s">
        <v>169</v>
      </c>
    </row>
    <row r="3975" spans="1:4" x14ac:dyDescent="0.2">
      <c r="A3975" s="3" t="s">
        <v>1410</v>
      </c>
      <c r="B3975" t="s">
        <v>8</v>
      </c>
      <c r="C3975" s="3" t="s">
        <v>1411</v>
      </c>
      <c r="D3975" s="3" t="s">
        <v>53</v>
      </c>
    </row>
    <row r="3976" spans="1:4" x14ac:dyDescent="0.2">
      <c r="A3976" s="3" t="s">
        <v>1410</v>
      </c>
      <c r="B3976" t="s">
        <v>8</v>
      </c>
      <c r="C3976" s="3" t="s">
        <v>1412</v>
      </c>
      <c r="D3976" s="3" t="s">
        <v>53</v>
      </c>
    </row>
    <row r="3977" spans="1:4" x14ac:dyDescent="0.2">
      <c r="A3977" s="3" t="s">
        <v>1410</v>
      </c>
      <c r="B3977" t="s">
        <v>8</v>
      </c>
      <c r="C3977" s="3" t="s">
        <v>1413</v>
      </c>
      <c r="D3977" s="3" t="s">
        <v>53</v>
      </c>
    </row>
    <row r="3978" spans="1:4" x14ac:dyDescent="0.2">
      <c r="A3978" s="3" t="s">
        <v>1410</v>
      </c>
      <c r="B3978" t="s">
        <v>8</v>
      </c>
      <c r="C3978" s="3" t="s">
        <v>1411</v>
      </c>
      <c r="D3978" s="3" t="s">
        <v>54</v>
      </c>
    </row>
    <row r="3979" spans="1:4" x14ac:dyDescent="0.2">
      <c r="A3979" s="3" t="s">
        <v>1410</v>
      </c>
      <c r="B3979" t="s">
        <v>8</v>
      </c>
      <c r="C3979" s="3" t="s">
        <v>1412</v>
      </c>
      <c r="D3979" s="3" t="s">
        <v>54</v>
      </c>
    </row>
    <row r="3980" spans="1:4" x14ac:dyDescent="0.2">
      <c r="A3980" s="3" t="s">
        <v>1410</v>
      </c>
      <c r="B3980" t="s">
        <v>8</v>
      </c>
      <c r="C3980" s="3" t="s">
        <v>1413</v>
      </c>
      <c r="D3980" s="3" t="s">
        <v>54</v>
      </c>
    </row>
    <row r="3981" spans="1:4" x14ac:dyDescent="0.2">
      <c r="A3981" s="3" t="s">
        <v>1410</v>
      </c>
      <c r="B3981" t="s">
        <v>8</v>
      </c>
      <c r="C3981" s="3" t="s">
        <v>1411</v>
      </c>
      <c r="D3981" s="3" t="s">
        <v>55</v>
      </c>
    </row>
    <row r="3982" spans="1:4" x14ac:dyDescent="0.2">
      <c r="A3982" s="3" t="s">
        <v>1410</v>
      </c>
      <c r="B3982" t="s">
        <v>8</v>
      </c>
      <c r="C3982" s="3" t="s">
        <v>1412</v>
      </c>
      <c r="D3982" s="3" t="s">
        <v>55</v>
      </c>
    </row>
    <row r="3983" spans="1:4" x14ac:dyDescent="0.2">
      <c r="A3983" s="3" t="s">
        <v>1410</v>
      </c>
      <c r="B3983" t="s">
        <v>8</v>
      </c>
      <c r="C3983" s="3" t="s">
        <v>1413</v>
      </c>
      <c r="D3983" s="3" t="s">
        <v>55</v>
      </c>
    </row>
    <row r="3984" spans="1:4" x14ac:dyDescent="0.2">
      <c r="A3984" s="3" t="s">
        <v>1410</v>
      </c>
      <c r="B3984" t="s">
        <v>8</v>
      </c>
      <c r="C3984" s="3" t="s">
        <v>1411</v>
      </c>
      <c r="D3984" s="3" t="s">
        <v>56</v>
      </c>
    </row>
    <row r="3985" spans="1:4" x14ac:dyDescent="0.2">
      <c r="A3985" s="3" t="s">
        <v>1410</v>
      </c>
      <c r="B3985" t="s">
        <v>8</v>
      </c>
      <c r="C3985" s="3" t="s">
        <v>1412</v>
      </c>
      <c r="D3985" s="3" t="s">
        <v>56</v>
      </c>
    </row>
    <row r="3986" spans="1:4" x14ac:dyDescent="0.2">
      <c r="A3986" s="3" t="s">
        <v>1410</v>
      </c>
      <c r="B3986" t="s">
        <v>8</v>
      </c>
      <c r="C3986" s="3" t="s">
        <v>1413</v>
      </c>
      <c r="D3986" s="3" t="s">
        <v>56</v>
      </c>
    </row>
    <row r="3987" spans="1:4" x14ac:dyDescent="0.2">
      <c r="A3987" s="3" t="s">
        <v>1410</v>
      </c>
      <c r="B3987" t="s">
        <v>8</v>
      </c>
      <c r="C3987" s="3" t="s">
        <v>1411</v>
      </c>
      <c r="D3987" s="3" t="s">
        <v>57</v>
      </c>
    </row>
    <row r="3988" spans="1:4" x14ac:dyDescent="0.2">
      <c r="A3988" s="3" t="s">
        <v>1410</v>
      </c>
      <c r="B3988" t="s">
        <v>8</v>
      </c>
      <c r="C3988" s="3" t="s">
        <v>1412</v>
      </c>
      <c r="D3988" s="3" t="s">
        <v>57</v>
      </c>
    </row>
    <row r="3989" spans="1:4" x14ac:dyDescent="0.2">
      <c r="A3989" s="3" t="s">
        <v>1410</v>
      </c>
      <c r="B3989" t="s">
        <v>8</v>
      </c>
      <c r="C3989" s="3" t="s">
        <v>1413</v>
      </c>
      <c r="D3989" s="3" t="s">
        <v>57</v>
      </c>
    </row>
    <row r="3990" spans="1:4" x14ac:dyDescent="0.2">
      <c r="A3990" s="3" t="s">
        <v>1410</v>
      </c>
      <c r="B3990" t="s">
        <v>8</v>
      </c>
      <c r="C3990" s="3" t="s">
        <v>1414</v>
      </c>
      <c r="D3990" s="3" t="s">
        <v>10</v>
      </c>
    </row>
    <row r="3991" spans="1:4" x14ac:dyDescent="0.2">
      <c r="A3991" s="3" t="s">
        <v>1410</v>
      </c>
      <c r="B3991" t="s">
        <v>8</v>
      </c>
      <c r="C3991" s="3" t="s">
        <v>1414</v>
      </c>
      <c r="D3991" s="3" t="s">
        <v>11</v>
      </c>
    </row>
    <row r="3992" spans="1:4" x14ac:dyDescent="0.2">
      <c r="A3992" s="3" t="s">
        <v>1415</v>
      </c>
      <c r="B3992" t="s">
        <v>8</v>
      </c>
      <c r="C3992" s="3" t="s">
        <v>1416</v>
      </c>
      <c r="D3992" s="3" t="s">
        <v>53</v>
      </c>
    </row>
    <row r="3993" spans="1:4" x14ac:dyDescent="0.2">
      <c r="A3993" s="3" t="s">
        <v>1415</v>
      </c>
      <c r="B3993" t="s">
        <v>8</v>
      </c>
      <c r="C3993" s="3" t="s">
        <v>1417</v>
      </c>
      <c r="D3993" s="3" t="s">
        <v>53</v>
      </c>
    </row>
    <row r="3994" spans="1:4" x14ac:dyDescent="0.2">
      <c r="A3994" s="3" t="s">
        <v>1415</v>
      </c>
      <c r="B3994" t="s">
        <v>8</v>
      </c>
      <c r="C3994" s="3" t="s">
        <v>1418</v>
      </c>
      <c r="D3994" s="3" t="s">
        <v>53</v>
      </c>
    </row>
    <row r="3995" spans="1:4" x14ac:dyDescent="0.2">
      <c r="A3995" s="3" t="s">
        <v>1415</v>
      </c>
      <c r="B3995" t="s">
        <v>8</v>
      </c>
      <c r="C3995" s="3" t="s">
        <v>1419</v>
      </c>
      <c r="D3995" s="3" t="s">
        <v>53</v>
      </c>
    </row>
    <row r="3996" spans="1:4" x14ac:dyDescent="0.2">
      <c r="A3996" s="3" t="s">
        <v>1415</v>
      </c>
      <c r="B3996" t="s">
        <v>8</v>
      </c>
      <c r="C3996" s="3" t="s">
        <v>1420</v>
      </c>
      <c r="D3996" s="3" t="s">
        <v>53</v>
      </c>
    </row>
    <row r="3997" spans="1:4" x14ac:dyDescent="0.2">
      <c r="A3997" s="3" t="s">
        <v>1415</v>
      </c>
      <c r="B3997" t="s">
        <v>8</v>
      </c>
      <c r="C3997" s="3" t="s">
        <v>1421</v>
      </c>
      <c r="D3997" s="3" t="s">
        <v>53</v>
      </c>
    </row>
    <row r="3998" spans="1:4" x14ac:dyDescent="0.2">
      <c r="A3998" s="3" t="s">
        <v>1415</v>
      </c>
      <c r="B3998" t="s">
        <v>8</v>
      </c>
      <c r="C3998" s="3" t="s">
        <v>1416</v>
      </c>
      <c r="D3998" s="3" t="s">
        <v>54</v>
      </c>
    </row>
    <row r="3999" spans="1:4" x14ac:dyDescent="0.2">
      <c r="A3999" s="3" t="s">
        <v>1415</v>
      </c>
      <c r="B3999" t="s">
        <v>8</v>
      </c>
      <c r="C3999" s="3" t="s">
        <v>1417</v>
      </c>
      <c r="D3999" s="3" t="s">
        <v>54</v>
      </c>
    </row>
    <row r="4000" spans="1:4" x14ac:dyDescent="0.2">
      <c r="A4000" s="3" t="s">
        <v>1415</v>
      </c>
      <c r="B4000" t="s">
        <v>8</v>
      </c>
      <c r="C4000" s="3" t="s">
        <v>1418</v>
      </c>
      <c r="D4000" s="3" t="s">
        <v>54</v>
      </c>
    </row>
    <row r="4001" spans="1:4" x14ac:dyDescent="0.2">
      <c r="A4001" s="3" t="s">
        <v>1415</v>
      </c>
      <c r="B4001" t="s">
        <v>8</v>
      </c>
      <c r="C4001" s="3" t="s">
        <v>1419</v>
      </c>
      <c r="D4001" s="3" t="s">
        <v>54</v>
      </c>
    </row>
    <row r="4002" spans="1:4" x14ac:dyDescent="0.2">
      <c r="A4002" s="3" t="s">
        <v>1415</v>
      </c>
      <c r="B4002" t="s">
        <v>8</v>
      </c>
      <c r="C4002" s="3" t="s">
        <v>1420</v>
      </c>
      <c r="D4002" s="3" t="s">
        <v>54</v>
      </c>
    </row>
    <row r="4003" spans="1:4" x14ac:dyDescent="0.2">
      <c r="A4003" s="3" t="s">
        <v>1415</v>
      </c>
      <c r="B4003" t="s">
        <v>8</v>
      </c>
      <c r="C4003" s="3" t="s">
        <v>1421</v>
      </c>
      <c r="D4003" s="3" t="s">
        <v>54</v>
      </c>
    </row>
    <row r="4004" spans="1:4" x14ac:dyDescent="0.2">
      <c r="A4004" s="3" t="s">
        <v>1415</v>
      </c>
      <c r="B4004" t="s">
        <v>8</v>
      </c>
      <c r="C4004" s="3" t="s">
        <v>1422</v>
      </c>
      <c r="D4004" s="3" t="s">
        <v>55</v>
      </c>
    </row>
    <row r="4005" spans="1:4" x14ac:dyDescent="0.2">
      <c r="A4005" s="3" t="s">
        <v>1415</v>
      </c>
      <c r="B4005" t="s">
        <v>8</v>
      </c>
      <c r="C4005" s="3" t="s">
        <v>1416</v>
      </c>
      <c r="D4005" s="3" t="s">
        <v>55</v>
      </c>
    </row>
    <row r="4006" spans="1:4" x14ac:dyDescent="0.2">
      <c r="A4006" s="3" t="s">
        <v>1415</v>
      </c>
      <c r="B4006" t="s">
        <v>8</v>
      </c>
      <c r="C4006" s="3" t="s">
        <v>1417</v>
      </c>
      <c r="D4006" s="3" t="s">
        <v>55</v>
      </c>
    </row>
    <row r="4007" spans="1:4" x14ac:dyDescent="0.2">
      <c r="A4007" s="3" t="s">
        <v>1415</v>
      </c>
      <c r="B4007" t="s">
        <v>8</v>
      </c>
      <c r="C4007" s="3" t="s">
        <v>1418</v>
      </c>
      <c r="D4007" s="3" t="s">
        <v>55</v>
      </c>
    </row>
    <row r="4008" spans="1:4" x14ac:dyDescent="0.2">
      <c r="A4008" s="3" t="s">
        <v>1415</v>
      </c>
      <c r="B4008" t="s">
        <v>8</v>
      </c>
      <c r="C4008" s="3" t="s">
        <v>1419</v>
      </c>
      <c r="D4008" s="3" t="s">
        <v>55</v>
      </c>
    </row>
    <row r="4009" spans="1:4" x14ac:dyDescent="0.2">
      <c r="A4009" s="3" t="s">
        <v>1415</v>
      </c>
      <c r="B4009" t="s">
        <v>8</v>
      </c>
      <c r="C4009" s="3" t="s">
        <v>1420</v>
      </c>
      <c r="D4009" s="3" t="s">
        <v>55</v>
      </c>
    </row>
    <row r="4010" spans="1:4" x14ac:dyDescent="0.2">
      <c r="A4010" s="3" t="s">
        <v>1415</v>
      </c>
      <c r="B4010" t="s">
        <v>8</v>
      </c>
      <c r="C4010" s="3" t="s">
        <v>1421</v>
      </c>
      <c r="D4010" s="3" t="s">
        <v>55</v>
      </c>
    </row>
    <row r="4011" spans="1:4" x14ac:dyDescent="0.2">
      <c r="A4011" s="3" t="s">
        <v>1415</v>
      </c>
      <c r="B4011" t="s">
        <v>8</v>
      </c>
      <c r="C4011" s="3" t="s">
        <v>1416</v>
      </c>
      <c r="D4011" s="3" t="s">
        <v>56</v>
      </c>
    </row>
    <row r="4012" spans="1:4" x14ac:dyDescent="0.2">
      <c r="A4012" s="3" t="s">
        <v>1415</v>
      </c>
      <c r="B4012" t="s">
        <v>8</v>
      </c>
      <c r="C4012" s="3" t="s">
        <v>1417</v>
      </c>
      <c r="D4012" s="3" t="s">
        <v>56</v>
      </c>
    </row>
    <row r="4013" spans="1:4" x14ac:dyDescent="0.2">
      <c r="A4013" s="3" t="s">
        <v>1415</v>
      </c>
      <c r="B4013" t="s">
        <v>8</v>
      </c>
      <c r="C4013" s="3" t="s">
        <v>1418</v>
      </c>
      <c r="D4013" s="3" t="s">
        <v>56</v>
      </c>
    </row>
    <row r="4014" spans="1:4" x14ac:dyDescent="0.2">
      <c r="A4014" s="3" t="s">
        <v>1415</v>
      </c>
      <c r="B4014" t="s">
        <v>8</v>
      </c>
      <c r="C4014" s="3" t="s">
        <v>1419</v>
      </c>
      <c r="D4014" s="3" t="s">
        <v>56</v>
      </c>
    </row>
    <row r="4015" spans="1:4" x14ac:dyDescent="0.2">
      <c r="A4015" s="3" t="s">
        <v>1415</v>
      </c>
      <c r="B4015" t="s">
        <v>8</v>
      </c>
      <c r="C4015" s="3" t="s">
        <v>1420</v>
      </c>
      <c r="D4015" s="3" t="s">
        <v>56</v>
      </c>
    </row>
    <row r="4016" spans="1:4" x14ac:dyDescent="0.2">
      <c r="A4016" s="3" t="s">
        <v>1415</v>
      </c>
      <c r="B4016" t="s">
        <v>8</v>
      </c>
      <c r="C4016" s="3" t="s">
        <v>1421</v>
      </c>
      <c r="D4016" s="3" t="s">
        <v>56</v>
      </c>
    </row>
    <row r="4017" spans="1:4" x14ac:dyDescent="0.2">
      <c r="A4017" s="3" t="s">
        <v>1415</v>
      </c>
      <c r="B4017" t="s">
        <v>8</v>
      </c>
      <c r="C4017" s="3" t="s">
        <v>1422</v>
      </c>
      <c r="D4017" s="3" t="s">
        <v>57</v>
      </c>
    </row>
    <row r="4018" spans="1:4" x14ac:dyDescent="0.2">
      <c r="A4018" s="3" t="s">
        <v>1415</v>
      </c>
      <c r="B4018" t="s">
        <v>8</v>
      </c>
      <c r="C4018" s="3" t="s">
        <v>1416</v>
      </c>
      <c r="D4018" s="3" t="s">
        <v>57</v>
      </c>
    </row>
    <row r="4019" spans="1:4" x14ac:dyDescent="0.2">
      <c r="A4019" s="3" t="s">
        <v>1415</v>
      </c>
      <c r="B4019" t="s">
        <v>8</v>
      </c>
      <c r="C4019" s="3" t="s">
        <v>1417</v>
      </c>
      <c r="D4019" s="3" t="s">
        <v>57</v>
      </c>
    </row>
    <row r="4020" spans="1:4" x14ac:dyDescent="0.2">
      <c r="A4020" s="3" t="s">
        <v>1415</v>
      </c>
      <c r="B4020" t="s">
        <v>8</v>
      </c>
      <c r="C4020" s="3" t="s">
        <v>1418</v>
      </c>
      <c r="D4020" s="3" t="s">
        <v>57</v>
      </c>
    </row>
    <row r="4021" spans="1:4" x14ac:dyDescent="0.2">
      <c r="A4021" s="3" t="s">
        <v>1415</v>
      </c>
      <c r="B4021" t="s">
        <v>8</v>
      </c>
      <c r="C4021" s="3" t="s">
        <v>1419</v>
      </c>
      <c r="D4021" s="3" t="s">
        <v>57</v>
      </c>
    </row>
    <row r="4022" spans="1:4" x14ac:dyDescent="0.2">
      <c r="A4022" s="3" t="s">
        <v>1415</v>
      </c>
      <c r="B4022" t="s">
        <v>8</v>
      </c>
      <c r="C4022" s="3" t="s">
        <v>1420</v>
      </c>
      <c r="D4022" s="3" t="s">
        <v>57</v>
      </c>
    </row>
    <row r="4023" spans="1:4" x14ac:dyDescent="0.2">
      <c r="A4023" s="3" t="s">
        <v>1415</v>
      </c>
      <c r="B4023" t="s">
        <v>8</v>
      </c>
      <c r="C4023" s="3" t="s">
        <v>1421</v>
      </c>
      <c r="D4023" s="3" t="s">
        <v>57</v>
      </c>
    </row>
    <row r="4024" spans="1:4" x14ac:dyDescent="0.2">
      <c r="A4024" s="3" t="s">
        <v>1415</v>
      </c>
      <c r="B4024" t="s">
        <v>8</v>
      </c>
      <c r="C4024" s="3" t="s">
        <v>1423</v>
      </c>
      <c r="D4024" s="3" t="s">
        <v>22</v>
      </c>
    </row>
    <row r="4025" spans="1:4" x14ac:dyDescent="0.2">
      <c r="A4025" s="3" t="s">
        <v>1415</v>
      </c>
      <c r="B4025" t="s">
        <v>8</v>
      </c>
      <c r="C4025" s="3" t="s">
        <v>1424</v>
      </c>
      <c r="D4025" s="3" t="s">
        <v>22</v>
      </c>
    </row>
    <row r="4026" spans="1:4" x14ac:dyDescent="0.2">
      <c r="A4026" s="3" t="s">
        <v>1415</v>
      </c>
      <c r="B4026" t="s">
        <v>8</v>
      </c>
      <c r="C4026" s="3" t="s">
        <v>1425</v>
      </c>
      <c r="D4026" s="3" t="s">
        <v>22</v>
      </c>
    </row>
    <row r="4027" spans="1:4" x14ac:dyDescent="0.2">
      <c r="A4027" s="3" t="s">
        <v>1415</v>
      </c>
      <c r="B4027" t="s">
        <v>8</v>
      </c>
      <c r="C4027" s="3" t="s">
        <v>1426</v>
      </c>
      <c r="D4027" s="3" t="s">
        <v>22</v>
      </c>
    </row>
    <row r="4028" spans="1:4" x14ac:dyDescent="0.2">
      <c r="A4028" s="3" t="s">
        <v>1415</v>
      </c>
      <c r="B4028" t="s">
        <v>8</v>
      </c>
      <c r="C4028" s="3" t="s">
        <v>1427</v>
      </c>
      <c r="D4028" s="3" t="s">
        <v>22</v>
      </c>
    </row>
    <row r="4029" spans="1:4" x14ac:dyDescent="0.2">
      <c r="A4029" s="3" t="s">
        <v>1415</v>
      </c>
      <c r="B4029" t="s">
        <v>8</v>
      </c>
      <c r="C4029" s="3" t="s">
        <v>1428</v>
      </c>
      <c r="D4029" s="3" t="s">
        <v>22</v>
      </c>
    </row>
    <row r="4030" spans="1:4" x14ac:dyDescent="0.2">
      <c r="A4030" s="3" t="s">
        <v>1415</v>
      </c>
      <c r="B4030" t="s">
        <v>8</v>
      </c>
      <c r="C4030" s="3" t="s">
        <v>1429</v>
      </c>
      <c r="D4030" s="3" t="s">
        <v>22</v>
      </c>
    </row>
    <row r="4031" spans="1:4" x14ac:dyDescent="0.2">
      <c r="A4031" s="3" t="s">
        <v>1415</v>
      </c>
      <c r="B4031" t="s">
        <v>8</v>
      </c>
      <c r="C4031" s="3" t="s">
        <v>1430</v>
      </c>
      <c r="D4031" s="3" t="s">
        <v>22</v>
      </c>
    </row>
    <row r="4032" spans="1:4" x14ac:dyDescent="0.2">
      <c r="A4032" s="3" t="s">
        <v>1415</v>
      </c>
      <c r="B4032" t="s">
        <v>8</v>
      </c>
      <c r="C4032" s="3" t="s">
        <v>1431</v>
      </c>
      <c r="D4032" s="3" t="s">
        <v>22</v>
      </c>
    </row>
    <row r="4033" spans="1:4" x14ac:dyDescent="0.2">
      <c r="A4033" s="3" t="s">
        <v>1415</v>
      </c>
      <c r="B4033" t="s">
        <v>8</v>
      </c>
      <c r="C4033" s="3" t="s">
        <v>1432</v>
      </c>
      <c r="D4033" s="3" t="s">
        <v>22</v>
      </c>
    </row>
    <row r="4034" spans="1:4" x14ac:dyDescent="0.2">
      <c r="A4034" s="3" t="s">
        <v>1415</v>
      </c>
      <c r="B4034" t="s">
        <v>8</v>
      </c>
      <c r="C4034" s="3" t="s">
        <v>1433</v>
      </c>
      <c r="D4034" s="3" t="s">
        <v>22</v>
      </c>
    </row>
    <row r="4035" spans="1:4" x14ac:dyDescent="0.2">
      <c r="A4035" s="3" t="s">
        <v>1415</v>
      </c>
      <c r="B4035" t="s">
        <v>8</v>
      </c>
      <c r="C4035" s="3" t="s">
        <v>1434</v>
      </c>
      <c r="D4035" s="3" t="s">
        <v>22</v>
      </c>
    </row>
    <row r="4036" spans="1:4" x14ac:dyDescent="0.2">
      <c r="A4036" s="3" t="s">
        <v>1415</v>
      </c>
      <c r="B4036" t="s">
        <v>8</v>
      </c>
      <c r="C4036" s="3" t="s">
        <v>1435</v>
      </c>
      <c r="D4036" s="3" t="s">
        <v>22</v>
      </c>
    </row>
    <row r="4037" spans="1:4" x14ac:dyDescent="0.2">
      <c r="A4037" s="3" t="s">
        <v>1415</v>
      </c>
      <c r="B4037" t="s">
        <v>8</v>
      </c>
      <c r="C4037" s="3" t="s">
        <v>1436</v>
      </c>
      <c r="D4037" s="3" t="s">
        <v>22</v>
      </c>
    </row>
    <row r="4038" spans="1:4" x14ac:dyDescent="0.2">
      <c r="A4038" s="3" t="s">
        <v>1415</v>
      </c>
      <c r="B4038" t="s">
        <v>8</v>
      </c>
      <c r="C4038" s="3" t="s">
        <v>1437</v>
      </c>
      <c r="D4038" s="3" t="s">
        <v>22</v>
      </c>
    </row>
    <row r="4039" spans="1:4" x14ac:dyDescent="0.2">
      <c r="A4039" s="3" t="s">
        <v>1438</v>
      </c>
      <c r="B4039" t="s">
        <v>8</v>
      </c>
      <c r="C4039" s="3" t="s">
        <v>191</v>
      </c>
      <c r="D4039" s="3" t="s">
        <v>53</v>
      </c>
    </row>
    <row r="4040" spans="1:4" x14ac:dyDescent="0.2">
      <c r="A4040" s="3" t="s">
        <v>1438</v>
      </c>
      <c r="B4040" t="s">
        <v>8</v>
      </c>
      <c r="C4040" s="3" t="s">
        <v>191</v>
      </c>
      <c r="D4040" s="3" t="s">
        <v>54</v>
      </c>
    </row>
    <row r="4041" spans="1:4" x14ac:dyDescent="0.2">
      <c r="A4041" s="3" t="s">
        <v>1438</v>
      </c>
      <c r="B4041" t="s">
        <v>8</v>
      </c>
      <c r="C4041" s="3" t="s">
        <v>191</v>
      </c>
      <c r="D4041" s="3" t="s">
        <v>55</v>
      </c>
    </row>
    <row r="4042" spans="1:4" x14ac:dyDescent="0.2">
      <c r="A4042" s="3" t="s">
        <v>1438</v>
      </c>
      <c r="B4042" t="s">
        <v>8</v>
      </c>
      <c r="C4042" s="3" t="s">
        <v>191</v>
      </c>
      <c r="D4042" s="3" t="s">
        <v>56</v>
      </c>
    </row>
    <row r="4043" spans="1:4" x14ac:dyDescent="0.2">
      <c r="A4043" s="3" t="s">
        <v>1438</v>
      </c>
      <c r="B4043" t="s">
        <v>8</v>
      </c>
      <c r="C4043" s="3" t="s">
        <v>191</v>
      </c>
      <c r="D4043" s="3" t="s">
        <v>57</v>
      </c>
    </row>
    <row r="4044" spans="1:4" x14ac:dyDescent="0.2">
      <c r="A4044" s="3" t="s">
        <v>1438</v>
      </c>
      <c r="B4044" t="s">
        <v>8</v>
      </c>
      <c r="C4044" s="3" t="s">
        <v>1439</v>
      </c>
      <c r="D4044" s="3" t="s">
        <v>22</v>
      </c>
    </row>
    <row r="4045" spans="1:4" x14ac:dyDescent="0.2">
      <c r="A4045" s="3" t="s">
        <v>1438</v>
      </c>
      <c r="B4045" t="s">
        <v>8</v>
      </c>
      <c r="C4045" s="3" t="s">
        <v>1440</v>
      </c>
      <c r="D4045" s="3" t="s">
        <v>22</v>
      </c>
    </row>
    <row r="4046" spans="1:4" x14ac:dyDescent="0.2">
      <c r="A4046" s="3" t="s">
        <v>1438</v>
      </c>
      <c r="B4046" t="s">
        <v>8</v>
      </c>
      <c r="C4046" s="3" t="s">
        <v>1441</v>
      </c>
      <c r="D4046" s="3" t="s">
        <v>22</v>
      </c>
    </row>
    <row r="4047" spans="1:4" x14ac:dyDescent="0.2">
      <c r="A4047" s="3" t="s">
        <v>1438</v>
      </c>
      <c r="B4047" t="s">
        <v>8</v>
      </c>
      <c r="C4047" s="3" t="s">
        <v>1442</v>
      </c>
      <c r="D4047" s="3" t="s">
        <v>22</v>
      </c>
    </row>
    <row r="4048" spans="1:4" x14ac:dyDescent="0.2">
      <c r="A4048" s="3" t="s">
        <v>1443</v>
      </c>
      <c r="B4048" t="s">
        <v>8</v>
      </c>
      <c r="C4048" s="3" t="s">
        <v>1444</v>
      </c>
      <c r="D4048" s="3" t="s">
        <v>53</v>
      </c>
    </row>
    <row r="4049" spans="1:4" x14ac:dyDescent="0.2">
      <c r="A4049" s="3" t="s">
        <v>1443</v>
      </c>
      <c r="B4049" t="s">
        <v>8</v>
      </c>
      <c r="C4049" s="3" t="s">
        <v>1445</v>
      </c>
      <c r="D4049" s="3" t="s">
        <v>53</v>
      </c>
    </row>
    <row r="4050" spans="1:4" x14ac:dyDescent="0.2">
      <c r="A4050" s="3" t="s">
        <v>1443</v>
      </c>
      <c r="B4050" t="s">
        <v>8</v>
      </c>
      <c r="C4050" s="3" t="s">
        <v>1446</v>
      </c>
      <c r="D4050" s="3" t="s">
        <v>53</v>
      </c>
    </row>
    <row r="4051" spans="1:4" x14ac:dyDescent="0.2">
      <c r="A4051" s="3" t="s">
        <v>1443</v>
      </c>
      <c r="B4051" t="s">
        <v>8</v>
      </c>
      <c r="C4051" s="3" t="s">
        <v>1444</v>
      </c>
      <c r="D4051" s="3" t="s">
        <v>54</v>
      </c>
    </row>
    <row r="4052" spans="1:4" x14ac:dyDescent="0.2">
      <c r="A4052" s="3" t="s">
        <v>1443</v>
      </c>
      <c r="B4052" t="s">
        <v>8</v>
      </c>
      <c r="C4052" s="3" t="s">
        <v>1445</v>
      </c>
      <c r="D4052" s="3" t="s">
        <v>54</v>
      </c>
    </row>
    <row r="4053" spans="1:4" x14ac:dyDescent="0.2">
      <c r="A4053" s="3" t="s">
        <v>1443</v>
      </c>
      <c r="B4053" t="s">
        <v>8</v>
      </c>
      <c r="C4053" s="3" t="s">
        <v>1446</v>
      </c>
      <c r="D4053" s="3" t="s">
        <v>54</v>
      </c>
    </row>
    <row r="4054" spans="1:4" x14ac:dyDescent="0.2">
      <c r="A4054" s="3" t="s">
        <v>1447</v>
      </c>
      <c r="B4054" t="s">
        <v>8</v>
      </c>
      <c r="C4054" s="3" t="s">
        <v>1448</v>
      </c>
      <c r="D4054" s="3" t="s">
        <v>53</v>
      </c>
    </row>
    <row r="4055" spans="1:4" x14ac:dyDescent="0.2">
      <c r="A4055" s="3" t="s">
        <v>1447</v>
      </c>
      <c r="B4055" t="s">
        <v>8</v>
      </c>
      <c r="C4055" s="3" t="s">
        <v>1448</v>
      </c>
      <c r="D4055" s="3" t="s">
        <v>54</v>
      </c>
    </row>
    <row r="4056" spans="1:4" x14ac:dyDescent="0.2">
      <c r="A4056" s="3" t="s">
        <v>1447</v>
      </c>
      <c r="B4056" t="s">
        <v>8</v>
      </c>
      <c r="C4056" s="3" t="s">
        <v>1448</v>
      </c>
      <c r="D4056" s="3" t="s">
        <v>55</v>
      </c>
    </row>
    <row r="4057" spans="1:4" x14ac:dyDescent="0.2">
      <c r="A4057" s="3" t="s">
        <v>1447</v>
      </c>
      <c r="B4057" t="s">
        <v>8</v>
      </c>
      <c r="C4057" s="3" t="s">
        <v>1448</v>
      </c>
      <c r="D4057" s="3" t="s">
        <v>56</v>
      </c>
    </row>
    <row r="4058" spans="1:4" x14ac:dyDescent="0.2">
      <c r="A4058" s="3" t="s">
        <v>1447</v>
      </c>
      <c r="B4058" t="s">
        <v>8</v>
      </c>
      <c r="C4058" s="3" t="s">
        <v>1448</v>
      </c>
      <c r="D4058" s="3" t="s">
        <v>57</v>
      </c>
    </row>
    <row r="4059" spans="1:4" x14ac:dyDescent="0.2">
      <c r="A4059" s="3" t="s">
        <v>1449</v>
      </c>
      <c r="B4059" t="s">
        <v>8</v>
      </c>
      <c r="C4059" s="3" t="s">
        <v>348</v>
      </c>
      <c r="D4059" s="3" t="s">
        <v>22</v>
      </c>
    </row>
    <row r="4060" spans="1:4" x14ac:dyDescent="0.2">
      <c r="A4060" s="3" t="s">
        <v>1449</v>
      </c>
      <c r="B4060" t="s">
        <v>8</v>
      </c>
      <c r="C4060" s="3" t="s">
        <v>349</v>
      </c>
      <c r="D4060" s="3" t="s">
        <v>22</v>
      </c>
    </row>
    <row r="4061" spans="1:4" x14ac:dyDescent="0.2">
      <c r="A4061" s="3" t="s">
        <v>1449</v>
      </c>
      <c r="B4061" t="s">
        <v>8</v>
      </c>
      <c r="C4061" s="3" t="s">
        <v>350</v>
      </c>
      <c r="D4061" s="3" t="s">
        <v>22</v>
      </c>
    </row>
    <row r="4062" spans="1:4" x14ac:dyDescent="0.2">
      <c r="A4062" s="3" t="s">
        <v>1449</v>
      </c>
      <c r="B4062" t="s">
        <v>8</v>
      </c>
      <c r="C4062" s="3" t="s">
        <v>351</v>
      </c>
      <c r="D4062" s="3" t="s">
        <v>22</v>
      </c>
    </row>
    <row r="4063" spans="1:4" x14ac:dyDescent="0.2">
      <c r="A4063" s="3" t="s">
        <v>1449</v>
      </c>
      <c r="B4063" t="s">
        <v>8</v>
      </c>
      <c r="C4063" s="3" t="s">
        <v>352</v>
      </c>
      <c r="D4063" s="3" t="s">
        <v>22</v>
      </c>
    </row>
    <row r="4064" spans="1:4" x14ac:dyDescent="0.2">
      <c r="A4064" s="3" t="s">
        <v>1449</v>
      </c>
      <c r="B4064" t="s">
        <v>8</v>
      </c>
      <c r="C4064" s="3" t="s">
        <v>353</v>
      </c>
      <c r="D4064" s="3" t="s">
        <v>22</v>
      </c>
    </row>
    <row r="4065" spans="1:4" x14ac:dyDescent="0.2">
      <c r="A4065" s="3" t="s">
        <v>1449</v>
      </c>
      <c r="B4065" t="s">
        <v>8</v>
      </c>
      <c r="C4065" s="3" t="s">
        <v>354</v>
      </c>
      <c r="D4065" s="3" t="s">
        <v>22</v>
      </c>
    </row>
    <row r="4066" spans="1:4" x14ac:dyDescent="0.2">
      <c r="A4066" s="3" t="s">
        <v>1449</v>
      </c>
      <c r="B4066" t="s">
        <v>8</v>
      </c>
      <c r="C4066" s="3" t="s">
        <v>355</v>
      </c>
      <c r="D4066" s="3" t="s">
        <v>22</v>
      </c>
    </row>
    <row r="4067" spans="1:4" x14ac:dyDescent="0.2">
      <c r="A4067" s="3" t="s">
        <v>1449</v>
      </c>
      <c r="B4067" t="s">
        <v>8</v>
      </c>
      <c r="C4067" s="3" t="s">
        <v>357</v>
      </c>
      <c r="D4067" s="3" t="s">
        <v>22</v>
      </c>
    </row>
    <row r="4068" spans="1:4" x14ac:dyDescent="0.2">
      <c r="A4068" s="3" t="s">
        <v>1449</v>
      </c>
      <c r="B4068" t="s">
        <v>8</v>
      </c>
      <c r="C4068" s="3" t="s">
        <v>358</v>
      </c>
      <c r="D4068" s="3" t="s">
        <v>22</v>
      </c>
    </row>
    <row r="4069" spans="1:4" x14ac:dyDescent="0.2">
      <c r="A4069" s="3" t="s">
        <v>1449</v>
      </c>
      <c r="B4069" t="s">
        <v>8</v>
      </c>
      <c r="C4069" s="3" t="s">
        <v>359</v>
      </c>
      <c r="D4069" s="3" t="s">
        <v>22</v>
      </c>
    </row>
    <row r="4070" spans="1:4" x14ac:dyDescent="0.2">
      <c r="A4070" s="3" t="s">
        <v>1449</v>
      </c>
      <c r="B4070" t="s">
        <v>8</v>
      </c>
      <c r="C4070" s="3" t="s">
        <v>362</v>
      </c>
      <c r="D4070" s="3" t="s">
        <v>22</v>
      </c>
    </row>
    <row r="4071" spans="1:4" x14ac:dyDescent="0.2">
      <c r="A4071" s="3" t="s">
        <v>1450</v>
      </c>
      <c r="B4071" t="s">
        <v>8</v>
      </c>
      <c r="C4071" s="3" t="s">
        <v>869</v>
      </c>
      <c r="D4071" s="3" t="s">
        <v>53</v>
      </c>
    </row>
    <row r="4072" spans="1:4" x14ac:dyDescent="0.2">
      <c r="A4072" s="3" t="s">
        <v>1450</v>
      </c>
      <c r="B4072" t="s">
        <v>8</v>
      </c>
      <c r="C4072" s="3" t="s">
        <v>899</v>
      </c>
      <c r="D4072" s="3" t="s">
        <v>53</v>
      </c>
    </row>
    <row r="4073" spans="1:4" x14ac:dyDescent="0.2">
      <c r="A4073" s="3" t="s">
        <v>1450</v>
      </c>
      <c r="B4073" t="s">
        <v>8</v>
      </c>
      <c r="C4073" s="3" t="s">
        <v>887</v>
      </c>
      <c r="D4073" s="3" t="s">
        <v>53</v>
      </c>
    </row>
    <row r="4074" spans="1:4" x14ac:dyDescent="0.2">
      <c r="A4074" s="3" t="s">
        <v>1450</v>
      </c>
      <c r="B4074" t="s">
        <v>8</v>
      </c>
      <c r="C4074" s="3" t="s">
        <v>930</v>
      </c>
      <c r="D4074" s="3" t="s">
        <v>53</v>
      </c>
    </row>
    <row r="4075" spans="1:4" x14ac:dyDescent="0.2">
      <c r="A4075" s="3" t="s">
        <v>1450</v>
      </c>
      <c r="B4075" t="s">
        <v>8</v>
      </c>
      <c r="C4075" s="3" t="s">
        <v>903</v>
      </c>
      <c r="D4075" s="3" t="s">
        <v>53</v>
      </c>
    </row>
    <row r="4076" spans="1:4" x14ac:dyDescent="0.2">
      <c r="A4076" s="3" t="s">
        <v>1450</v>
      </c>
      <c r="B4076" t="s">
        <v>8</v>
      </c>
      <c r="C4076" s="3" t="s">
        <v>1451</v>
      </c>
      <c r="D4076" s="3" t="s">
        <v>53</v>
      </c>
    </row>
    <row r="4077" spans="1:4" x14ac:dyDescent="0.2">
      <c r="A4077" s="3" t="s">
        <v>1450</v>
      </c>
      <c r="B4077" t="s">
        <v>8</v>
      </c>
      <c r="C4077" s="3" t="s">
        <v>869</v>
      </c>
      <c r="D4077" s="3" t="s">
        <v>54</v>
      </c>
    </row>
    <row r="4078" spans="1:4" x14ac:dyDescent="0.2">
      <c r="A4078" s="3" t="s">
        <v>1450</v>
      </c>
      <c r="B4078" t="s">
        <v>8</v>
      </c>
      <c r="C4078" s="3" t="s">
        <v>899</v>
      </c>
      <c r="D4078" s="3" t="s">
        <v>54</v>
      </c>
    </row>
    <row r="4079" spans="1:4" x14ac:dyDescent="0.2">
      <c r="A4079" s="3" t="s">
        <v>1450</v>
      </c>
      <c r="B4079" t="s">
        <v>8</v>
      </c>
      <c r="C4079" s="3" t="s">
        <v>887</v>
      </c>
      <c r="D4079" s="3" t="s">
        <v>54</v>
      </c>
    </row>
    <row r="4080" spans="1:4" x14ac:dyDescent="0.2">
      <c r="A4080" s="3" t="s">
        <v>1450</v>
      </c>
      <c r="B4080" t="s">
        <v>8</v>
      </c>
      <c r="C4080" s="3" t="s">
        <v>930</v>
      </c>
      <c r="D4080" s="3" t="s">
        <v>54</v>
      </c>
    </row>
    <row r="4081" spans="1:4" x14ac:dyDescent="0.2">
      <c r="A4081" s="3" t="s">
        <v>1450</v>
      </c>
      <c r="B4081" t="s">
        <v>8</v>
      </c>
      <c r="C4081" s="3" t="s">
        <v>903</v>
      </c>
      <c r="D4081" s="3" t="s">
        <v>54</v>
      </c>
    </row>
    <row r="4082" spans="1:4" x14ac:dyDescent="0.2">
      <c r="A4082" s="3" t="s">
        <v>1450</v>
      </c>
      <c r="B4082" t="s">
        <v>8</v>
      </c>
      <c r="C4082" s="3" t="s">
        <v>1451</v>
      </c>
      <c r="D4082" s="3" t="s">
        <v>54</v>
      </c>
    </row>
    <row r="4083" spans="1:4" x14ac:dyDescent="0.2">
      <c r="A4083" s="3" t="s">
        <v>1450</v>
      </c>
      <c r="B4083" t="s">
        <v>8</v>
      </c>
      <c r="C4083" s="3" t="s">
        <v>869</v>
      </c>
      <c r="D4083" s="3" t="s">
        <v>55</v>
      </c>
    </row>
    <row r="4084" spans="1:4" x14ac:dyDescent="0.2">
      <c r="A4084" s="3" t="s">
        <v>1450</v>
      </c>
      <c r="B4084" t="s">
        <v>8</v>
      </c>
      <c r="C4084" s="3" t="s">
        <v>899</v>
      </c>
      <c r="D4084" s="3" t="s">
        <v>55</v>
      </c>
    </row>
    <row r="4085" spans="1:4" x14ac:dyDescent="0.2">
      <c r="A4085" s="3" t="s">
        <v>1450</v>
      </c>
      <c r="B4085" t="s">
        <v>8</v>
      </c>
      <c r="C4085" s="3" t="s">
        <v>887</v>
      </c>
      <c r="D4085" s="3" t="s">
        <v>55</v>
      </c>
    </row>
    <row r="4086" spans="1:4" x14ac:dyDescent="0.2">
      <c r="A4086" s="3" t="s">
        <v>1450</v>
      </c>
      <c r="B4086" t="s">
        <v>8</v>
      </c>
      <c r="C4086" s="3" t="s">
        <v>930</v>
      </c>
      <c r="D4086" s="3" t="s">
        <v>55</v>
      </c>
    </row>
    <row r="4087" spans="1:4" x14ac:dyDescent="0.2">
      <c r="A4087" s="3" t="s">
        <v>1450</v>
      </c>
      <c r="B4087" t="s">
        <v>8</v>
      </c>
      <c r="C4087" s="3" t="s">
        <v>903</v>
      </c>
      <c r="D4087" s="3" t="s">
        <v>55</v>
      </c>
    </row>
    <row r="4088" spans="1:4" x14ac:dyDescent="0.2">
      <c r="A4088" s="3" t="s">
        <v>1450</v>
      </c>
      <c r="B4088" t="s">
        <v>8</v>
      </c>
      <c r="C4088" s="3" t="s">
        <v>1451</v>
      </c>
      <c r="D4088" s="3" t="s">
        <v>55</v>
      </c>
    </row>
    <row r="4089" spans="1:4" x14ac:dyDescent="0.2">
      <c r="A4089" s="3" t="s">
        <v>1450</v>
      </c>
      <c r="B4089" t="s">
        <v>8</v>
      </c>
      <c r="C4089" s="3" t="s">
        <v>869</v>
      </c>
      <c r="D4089" s="3" t="s">
        <v>56</v>
      </c>
    </row>
    <row r="4090" spans="1:4" x14ac:dyDescent="0.2">
      <c r="A4090" s="3" t="s">
        <v>1450</v>
      </c>
      <c r="B4090" t="s">
        <v>8</v>
      </c>
      <c r="C4090" s="3" t="s">
        <v>899</v>
      </c>
      <c r="D4090" s="3" t="s">
        <v>56</v>
      </c>
    </row>
    <row r="4091" spans="1:4" x14ac:dyDescent="0.2">
      <c r="A4091" s="3" t="s">
        <v>1450</v>
      </c>
      <c r="B4091" t="s">
        <v>8</v>
      </c>
      <c r="C4091" s="3" t="s">
        <v>887</v>
      </c>
      <c r="D4091" s="3" t="s">
        <v>56</v>
      </c>
    </row>
    <row r="4092" spans="1:4" x14ac:dyDescent="0.2">
      <c r="A4092" s="3" t="s">
        <v>1450</v>
      </c>
      <c r="B4092" t="s">
        <v>8</v>
      </c>
      <c r="C4092" s="3" t="s">
        <v>930</v>
      </c>
      <c r="D4092" s="3" t="s">
        <v>56</v>
      </c>
    </row>
    <row r="4093" spans="1:4" x14ac:dyDescent="0.2">
      <c r="A4093" s="3" t="s">
        <v>1450</v>
      </c>
      <c r="B4093" t="s">
        <v>8</v>
      </c>
      <c r="C4093" s="3" t="s">
        <v>903</v>
      </c>
      <c r="D4093" s="3" t="s">
        <v>56</v>
      </c>
    </row>
    <row r="4094" spans="1:4" x14ac:dyDescent="0.2">
      <c r="A4094" s="3" t="s">
        <v>1450</v>
      </c>
      <c r="B4094" t="s">
        <v>8</v>
      </c>
      <c r="C4094" s="3" t="s">
        <v>1451</v>
      </c>
      <c r="D4094" s="3" t="s">
        <v>56</v>
      </c>
    </row>
    <row r="4095" spans="1:4" x14ac:dyDescent="0.2">
      <c r="A4095" s="3" t="s">
        <v>1450</v>
      </c>
      <c r="B4095" t="s">
        <v>8</v>
      </c>
      <c r="C4095" s="3" t="s">
        <v>869</v>
      </c>
      <c r="D4095" s="3" t="s">
        <v>57</v>
      </c>
    </row>
    <row r="4096" spans="1:4" x14ac:dyDescent="0.2">
      <c r="A4096" s="3" t="s">
        <v>1450</v>
      </c>
      <c r="B4096" t="s">
        <v>8</v>
      </c>
      <c r="C4096" s="3" t="s">
        <v>899</v>
      </c>
      <c r="D4096" s="3" t="s">
        <v>57</v>
      </c>
    </row>
    <row r="4097" spans="1:4" x14ac:dyDescent="0.2">
      <c r="A4097" s="3" t="s">
        <v>1450</v>
      </c>
      <c r="B4097" t="s">
        <v>8</v>
      </c>
      <c r="C4097" s="3" t="s">
        <v>887</v>
      </c>
      <c r="D4097" s="3" t="s">
        <v>57</v>
      </c>
    </row>
    <row r="4098" spans="1:4" x14ac:dyDescent="0.2">
      <c r="A4098" s="3" t="s">
        <v>1450</v>
      </c>
      <c r="B4098" t="s">
        <v>8</v>
      </c>
      <c r="C4098" s="3" t="s">
        <v>930</v>
      </c>
      <c r="D4098" s="3" t="s">
        <v>57</v>
      </c>
    </row>
    <row r="4099" spans="1:4" x14ac:dyDescent="0.2">
      <c r="A4099" s="3" t="s">
        <v>1450</v>
      </c>
      <c r="B4099" t="s">
        <v>8</v>
      </c>
      <c r="C4099" s="3" t="s">
        <v>903</v>
      </c>
      <c r="D4099" s="3" t="s">
        <v>57</v>
      </c>
    </row>
    <row r="4100" spans="1:4" x14ac:dyDescent="0.2">
      <c r="A4100" s="3" t="s">
        <v>1450</v>
      </c>
      <c r="B4100" t="s">
        <v>8</v>
      </c>
      <c r="C4100" s="3" t="s">
        <v>1451</v>
      </c>
      <c r="D4100" s="3" t="s">
        <v>57</v>
      </c>
    </row>
    <row r="4101" spans="1:4" x14ac:dyDescent="0.2">
      <c r="A4101" s="3" t="s">
        <v>1450</v>
      </c>
      <c r="B4101" t="s">
        <v>8</v>
      </c>
      <c r="C4101" s="3" t="s">
        <v>935</v>
      </c>
      <c r="D4101" s="3" t="s">
        <v>10</v>
      </c>
    </row>
    <row r="4102" spans="1:4" x14ac:dyDescent="0.2">
      <c r="A4102" s="3" t="s">
        <v>1450</v>
      </c>
      <c r="B4102" t="s">
        <v>8</v>
      </c>
      <c r="C4102" s="3" t="s">
        <v>939</v>
      </c>
      <c r="D4102" s="3" t="s">
        <v>10</v>
      </c>
    </row>
    <row r="4103" spans="1:4" x14ac:dyDescent="0.2">
      <c r="A4103" s="3" t="s">
        <v>1450</v>
      </c>
      <c r="B4103" t="s">
        <v>8</v>
      </c>
      <c r="C4103" s="3" t="s">
        <v>935</v>
      </c>
      <c r="D4103" s="3" t="s">
        <v>11</v>
      </c>
    </row>
    <row r="4104" spans="1:4" x14ac:dyDescent="0.2">
      <c r="A4104" s="3" t="s">
        <v>1450</v>
      </c>
      <c r="B4104" t="s">
        <v>8</v>
      </c>
      <c r="C4104" s="3" t="s">
        <v>1452</v>
      </c>
      <c r="D4104" s="3" t="s">
        <v>22</v>
      </c>
    </row>
    <row r="4105" spans="1:4" x14ac:dyDescent="0.2">
      <c r="A4105" s="3" t="s">
        <v>1453</v>
      </c>
      <c r="B4105" t="s">
        <v>8</v>
      </c>
      <c r="C4105" s="3" t="s">
        <v>869</v>
      </c>
      <c r="D4105" s="3" t="s">
        <v>53</v>
      </c>
    </row>
    <row r="4106" spans="1:4" x14ac:dyDescent="0.2">
      <c r="A4106" s="3" t="s">
        <v>1453</v>
      </c>
      <c r="B4106" t="s">
        <v>8</v>
      </c>
      <c r="C4106" s="3" t="s">
        <v>870</v>
      </c>
      <c r="D4106" s="3" t="s">
        <v>53</v>
      </c>
    </row>
    <row r="4107" spans="1:4" x14ac:dyDescent="0.2">
      <c r="A4107" s="3" t="s">
        <v>1453</v>
      </c>
      <c r="B4107" t="s">
        <v>8</v>
      </c>
      <c r="C4107" s="3" t="s">
        <v>871</v>
      </c>
      <c r="D4107" s="3" t="s">
        <v>53</v>
      </c>
    </row>
    <row r="4108" spans="1:4" x14ac:dyDescent="0.2">
      <c r="A4108" s="3" t="s">
        <v>1453</v>
      </c>
      <c r="B4108" t="s">
        <v>8</v>
      </c>
      <c r="C4108" s="3" t="s">
        <v>869</v>
      </c>
      <c r="D4108" s="3" t="s">
        <v>54</v>
      </c>
    </row>
    <row r="4109" spans="1:4" x14ac:dyDescent="0.2">
      <c r="A4109" s="3" t="s">
        <v>1453</v>
      </c>
      <c r="B4109" t="s">
        <v>8</v>
      </c>
      <c r="C4109" s="3" t="s">
        <v>870</v>
      </c>
      <c r="D4109" s="3" t="s">
        <v>54</v>
      </c>
    </row>
    <row r="4110" spans="1:4" x14ac:dyDescent="0.2">
      <c r="A4110" s="3" t="s">
        <v>1453</v>
      </c>
      <c r="B4110" t="s">
        <v>8</v>
      </c>
      <c r="C4110" s="3" t="s">
        <v>871</v>
      </c>
      <c r="D4110" s="3" t="s">
        <v>54</v>
      </c>
    </row>
    <row r="4111" spans="1:4" x14ac:dyDescent="0.2">
      <c r="A4111" s="3" t="s">
        <v>1453</v>
      </c>
      <c r="B4111" t="s">
        <v>8</v>
      </c>
      <c r="C4111" s="3" t="s">
        <v>869</v>
      </c>
      <c r="D4111" s="3" t="s">
        <v>55</v>
      </c>
    </row>
    <row r="4112" spans="1:4" x14ac:dyDescent="0.2">
      <c r="A4112" s="3" t="s">
        <v>1453</v>
      </c>
      <c r="B4112" t="s">
        <v>8</v>
      </c>
      <c r="C4112" s="3" t="s">
        <v>870</v>
      </c>
      <c r="D4112" s="3" t="s">
        <v>55</v>
      </c>
    </row>
    <row r="4113" spans="1:4" x14ac:dyDescent="0.2">
      <c r="A4113" s="3" t="s">
        <v>1453</v>
      </c>
      <c r="B4113" t="s">
        <v>8</v>
      </c>
      <c r="C4113" s="3" t="s">
        <v>871</v>
      </c>
      <c r="D4113" s="3" t="s">
        <v>55</v>
      </c>
    </row>
    <row r="4114" spans="1:4" x14ac:dyDescent="0.2">
      <c r="A4114" s="3" t="s">
        <v>1453</v>
      </c>
      <c r="B4114" t="s">
        <v>8</v>
      </c>
      <c r="C4114" s="3" t="s">
        <v>869</v>
      </c>
      <c r="D4114" s="3" t="s">
        <v>56</v>
      </c>
    </row>
    <row r="4115" spans="1:4" x14ac:dyDescent="0.2">
      <c r="A4115" s="3" t="s">
        <v>1453</v>
      </c>
      <c r="B4115" t="s">
        <v>8</v>
      </c>
      <c r="C4115" s="3" t="s">
        <v>870</v>
      </c>
      <c r="D4115" s="3" t="s">
        <v>56</v>
      </c>
    </row>
    <row r="4116" spans="1:4" x14ac:dyDescent="0.2">
      <c r="A4116" s="3" t="s">
        <v>1453</v>
      </c>
      <c r="B4116" t="s">
        <v>8</v>
      </c>
      <c r="C4116" s="3" t="s">
        <v>871</v>
      </c>
      <c r="D4116" s="3" t="s">
        <v>56</v>
      </c>
    </row>
    <row r="4117" spans="1:4" x14ac:dyDescent="0.2">
      <c r="A4117" s="3" t="s">
        <v>1453</v>
      </c>
      <c r="B4117" t="s">
        <v>8</v>
      </c>
      <c r="C4117" s="3" t="s">
        <v>869</v>
      </c>
      <c r="D4117" s="3" t="s">
        <v>57</v>
      </c>
    </row>
    <row r="4118" spans="1:4" x14ac:dyDescent="0.2">
      <c r="A4118" s="3" t="s">
        <v>1453</v>
      </c>
      <c r="B4118" t="s">
        <v>8</v>
      </c>
      <c r="C4118" s="3" t="s">
        <v>870</v>
      </c>
      <c r="D4118" s="3" t="s">
        <v>57</v>
      </c>
    </row>
    <row r="4119" spans="1:4" x14ac:dyDescent="0.2">
      <c r="A4119" s="3" t="s">
        <v>1453</v>
      </c>
      <c r="B4119" t="s">
        <v>8</v>
      </c>
      <c r="C4119" s="3" t="s">
        <v>871</v>
      </c>
      <c r="D4119" s="3" t="s">
        <v>57</v>
      </c>
    </row>
    <row r="4120" spans="1:4" x14ac:dyDescent="0.2">
      <c r="A4120" s="3" t="s">
        <v>1454</v>
      </c>
      <c r="B4120" t="s">
        <v>8</v>
      </c>
      <c r="C4120" s="3" t="s">
        <v>869</v>
      </c>
      <c r="D4120" s="3" t="s">
        <v>53</v>
      </c>
    </row>
    <row r="4121" spans="1:4" x14ac:dyDescent="0.2">
      <c r="A4121" s="3" t="s">
        <v>1454</v>
      </c>
      <c r="B4121" t="s">
        <v>8</v>
      </c>
      <c r="C4121" s="3" t="s">
        <v>903</v>
      </c>
      <c r="D4121" s="3" t="s">
        <v>53</v>
      </c>
    </row>
    <row r="4122" spans="1:4" x14ac:dyDescent="0.2">
      <c r="A4122" s="3" t="s">
        <v>1454</v>
      </c>
      <c r="B4122" t="s">
        <v>8</v>
      </c>
      <c r="C4122" s="3" t="s">
        <v>869</v>
      </c>
      <c r="D4122" s="3" t="s">
        <v>54</v>
      </c>
    </row>
    <row r="4123" spans="1:4" x14ac:dyDescent="0.2">
      <c r="A4123" s="3" t="s">
        <v>1454</v>
      </c>
      <c r="B4123" t="s">
        <v>8</v>
      </c>
      <c r="C4123" s="3" t="s">
        <v>903</v>
      </c>
      <c r="D4123" s="3" t="s">
        <v>54</v>
      </c>
    </row>
    <row r="4124" spans="1:4" x14ac:dyDescent="0.2">
      <c r="A4124" s="3" t="s">
        <v>1454</v>
      </c>
      <c r="B4124" t="s">
        <v>8</v>
      </c>
      <c r="C4124" s="3" t="s">
        <v>869</v>
      </c>
      <c r="D4124" s="3" t="s">
        <v>55</v>
      </c>
    </row>
    <row r="4125" spans="1:4" x14ac:dyDescent="0.2">
      <c r="A4125" s="3" t="s">
        <v>1454</v>
      </c>
      <c r="B4125" t="s">
        <v>8</v>
      </c>
      <c r="C4125" s="3" t="s">
        <v>903</v>
      </c>
      <c r="D4125" s="3" t="s">
        <v>55</v>
      </c>
    </row>
    <row r="4126" spans="1:4" x14ac:dyDescent="0.2">
      <c r="A4126" s="3" t="s">
        <v>1454</v>
      </c>
      <c r="B4126" t="s">
        <v>8</v>
      </c>
      <c r="C4126" s="3" t="s">
        <v>869</v>
      </c>
      <c r="D4126" s="3" t="s">
        <v>56</v>
      </c>
    </row>
    <row r="4127" spans="1:4" x14ac:dyDescent="0.2">
      <c r="A4127" s="3" t="s">
        <v>1454</v>
      </c>
      <c r="B4127" t="s">
        <v>8</v>
      </c>
      <c r="C4127" s="3" t="s">
        <v>903</v>
      </c>
      <c r="D4127" s="3" t="s">
        <v>56</v>
      </c>
    </row>
    <row r="4128" spans="1:4" x14ac:dyDescent="0.2">
      <c r="A4128" s="3" t="s">
        <v>1454</v>
      </c>
      <c r="B4128" t="s">
        <v>8</v>
      </c>
      <c r="C4128" s="3" t="s">
        <v>869</v>
      </c>
      <c r="D4128" s="3" t="s">
        <v>57</v>
      </c>
    </row>
    <row r="4129" spans="1:4" x14ac:dyDescent="0.2">
      <c r="A4129" s="3" t="s">
        <v>1454</v>
      </c>
      <c r="B4129" t="s">
        <v>8</v>
      </c>
      <c r="C4129" s="3" t="s">
        <v>903</v>
      </c>
      <c r="D4129" s="3" t="s">
        <v>57</v>
      </c>
    </row>
    <row r="4130" spans="1:4" x14ac:dyDescent="0.2">
      <c r="A4130" s="3" t="s">
        <v>1455</v>
      </c>
      <c r="B4130" t="s">
        <v>8</v>
      </c>
      <c r="C4130" s="3" t="s">
        <v>930</v>
      </c>
      <c r="D4130" s="3" t="s">
        <v>53</v>
      </c>
    </row>
    <row r="4131" spans="1:4" x14ac:dyDescent="0.2">
      <c r="A4131" s="3" t="s">
        <v>1455</v>
      </c>
      <c r="B4131" t="s">
        <v>8</v>
      </c>
      <c r="C4131" s="3" t="s">
        <v>930</v>
      </c>
      <c r="D4131" s="3" t="s">
        <v>54</v>
      </c>
    </row>
    <row r="4132" spans="1:4" x14ac:dyDescent="0.2">
      <c r="A4132" s="3" t="s">
        <v>1455</v>
      </c>
      <c r="B4132" t="s">
        <v>8</v>
      </c>
      <c r="C4132" s="3" t="s">
        <v>930</v>
      </c>
      <c r="D4132" s="3" t="s">
        <v>55</v>
      </c>
    </row>
    <row r="4133" spans="1:4" x14ac:dyDescent="0.2">
      <c r="A4133" s="3" t="s">
        <v>1455</v>
      </c>
      <c r="B4133" t="s">
        <v>8</v>
      </c>
      <c r="C4133" s="3" t="s">
        <v>930</v>
      </c>
      <c r="D4133" s="3" t="s">
        <v>56</v>
      </c>
    </row>
    <row r="4134" spans="1:4" x14ac:dyDescent="0.2">
      <c r="A4134" s="3" t="s">
        <v>1455</v>
      </c>
      <c r="B4134" t="s">
        <v>8</v>
      </c>
      <c r="C4134" s="3" t="s">
        <v>930</v>
      </c>
      <c r="D4134" s="3" t="s">
        <v>57</v>
      </c>
    </row>
    <row r="4135" spans="1:4" x14ac:dyDescent="0.2">
      <c r="A4135" s="3" t="s">
        <v>1455</v>
      </c>
      <c r="B4135" t="s">
        <v>8</v>
      </c>
      <c r="C4135" s="3" t="s">
        <v>1456</v>
      </c>
      <c r="D4135" s="3" t="s">
        <v>22</v>
      </c>
    </row>
    <row r="4136" spans="1:4" x14ac:dyDescent="0.2">
      <c r="A4136" s="3" t="s">
        <v>1455</v>
      </c>
      <c r="B4136" t="s">
        <v>8</v>
      </c>
      <c r="C4136" s="3" t="s">
        <v>1457</v>
      </c>
      <c r="D4136" s="3" t="s">
        <v>22</v>
      </c>
    </row>
    <row r="4137" spans="1:4" x14ac:dyDescent="0.2">
      <c r="A4137" s="3" t="s">
        <v>1455</v>
      </c>
      <c r="B4137" t="s">
        <v>8</v>
      </c>
      <c r="C4137" s="3" t="s">
        <v>1458</v>
      </c>
      <c r="D4137" s="3" t="s">
        <v>22</v>
      </c>
    </row>
    <row r="4138" spans="1:4" x14ac:dyDescent="0.2">
      <c r="A4138" s="3" t="s">
        <v>1455</v>
      </c>
      <c r="B4138" t="s">
        <v>8</v>
      </c>
      <c r="C4138" s="3" t="s">
        <v>1459</v>
      </c>
      <c r="D4138" s="3" t="s">
        <v>22</v>
      </c>
    </row>
    <row r="4139" spans="1:4" x14ac:dyDescent="0.2">
      <c r="A4139" s="3" t="s">
        <v>1455</v>
      </c>
      <c r="B4139" t="s">
        <v>8</v>
      </c>
      <c r="C4139" s="3" t="s">
        <v>1036</v>
      </c>
      <c r="D4139" s="3" t="s">
        <v>22</v>
      </c>
    </row>
    <row r="4140" spans="1:4" x14ac:dyDescent="0.2">
      <c r="A4140" s="3" t="s">
        <v>1455</v>
      </c>
      <c r="B4140" t="s">
        <v>8</v>
      </c>
      <c r="C4140" s="3" t="s">
        <v>1037</v>
      </c>
      <c r="D4140" s="3" t="s">
        <v>22</v>
      </c>
    </row>
    <row r="4141" spans="1:4" x14ac:dyDescent="0.2">
      <c r="A4141" s="3" t="s">
        <v>1455</v>
      </c>
      <c r="B4141" t="s">
        <v>8</v>
      </c>
      <c r="C4141" s="3" t="s">
        <v>1038</v>
      </c>
      <c r="D4141" s="3" t="s">
        <v>22</v>
      </c>
    </row>
    <row r="4142" spans="1:4" x14ac:dyDescent="0.2">
      <c r="A4142" s="3" t="s">
        <v>1455</v>
      </c>
      <c r="B4142" t="s">
        <v>8</v>
      </c>
      <c r="C4142" s="3" t="s">
        <v>1039</v>
      </c>
      <c r="D4142" s="3" t="s">
        <v>22</v>
      </c>
    </row>
    <row r="4143" spans="1:4" x14ac:dyDescent="0.2">
      <c r="A4143" s="3" t="s">
        <v>1455</v>
      </c>
      <c r="B4143" t="s">
        <v>8</v>
      </c>
      <c r="C4143" s="3" t="s">
        <v>1460</v>
      </c>
      <c r="D4143" s="3" t="s">
        <v>22</v>
      </c>
    </row>
    <row r="4144" spans="1:4" x14ac:dyDescent="0.2">
      <c r="A4144" s="3" t="s">
        <v>1461</v>
      </c>
      <c r="B4144" t="s">
        <v>8</v>
      </c>
      <c r="C4144" s="3" t="s">
        <v>1311</v>
      </c>
      <c r="D4144" s="3" t="s">
        <v>10</v>
      </c>
    </row>
    <row r="4145" spans="1:4" x14ac:dyDescent="0.2">
      <c r="A4145" s="3" t="s">
        <v>1461</v>
      </c>
      <c r="B4145" t="s">
        <v>8</v>
      </c>
      <c r="C4145" s="3" t="s">
        <v>1311</v>
      </c>
      <c r="D4145" s="3" t="s">
        <v>11</v>
      </c>
    </row>
    <row r="4146" spans="1:4" x14ac:dyDescent="0.2">
      <c r="A4146" s="3" t="s">
        <v>1462</v>
      </c>
      <c r="B4146" t="s">
        <v>8</v>
      </c>
      <c r="C4146" s="3" t="s">
        <v>1308</v>
      </c>
      <c r="D4146" s="3" t="s">
        <v>11</v>
      </c>
    </row>
    <row r="4147" spans="1:4" x14ac:dyDescent="0.2">
      <c r="A4147" s="3" t="s">
        <v>1462</v>
      </c>
      <c r="B4147" t="s">
        <v>8</v>
      </c>
      <c r="C4147" s="3" t="s">
        <v>1309</v>
      </c>
      <c r="D4147" s="3" t="s">
        <v>11</v>
      </c>
    </row>
    <row r="4148" spans="1:4" x14ac:dyDescent="0.2">
      <c r="A4148" s="3" t="s">
        <v>1463</v>
      </c>
      <c r="B4148" t="s">
        <v>8</v>
      </c>
      <c r="C4148" s="3" t="s">
        <v>565</v>
      </c>
      <c r="D4148" s="3" t="s">
        <v>53</v>
      </c>
    </row>
    <row r="4149" spans="1:4" x14ac:dyDescent="0.2">
      <c r="A4149" s="3" t="s">
        <v>1463</v>
      </c>
      <c r="B4149" t="s">
        <v>8</v>
      </c>
      <c r="C4149" s="3" t="s">
        <v>597</v>
      </c>
      <c r="D4149" s="3" t="s">
        <v>53</v>
      </c>
    </row>
    <row r="4150" spans="1:4" x14ac:dyDescent="0.2">
      <c r="A4150" s="3" t="s">
        <v>1463</v>
      </c>
      <c r="B4150" t="s">
        <v>8</v>
      </c>
      <c r="C4150" s="3" t="s">
        <v>566</v>
      </c>
      <c r="D4150" s="3" t="s">
        <v>53</v>
      </c>
    </row>
    <row r="4151" spans="1:4" x14ac:dyDescent="0.2">
      <c r="A4151" s="3" t="s">
        <v>1463</v>
      </c>
      <c r="B4151" t="s">
        <v>8</v>
      </c>
      <c r="C4151" s="3" t="s">
        <v>531</v>
      </c>
      <c r="D4151" s="3" t="s">
        <v>53</v>
      </c>
    </row>
    <row r="4152" spans="1:4" x14ac:dyDescent="0.2">
      <c r="A4152" s="3" t="s">
        <v>1463</v>
      </c>
      <c r="B4152" t="s">
        <v>8</v>
      </c>
      <c r="C4152" s="3" t="s">
        <v>567</v>
      </c>
      <c r="D4152" s="3" t="s">
        <v>53</v>
      </c>
    </row>
    <row r="4153" spans="1:4" x14ac:dyDescent="0.2">
      <c r="A4153" s="3" t="s">
        <v>1463</v>
      </c>
      <c r="B4153" t="s">
        <v>8</v>
      </c>
      <c r="C4153" s="3" t="s">
        <v>598</v>
      </c>
      <c r="D4153" s="3" t="s">
        <v>53</v>
      </c>
    </row>
    <row r="4154" spans="1:4" x14ac:dyDescent="0.2">
      <c r="A4154" s="3" t="s">
        <v>1463</v>
      </c>
      <c r="B4154" t="s">
        <v>8</v>
      </c>
      <c r="C4154" s="3" t="s">
        <v>547</v>
      </c>
      <c r="D4154" s="3" t="s">
        <v>53</v>
      </c>
    </row>
    <row r="4155" spans="1:4" x14ac:dyDescent="0.2">
      <c r="A4155" s="3" t="s">
        <v>1463</v>
      </c>
      <c r="B4155" t="s">
        <v>8</v>
      </c>
      <c r="C4155" s="3" t="s">
        <v>1464</v>
      </c>
      <c r="D4155" s="3" t="s">
        <v>53</v>
      </c>
    </row>
    <row r="4156" spans="1:4" x14ac:dyDescent="0.2">
      <c r="A4156" s="3" t="s">
        <v>1463</v>
      </c>
      <c r="B4156" t="s">
        <v>8</v>
      </c>
      <c r="C4156" s="3" t="s">
        <v>1465</v>
      </c>
      <c r="D4156" s="3" t="s">
        <v>53</v>
      </c>
    </row>
    <row r="4157" spans="1:4" x14ac:dyDescent="0.2">
      <c r="A4157" s="3" t="s">
        <v>1463</v>
      </c>
      <c r="B4157" t="s">
        <v>8</v>
      </c>
      <c r="C4157" s="3" t="s">
        <v>565</v>
      </c>
      <c r="D4157" s="3" t="s">
        <v>54</v>
      </c>
    </row>
    <row r="4158" spans="1:4" x14ac:dyDescent="0.2">
      <c r="A4158" s="3" t="s">
        <v>1463</v>
      </c>
      <c r="B4158" t="s">
        <v>8</v>
      </c>
      <c r="C4158" s="3" t="s">
        <v>597</v>
      </c>
      <c r="D4158" s="3" t="s">
        <v>54</v>
      </c>
    </row>
    <row r="4159" spans="1:4" x14ac:dyDescent="0.2">
      <c r="A4159" s="3" t="s">
        <v>1463</v>
      </c>
      <c r="B4159" t="s">
        <v>8</v>
      </c>
      <c r="C4159" s="3" t="s">
        <v>566</v>
      </c>
      <c r="D4159" s="3" t="s">
        <v>54</v>
      </c>
    </row>
    <row r="4160" spans="1:4" x14ac:dyDescent="0.2">
      <c r="A4160" s="3" t="s">
        <v>1463</v>
      </c>
      <c r="B4160" t="s">
        <v>8</v>
      </c>
      <c r="C4160" s="3" t="s">
        <v>531</v>
      </c>
      <c r="D4160" s="3" t="s">
        <v>54</v>
      </c>
    </row>
    <row r="4161" spans="1:4" x14ac:dyDescent="0.2">
      <c r="A4161" s="3" t="s">
        <v>1463</v>
      </c>
      <c r="B4161" t="s">
        <v>8</v>
      </c>
      <c r="C4161" s="3" t="s">
        <v>567</v>
      </c>
      <c r="D4161" s="3" t="s">
        <v>54</v>
      </c>
    </row>
    <row r="4162" spans="1:4" x14ac:dyDescent="0.2">
      <c r="A4162" s="3" t="s">
        <v>1463</v>
      </c>
      <c r="B4162" t="s">
        <v>8</v>
      </c>
      <c r="C4162" s="3" t="s">
        <v>598</v>
      </c>
      <c r="D4162" s="3" t="s">
        <v>54</v>
      </c>
    </row>
    <row r="4163" spans="1:4" x14ac:dyDescent="0.2">
      <c r="A4163" s="3" t="s">
        <v>1463</v>
      </c>
      <c r="B4163" t="s">
        <v>8</v>
      </c>
      <c r="C4163" s="3" t="s">
        <v>547</v>
      </c>
      <c r="D4163" s="3" t="s">
        <v>54</v>
      </c>
    </row>
    <row r="4164" spans="1:4" x14ac:dyDescent="0.2">
      <c r="A4164" s="3" t="s">
        <v>1463</v>
      </c>
      <c r="B4164" t="s">
        <v>8</v>
      </c>
      <c r="C4164" s="3" t="s">
        <v>1464</v>
      </c>
      <c r="D4164" s="3" t="s">
        <v>54</v>
      </c>
    </row>
    <row r="4165" spans="1:4" x14ac:dyDescent="0.2">
      <c r="A4165" s="3" t="s">
        <v>1463</v>
      </c>
      <c r="B4165" t="s">
        <v>8</v>
      </c>
      <c r="C4165" s="3" t="s">
        <v>1465</v>
      </c>
      <c r="D4165" s="3" t="s">
        <v>54</v>
      </c>
    </row>
    <row r="4166" spans="1:4" x14ac:dyDescent="0.2">
      <c r="A4166" s="3" t="s">
        <v>1463</v>
      </c>
      <c r="B4166" t="s">
        <v>8</v>
      </c>
      <c r="C4166" s="3" t="s">
        <v>565</v>
      </c>
      <c r="D4166" s="3" t="s">
        <v>55</v>
      </c>
    </row>
    <row r="4167" spans="1:4" x14ac:dyDescent="0.2">
      <c r="A4167" s="3" t="s">
        <v>1463</v>
      </c>
      <c r="B4167" t="s">
        <v>8</v>
      </c>
      <c r="C4167" s="3" t="s">
        <v>597</v>
      </c>
      <c r="D4167" s="3" t="s">
        <v>55</v>
      </c>
    </row>
    <row r="4168" spans="1:4" x14ac:dyDescent="0.2">
      <c r="A4168" s="3" t="s">
        <v>1463</v>
      </c>
      <c r="B4168" t="s">
        <v>8</v>
      </c>
      <c r="C4168" s="3" t="s">
        <v>566</v>
      </c>
      <c r="D4168" s="3" t="s">
        <v>55</v>
      </c>
    </row>
    <row r="4169" spans="1:4" x14ac:dyDescent="0.2">
      <c r="A4169" s="3" t="s">
        <v>1463</v>
      </c>
      <c r="B4169" t="s">
        <v>8</v>
      </c>
      <c r="C4169" s="3" t="s">
        <v>531</v>
      </c>
      <c r="D4169" s="3" t="s">
        <v>55</v>
      </c>
    </row>
    <row r="4170" spans="1:4" x14ac:dyDescent="0.2">
      <c r="A4170" s="3" t="s">
        <v>1463</v>
      </c>
      <c r="B4170" t="s">
        <v>8</v>
      </c>
      <c r="C4170" s="3" t="s">
        <v>567</v>
      </c>
      <c r="D4170" s="3" t="s">
        <v>55</v>
      </c>
    </row>
    <row r="4171" spans="1:4" x14ac:dyDescent="0.2">
      <c r="A4171" s="3" t="s">
        <v>1463</v>
      </c>
      <c r="B4171" t="s">
        <v>8</v>
      </c>
      <c r="C4171" s="3" t="s">
        <v>598</v>
      </c>
      <c r="D4171" s="3" t="s">
        <v>55</v>
      </c>
    </row>
    <row r="4172" spans="1:4" x14ac:dyDescent="0.2">
      <c r="A4172" s="3" t="s">
        <v>1463</v>
      </c>
      <c r="B4172" t="s">
        <v>8</v>
      </c>
      <c r="C4172" s="3" t="s">
        <v>547</v>
      </c>
      <c r="D4172" s="3" t="s">
        <v>55</v>
      </c>
    </row>
    <row r="4173" spans="1:4" x14ac:dyDescent="0.2">
      <c r="A4173" s="3" t="s">
        <v>1463</v>
      </c>
      <c r="B4173" t="s">
        <v>8</v>
      </c>
      <c r="C4173" s="3" t="s">
        <v>1464</v>
      </c>
      <c r="D4173" s="3" t="s">
        <v>55</v>
      </c>
    </row>
    <row r="4174" spans="1:4" x14ac:dyDescent="0.2">
      <c r="A4174" s="3" t="s">
        <v>1463</v>
      </c>
      <c r="B4174" t="s">
        <v>8</v>
      </c>
      <c r="C4174" s="3" t="s">
        <v>1465</v>
      </c>
      <c r="D4174" s="3" t="s">
        <v>55</v>
      </c>
    </row>
    <row r="4175" spans="1:4" x14ac:dyDescent="0.2">
      <c r="A4175" s="3" t="s">
        <v>1463</v>
      </c>
      <c r="B4175" t="s">
        <v>8</v>
      </c>
      <c r="C4175" s="3" t="s">
        <v>565</v>
      </c>
      <c r="D4175" s="3" t="s">
        <v>56</v>
      </c>
    </row>
    <row r="4176" spans="1:4" x14ac:dyDescent="0.2">
      <c r="A4176" s="3" t="s">
        <v>1463</v>
      </c>
      <c r="B4176" t="s">
        <v>8</v>
      </c>
      <c r="C4176" s="3" t="s">
        <v>597</v>
      </c>
      <c r="D4176" s="3" t="s">
        <v>56</v>
      </c>
    </row>
    <row r="4177" spans="1:4" x14ac:dyDescent="0.2">
      <c r="A4177" s="3" t="s">
        <v>1463</v>
      </c>
      <c r="B4177" t="s">
        <v>8</v>
      </c>
      <c r="C4177" s="3" t="s">
        <v>566</v>
      </c>
      <c r="D4177" s="3" t="s">
        <v>56</v>
      </c>
    </row>
    <row r="4178" spans="1:4" x14ac:dyDescent="0.2">
      <c r="A4178" s="3" t="s">
        <v>1463</v>
      </c>
      <c r="B4178" t="s">
        <v>8</v>
      </c>
      <c r="C4178" s="3" t="s">
        <v>531</v>
      </c>
      <c r="D4178" s="3" t="s">
        <v>56</v>
      </c>
    </row>
    <row r="4179" spans="1:4" x14ac:dyDescent="0.2">
      <c r="A4179" s="3" t="s">
        <v>1463</v>
      </c>
      <c r="B4179" t="s">
        <v>8</v>
      </c>
      <c r="C4179" s="3" t="s">
        <v>567</v>
      </c>
      <c r="D4179" s="3" t="s">
        <v>56</v>
      </c>
    </row>
    <row r="4180" spans="1:4" x14ac:dyDescent="0.2">
      <c r="A4180" s="3" t="s">
        <v>1463</v>
      </c>
      <c r="B4180" t="s">
        <v>8</v>
      </c>
      <c r="C4180" s="3" t="s">
        <v>598</v>
      </c>
      <c r="D4180" s="3" t="s">
        <v>56</v>
      </c>
    </row>
    <row r="4181" spans="1:4" x14ac:dyDescent="0.2">
      <c r="A4181" s="3" t="s">
        <v>1463</v>
      </c>
      <c r="B4181" t="s">
        <v>8</v>
      </c>
      <c r="C4181" s="3" t="s">
        <v>547</v>
      </c>
      <c r="D4181" s="3" t="s">
        <v>56</v>
      </c>
    </row>
    <row r="4182" spans="1:4" x14ac:dyDescent="0.2">
      <c r="A4182" s="3" t="s">
        <v>1463</v>
      </c>
      <c r="B4182" t="s">
        <v>8</v>
      </c>
      <c r="C4182" s="3" t="s">
        <v>1464</v>
      </c>
      <c r="D4182" s="3" t="s">
        <v>56</v>
      </c>
    </row>
    <row r="4183" spans="1:4" x14ac:dyDescent="0.2">
      <c r="A4183" s="3" t="s">
        <v>1463</v>
      </c>
      <c r="B4183" t="s">
        <v>8</v>
      </c>
      <c r="C4183" s="3" t="s">
        <v>1465</v>
      </c>
      <c r="D4183" s="3" t="s">
        <v>56</v>
      </c>
    </row>
    <row r="4184" spans="1:4" x14ac:dyDescent="0.2">
      <c r="A4184" s="3" t="s">
        <v>1463</v>
      </c>
      <c r="B4184" t="s">
        <v>8</v>
      </c>
      <c r="C4184" s="3" t="s">
        <v>565</v>
      </c>
      <c r="D4184" s="3" t="s">
        <v>57</v>
      </c>
    </row>
    <row r="4185" spans="1:4" x14ac:dyDescent="0.2">
      <c r="A4185" s="3" t="s">
        <v>1463</v>
      </c>
      <c r="B4185" t="s">
        <v>8</v>
      </c>
      <c r="C4185" s="3" t="s">
        <v>597</v>
      </c>
      <c r="D4185" s="3" t="s">
        <v>57</v>
      </c>
    </row>
    <row r="4186" spans="1:4" x14ac:dyDescent="0.2">
      <c r="A4186" s="3" t="s">
        <v>1463</v>
      </c>
      <c r="B4186" t="s">
        <v>8</v>
      </c>
      <c r="C4186" s="3" t="s">
        <v>566</v>
      </c>
      <c r="D4186" s="3" t="s">
        <v>57</v>
      </c>
    </row>
    <row r="4187" spans="1:4" x14ac:dyDescent="0.2">
      <c r="A4187" s="3" t="s">
        <v>1463</v>
      </c>
      <c r="B4187" t="s">
        <v>8</v>
      </c>
      <c r="C4187" s="3" t="s">
        <v>531</v>
      </c>
      <c r="D4187" s="3" t="s">
        <v>57</v>
      </c>
    </row>
    <row r="4188" spans="1:4" x14ac:dyDescent="0.2">
      <c r="A4188" s="3" t="s">
        <v>1463</v>
      </c>
      <c r="B4188" t="s">
        <v>8</v>
      </c>
      <c r="C4188" s="3" t="s">
        <v>567</v>
      </c>
      <c r="D4188" s="3" t="s">
        <v>57</v>
      </c>
    </row>
    <row r="4189" spans="1:4" x14ac:dyDescent="0.2">
      <c r="A4189" s="3" t="s">
        <v>1463</v>
      </c>
      <c r="B4189" t="s">
        <v>8</v>
      </c>
      <c r="C4189" s="3" t="s">
        <v>598</v>
      </c>
      <c r="D4189" s="3" t="s">
        <v>57</v>
      </c>
    </row>
    <row r="4190" spans="1:4" x14ac:dyDescent="0.2">
      <c r="A4190" s="3" t="s">
        <v>1463</v>
      </c>
      <c r="B4190" t="s">
        <v>8</v>
      </c>
      <c r="C4190" s="3" t="s">
        <v>547</v>
      </c>
      <c r="D4190" s="3" t="s">
        <v>57</v>
      </c>
    </row>
    <row r="4191" spans="1:4" x14ac:dyDescent="0.2">
      <c r="A4191" s="3" t="s">
        <v>1463</v>
      </c>
      <c r="B4191" t="s">
        <v>8</v>
      </c>
      <c r="C4191" s="3" t="s">
        <v>1464</v>
      </c>
      <c r="D4191" s="3" t="s">
        <v>57</v>
      </c>
    </row>
    <row r="4192" spans="1:4" x14ac:dyDescent="0.2">
      <c r="A4192" s="3" t="s">
        <v>1463</v>
      </c>
      <c r="B4192" t="s">
        <v>8</v>
      </c>
      <c r="C4192" s="3" t="s">
        <v>1465</v>
      </c>
      <c r="D4192" s="3" t="s">
        <v>57</v>
      </c>
    </row>
    <row r="4193" spans="1:4" x14ac:dyDescent="0.2">
      <c r="A4193" s="3" t="s">
        <v>1463</v>
      </c>
      <c r="B4193" t="s">
        <v>8</v>
      </c>
      <c r="C4193" s="3" t="s">
        <v>176</v>
      </c>
      <c r="D4193" s="3" t="s">
        <v>169</v>
      </c>
    </row>
    <row r="4194" spans="1:4" x14ac:dyDescent="0.2">
      <c r="A4194" s="3" t="s">
        <v>1463</v>
      </c>
      <c r="B4194" t="s">
        <v>8</v>
      </c>
      <c r="C4194" s="3" t="s">
        <v>593</v>
      </c>
      <c r="D4194" s="3" t="s">
        <v>169</v>
      </c>
    </row>
    <row r="4195" spans="1:4" x14ac:dyDescent="0.2">
      <c r="A4195" s="3" t="s">
        <v>1463</v>
      </c>
      <c r="B4195" t="s">
        <v>8</v>
      </c>
      <c r="C4195" s="3" t="s">
        <v>594</v>
      </c>
      <c r="D4195" s="3" t="s">
        <v>169</v>
      </c>
    </row>
    <row r="4196" spans="1:4" x14ac:dyDescent="0.2">
      <c r="A4196" s="3" t="s">
        <v>1463</v>
      </c>
      <c r="B4196" t="s">
        <v>8</v>
      </c>
      <c r="C4196" s="3" t="s">
        <v>595</v>
      </c>
      <c r="D4196" s="3" t="s">
        <v>169</v>
      </c>
    </row>
    <row r="4197" spans="1:4" x14ac:dyDescent="0.2">
      <c r="A4197" s="3" t="s">
        <v>1466</v>
      </c>
      <c r="B4197" t="s">
        <v>8</v>
      </c>
      <c r="C4197" s="3" t="s">
        <v>1467</v>
      </c>
      <c r="D4197" s="3" t="s">
        <v>169</v>
      </c>
    </row>
    <row r="4198" spans="1:4" x14ac:dyDescent="0.2">
      <c r="A4198" s="3" t="s">
        <v>1466</v>
      </c>
      <c r="B4198" t="s">
        <v>8</v>
      </c>
      <c r="C4198" s="3" t="s">
        <v>1468</v>
      </c>
      <c r="D4198" s="3" t="s">
        <v>169</v>
      </c>
    </row>
    <row r="4199" spans="1:4" x14ac:dyDescent="0.2">
      <c r="A4199" s="3" t="s">
        <v>1466</v>
      </c>
      <c r="B4199" t="s">
        <v>8</v>
      </c>
      <c r="C4199" s="3" t="s">
        <v>1469</v>
      </c>
      <c r="D4199" s="3" t="s">
        <v>169</v>
      </c>
    </row>
    <row r="4200" spans="1:4" x14ac:dyDescent="0.2">
      <c r="A4200" s="3" t="s">
        <v>1466</v>
      </c>
      <c r="B4200" t="s">
        <v>8</v>
      </c>
      <c r="C4200" s="3" t="s">
        <v>1470</v>
      </c>
      <c r="D4200" s="3" t="s">
        <v>169</v>
      </c>
    </row>
    <row r="4201" spans="1:4" x14ac:dyDescent="0.2">
      <c r="A4201" s="3" t="s">
        <v>1471</v>
      </c>
      <c r="B4201" t="s">
        <v>8</v>
      </c>
      <c r="C4201" s="3" t="s">
        <v>1472</v>
      </c>
      <c r="D4201" s="3" t="s">
        <v>169</v>
      </c>
    </row>
    <row r="4202" spans="1:4" x14ac:dyDescent="0.2">
      <c r="A4202" s="3" t="s">
        <v>1471</v>
      </c>
      <c r="B4202" t="s">
        <v>8</v>
      </c>
      <c r="C4202" s="3" t="s">
        <v>1473</v>
      </c>
      <c r="D4202" s="3" t="s">
        <v>169</v>
      </c>
    </row>
    <row r="4203" spans="1:4" x14ac:dyDescent="0.2">
      <c r="A4203" s="3" t="s">
        <v>1471</v>
      </c>
      <c r="B4203" t="s">
        <v>8</v>
      </c>
      <c r="C4203" s="3" t="s">
        <v>1474</v>
      </c>
      <c r="D4203" s="3" t="s">
        <v>169</v>
      </c>
    </row>
    <row r="4204" spans="1:4" x14ac:dyDescent="0.2">
      <c r="A4204" s="3" t="s">
        <v>1471</v>
      </c>
      <c r="B4204" t="s">
        <v>8</v>
      </c>
      <c r="C4204" s="3" t="s">
        <v>1475</v>
      </c>
      <c r="D4204" s="3" t="s">
        <v>169</v>
      </c>
    </row>
    <row r="4205" spans="1:4" x14ac:dyDescent="0.2">
      <c r="A4205" s="3" t="s">
        <v>1471</v>
      </c>
      <c r="B4205" t="s">
        <v>8</v>
      </c>
      <c r="C4205" s="3" t="s">
        <v>1476</v>
      </c>
      <c r="D4205" s="3" t="s">
        <v>169</v>
      </c>
    </row>
    <row r="4206" spans="1:4" x14ac:dyDescent="0.2">
      <c r="A4206" s="3" t="s">
        <v>1471</v>
      </c>
      <c r="B4206" t="s">
        <v>8</v>
      </c>
      <c r="C4206" s="3" t="s">
        <v>1477</v>
      </c>
      <c r="D4206" s="3" t="s">
        <v>169</v>
      </c>
    </row>
    <row r="4207" spans="1:4" x14ac:dyDescent="0.2">
      <c r="A4207" s="3" t="s">
        <v>1471</v>
      </c>
      <c r="B4207" t="s">
        <v>8</v>
      </c>
      <c r="C4207" s="3" t="s">
        <v>1478</v>
      </c>
      <c r="D4207" s="3" t="s">
        <v>169</v>
      </c>
    </row>
    <row r="4208" spans="1:4" x14ac:dyDescent="0.2">
      <c r="A4208" s="3" t="s">
        <v>1471</v>
      </c>
      <c r="B4208" t="s">
        <v>8</v>
      </c>
      <c r="C4208" s="3" t="s">
        <v>1479</v>
      </c>
      <c r="D4208" s="3" t="s">
        <v>169</v>
      </c>
    </row>
    <row r="4209" spans="1:4" x14ac:dyDescent="0.2">
      <c r="A4209" s="3" t="s">
        <v>1471</v>
      </c>
      <c r="B4209" t="s">
        <v>8</v>
      </c>
      <c r="C4209" s="3" t="s">
        <v>1480</v>
      </c>
      <c r="D4209" s="3" t="s">
        <v>169</v>
      </c>
    </row>
    <row r="4210" spans="1:4" x14ac:dyDescent="0.2">
      <c r="A4210" s="3" t="s">
        <v>1471</v>
      </c>
      <c r="B4210" t="s">
        <v>8</v>
      </c>
      <c r="C4210" s="3" t="s">
        <v>1481</v>
      </c>
      <c r="D4210" s="3" t="s">
        <v>169</v>
      </c>
    </row>
    <row r="4211" spans="1:4" x14ac:dyDescent="0.2">
      <c r="A4211" s="3" t="s">
        <v>1471</v>
      </c>
      <c r="B4211" t="s">
        <v>8</v>
      </c>
      <c r="C4211" s="3" t="s">
        <v>1482</v>
      </c>
      <c r="D4211" s="3" t="s">
        <v>169</v>
      </c>
    </row>
    <row r="4212" spans="1:4" x14ac:dyDescent="0.2">
      <c r="A4212" s="3" t="s">
        <v>1471</v>
      </c>
      <c r="B4212" t="s">
        <v>8</v>
      </c>
      <c r="C4212" s="3" t="s">
        <v>1483</v>
      </c>
      <c r="D4212" s="3" t="s">
        <v>169</v>
      </c>
    </row>
    <row r="4213" spans="1:4" x14ac:dyDescent="0.2">
      <c r="A4213" s="3" t="s">
        <v>1471</v>
      </c>
      <c r="B4213" t="s">
        <v>8</v>
      </c>
      <c r="C4213" s="3" t="s">
        <v>1484</v>
      </c>
      <c r="D4213" s="3" t="s">
        <v>169</v>
      </c>
    </row>
    <row r="4214" spans="1:4" x14ac:dyDescent="0.2">
      <c r="A4214" s="3" t="s">
        <v>1471</v>
      </c>
      <c r="B4214" t="s">
        <v>8</v>
      </c>
      <c r="C4214" s="3" t="s">
        <v>1485</v>
      </c>
      <c r="D4214" s="3" t="s">
        <v>169</v>
      </c>
    </row>
    <row r="4215" spans="1:4" x14ac:dyDescent="0.2">
      <c r="A4215" s="3" t="s">
        <v>1471</v>
      </c>
      <c r="B4215" t="s">
        <v>8</v>
      </c>
      <c r="C4215" s="3" t="s">
        <v>1486</v>
      </c>
      <c r="D4215" s="3" t="s">
        <v>169</v>
      </c>
    </row>
    <row r="4216" spans="1:4" x14ac:dyDescent="0.2">
      <c r="A4216" s="3" t="s">
        <v>1471</v>
      </c>
      <c r="B4216" t="s">
        <v>8</v>
      </c>
      <c r="C4216" s="3" t="s">
        <v>1487</v>
      </c>
      <c r="D4216" s="3" t="s">
        <v>169</v>
      </c>
    </row>
    <row r="4217" spans="1:4" x14ac:dyDescent="0.2">
      <c r="A4217" s="3" t="s">
        <v>1471</v>
      </c>
      <c r="B4217" t="s">
        <v>8</v>
      </c>
      <c r="C4217" s="3" t="s">
        <v>1488</v>
      </c>
      <c r="D4217" s="3" t="s">
        <v>169</v>
      </c>
    </row>
    <row r="4218" spans="1:4" x14ac:dyDescent="0.2">
      <c r="A4218" s="3" t="s">
        <v>1471</v>
      </c>
      <c r="B4218" t="s">
        <v>8</v>
      </c>
      <c r="C4218" s="3" t="s">
        <v>1489</v>
      </c>
      <c r="D4218" s="3" t="s">
        <v>169</v>
      </c>
    </row>
    <row r="4219" spans="1:4" x14ac:dyDescent="0.2">
      <c r="A4219" s="3" t="s">
        <v>1471</v>
      </c>
      <c r="B4219" t="s">
        <v>8</v>
      </c>
      <c r="C4219" s="3" t="s">
        <v>1490</v>
      </c>
      <c r="D4219" s="3" t="s">
        <v>169</v>
      </c>
    </row>
    <row r="4220" spans="1:4" x14ac:dyDescent="0.2">
      <c r="A4220" s="3" t="s">
        <v>1471</v>
      </c>
      <c r="B4220" t="s">
        <v>8</v>
      </c>
      <c r="C4220" s="3" t="s">
        <v>1491</v>
      </c>
      <c r="D4220" s="3" t="s">
        <v>169</v>
      </c>
    </row>
    <row r="4221" spans="1:4" x14ac:dyDescent="0.2">
      <c r="A4221" s="3" t="s">
        <v>1471</v>
      </c>
      <c r="B4221" t="s">
        <v>8</v>
      </c>
      <c r="C4221" s="3" t="s">
        <v>1492</v>
      </c>
      <c r="D4221" s="3" t="s">
        <v>169</v>
      </c>
    </row>
    <row r="4222" spans="1:4" x14ac:dyDescent="0.2">
      <c r="A4222" s="3" t="s">
        <v>1493</v>
      </c>
      <c r="B4222" t="s">
        <v>8</v>
      </c>
      <c r="C4222" s="3" t="s">
        <v>1479</v>
      </c>
      <c r="D4222" s="3" t="s">
        <v>169</v>
      </c>
    </row>
    <row r="4223" spans="1:4" x14ac:dyDescent="0.2">
      <c r="A4223" s="3" t="s">
        <v>1493</v>
      </c>
      <c r="B4223" t="s">
        <v>8</v>
      </c>
      <c r="C4223" s="3" t="s">
        <v>1494</v>
      </c>
      <c r="D4223" s="3" t="s">
        <v>169</v>
      </c>
    </row>
    <row r="4224" spans="1:4" x14ac:dyDescent="0.2">
      <c r="A4224" s="3" t="s">
        <v>1493</v>
      </c>
      <c r="B4224" t="s">
        <v>8</v>
      </c>
      <c r="C4224" s="3" t="s">
        <v>185</v>
      </c>
      <c r="D4224" s="3" t="s">
        <v>169</v>
      </c>
    </row>
    <row r="4225" spans="1:4" x14ac:dyDescent="0.2">
      <c r="A4225" s="3" t="s">
        <v>1493</v>
      </c>
      <c r="B4225" t="s">
        <v>8</v>
      </c>
      <c r="C4225" s="3" t="s">
        <v>1495</v>
      </c>
      <c r="D4225" s="3" t="s">
        <v>169</v>
      </c>
    </row>
    <row r="4226" spans="1:4" x14ac:dyDescent="0.2">
      <c r="A4226" s="3" t="s">
        <v>1493</v>
      </c>
      <c r="B4226" t="s">
        <v>8</v>
      </c>
      <c r="C4226" s="3" t="s">
        <v>1496</v>
      </c>
      <c r="D4226" s="3" t="s">
        <v>169</v>
      </c>
    </row>
    <row r="4227" spans="1:4" x14ac:dyDescent="0.2">
      <c r="A4227" s="3" t="s">
        <v>1493</v>
      </c>
      <c r="B4227" t="s">
        <v>8</v>
      </c>
      <c r="C4227" s="3" t="s">
        <v>1497</v>
      </c>
      <c r="D4227" s="3" t="s">
        <v>169</v>
      </c>
    </row>
    <row r="4228" spans="1:4" x14ac:dyDescent="0.2">
      <c r="A4228" s="3" t="s">
        <v>1493</v>
      </c>
      <c r="B4228" t="s">
        <v>8</v>
      </c>
      <c r="C4228" s="3" t="s">
        <v>1498</v>
      </c>
      <c r="D4228" s="3" t="s">
        <v>169</v>
      </c>
    </row>
    <row r="4229" spans="1:4" x14ac:dyDescent="0.2">
      <c r="A4229" s="3" t="s">
        <v>1493</v>
      </c>
      <c r="B4229" t="s">
        <v>8</v>
      </c>
      <c r="C4229" s="3" t="s">
        <v>1492</v>
      </c>
      <c r="D4229" s="3" t="s">
        <v>169</v>
      </c>
    </row>
    <row r="4230" spans="1:4" x14ac:dyDescent="0.2">
      <c r="A4230" s="3" t="s">
        <v>1499</v>
      </c>
      <c r="B4230" t="s">
        <v>8</v>
      </c>
      <c r="C4230" s="3" t="s">
        <v>1500</v>
      </c>
      <c r="D4230" s="3" t="s">
        <v>169</v>
      </c>
    </row>
    <row r="4231" spans="1:4" x14ac:dyDescent="0.2">
      <c r="A4231" s="3" t="s">
        <v>1499</v>
      </c>
      <c r="B4231" t="s">
        <v>8</v>
      </c>
      <c r="C4231" s="3" t="s">
        <v>1467</v>
      </c>
      <c r="D4231" s="3" t="s">
        <v>169</v>
      </c>
    </row>
    <row r="4232" spans="1:4" x14ac:dyDescent="0.2">
      <c r="A4232" s="3" t="s">
        <v>1499</v>
      </c>
      <c r="B4232" t="s">
        <v>8</v>
      </c>
      <c r="C4232" s="3" t="s">
        <v>1501</v>
      </c>
      <c r="D4232" s="3" t="s">
        <v>169</v>
      </c>
    </row>
    <row r="4233" spans="1:4" x14ac:dyDescent="0.2">
      <c r="A4233" s="3" t="s">
        <v>1499</v>
      </c>
      <c r="B4233" t="s">
        <v>8</v>
      </c>
      <c r="C4233" s="3" t="s">
        <v>1502</v>
      </c>
      <c r="D4233" s="3" t="s">
        <v>169</v>
      </c>
    </row>
    <row r="4234" spans="1:4" x14ac:dyDescent="0.2">
      <c r="A4234" s="3" t="s">
        <v>1499</v>
      </c>
      <c r="B4234" t="s">
        <v>8</v>
      </c>
      <c r="C4234" s="3" t="s">
        <v>1503</v>
      </c>
      <c r="D4234" s="3" t="s">
        <v>169</v>
      </c>
    </row>
    <row r="4235" spans="1:4" x14ac:dyDescent="0.2">
      <c r="A4235" s="3" t="s">
        <v>1499</v>
      </c>
      <c r="B4235" t="s">
        <v>8</v>
      </c>
      <c r="C4235" s="3" t="s">
        <v>1504</v>
      </c>
      <c r="D4235" s="3" t="s">
        <v>169</v>
      </c>
    </row>
    <row r="4236" spans="1:4" x14ac:dyDescent="0.2">
      <c r="A4236" s="3" t="s">
        <v>1499</v>
      </c>
      <c r="B4236" t="s">
        <v>8</v>
      </c>
      <c r="C4236" s="3" t="s">
        <v>1505</v>
      </c>
      <c r="D4236" s="3" t="s">
        <v>169</v>
      </c>
    </row>
    <row r="4237" spans="1:4" x14ac:dyDescent="0.2">
      <c r="A4237" s="3" t="s">
        <v>1499</v>
      </c>
      <c r="B4237" t="s">
        <v>8</v>
      </c>
      <c r="C4237" s="3" t="s">
        <v>1506</v>
      </c>
      <c r="D4237" s="3" t="s">
        <v>169</v>
      </c>
    </row>
    <row r="4238" spans="1:4" x14ac:dyDescent="0.2">
      <c r="A4238" s="3" t="s">
        <v>1499</v>
      </c>
      <c r="B4238" t="s">
        <v>8</v>
      </c>
      <c r="C4238" s="3" t="s">
        <v>1507</v>
      </c>
      <c r="D4238" s="3" t="s">
        <v>169</v>
      </c>
    </row>
    <row r="4239" spans="1:4" x14ac:dyDescent="0.2">
      <c r="A4239" s="3" t="s">
        <v>1499</v>
      </c>
      <c r="B4239" t="s">
        <v>8</v>
      </c>
      <c r="C4239" s="3" t="s">
        <v>1508</v>
      </c>
      <c r="D4239" s="3" t="s">
        <v>169</v>
      </c>
    </row>
    <row r="4240" spans="1:4" x14ac:dyDescent="0.2">
      <c r="A4240" s="3" t="s">
        <v>1499</v>
      </c>
      <c r="B4240" t="s">
        <v>8</v>
      </c>
      <c r="C4240" s="3" t="s">
        <v>1509</v>
      </c>
      <c r="D4240" s="3" t="s">
        <v>169</v>
      </c>
    </row>
    <row r="4241" spans="1:4" x14ac:dyDescent="0.2">
      <c r="A4241" s="3" t="s">
        <v>1499</v>
      </c>
      <c r="B4241" t="s">
        <v>8</v>
      </c>
      <c r="C4241" s="3" t="s">
        <v>1510</v>
      </c>
      <c r="D4241" s="3" t="s">
        <v>169</v>
      </c>
    </row>
    <row r="4242" spans="1:4" x14ac:dyDescent="0.2">
      <c r="A4242" s="3" t="s">
        <v>1499</v>
      </c>
      <c r="B4242" t="s">
        <v>8</v>
      </c>
      <c r="C4242" s="3" t="s">
        <v>1511</v>
      </c>
      <c r="D4242" s="3" t="s">
        <v>169</v>
      </c>
    </row>
    <row r="4243" spans="1:4" x14ac:dyDescent="0.2">
      <c r="A4243" s="3" t="s">
        <v>1499</v>
      </c>
      <c r="B4243" t="s">
        <v>8</v>
      </c>
      <c r="C4243" s="3" t="s">
        <v>1512</v>
      </c>
      <c r="D4243" s="3" t="s">
        <v>169</v>
      </c>
    </row>
    <row r="4244" spans="1:4" x14ac:dyDescent="0.2">
      <c r="A4244" s="3" t="s">
        <v>1499</v>
      </c>
      <c r="B4244" t="s">
        <v>8</v>
      </c>
      <c r="C4244" s="3" t="s">
        <v>1513</v>
      </c>
      <c r="D4244" s="3" t="s">
        <v>169</v>
      </c>
    </row>
    <row r="4245" spans="1:4" x14ac:dyDescent="0.2">
      <c r="A4245" s="3" t="s">
        <v>1499</v>
      </c>
      <c r="B4245" t="s">
        <v>8</v>
      </c>
      <c r="C4245" s="3" t="s">
        <v>1514</v>
      </c>
      <c r="D4245" s="3" t="s">
        <v>169</v>
      </c>
    </row>
    <row r="4246" spans="1:4" x14ac:dyDescent="0.2">
      <c r="A4246" s="3" t="s">
        <v>1499</v>
      </c>
      <c r="B4246" t="s">
        <v>8</v>
      </c>
      <c r="C4246" s="3" t="s">
        <v>1515</v>
      </c>
      <c r="D4246" s="3" t="s">
        <v>169</v>
      </c>
    </row>
    <row r="4247" spans="1:4" x14ac:dyDescent="0.2">
      <c r="A4247" s="3" t="s">
        <v>1499</v>
      </c>
      <c r="B4247" t="s">
        <v>8</v>
      </c>
      <c r="C4247" s="3" t="s">
        <v>1516</v>
      </c>
      <c r="D4247" s="3" t="s">
        <v>169</v>
      </c>
    </row>
    <row r="4248" spans="1:4" x14ac:dyDescent="0.2">
      <c r="A4248" s="3" t="s">
        <v>1499</v>
      </c>
      <c r="B4248" t="s">
        <v>8</v>
      </c>
      <c r="C4248" s="3" t="s">
        <v>1517</v>
      </c>
      <c r="D4248" s="3" t="s">
        <v>169</v>
      </c>
    </row>
    <row r="4249" spans="1:4" x14ac:dyDescent="0.2">
      <c r="A4249" s="3" t="s">
        <v>1499</v>
      </c>
      <c r="B4249" t="s">
        <v>8</v>
      </c>
      <c r="C4249" s="3" t="s">
        <v>1518</v>
      </c>
      <c r="D4249" s="3" t="s">
        <v>169</v>
      </c>
    </row>
    <row r="4250" spans="1:4" x14ac:dyDescent="0.2">
      <c r="A4250" s="3" t="s">
        <v>1499</v>
      </c>
      <c r="B4250" t="s">
        <v>8</v>
      </c>
      <c r="C4250" s="3" t="s">
        <v>1519</v>
      </c>
      <c r="D4250" s="3" t="s">
        <v>169</v>
      </c>
    </row>
    <row r="4251" spans="1:4" x14ac:dyDescent="0.2">
      <c r="A4251" s="3" t="s">
        <v>1499</v>
      </c>
      <c r="B4251" t="s">
        <v>8</v>
      </c>
      <c r="C4251" s="3" t="s">
        <v>1520</v>
      </c>
      <c r="D4251" s="3" t="s">
        <v>169</v>
      </c>
    </row>
    <row r="4252" spans="1:4" x14ac:dyDescent="0.2">
      <c r="A4252" s="3" t="s">
        <v>1499</v>
      </c>
      <c r="B4252" t="s">
        <v>8</v>
      </c>
      <c r="C4252" s="3" t="s">
        <v>1521</v>
      </c>
      <c r="D4252" s="3" t="s">
        <v>169</v>
      </c>
    </row>
    <row r="4253" spans="1:4" x14ac:dyDescent="0.2">
      <c r="A4253" s="3" t="s">
        <v>1499</v>
      </c>
      <c r="B4253" t="s">
        <v>8</v>
      </c>
      <c r="C4253" s="3" t="s">
        <v>1522</v>
      </c>
      <c r="D4253" s="3" t="s">
        <v>169</v>
      </c>
    </row>
    <row r="4254" spans="1:4" x14ac:dyDescent="0.2">
      <c r="A4254" s="3" t="s">
        <v>1499</v>
      </c>
      <c r="B4254" t="s">
        <v>8</v>
      </c>
      <c r="C4254" s="3" t="s">
        <v>1523</v>
      </c>
      <c r="D4254" s="3" t="s">
        <v>169</v>
      </c>
    </row>
    <row r="4255" spans="1:4" x14ac:dyDescent="0.2">
      <c r="A4255" s="3" t="s">
        <v>1499</v>
      </c>
      <c r="B4255" t="s">
        <v>8</v>
      </c>
      <c r="C4255" s="3" t="s">
        <v>1524</v>
      </c>
      <c r="D4255" s="3" t="s">
        <v>169</v>
      </c>
    </row>
    <row r="4256" spans="1:4" x14ac:dyDescent="0.2">
      <c r="A4256" s="3" t="s">
        <v>1499</v>
      </c>
      <c r="B4256" t="s">
        <v>8</v>
      </c>
      <c r="C4256" s="3" t="s">
        <v>1525</v>
      </c>
      <c r="D4256" s="3" t="s">
        <v>169</v>
      </c>
    </row>
    <row r="4257" spans="1:4" x14ac:dyDescent="0.2">
      <c r="A4257" s="3" t="s">
        <v>1499</v>
      </c>
      <c r="B4257" t="s">
        <v>8</v>
      </c>
      <c r="C4257" s="3" t="s">
        <v>1526</v>
      </c>
      <c r="D4257" s="3" t="s">
        <v>169</v>
      </c>
    </row>
    <row r="4258" spans="1:4" x14ac:dyDescent="0.2">
      <c r="A4258" s="3" t="s">
        <v>1499</v>
      </c>
      <c r="B4258" t="s">
        <v>8</v>
      </c>
      <c r="C4258" s="3" t="s">
        <v>1527</v>
      </c>
      <c r="D4258" s="3" t="s">
        <v>169</v>
      </c>
    </row>
    <row r="4259" spans="1:4" x14ac:dyDescent="0.2">
      <c r="A4259" s="3" t="s">
        <v>1499</v>
      </c>
      <c r="B4259" t="s">
        <v>8</v>
      </c>
      <c r="C4259" s="3" t="s">
        <v>1528</v>
      </c>
      <c r="D4259" s="3" t="s">
        <v>169</v>
      </c>
    </row>
    <row r="4260" spans="1:4" x14ac:dyDescent="0.2">
      <c r="A4260" s="3" t="s">
        <v>1499</v>
      </c>
      <c r="B4260" t="s">
        <v>8</v>
      </c>
      <c r="C4260" s="3" t="s">
        <v>1529</v>
      </c>
      <c r="D4260" s="3" t="s">
        <v>169</v>
      </c>
    </row>
    <row r="4261" spans="1:4" x14ac:dyDescent="0.2">
      <c r="A4261" s="3" t="s">
        <v>1499</v>
      </c>
      <c r="B4261" t="s">
        <v>8</v>
      </c>
      <c r="C4261" s="3" t="s">
        <v>1530</v>
      </c>
      <c r="D4261" s="3" t="s">
        <v>169</v>
      </c>
    </row>
    <row r="4262" spans="1:4" x14ac:dyDescent="0.2">
      <c r="A4262" s="3" t="s">
        <v>1499</v>
      </c>
      <c r="B4262" t="s">
        <v>8</v>
      </c>
      <c r="C4262" s="3" t="s">
        <v>1531</v>
      </c>
      <c r="D4262" s="3" t="s">
        <v>169</v>
      </c>
    </row>
    <row r="4263" spans="1:4" x14ac:dyDescent="0.2">
      <c r="A4263" s="3" t="s">
        <v>1499</v>
      </c>
      <c r="B4263" t="s">
        <v>8</v>
      </c>
      <c r="C4263" s="3" t="s">
        <v>1532</v>
      </c>
      <c r="D4263" s="3" t="s">
        <v>169</v>
      </c>
    </row>
    <row r="4264" spans="1:4" x14ac:dyDescent="0.2">
      <c r="A4264" s="3" t="s">
        <v>1499</v>
      </c>
      <c r="B4264" t="s">
        <v>8</v>
      </c>
      <c r="C4264" s="3" t="s">
        <v>1487</v>
      </c>
      <c r="D4264" s="3" t="s">
        <v>169</v>
      </c>
    </row>
    <row r="4265" spans="1:4" x14ac:dyDescent="0.2">
      <c r="A4265" s="3" t="s">
        <v>1499</v>
      </c>
      <c r="B4265" t="s">
        <v>8</v>
      </c>
      <c r="C4265" s="3" t="s">
        <v>1488</v>
      </c>
      <c r="D4265" s="3" t="s">
        <v>169</v>
      </c>
    </row>
    <row r="4266" spans="1:4" x14ac:dyDescent="0.2">
      <c r="A4266" s="3" t="s">
        <v>1499</v>
      </c>
      <c r="B4266" t="s">
        <v>8</v>
      </c>
      <c r="C4266" s="3" t="s">
        <v>1469</v>
      </c>
      <c r="D4266" s="3" t="s">
        <v>169</v>
      </c>
    </row>
    <row r="4267" spans="1:4" x14ac:dyDescent="0.2">
      <c r="A4267" s="3" t="s">
        <v>1499</v>
      </c>
      <c r="B4267" t="s">
        <v>8</v>
      </c>
      <c r="C4267" s="3" t="s">
        <v>1533</v>
      </c>
      <c r="D4267" s="3" t="s">
        <v>169</v>
      </c>
    </row>
    <row r="4268" spans="1:4" x14ac:dyDescent="0.2">
      <c r="A4268" s="3" t="s">
        <v>1499</v>
      </c>
      <c r="B4268" t="s">
        <v>8</v>
      </c>
      <c r="C4268" s="3" t="s">
        <v>1534</v>
      </c>
      <c r="D4268" s="3" t="s">
        <v>169</v>
      </c>
    </row>
    <row r="4269" spans="1:4" x14ac:dyDescent="0.2">
      <c r="A4269" s="3" t="s">
        <v>1499</v>
      </c>
      <c r="B4269" t="s">
        <v>8</v>
      </c>
      <c r="C4269" s="3" t="s">
        <v>1535</v>
      </c>
      <c r="D4269" s="3" t="s">
        <v>169</v>
      </c>
    </row>
    <row r="4270" spans="1:4" x14ac:dyDescent="0.2">
      <c r="A4270" s="3" t="s">
        <v>1499</v>
      </c>
      <c r="B4270" t="s">
        <v>8</v>
      </c>
      <c r="C4270" s="3" t="s">
        <v>1489</v>
      </c>
      <c r="D4270" s="3" t="s">
        <v>169</v>
      </c>
    </row>
    <row r="4271" spans="1:4" x14ac:dyDescent="0.2">
      <c r="A4271" s="3" t="s">
        <v>1499</v>
      </c>
      <c r="B4271" t="s">
        <v>8</v>
      </c>
      <c r="C4271" s="3" t="s">
        <v>1490</v>
      </c>
      <c r="D4271" s="3" t="s">
        <v>169</v>
      </c>
    </row>
    <row r="4272" spans="1:4" x14ac:dyDescent="0.2">
      <c r="A4272" s="3" t="s">
        <v>1499</v>
      </c>
      <c r="B4272" t="s">
        <v>8</v>
      </c>
      <c r="C4272" s="3" t="s">
        <v>1470</v>
      </c>
      <c r="D4272" s="3" t="s">
        <v>169</v>
      </c>
    </row>
    <row r="4273" spans="1:4" x14ac:dyDescent="0.2">
      <c r="A4273" s="3" t="s">
        <v>1499</v>
      </c>
      <c r="B4273" t="s">
        <v>8</v>
      </c>
      <c r="C4273" s="3" t="s">
        <v>1491</v>
      </c>
      <c r="D4273" s="3" t="s">
        <v>169</v>
      </c>
    </row>
    <row r="4274" spans="1:4" x14ac:dyDescent="0.2">
      <c r="A4274" s="3" t="s">
        <v>1536</v>
      </c>
      <c r="B4274" t="s">
        <v>8</v>
      </c>
      <c r="C4274" s="3" t="s">
        <v>1537</v>
      </c>
      <c r="D4274" s="3" t="s">
        <v>169</v>
      </c>
    </row>
    <row r="4275" spans="1:4" x14ac:dyDescent="0.2">
      <c r="A4275" s="3" t="s">
        <v>1536</v>
      </c>
      <c r="B4275" t="s">
        <v>8</v>
      </c>
      <c r="C4275" s="3" t="s">
        <v>1538</v>
      </c>
      <c r="D4275" s="3" t="s">
        <v>169</v>
      </c>
    </row>
    <row r="4276" spans="1:4" x14ac:dyDescent="0.2">
      <c r="A4276" s="3" t="s">
        <v>1536</v>
      </c>
      <c r="B4276" t="s">
        <v>8</v>
      </c>
      <c r="C4276" s="3" t="s">
        <v>1539</v>
      </c>
      <c r="D4276" s="3" t="s">
        <v>169</v>
      </c>
    </row>
    <row r="4277" spans="1:4" x14ac:dyDescent="0.2">
      <c r="A4277" s="3" t="s">
        <v>1536</v>
      </c>
      <c r="B4277" t="s">
        <v>8</v>
      </c>
      <c r="C4277" s="3" t="s">
        <v>1522</v>
      </c>
      <c r="D4277" s="3" t="s">
        <v>169</v>
      </c>
    </row>
    <row r="4278" spans="1:4" x14ac:dyDescent="0.2">
      <c r="A4278" s="3" t="s">
        <v>1536</v>
      </c>
      <c r="B4278" t="s">
        <v>8</v>
      </c>
      <c r="C4278" s="3" t="s">
        <v>1524</v>
      </c>
      <c r="D4278" s="3" t="s">
        <v>169</v>
      </c>
    </row>
    <row r="4279" spans="1:4" x14ac:dyDescent="0.2">
      <c r="A4279" s="3" t="s">
        <v>1536</v>
      </c>
      <c r="B4279" t="s">
        <v>8</v>
      </c>
      <c r="C4279" s="3" t="s">
        <v>1533</v>
      </c>
      <c r="D4279" s="3" t="s">
        <v>169</v>
      </c>
    </row>
    <row r="4280" spans="1:4" x14ac:dyDescent="0.2">
      <c r="A4280" s="3" t="s">
        <v>1540</v>
      </c>
      <c r="B4280" t="s">
        <v>8</v>
      </c>
      <c r="C4280" s="3" t="s">
        <v>1541</v>
      </c>
      <c r="D4280" s="3" t="s">
        <v>169</v>
      </c>
    </row>
    <row r="4281" spans="1:4" x14ac:dyDescent="0.2">
      <c r="A4281" s="3" t="s">
        <v>1540</v>
      </c>
      <c r="B4281" t="s">
        <v>8</v>
      </c>
      <c r="C4281" s="3" t="s">
        <v>1524</v>
      </c>
      <c r="D4281" s="3" t="s">
        <v>169</v>
      </c>
    </row>
    <row r="4282" spans="1:4" x14ac:dyDescent="0.2">
      <c r="A4282" s="3" t="s">
        <v>1540</v>
      </c>
      <c r="B4282" t="s">
        <v>8</v>
      </c>
      <c r="C4282" s="3" t="s">
        <v>1487</v>
      </c>
      <c r="D4282" s="3" t="s">
        <v>169</v>
      </c>
    </row>
    <row r="4283" spans="1:4" x14ac:dyDescent="0.2">
      <c r="A4283" s="3" t="s">
        <v>1540</v>
      </c>
      <c r="B4283" t="s">
        <v>8</v>
      </c>
      <c r="C4283" s="3" t="s">
        <v>1469</v>
      </c>
      <c r="D4283" s="3" t="s">
        <v>169</v>
      </c>
    </row>
    <row r="4284" spans="1:4" x14ac:dyDescent="0.2">
      <c r="A4284" s="3" t="s">
        <v>1540</v>
      </c>
      <c r="B4284" t="s">
        <v>8</v>
      </c>
      <c r="C4284" s="3" t="s">
        <v>1533</v>
      </c>
      <c r="D4284" s="3" t="s">
        <v>169</v>
      </c>
    </row>
    <row r="4285" spans="1:4" x14ac:dyDescent="0.2">
      <c r="A4285" s="3" t="s">
        <v>1540</v>
      </c>
      <c r="B4285" t="s">
        <v>8</v>
      </c>
      <c r="C4285" s="3" t="s">
        <v>1489</v>
      </c>
      <c r="D4285" s="3" t="s">
        <v>169</v>
      </c>
    </row>
    <row r="4286" spans="1:4" x14ac:dyDescent="0.2">
      <c r="A4286" s="3" t="s">
        <v>1540</v>
      </c>
      <c r="B4286" t="s">
        <v>8</v>
      </c>
      <c r="C4286" s="3" t="s">
        <v>1470</v>
      </c>
      <c r="D4286" s="3" t="s">
        <v>169</v>
      </c>
    </row>
    <row r="4287" spans="1:4" x14ac:dyDescent="0.2">
      <c r="A4287" s="3" t="s">
        <v>1540</v>
      </c>
      <c r="B4287" t="s">
        <v>8</v>
      </c>
      <c r="C4287" s="3" t="s">
        <v>1491</v>
      </c>
      <c r="D4287" s="3" t="s">
        <v>169</v>
      </c>
    </row>
    <row r="4288" spans="1:4" x14ac:dyDescent="0.2">
      <c r="A4288" s="3" t="s">
        <v>1542</v>
      </c>
      <c r="B4288" t="s">
        <v>8</v>
      </c>
      <c r="C4288" s="3" t="s">
        <v>1502</v>
      </c>
      <c r="D4288" s="3" t="s">
        <v>169</v>
      </c>
    </row>
    <row r="4289" spans="1:4" x14ac:dyDescent="0.2">
      <c r="A4289" s="3" t="s">
        <v>1542</v>
      </c>
      <c r="B4289" t="s">
        <v>8</v>
      </c>
      <c r="C4289" s="3" t="s">
        <v>1505</v>
      </c>
      <c r="D4289" s="3" t="s">
        <v>169</v>
      </c>
    </row>
    <row r="4290" spans="1:4" x14ac:dyDescent="0.2">
      <c r="A4290" s="3" t="s">
        <v>1542</v>
      </c>
      <c r="B4290" t="s">
        <v>8</v>
      </c>
      <c r="C4290" s="3" t="s">
        <v>1506</v>
      </c>
      <c r="D4290" s="3" t="s">
        <v>169</v>
      </c>
    </row>
    <row r="4291" spans="1:4" x14ac:dyDescent="0.2">
      <c r="A4291" s="3" t="s">
        <v>1542</v>
      </c>
      <c r="B4291" t="s">
        <v>8</v>
      </c>
      <c r="C4291" s="3" t="s">
        <v>1507</v>
      </c>
      <c r="D4291" s="3" t="s">
        <v>169</v>
      </c>
    </row>
    <row r="4292" spans="1:4" x14ac:dyDescent="0.2">
      <c r="A4292" s="3" t="s">
        <v>1542</v>
      </c>
      <c r="B4292" t="s">
        <v>8</v>
      </c>
      <c r="C4292" s="3" t="s">
        <v>1508</v>
      </c>
      <c r="D4292" s="3" t="s">
        <v>169</v>
      </c>
    </row>
    <row r="4293" spans="1:4" x14ac:dyDescent="0.2">
      <c r="A4293" s="3" t="s">
        <v>1542</v>
      </c>
      <c r="B4293" t="s">
        <v>8</v>
      </c>
      <c r="C4293" s="3" t="s">
        <v>1513</v>
      </c>
      <c r="D4293" s="3" t="s">
        <v>169</v>
      </c>
    </row>
    <row r="4294" spans="1:4" x14ac:dyDescent="0.2">
      <c r="A4294" s="3" t="s">
        <v>1542</v>
      </c>
      <c r="B4294" t="s">
        <v>8</v>
      </c>
      <c r="C4294" s="3" t="s">
        <v>1517</v>
      </c>
      <c r="D4294" s="3" t="s">
        <v>169</v>
      </c>
    </row>
    <row r="4295" spans="1:4" x14ac:dyDescent="0.2">
      <c r="A4295" s="3" t="s">
        <v>1542</v>
      </c>
      <c r="B4295" t="s">
        <v>8</v>
      </c>
      <c r="C4295" s="3" t="s">
        <v>1539</v>
      </c>
      <c r="D4295" s="3" t="s">
        <v>169</v>
      </c>
    </row>
    <row r="4296" spans="1:4" x14ac:dyDescent="0.2">
      <c r="A4296" s="3" t="s">
        <v>1542</v>
      </c>
      <c r="B4296" t="s">
        <v>8</v>
      </c>
      <c r="C4296" s="3" t="s">
        <v>1541</v>
      </c>
      <c r="D4296" s="3" t="s">
        <v>169</v>
      </c>
    </row>
    <row r="4297" spans="1:4" x14ac:dyDescent="0.2">
      <c r="A4297" s="3" t="s">
        <v>1542</v>
      </c>
      <c r="B4297" t="s">
        <v>8</v>
      </c>
      <c r="C4297" s="3" t="s">
        <v>1523</v>
      </c>
      <c r="D4297" s="3" t="s">
        <v>169</v>
      </c>
    </row>
    <row r="4298" spans="1:4" x14ac:dyDescent="0.2">
      <c r="A4298" s="3" t="s">
        <v>1542</v>
      </c>
      <c r="B4298" t="s">
        <v>8</v>
      </c>
      <c r="C4298" s="3" t="s">
        <v>1527</v>
      </c>
      <c r="D4298" s="3" t="s">
        <v>169</v>
      </c>
    </row>
    <row r="4299" spans="1:4" x14ac:dyDescent="0.2">
      <c r="A4299" s="3" t="s">
        <v>1542</v>
      </c>
      <c r="B4299" t="s">
        <v>8</v>
      </c>
      <c r="C4299" s="3" t="s">
        <v>1529</v>
      </c>
      <c r="D4299" s="3" t="s">
        <v>169</v>
      </c>
    </row>
    <row r="4300" spans="1:4" x14ac:dyDescent="0.2">
      <c r="A4300" s="3" t="s">
        <v>1542</v>
      </c>
      <c r="B4300" t="s">
        <v>8</v>
      </c>
      <c r="C4300" s="3" t="s">
        <v>1488</v>
      </c>
      <c r="D4300" s="3" t="s">
        <v>169</v>
      </c>
    </row>
    <row r="4301" spans="1:4" x14ac:dyDescent="0.2">
      <c r="A4301" s="3" t="s">
        <v>1542</v>
      </c>
      <c r="B4301" t="s">
        <v>8</v>
      </c>
      <c r="C4301" s="3" t="s">
        <v>1469</v>
      </c>
      <c r="D4301" s="3" t="s">
        <v>169</v>
      </c>
    </row>
    <row r="4302" spans="1:4" x14ac:dyDescent="0.2">
      <c r="A4302" s="3" t="s">
        <v>1542</v>
      </c>
      <c r="B4302" t="s">
        <v>8</v>
      </c>
      <c r="C4302" s="3" t="s">
        <v>1533</v>
      </c>
      <c r="D4302" s="3" t="s">
        <v>169</v>
      </c>
    </row>
    <row r="4303" spans="1:4" x14ac:dyDescent="0.2">
      <c r="A4303" s="3" t="s">
        <v>1542</v>
      </c>
      <c r="B4303" t="s">
        <v>8</v>
      </c>
      <c r="C4303" s="3" t="s">
        <v>1534</v>
      </c>
      <c r="D4303" s="3" t="s">
        <v>169</v>
      </c>
    </row>
    <row r="4304" spans="1:4" x14ac:dyDescent="0.2">
      <c r="A4304" s="3" t="s">
        <v>1542</v>
      </c>
      <c r="B4304" t="s">
        <v>8</v>
      </c>
      <c r="C4304" s="3" t="s">
        <v>1535</v>
      </c>
      <c r="D4304" s="3" t="s">
        <v>169</v>
      </c>
    </row>
    <row r="4305" spans="1:4" x14ac:dyDescent="0.2">
      <c r="A4305" s="3" t="s">
        <v>1542</v>
      </c>
      <c r="B4305" t="s">
        <v>8</v>
      </c>
      <c r="C4305" s="3" t="s">
        <v>1490</v>
      </c>
      <c r="D4305" s="3" t="s">
        <v>169</v>
      </c>
    </row>
    <row r="4306" spans="1:4" x14ac:dyDescent="0.2">
      <c r="A4306" s="3" t="s">
        <v>1542</v>
      </c>
      <c r="B4306" t="s">
        <v>8</v>
      </c>
      <c r="C4306" s="3" t="s">
        <v>1470</v>
      </c>
      <c r="D4306" s="3" t="s">
        <v>169</v>
      </c>
    </row>
    <row r="4307" spans="1:4" x14ac:dyDescent="0.2">
      <c r="A4307" s="3" t="s">
        <v>1542</v>
      </c>
      <c r="B4307" t="s">
        <v>8</v>
      </c>
      <c r="C4307" s="3" t="s">
        <v>1491</v>
      </c>
      <c r="D4307" s="3" t="s">
        <v>169</v>
      </c>
    </row>
    <row r="4308" spans="1:4" x14ac:dyDescent="0.2">
      <c r="A4308" s="3" t="s">
        <v>1543</v>
      </c>
      <c r="B4308" t="s">
        <v>8</v>
      </c>
      <c r="C4308" s="3" t="s">
        <v>1505</v>
      </c>
      <c r="D4308" s="3" t="s">
        <v>169</v>
      </c>
    </row>
    <row r="4309" spans="1:4" x14ac:dyDescent="0.2">
      <c r="A4309" s="3" t="s">
        <v>1543</v>
      </c>
      <c r="B4309" t="s">
        <v>8</v>
      </c>
      <c r="C4309" s="3" t="s">
        <v>1506</v>
      </c>
      <c r="D4309" s="3" t="s">
        <v>169</v>
      </c>
    </row>
    <row r="4310" spans="1:4" x14ac:dyDescent="0.2">
      <c r="A4310" s="3" t="s">
        <v>1543</v>
      </c>
      <c r="B4310" t="s">
        <v>8</v>
      </c>
      <c r="C4310" s="3" t="s">
        <v>1510</v>
      </c>
      <c r="D4310" s="3" t="s">
        <v>169</v>
      </c>
    </row>
    <row r="4311" spans="1:4" x14ac:dyDescent="0.2">
      <c r="A4311" s="3" t="s">
        <v>1543</v>
      </c>
      <c r="B4311" t="s">
        <v>8</v>
      </c>
      <c r="C4311" s="3" t="s">
        <v>1518</v>
      </c>
      <c r="D4311" s="3" t="s">
        <v>169</v>
      </c>
    </row>
    <row r="4312" spans="1:4" x14ac:dyDescent="0.2">
      <c r="A4312" s="3" t="s">
        <v>1543</v>
      </c>
      <c r="B4312" t="s">
        <v>8</v>
      </c>
      <c r="C4312" s="3" t="s">
        <v>1519</v>
      </c>
      <c r="D4312" s="3" t="s">
        <v>169</v>
      </c>
    </row>
    <row r="4313" spans="1:4" x14ac:dyDescent="0.2">
      <c r="A4313" s="3" t="s">
        <v>1543</v>
      </c>
      <c r="B4313" t="s">
        <v>8</v>
      </c>
      <c r="C4313" s="3" t="s">
        <v>1539</v>
      </c>
      <c r="D4313" s="3" t="s">
        <v>169</v>
      </c>
    </row>
    <row r="4314" spans="1:4" x14ac:dyDescent="0.2">
      <c r="A4314" s="3" t="s">
        <v>1543</v>
      </c>
      <c r="B4314" t="s">
        <v>8</v>
      </c>
      <c r="C4314" s="3" t="s">
        <v>1541</v>
      </c>
      <c r="D4314" s="3" t="s">
        <v>169</v>
      </c>
    </row>
    <row r="4315" spans="1:4" x14ac:dyDescent="0.2">
      <c r="A4315" s="3" t="s">
        <v>1543</v>
      </c>
      <c r="B4315" t="s">
        <v>8</v>
      </c>
      <c r="C4315" s="3" t="s">
        <v>1523</v>
      </c>
      <c r="D4315" s="3" t="s">
        <v>169</v>
      </c>
    </row>
    <row r="4316" spans="1:4" x14ac:dyDescent="0.2">
      <c r="A4316" s="3" t="s">
        <v>1543</v>
      </c>
      <c r="B4316" t="s">
        <v>8</v>
      </c>
      <c r="C4316" s="3" t="s">
        <v>1527</v>
      </c>
      <c r="D4316" s="3" t="s">
        <v>169</v>
      </c>
    </row>
    <row r="4317" spans="1:4" x14ac:dyDescent="0.2">
      <c r="A4317" s="3" t="s">
        <v>1543</v>
      </c>
      <c r="B4317" t="s">
        <v>8</v>
      </c>
      <c r="C4317" s="3" t="s">
        <v>1529</v>
      </c>
      <c r="D4317" s="3" t="s">
        <v>169</v>
      </c>
    </row>
    <row r="4318" spans="1:4" x14ac:dyDescent="0.2">
      <c r="A4318" s="3" t="s">
        <v>1543</v>
      </c>
      <c r="B4318" t="s">
        <v>8</v>
      </c>
      <c r="C4318" s="3" t="s">
        <v>1488</v>
      </c>
      <c r="D4318" s="3" t="s">
        <v>169</v>
      </c>
    </row>
    <row r="4319" spans="1:4" x14ac:dyDescent="0.2">
      <c r="A4319" s="3" t="s">
        <v>1543</v>
      </c>
      <c r="B4319" t="s">
        <v>8</v>
      </c>
      <c r="C4319" s="3" t="s">
        <v>1469</v>
      </c>
      <c r="D4319" s="3" t="s">
        <v>169</v>
      </c>
    </row>
    <row r="4320" spans="1:4" x14ac:dyDescent="0.2">
      <c r="A4320" s="3" t="s">
        <v>1543</v>
      </c>
      <c r="B4320" t="s">
        <v>8</v>
      </c>
      <c r="C4320" s="3" t="s">
        <v>1533</v>
      </c>
      <c r="D4320" s="3" t="s">
        <v>169</v>
      </c>
    </row>
    <row r="4321" spans="1:4" x14ac:dyDescent="0.2">
      <c r="A4321" s="3" t="s">
        <v>1543</v>
      </c>
      <c r="B4321" t="s">
        <v>8</v>
      </c>
      <c r="C4321" s="3" t="s">
        <v>1534</v>
      </c>
      <c r="D4321" s="3" t="s">
        <v>169</v>
      </c>
    </row>
    <row r="4322" spans="1:4" x14ac:dyDescent="0.2">
      <c r="A4322" s="3" t="s">
        <v>1543</v>
      </c>
      <c r="B4322" t="s">
        <v>8</v>
      </c>
      <c r="C4322" s="3" t="s">
        <v>1535</v>
      </c>
      <c r="D4322" s="3" t="s">
        <v>169</v>
      </c>
    </row>
    <row r="4323" spans="1:4" x14ac:dyDescent="0.2">
      <c r="A4323" s="3" t="s">
        <v>1543</v>
      </c>
      <c r="B4323" t="s">
        <v>8</v>
      </c>
      <c r="C4323" s="3" t="s">
        <v>1490</v>
      </c>
      <c r="D4323" s="3" t="s">
        <v>169</v>
      </c>
    </row>
    <row r="4324" spans="1:4" x14ac:dyDescent="0.2">
      <c r="A4324" s="3" t="s">
        <v>1543</v>
      </c>
      <c r="B4324" t="s">
        <v>8</v>
      </c>
      <c r="C4324" s="3" t="s">
        <v>1470</v>
      </c>
      <c r="D4324" s="3" t="s">
        <v>169</v>
      </c>
    </row>
    <row r="4325" spans="1:4" x14ac:dyDescent="0.2">
      <c r="A4325" s="3" t="s">
        <v>1543</v>
      </c>
      <c r="B4325" t="s">
        <v>8</v>
      </c>
      <c r="C4325" s="3" t="s">
        <v>1491</v>
      </c>
      <c r="D4325" s="3" t="s">
        <v>169</v>
      </c>
    </row>
    <row r="4326" spans="1:4" x14ac:dyDescent="0.2">
      <c r="A4326" s="3" t="s">
        <v>1544</v>
      </c>
      <c r="B4326" t="s">
        <v>8</v>
      </c>
      <c r="C4326" s="3" t="s">
        <v>1500</v>
      </c>
      <c r="D4326" s="3" t="s">
        <v>169</v>
      </c>
    </row>
    <row r="4327" spans="1:4" x14ac:dyDescent="0.2">
      <c r="A4327" s="3" t="s">
        <v>1544</v>
      </c>
      <c r="B4327" t="s">
        <v>8</v>
      </c>
      <c r="C4327" s="3" t="s">
        <v>1505</v>
      </c>
      <c r="D4327" s="3" t="s">
        <v>169</v>
      </c>
    </row>
    <row r="4328" spans="1:4" x14ac:dyDescent="0.2">
      <c r="A4328" s="3" t="s">
        <v>1544</v>
      </c>
      <c r="B4328" t="s">
        <v>8</v>
      </c>
      <c r="C4328" s="3" t="s">
        <v>1506</v>
      </c>
      <c r="D4328" s="3" t="s">
        <v>169</v>
      </c>
    </row>
    <row r="4329" spans="1:4" x14ac:dyDescent="0.2">
      <c r="A4329" s="3" t="s">
        <v>1544</v>
      </c>
      <c r="B4329" t="s">
        <v>8</v>
      </c>
      <c r="C4329" s="3" t="s">
        <v>1541</v>
      </c>
      <c r="D4329" s="3" t="s">
        <v>169</v>
      </c>
    </row>
    <row r="4330" spans="1:4" x14ac:dyDescent="0.2">
      <c r="A4330" s="3" t="s">
        <v>1544</v>
      </c>
      <c r="B4330" t="s">
        <v>8</v>
      </c>
      <c r="C4330" s="3" t="s">
        <v>1523</v>
      </c>
      <c r="D4330" s="3" t="s">
        <v>169</v>
      </c>
    </row>
    <row r="4331" spans="1:4" x14ac:dyDescent="0.2">
      <c r="A4331" s="3" t="s">
        <v>1544</v>
      </c>
      <c r="B4331" t="s">
        <v>8</v>
      </c>
      <c r="C4331" s="3" t="s">
        <v>1527</v>
      </c>
      <c r="D4331" s="3" t="s">
        <v>169</v>
      </c>
    </row>
    <row r="4332" spans="1:4" x14ac:dyDescent="0.2">
      <c r="A4332" s="3" t="s">
        <v>1544</v>
      </c>
      <c r="B4332" t="s">
        <v>8</v>
      </c>
      <c r="C4332" s="3" t="s">
        <v>1529</v>
      </c>
      <c r="D4332" s="3" t="s">
        <v>169</v>
      </c>
    </row>
    <row r="4333" spans="1:4" x14ac:dyDescent="0.2">
      <c r="A4333" s="3" t="s">
        <v>1544</v>
      </c>
      <c r="B4333" t="s">
        <v>8</v>
      </c>
      <c r="C4333" s="3" t="s">
        <v>1488</v>
      </c>
      <c r="D4333" s="3" t="s">
        <v>169</v>
      </c>
    </row>
    <row r="4334" spans="1:4" x14ac:dyDescent="0.2">
      <c r="A4334" s="3" t="s">
        <v>1544</v>
      </c>
      <c r="B4334" t="s">
        <v>8</v>
      </c>
      <c r="C4334" s="3" t="s">
        <v>1469</v>
      </c>
      <c r="D4334" s="3" t="s">
        <v>169</v>
      </c>
    </row>
    <row r="4335" spans="1:4" x14ac:dyDescent="0.2">
      <c r="A4335" s="3" t="s">
        <v>1544</v>
      </c>
      <c r="B4335" t="s">
        <v>8</v>
      </c>
      <c r="C4335" s="3" t="s">
        <v>1533</v>
      </c>
      <c r="D4335" s="3" t="s">
        <v>169</v>
      </c>
    </row>
    <row r="4336" spans="1:4" x14ac:dyDescent="0.2">
      <c r="A4336" s="3" t="s">
        <v>1544</v>
      </c>
      <c r="B4336" t="s">
        <v>8</v>
      </c>
      <c r="C4336" s="3" t="s">
        <v>1534</v>
      </c>
      <c r="D4336" s="3" t="s">
        <v>169</v>
      </c>
    </row>
    <row r="4337" spans="1:4" x14ac:dyDescent="0.2">
      <c r="A4337" s="3" t="s">
        <v>1544</v>
      </c>
      <c r="B4337" t="s">
        <v>8</v>
      </c>
      <c r="C4337" s="3" t="s">
        <v>1535</v>
      </c>
      <c r="D4337" s="3" t="s">
        <v>169</v>
      </c>
    </row>
    <row r="4338" spans="1:4" x14ac:dyDescent="0.2">
      <c r="A4338" s="3" t="s">
        <v>1544</v>
      </c>
      <c r="B4338" t="s">
        <v>8</v>
      </c>
      <c r="C4338" s="3" t="s">
        <v>1490</v>
      </c>
      <c r="D4338" s="3" t="s">
        <v>169</v>
      </c>
    </row>
    <row r="4339" spans="1:4" x14ac:dyDescent="0.2">
      <c r="A4339" s="3" t="s">
        <v>1544</v>
      </c>
      <c r="B4339" t="s">
        <v>8</v>
      </c>
      <c r="C4339" s="3" t="s">
        <v>1470</v>
      </c>
      <c r="D4339" s="3" t="s">
        <v>169</v>
      </c>
    </row>
    <row r="4340" spans="1:4" x14ac:dyDescent="0.2">
      <c r="A4340" s="3" t="s">
        <v>1544</v>
      </c>
      <c r="B4340" t="s">
        <v>8</v>
      </c>
      <c r="C4340" s="3" t="s">
        <v>1491</v>
      </c>
      <c r="D4340" s="3" t="s">
        <v>169</v>
      </c>
    </row>
    <row r="4341" spans="1:4" x14ac:dyDescent="0.2">
      <c r="A4341" s="3" t="s">
        <v>1545</v>
      </c>
      <c r="B4341" t="s">
        <v>8</v>
      </c>
      <c r="C4341" s="3" t="s">
        <v>1504</v>
      </c>
      <c r="D4341" s="3" t="s">
        <v>169</v>
      </c>
    </row>
    <row r="4342" spans="1:4" x14ac:dyDescent="0.2">
      <c r="A4342" s="3" t="s">
        <v>1545</v>
      </c>
      <c r="B4342" t="s">
        <v>8</v>
      </c>
      <c r="C4342" s="3" t="s">
        <v>1505</v>
      </c>
      <c r="D4342" s="3" t="s">
        <v>169</v>
      </c>
    </row>
    <row r="4343" spans="1:4" x14ac:dyDescent="0.2">
      <c r="A4343" s="3" t="s">
        <v>1545</v>
      </c>
      <c r="B4343" t="s">
        <v>8</v>
      </c>
      <c r="C4343" s="3" t="s">
        <v>1511</v>
      </c>
      <c r="D4343" s="3" t="s">
        <v>169</v>
      </c>
    </row>
    <row r="4344" spans="1:4" x14ac:dyDescent="0.2">
      <c r="A4344" s="3" t="s">
        <v>1545</v>
      </c>
      <c r="B4344" t="s">
        <v>8</v>
      </c>
      <c r="C4344" s="3" t="s">
        <v>1538</v>
      </c>
      <c r="D4344" s="3" t="s">
        <v>169</v>
      </c>
    </row>
    <row r="4345" spans="1:4" x14ac:dyDescent="0.2">
      <c r="A4345" s="3" t="s">
        <v>1545</v>
      </c>
      <c r="B4345" t="s">
        <v>8</v>
      </c>
      <c r="C4345" s="3" t="s">
        <v>1546</v>
      </c>
      <c r="D4345" s="3" t="s">
        <v>169</v>
      </c>
    </row>
    <row r="4346" spans="1:4" x14ac:dyDescent="0.2">
      <c r="A4346" s="3" t="s">
        <v>1545</v>
      </c>
      <c r="B4346" t="s">
        <v>8</v>
      </c>
      <c r="C4346" s="3" t="s">
        <v>1522</v>
      </c>
      <c r="D4346" s="3" t="s">
        <v>169</v>
      </c>
    </row>
    <row r="4347" spans="1:4" x14ac:dyDescent="0.2">
      <c r="A4347" s="3" t="s">
        <v>1545</v>
      </c>
      <c r="B4347" t="s">
        <v>8</v>
      </c>
      <c r="C4347" s="3" t="s">
        <v>1530</v>
      </c>
      <c r="D4347" s="3" t="s">
        <v>169</v>
      </c>
    </row>
    <row r="4348" spans="1:4" x14ac:dyDescent="0.2">
      <c r="A4348" s="3" t="s">
        <v>1545</v>
      </c>
      <c r="B4348" t="s">
        <v>8</v>
      </c>
      <c r="C4348" s="3" t="s">
        <v>1531</v>
      </c>
      <c r="D4348" s="3" t="s">
        <v>169</v>
      </c>
    </row>
    <row r="4349" spans="1:4" x14ac:dyDescent="0.2">
      <c r="A4349" s="3" t="s">
        <v>1545</v>
      </c>
      <c r="B4349" t="s">
        <v>8</v>
      </c>
      <c r="C4349" s="3" t="s">
        <v>1532</v>
      </c>
      <c r="D4349" s="3" t="s">
        <v>169</v>
      </c>
    </row>
    <row r="4350" spans="1:4" x14ac:dyDescent="0.2">
      <c r="A4350" s="3" t="s">
        <v>1545</v>
      </c>
      <c r="B4350" t="s">
        <v>8</v>
      </c>
      <c r="C4350" s="3" t="s">
        <v>1533</v>
      </c>
      <c r="D4350" s="3" t="s">
        <v>169</v>
      </c>
    </row>
    <row r="4351" spans="1:4" x14ac:dyDescent="0.2">
      <c r="A4351" s="3" t="s">
        <v>1547</v>
      </c>
      <c r="B4351" t="s">
        <v>8</v>
      </c>
      <c r="C4351" s="3" t="s">
        <v>1548</v>
      </c>
      <c r="D4351" s="3" t="s">
        <v>53</v>
      </c>
    </row>
    <row r="4352" spans="1:4" x14ac:dyDescent="0.2">
      <c r="A4352" s="3" t="s">
        <v>1547</v>
      </c>
      <c r="B4352" t="s">
        <v>8</v>
      </c>
      <c r="C4352" s="3" t="s">
        <v>1549</v>
      </c>
      <c r="D4352" s="3" t="s">
        <v>53</v>
      </c>
    </row>
    <row r="4353" spans="1:4" x14ac:dyDescent="0.2">
      <c r="A4353" s="3" t="s">
        <v>1547</v>
      </c>
      <c r="B4353" t="s">
        <v>8</v>
      </c>
      <c r="C4353" s="3" t="s">
        <v>1550</v>
      </c>
      <c r="D4353" s="3" t="s">
        <v>53</v>
      </c>
    </row>
    <row r="4354" spans="1:4" x14ac:dyDescent="0.2">
      <c r="A4354" s="3" t="s">
        <v>1547</v>
      </c>
      <c r="B4354" t="s">
        <v>8</v>
      </c>
      <c r="C4354" s="3" t="s">
        <v>1551</v>
      </c>
      <c r="D4354" s="3" t="s">
        <v>53</v>
      </c>
    </row>
    <row r="4355" spans="1:4" x14ac:dyDescent="0.2">
      <c r="A4355" s="3" t="s">
        <v>1547</v>
      </c>
      <c r="B4355" t="s">
        <v>8</v>
      </c>
      <c r="C4355" s="3" t="s">
        <v>1552</v>
      </c>
      <c r="D4355" s="3" t="s">
        <v>53</v>
      </c>
    </row>
    <row r="4356" spans="1:4" x14ac:dyDescent="0.2">
      <c r="A4356" s="3" t="s">
        <v>1547</v>
      </c>
      <c r="B4356" t="s">
        <v>8</v>
      </c>
      <c r="C4356" s="3" t="s">
        <v>1548</v>
      </c>
      <c r="D4356" s="3" t="s">
        <v>54</v>
      </c>
    </row>
    <row r="4357" spans="1:4" x14ac:dyDescent="0.2">
      <c r="A4357" s="3" t="s">
        <v>1547</v>
      </c>
      <c r="B4357" t="s">
        <v>8</v>
      </c>
      <c r="C4357" s="3" t="s">
        <v>1549</v>
      </c>
      <c r="D4357" s="3" t="s">
        <v>54</v>
      </c>
    </row>
    <row r="4358" spans="1:4" x14ac:dyDescent="0.2">
      <c r="A4358" s="3" t="s">
        <v>1547</v>
      </c>
      <c r="B4358" t="s">
        <v>8</v>
      </c>
      <c r="C4358" s="3" t="s">
        <v>1550</v>
      </c>
      <c r="D4358" s="3" t="s">
        <v>54</v>
      </c>
    </row>
    <row r="4359" spans="1:4" x14ac:dyDescent="0.2">
      <c r="A4359" s="3" t="s">
        <v>1547</v>
      </c>
      <c r="B4359" t="s">
        <v>8</v>
      </c>
      <c r="C4359" s="3" t="s">
        <v>1551</v>
      </c>
      <c r="D4359" s="3" t="s">
        <v>54</v>
      </c>
    </row>
    <row r="4360" spans="1:4" x14ac:dyDescent="0.2">
      <c r="A4360" s="3" t="s">
        <v>1547</v>
      </c>
      <c r="B4360" t="s">
        <v>8</v>
      </c>
      <c r="C4360" s="3" t="s">
        <v>1552</v>
      </c>
      <c r="D4360" s="3" t="s">
        <v>54</v>
      </c>
    </row>
    <row r="4361" spans="1:4" x14ac:dyDescent="0.2">
      <c r="A4361" s="3" t="s">
        <v>1547</v>
      </c>
      <c r="B4361" t="s">
        <v>8</v>
      </c>
      <c r="C4361" s="3" t="s">
        <v>1548</v>
      </c>
      <c r="D4361" s="3" t="s">
        <v>55</v>
      </c>
    </row>
    <row r="4362" spans="1:4" x14ac:dyDescent="0.2">
      <c r="A4362" s="3" t="s">
        <v>1547</v>
      </c>
      <c r="B4362" t="s">
        <v>8</v>
      </c>
      <c r="C4362" s="3" t="s">
        <v>1549</v>
      </c>
      <c r="D4362" s="3" t="s">
        <v>55</v>
      </c>
    </row>
    <row r="4363" spans="1:4" x14ac:dyDescent="0.2">
      <c r="A4363" s="3" t="s">
        <v>1547</v>
      </c>
      <c r="B4363" t="s">
        <v>8</v>
      </c>
      <c r="C4363" s="3" t="s">
        <v>1550</v>
      </c>
      <c r="D4363" s="3" t="s">
        <v>55</v>
      </c>
    </row>
    <row r="4364" spans="1:4" x14ac:dyDescent="0.2">
      <c r="A4364" s="3" t="s">
        <v>1547</v>
      </c>
      <c r="B4364" t="s">
        <v>8</v>
      </c>
      <c r="C4364" s="3" t="s">
        <v>1551</v>
      </c>
      <c r="D4364" s="3" t="s">
        <v>55</v>
      </c>
    </row>
    <row r="4365" spans="1:4" x14ac:dyDescent="0.2">
      <c r="A4365" s="3" t="s">
        <v>1547</v>
      </c>
      <c r="B4365" t="s">
        <v>8</v>
      </c>
      <c r="C4365" s="3" t="s">
        <v>1552</v>
      </c>
      <c r="D4365" s="3" t="s">
        <v>55</v>
      </c>
    </row>
    <row r="4366" spans="1:4" x14ac:dyDescent="0.2">
      <c r="A4366" s="3" t="s">
        <v>1547</v>
      </c>
      <c r="B4366" t="s">
        <v>8</v>
      </c>
      <c r="C4366" s="3" t="s">
        <v>1548</v>
      </c>
      <c r="D4366" s="3" t="s">
        <v>56</v>
      </c>
    </row>
    <row r="4367" spans="1:4" x14ac:dyDescent="0.2">
      <c r="A4367" s="3" t="s">
        <v>1547</v>
      </c>
      <c r="B4367" t="s">
        <v>8</v>
      </c>
      <c r="C4367" s="3" t="s">
        <v>1549</v>
      </c>
      <c r="D4367" s="3" t="s">
        <v>56</v>
      </c>
    </row>
    <row r="4368" spans="1:4" x14ac:dyDescent="0.2">
      <c r="A4368" s="3" t="s">
        <v>1547</v>
      </c>
      <c r="B4368" t="s">
        <v>8</v>
      </c>
      <c r="C4368" s="3" t="s">
        <v>1550</v>
      </c>
      <c r="D4368" s="3" t="s">
        <v>56</v>
      </c>
    </row>
    <row r="4369" spans="1:4" x14ac:dyDescent="0.2">
      <c r="A4369" s="3" t="s">
        <v>1547</v>
      </c>
      <c r="B4369" t="s">
        <v>8</v>
      </c>
      <c r="C4369" s="3" t="s">
        <v>1551</v>
      </c>
      <c r="D4369" s="3" t="s">
        <v>56</v>
      </c>
    </row>
    <row r="4370" spans="1:4" x14ac:dyDescent="0.2">
      <c r="A4370" s="3" t="s">
        <v>1547</v>
      </c>
      <c r="B4370" t="s">
        <v>8</v>
      </c>
      <c r="C4370" s="3" t="s">
        <v>1552</v>
      </c>
      <c r="D4370" s="3" t="s">
        <v>56</v>
      </c>
    </row>
    <row r="4371" spans="1:4" x14ac:dyDescent="0.2">
      <c r="A4371" s="3" t="s">
        <v>1547</v>
      </c>
      <c r="B4371" t="s">
        <v>8</v>
      </c>
      <c r="C4371" s="3" t="s">
        <v>1548</v>
      </c>
      <c r="D4371" s="3" t="s">
        <v>57</v>
      </c>
    </row>
    <row r="4372" spans="1:4" x14ac:dyDescent="0.2">
      <c r="A4372" s="3" t="s">
        <v>1547</v>
      </c>
      <c r="B4372" t="s">
        <v>8</v>
      </c>
      <c r="C4372" s="3" t="s">
        <v>1549</v>
      </c>
      <c r="D4372" s="3" t="s">
        <v>57</v>
      </c>
    </row>
    <row r="4373" spans="1:4" x14ac:dyDescent="0.2">
      <c r="A4373" s="3" t="s">
        <v>1547</v>
      </c>
      <c r="B4373" t="s">
        <v>8</v>
      </c>
      <c r="C4373" s="3" t="s">
        <v>1550</v>
      </c>
      <c r="D4373" s="3" t="s">
        <v>57</v>
      </c>
    </row>
    <row r="4374" spans="1:4" x14ac:dyDescent="0.2">
      <c r="A4374" s="3" t="s">
        <v>1547</v>
      </c>
      <c r="B4374" t="s">
        <v>8</v>
      </c>
      <c r="C4374" s="3" t="s">
        <v>1551</v>
      </c>
      <c r="D4374" s="3" t="s">
        <v>57</v>
      </c>
    </row>
    <row r="4375" spans="1:4" x14ac:dyDescent="0.2">
      <c r="A4375" s="3" t="s">
        <v>1547</v>
      </c>
      <c r="B4375" t="s">
        <v>8</v>
      </c>
      <c r="C4375" s="3" t="s">
        <v>1552</v>
      </c>
      <c r="D4375" s="3" t="s">
        <v>57</v>
      </c>
    </row>
    <row r="4376" spans="1:4" x14ac:dyDescent="0.2">
      <c r="A4376" s="3" t="s">
        <v>1547</v>
      </c>
      <c r="B4376" t="s">
        <v>8</v>
      </c>
      <c r="C4376" s="3" t="s">
        <v>1553</v>
      </c>
      <c r="D4376" s="3" t="s">
        <v>22</v>
      </c>
    </row>
    <row r="4377" spans="1:4" x14ac:dyDescent="0.2">
      <c r="A4377" s="3" t="s">
        <v>1547</v>
      </c>
      <c r="B4377" t="s">
        <v>8</v>
      </c>
      <c r="C4377" s="3" t="s">
        <v>1554</v>
      </c>
      <c r="D4377" s="3" t="s">
        <v>22</v>
      </c>
    </row>
    <row r="4378" spans="1:4" x14ac:dyDescent="0.2">
      <c r="A4378" s="3" t="s">
        <v>1547</v>
      </c>
      <c r="B4378" t="s">
        <v>8</v>
      </c>
      <c r="C4378" s="3" t="s">
        <v>1555</v>
      </c>
      <c r="D4378" s="3" t="s">
        <v>22</v>
      </c>
    </row>
    <row r="4379" spans="1:4" x14ac:dyDescent="0.2">
      <c r="A4379" s="3" t="s">
        <v>1547</v>
      </c>
      <c r="B4379" t="s">
        <v>8</v>
      </c>
      <c r="C4379" s="3" t="s">
        <v>1556</v>
      </c>
      <c r="D4379" s="3" t="s">
        <v>22</v>
      </c>
    </row>
    <row r="4380" spans="1:4" x14ac:dyDescent="0.2">
      <c r="A4380" s="3" t="s">
        <v>1547</v>
      </c>
      <c r="B4380" t="s">
        <v>8</v>
      </c>
      <c r="C4380" s="3" t="s">
        <v>1557</v>
      </c>
      <c r="D4380" s="3" t="s">
        <v>22</v>
      </c>
    </row>
    <row r="4381" spans="1:4" x14ac:dyDescent="0.2">
      <c r="A4381" s="3" t="s">
        <v>1547</v>
      </c>
      <c r="B4381" t="s">
        <v>8</v>
      </c>
      <c r="C4381" s="3" t="s">
        <v>1558</v>
      </c>
      <c r="D4381" s="3" t="s">
        <v>22</v>
      </c>
    </row>
    <row r="4382" spans="1:4" x14ac:dyDescent="0.2">
      <c r="A4382" s="3" t="s">
        <v>1547</v>
      </c>
      <c r="B4382" t="s">
        <v>8</v>
      </c>
      <c r="C4382" s="3" t="s">
        <v>1559</v>
      </c>
      <c r="D4382" s="3" t="s">
        <v>22</v>
      </c>
    </row>
    <row r="4383" spans="1:4" x14ac:dyDescent="0.2">
      <c r="A4383" s="3" t="s">
        <v>1547</v>
      </c>
      <c r="B4383" t="s">
        <v>8</v>
      </c>
      <c r="C4383" s="3" t="s">
        <v>1560</v>
      </c>
      <c r="D4383" s="3" t="s">
        <v>22</v>
      </c>
    </row>
    <row r="4384" spans="1:4" x14ac:dyDescent="0.2">
      <c r="A4384" s="3" t="s">
        <v>1547</v>
      </c>
      <c r="B4384" t="s">
        <v>8</v>
      </c>
      <c r="C4384" s="3" t="s">
        <v>1561</v>
      </c>
      <c r="D4384" s="3" t="s">
        <v>22</v>
      </c>
    </row>
    <row r="4385" spans="1:4" x14ac:dyDescent="0.2">
      <c r="A4385" s="3" t="s">
        <v>1547</v>
      </c>
      <c r="B4385" t="s">
        <v>8</v>
      </c>
      <c r="C4385" s="3" t="s">
        <v>1562</v>
      </c>
      <c r="D4385" s="3" t="s">
        <v>22</v>
      </c>
    </row>
    <row r="4386" spans="1:4" x14ac:dyDescent="0.2">
      <c r="A4386" s="3" t="s">
        <v>1563</v>
      </c>
      <c r="B4386" t="s">
        <v>8</v>
      </c>
      <c r="C4386" s="3" t="s">
        <v>984</v>
      </c>
      <c r="D4386" s="3" t="s">
        <v>53</v>
      </c>
    </row>
    <row r="4387" spans="1:4" x14ac:dyDescent="0.2">
      <c r="A4387" s="3" t="s">
        <v>1563</v>
      </c>
      <c r="B4387" t="s">
        <v>8</v>
      </c>
      <c r="C4387" s="3" t="s">
        <v>985</v>
      </c>
      <c r="D4387" s="3" t="s">
        <v>53</v>
      </c>
    </row>
    <row r="4388" spans="1:4" x14ac:dyDescent="0.2">
      <c r="A4388" s="3" t="s">
        <v>1563</v>
      </c>
      <c r="B4388" t="s">
        <v>8</v>
      </c>
      <c r="C4388" s="3" t="s">
        <v>986</v>
      </c>
      <c r="D4388" s="3" t="s">
        <v>53</v>
      </c>
    </row>
    <row r="4389" spans="1:4" x14ac:dyDescent="0.2">
      <c r="A4389" s="3" t="s">
        <v>1563</v>
      </c>
      <c r="B4389" t="s">
        <v>8</v>
      </c>
      <c r="C4389" s="3" t="s">
        <v>987</v>
      </c>
      <c r="D4389" s="3" t="s">
        <v>53</v>
      </c>
    </row>
    <row r="4390" spans="1:4" x14ac:dyDescent="0.2">
      <c r="A4390" s="3" t="s">
        <v>1563</v>
      </c>
      <c r="B4390" t="s">
        <v>8</v>
      </c>
      <c r="C4390" s="3" t="s">
        <v>1564</v>
      </c>
      <c r="D4390" s="3" t="s">
        <v>53</v>
      </c>
    </row>
    <row r="4391" spans="1:4" x14ac:dyDescent="0.2">
      <c r="A4391" s="3" t="s">
        <v>1563</v>
      </c>
      <c r="B4391" t="s">
        <v>8</v>
      </c>
      <c r="C4391" s="3" t="s">
        <v>1565</v>
      </c>
      <c r="D4391" s="3" t="s">
        <v>53</v>
      </c>
    </row>
    <row r="4392" spans="1:4" x14ac:dyDescent="0.2">
      <c r="A4392" s="3" t="s">
        <v>1563</v>
      </c>
      <c r="B4392" t="s">
        <v>8</v>
      </c>
      <c r="C4392" s="3" t="s">
        <v>1566</v>
      </c>
      <c r="D4392" s="3" t="s">
        <v>53</v>
      </c>
    </row>
    <row r="4393" spans="1:4" x14ac:dyDescent="0.2">
      <c r="A4393" s="3" t="s">
        <v>1563</v>
      </c>
      <c r="B4393" t="s">
        <v>8</v>
      </c>
      <c r="C4393" s="3" t="s">
        <v>1548</v>
      </c>
      <c r="D4393" s="3" t="s">
        <v>53</v>
      </c>
    </row>
    <row r="4394" spans="1:4" x14ac:dyDescent="0.2">
      <c r="A4394" s="3" t="s">
        <v>1563</v>
      </c>
      <c r="B4394" t="s">
        <v>8</v>
      </c>
      <c r="C4394" s="3" t="s">
        <v>1550</v>
      </c>
      <c r="D4394" s="3" t="s">
        <v>53</v>
      </c>
    </row>
    <row r="4395" spans="1:4" x14ac:dyDescent="0.2">
      <c r="A4395" s="3" t="s">
        <v>1563</v>
      </c>
      <c r="B4395" t="s">
        <v>8</v>
      </c>
      <c r="C4395" s="3" t="s">
        <v>1552</v>
      </c>
      <c r="D4395" s="3" t="s">
        <v>53</v>
      </c>
    </row>
    <row r="4396" spans="1:4" x14ac:dyDescent="0.2">
      <c r="A4396" s="3" t="s">
        <v>1563</v>
      </c>
      <c r="B4396" t="s">
        <v>8</v>
      </c>
      <c r="C4396" s="3" t="s">
        <v>1567</v>
      </c>
      <c r="D4396" s="3" t="s">
        <v>53</v>
      </c>
    </row>
    <row r="4397" spans="1:4" x14ac:dyDescent="0.2">
      <c r="A4397" s="3" t="s">
        <v>1563</v>
      </c>
      <c r="B4397" t="s">
        <v>8</v>
      </c>
      <c r="C4397" s="3" t="s">
        <v>984</v>
      </c>
      <c r="D4397" s="3" t="s">
        <v>54</v>
      </c>
    </row>
    <row r="4398" spans="1:4" x14ac:dyDescent="0.2">
      <c r="A4398" s="3" t="s">
        <v>1563</v>
      </c>
      <c r="B4398" t="s">
        <v>8</v>
      </c>
      <c r="C4398" s="3" t="s">
        <v>985</v>
      </c>
      <c r="D4398" s="3" t="s">
        <v>54</v>
      </c>
    </row>
    <row r="4399" spans="1:4" x14ac:dyDescent="0.2">
      <c r="A4399" s="3" t="s">
        <v>1563</v>
      </c>
      <c r="B4399" t="s">
        <v>8</v>
      </c>
      <c r="C4399" s="3" t="s">
        <v>986</v>
      </c>
      <c r="D4399" s="3" t="s">
        <v>54</v>
      </c>
    </row>
    <row r="4400" spans="1:4" x14ac:dyDescent="0.2">
      <c r="A4400" s="3" t="s">
        <v>1563</v>
      </c>
      <c r="B4400" t="s">
        <v>8</v>
      </c>
      <c r="C4400" s="3" t="s">
        <v>987</v>
      </c>
      <c r="D4400" s="3" t="s">
        <v>54</v>
      </c>
    </row>
    <row r="4401" spans="1:4" x14ac:dyDescent="0.2">
      <c r="A4401" s="3" t="s">
        <v>1563</v>
      </c>
      <c r="B4401" t="s">
        <v>8</v>
      </c>
      <c r="C4401" s="3" t="s">
        <v>1564</v>
      </c>
      <c r="D4401" s="3" t="s">
        <v>54</v>
      </c>
    </row>
    <row r="4402" spans="1:4" x14ac:dyDescent="0.2">
      <c r="A4402" s="3" t="s">
        <v>1563</v>
      </c>
      <c r="B4402" t="s">
        <v>8</v>
      </c>
      <c r="C4402" s="3" t="s">
        <v>1565</v>
      </c>
      <c r="D4402" s="3" t="s">
        <v>54</v>
      </c>
    </row>
    <row r="4403" spans="1:4" x14ac:dyDescent="0.2">
      <c r="A4403" s="3" t="s">
        <v>1563</v>
      </c>
      <c r="B4403" t="s">
        <v>8</v>
      </c>
      <c r="C4403" s="3" t="s">
        <v>1566</v>
      </c>
      <c r="D4403" s="3" t="s">
        <v>54</v>
      </c>
    </row>
    <row r="4404" spans="1:4" x14ac:dyDescent="0.2">
      <c r="A4404" s="3" t="s">
        <v>1563</v>
      </c>
      <c r="B4404" t="s">
        <v>8</v>
      </c>
      <c r="C4404" s="3" t="s">
        <v>1548</v>
      </c>
      <c r="D4404" s="3" t="s">
        <v>54</v>
      </c>
    </row>
    <row r="4405" spans="1:4" x14ac:dyDescent="0.2">
      <c r="A4405" s="3" t="s">
        <v>1563</v>
      </c>
      <c r="B4405" t="s">
        <v>8</v>
      </c>
      <c r="C4405" s="3" t="s">
        <v>1550</v>
      </c>
      <c r="D4405" s="3" t="s">
        <v>54</v>
      </c>
    </row>
    <row r="4406" spans="1:4" x14ac:dyDescent="0.2">
      <c r="A4406" s="3" t="s">
        <v>1563</v>
      </c>
      <c r="B4406" t="s">
        <v>8</v>
      </c>
      <c r="C4406" s="3" t="s">
        <v>1552</v>
      </c>
      <c r="D4406" s="3" t="s">
        <v>54</v>
      </c>
    </row>
    <row r="4407" spans="1:4" x14ac:dyDescent="0.2">
      <c r="A4407" s="3" t="s">
        <v>1563</v>
      </c>
      <c r="B4407" t="s">
        <v>8</v>
      </c>
      <c r="C4407" s="3" t="s">
        <v>1567</v>
      </c>
      <c r="D4407" s="3" t="s">
        <v>54</v>
      </c>
    </row>
    <row r="4408" spans="1:4" x14ac:dyDescent="0.2">
      <c r="A4408" s="3" t="s">
        <v>1563</v>
      </c>
      <c r="B4408" t="s">
        <v>8</v>
      </c>
      <c r="C4408" s="3" t="s">
        <v>984</v>
      </c>
      <c r="D4408" s="3" t="s">
        <v>55</v>
      </c>
    </row>
    <row r="4409" spans="1:4" x14ac:dyDescent="0.2">
      <c r="A4409" s="3" t="s">
        <v>1563</v>
      </c>
      <c r="B4409" t="s">
        <v>8</v>
      </c>
      <c r="C4409" s="3" t="s">
        <v>985</v>
      </c>
      <c r="D4409" s="3" t="s">
        <v>55</v>
      </c>
    </row>
    <row r="4410" spans="1:4" x14ac:dyDescent="0.2">
      <c r="A4410" s="3" t="s">
        <v>1563</v>
      </c>
      <c r="B4410" t="s">
        <v>8</v>
      </c>
      <c r="C4410" s="3" t="s">
        <v>986</v>
      </c>
      <c r="D4410" s="3" t="s">
        <v>55</v>
      </c>
    </row>
    <row r="4411" spans="1:4" x14ac:dyDescent="0.2">
      <c r="A4411" s="3" t="s">
        <v>1563</v>
      </c>
      <c r="B4411" t="s">
        <v>8</v>
      </c>
      <c r="C4411" s="3" t="s">
        <v>987</v>
      </c>
      <c r="D4411" s="3" t="s">
        <v>55</v>
      </c>
    </row>
    <row r="4412" spans="1:4" x14ac:dyDescent="0.2">
      <c r="A4412" s="3" t="s">
        <v>1563</v>
      </c>
      <c r="B4412" t="s">
        <v>8</v>
      </c>
      <c r="C4412" s="3" t="s">
        <v>1564</v>
      </c>
      <c r="D4412" s="3" t="s">
        <v>55</v>
      </c>
    </row>
    <row r="4413" spans="1:4" x14ac:dyDescent="0.2">
      <c r="A4413" s="3" t="s">
        <v>1563</v>
      </c>
      <c r="B4413" t="s">
        <v>8</v>
      </c>
      <c r="C4413" s="3" t="s">
        <v>1565</v>
      </c>
      <c r="D4413" s="3" t="s">
        <v>55</v>
      </c>
    </row>
    <row r="4414" spans="1:4" x14ac:dyDescent="0.2">
      <c r="A4414" s="3" t="s">
        <v>1563</v>
      </c>
      <c r="B4414" t="s">
        <v>8</v>
      </c>
      <c r="C4414" s="3" t="s">
        <v>1566</v>
      </c>
      <c r="D4414" s="3" t="s">
        <v>55</v>
      </c>
    </row>
    <row r="4415" spans="1:4" x14ac:dyDescent="0.2">
      <c r="A4415" s="3" t="s">
        <v>1563</v>
      </c>
      <c r="B4415" t="s">
        <v>8</v>
      </c>
      <c r="C4415" s="3" t="s">
        <v>1548</v>
      </c>
      <c r="D4415" s="3" t="s">
        <v>55</v>
      </c>
    </row>
    <row r="4416" spans="1:4" x14ac:dyDescent="0.2">
      <c r="A4416" s="3" t="s">
        <v>1563</v>
      </c>
      <c r="B4416" t="s">
        <v>8</v>
      </c>
      <c r="C4416" s="3" t="s">
        <v>1550</v>
      </c>
      <c r="D4416" s="3" t="s">
        <v>55</v>
      </c>
    </row>
    <row r="4417" spans="1:4" x14ac:dyDescent="0.2">
      <c r="A4417" s="3" t="s">
        <v>1563</v>
      </c>
      <c r="B4417" t="s">
        <v>8</v>
      </c>
      <c r="C4417" s="3" t="s">
        <v>1552</v>
      </c>
      <c r="D4417" s="3" t="s">
        <v>55</v>
      </c>
    </row>
    <row r="4418" spans="1:4" x14ac:dyDescent="0.2">
      <c r="A4418" s="3" t="s">
        <v>1563</v>
      </c>
      <c r="B4418" t="s">
        <v>8</v>
      </c>
      <c r="C4418" s="3" t="s">
        <v>1567</v>
      </c>
      <c r="D4418" s="3" t="s">
        <v>55</v>
      </c>
    </row>
    <row r="4419" spans="1:4" x14ac:dyDescent="0.2">
      <c r="A4419" s="3" t="s">
        <v>1563</v>
      </c>
      <c r="B4419" t="s">
        <v>8</v>
      </c>
      <c r="C4419" s="3" t="s">
        <v>984</v>
      </c>
      <c r="D4419" s="3" t="s">
        <v>56</v>
      </c>
    </row>
    <row r="4420" spans="1:4" x14ac:dyDescent="0.2">
      <c r="A4420" s="3" t="s">
        <v>1563</v>
      </c>
      <c r="B4420" t="s">
        <v>8</v>
      </c>
      <c r="C4420" s="3" t="s">
        <v>985</v>
      </c>
      <c r="D4420" s="3" t="s">
        <v>56</v>
      </c>
    </row>
    <row r="4421" spans="1:4" x14ac:dyDescent="0.2">
      <c r="A4421" s="3" t="s">
        <v>1563</v>
      </c>
      <c r="B4421" t="s">
        <v>8</v>
      </c>
      <c r="C4421" s="3" t="s">
        <v>986</v>
      </c>
      <c r="D4421" s="3" t="s">
        <v>56</v>
      </c>
    </row>
    <row r="4422" spans="1:4" x14ac:dyDescent="0.2">
      <c r="A4422" s="3" t="s">
        <v>1563</v>
      </c>
      <c r="B4422" t="s">
        <v>8</v>
      </c>
      <c r="C4422" s="3" t="s">
        <v>987</v>
      </c>
      <c r="D4422" s="3" t="s">
        <v>56</v>
      </c>
    </row>
    <row r="4423" spans="1:4" x14ac:dyDescent="0.2">
      <c r="A4423" s="3" t="s">
        <v>1563</v>
      </c>
      <c r="B4423" t="s">
        <v>8</v>
      </c>
      <c r="C4423" s="3" t="s">
        <v>1564</v>
      </c>
      <c r="D4423" s="3" t="s">
        <v>56</v>
      </c>
    </row>
    <row r="4424" spans="1:4" x14ac:dyDescent="0.2">
      <c r="A4424" s="3" t="s">
        <v>1563</v>
      </c>
      <c r="B4424" t="s">
        <v>8</v>
      </c>
      <c r="C4424" s="3" t="s">
        <v>1565</v>
      </c>
      <c r="D4424" s="3" t="s">
        <v>56</v>
      </c>
    </row>
    <row r="4425" spans="1:4" x14ac:dyDescent="0.2">
      <c r="A4425" s="3" t="s">
        <v>1563</v>
      </c>
      <c r="B4425" t="s">
        <v>8</v>
      </c>
      <c r="C4425" s="3" t="s">
        <v>1566</v>
      </c>
      <c r="D4425" s="3" t="s">
        <v>56</v>
      </c>
    </row>
    <row r="4426" spans="1:4" x14ac:dyDescent="0.2">
      <c r="A4426" s="3" t="s">
        <v>1563</v>
      </c>
      <c r="B4426" t="s">
        <v>8</v>
      </c>
      <c r="C4426" s="3" t="s">
        <v>1548</v>
      </c>
      <c r="D4426" s="3" t="s">
        <v>56</v>
      </c>
    </row>
    <row r="4427" spans="1:4" x14ac:dyDescent="0.2">
      <c r="A4427" s="3" t="s">
        <v>1563</v>
      </c>
      <c r="B4427" t="s">
        <v>8</v>
      </c>
      <c r="C4427" s="3" t="s">
        <v>1550</v>
      </c>
      <c r="D4427" s="3" t="s">
        <v>56</v>
      </c>
    </row>
    <row r="4428" spans="1:4" x14ac:dyDescent="0.2">
      <c r="A4428" s="3" t="s">
        <v>1563</v>
      </c>
      <c r="B4428" t="s">
        <v>8</v>
      </c>
      <c r="C4428" s="3" t="s">
        <v>1552</v>
      </c>
      <c r="D4428" s="3" t="s">
        <v>56</v>
      </c>
    </row>
    <row r="4429" spans="1:4" x14ac:dyDescent="0.2">
      <c r="A4429" s="3" t="s">
        <v>1563</v>
      </c>
      <c r="B4429" t="s">
        <v>8</v>
      </c>
      <c r="C4429" s="3" t="s">
        <v>1567</v>
      </c>
      <c r="D4429" s="3" t="s">
        <v>56</v>
      </c>
    </row>
    <row r="4430" spans="1:4" x14ac:dyDescent="0.2">
      <c r="A4430" s="3" t="s">
        <v>1563</v>
      </c>
      <c r="B4430" t="s">
        <v>8</v>
      </c>
      <c r="C4430" s="3" t="s">
        <v>984</v>
      </c>
      <c r="D4430" s="3" t="s">
        <v>57</v>
      </c>
    </row>
    <row r="4431" spans="1:4" x14ac:dyDescent="0.2">
      <c r="A4431" s="3" t="s">
        <v>1563</v>
      </c>
      <c r="B4431" t="s">
        <v>8</v>
      </c>
      <c r="C4431" s="3" t="s">
        <v>985</v>
      </c>
      <c r="D4431" s="3" t="s">
        <v>57</v>
      </c>
    </row>
    <row r="4432" spans="1:4" x14ac:dyDescent="0.2">
      <c r="A4432" s="3" t="s">
        <v>1563</v>
      </c>
      <c r="B4432" t="s">
        <v>8</v>
      </c>
      <c r="C4432" s="3" t="s">
        <v>986</v>
      </c>
      <c r="D4432" s="3" t="s">
        <v>57</v>
      </c>
    </row>
    <row r="4433" spans="1:4" x14ac:dyDescent="0.2">
      <c r="A4433" s="3" t="s">
        <v>1563</v>
      </c>
      <c r="B4433" t="s">
        <v>8</v>
      </c>
      <c r="C4433" s="3" t="s">
        <v>987</v>
      </c>
      <c r="D4433" s="3" t="s">
        <v>57</v>
      </c>
    </row>
    <row r="4434" spans="1:4" x14ac:dyDescent="0.2">
      <c r="A4434" s="3" t="s">
        <v>1563</v>
      </c>
      <c r="B4434" t="s">
        <v>8</v>
      </c>
      <c r="C4434" s="3" t="s">
        <v>1564</v>
      </c>
      <c r="D4434" s="3" t="s">
        <v>57</v>
      </c>
    </row>
    <row r="4435" spans="1:4" x14ac:dyDescent="0.2">
      <c r="A4435" s="3" t="s">
        <v>1563</v>
      </c>
      <c r="B4435" t="s">
        <v>8</v>
      </c>
      <c r="C4435" s="3" t="s">
        <v>1565</v>
      </c>
      <c r="D4435" s="3" t="s">
        <v>57</v>
      </c>
    </row>
    <row r="4436" spans="1:4" x14ac:dyDescent="0.2">
      <c r="A4436" s="3" t="s">
        <v>1563</v>
      </c>
      <c r="B4436" t="s">
        <v>8</v>
      </c>
      <c r="C4436" s="3" t="s">
        <v>1566</v>
      </c>
      <c r="D4436" s="3" t="s">
        <v>57</v>
      </c>
    </row>
    <row r="4437" spans="1:4" x14ac:dyDescent="0.2">
      <c r="A4437" s="3" t="s">
        <v>1563</v>
      </c>
      <c r="B4437" t="s">
        <v>8</v>
      </c>
      <c r="C4437" s="3" t="s">
        <v>1548</v>
      </c>
      <c r="D4437" s="3" t="s">
        <v>57</v>
      </c>
    </row>
    <row r="4438" spans="1:4" x14ac:dyDescent="0.2">
      <c r="A4438" s="3" t="s">
        <v>1563</v>
      </c>
      <c r="B4438" t="s">
        <v>8</v>
      </c>
      <c r="C4438" s="3" t="s">
        <v>1550</v>
      </c>
      <c r="D4438" s="3" t="s">
        <v>57</v>
      </c>
    </row>
    <row r="4439" spans="1:4" x14ac:dyDescent="0.2">
      <c r="A4439" s="3" t="s">
        <v>1563</v>
      </c>
      <c r="B4439" t="s">
        <v>8</v>
      </c>
      <c r="C4439" s="3" t="s">
        <v>1552</v>
      </c>
      <c r="D4439" s="3" t="s">
        <v>57</v>
      </c>
    </row>
    <row r="4440" spans="1:4" x14ac:dyDescent="0.2">
      <c r="A4440" s="3" t="s">
        <v>1563</v>
      </c>
      <c r="B4440" t="s">
        <v>8</v>
      </c>
      <c r="C4440" s="3" t="s">
        <v>1567</v>
      </c>
      <c r="D4440" s="3" t="s">
        <v>57</v>
      </c>
    </row>
    <row r="4441" spans="1:4" x14ac:dyDescent="0.2">
      <c r="A4441" s="3" t="s">
        <v>1563</v>
      </c>
      <c r="B4441" t="s">
        <v>8</v>
      </c>
      <c r="C4441" s="3" t="s">
        <v>1554</v>
      </c>
      <c r="D4441" s="3" t="s">
        <v>22</v>
      </c>
    </row>
    <row r="4442" spans="1:4" x14ac:dyDescent="0.2">
      <c r="A4442" s="3" t="s">
        <v>1563</v>
      </c>
      <c r="B4442" t="s">
        <v>8</v>
      </c>
      <c r="C4442" s="3" t="s">
        <v>1555</v>
      </c>
      <c r="D4442" s="3" t="s">
        <v>22</v>
      </c>
    </row>
    <row r="4443" spans="1:4" x14ac:dyDescent="0.2">
      <c r="A4443" s="3" t="s">
        <v>1563</v>
      </c>
      <c r="B4443" t="s">
        <v>8</v>
      </c>
      <c r="C4443" s="3" t="s">
        <v>1556</v>
      </c>
      <c r="D4443" s="3" t="s">
        <v>22</v>
      </c>
    </row>
    <row r="4444" spans="1:4" x14ac:dyDescent="0.2">
      <c r="A4444" s="3" t="s">
        <v>1563</v>
      </c>
      <c r="B4444" t="s">
        <v>8</v>
      </c>
      <c r="C4444" s="3" t="s">
        <v>1568</v>
      </c>
      <c r="D4444" s="3" t="s">
        <v>22</v>
      </c>
    </row>
    <row r="4445" spans="1:4" x14ac:dyDescent="0.2">
      <c r="A4445" s="3" t="s">
        <v>1563</v>
      </c>
      <c r="B4445" t="s">
        <v>8</v>
      </c>
      <c r="C4445" s="3" t="s">
        <v>1569</v>
      </c>
      <c r="D4445" s="3" t="s">
        <v>22</v>
      </c>
    </row>
    <row r="4446" spans="1:4" x14ac:dyDescent="0.2">
      <c r="A4446" s="3" t="s">
        <v>1563</v>
      </c>
      <c r="B4446" t="s">
        <v>8</v>
      </c>
      <c r="C4446" s="3" t="s">
        <v>1557</v>
      </c>
      <c r="D4446" s="3" t="s">
        <v>22</v>
      </c>
    </row>
    <row r="4447" spans="1:4" x14ac:dyDescent="0.2">
      <c r="A4447" s="3" t="s">
        <v>1563</v>
      </c>
      <c r="B4447" t="s">
        <v>8</v>
      </c>
      <c r="C4447" s="3" t="s">
        <v>1558</v>
      </c>
      <c r="D4447" s="3" t="s">
        <v>22</v>
      </c>
    </row>
    <row r="4448" spans="1:4" x14ac:dyDescent="0.2">
      <c r="A4448" s="3" t="s">
        <v>1563</v>
      </c>
      <c r="B4448" t="s">
        <v>8</v>
      </c>
      <c r="C4448" s="3" t="s">
        <v>1570</v>
      </c>
      <c r="D4448" s="3" t="s">
        <v>22</v>
      </c>
    </row>
    <row r="4449" spans="1:4" x14ac:dyDescent="0.2">
      <c r="A4449" s="3" t="s">
        <v>1563</v>
      </c>
      <c r="B4449" t="s">
        <v>8</v>
      </c>
      <c r="C4449" s="3" t="s">
        <v>1571</v>
      </c>
      <c r="D4449" s="3" t="s">
        <v>22</v>
      </c>
    </row>
    <row r="4450" spans="1:4" x14ac:dyDescent="0.2">
      <c r="A4450" s="3" t="s">
        <v>1563</v>
      </c>
      <c r="B4450" t="s">
        <v>8</v>
      </c>
      <c r="C4450" s="3" t="s">
        <v>1559</v>
      </c>
      <c r="D4450" s="3" t="s">
        <v>22</v>
      </c>
    </row>
    <row r="4451" spans="1:4" x14ac:dyDescent="0.2">
      <c r="A4451" s="3" t="s">
        <v>1563</v>
      </c>
      <c r="B4451" t="s">
        <v>8</v>
      </c>
      <c r="C4451" s="3" t="s">
        <v>1560</v>
      </c>
      <c r="D4451" s="3" t="s">
        <v>22</v>
      </c>
    </row>
    <row r="4452" spans="1:4" x14ac:dyDescent="0.2">
      <c r="A4452" s="3" t="s">
        <v>1563</v>
      </c>
      <c r="B4452" t="s">
        <v>8</v>
      </c>
      <c r="C4452" s="3" t="s">
        <v>1561</v>
      </c>
      <c r="D4452" s="3" t="s">
        <v>22</v>
      </c>
    </row>
    <row r="4453" spans="1:4" x14ac:dyDescent="0.2">
      <c r="A4453" s="3" t="s">
        <v>1563</v>
      </c>
      <c r="B4453" t="s">
        <v>8</v>
      </c>
      <c r="C4453" s="3" t="s">
        <v>1572</v>
      </c>
      <c r="D4453" s="3" t="s">
        <v>22</v>
      </c>
    </row>
    <row r="4454" spans="1:4" x14ac:dyDescent="0.2">
      <c r="A4454" s="3" t="s">
        <v>1563</v>
      </c>
      <c r="B4454" t="s">
        <v>8</v>
      </c>
      <c r="C4454" s="3" t="s">
        <v>1562</v>
      </c>
      <c r="D4454" s="3" t="s">
        <v>22</v>
      </c>
    </row>
    <row r="4455" spans="1:4" x14ac:dyDescent="0.2">
      <c r="A4455" s="3" t="s">
        <v>1573</v>
      </c>
      <c r="B4455" t="s">
        <v>8</v>
      </c>
      <c r="C4455" s="3" t="s">
        <v>1411</v>
      </c>
      <c r="D4455" s="3" t="s">
        <v>53</v>
      </c>
    </row>
    <row r="4456" spans="1:4" x14ac:dyDescent="0.2">
      <c r="A4456" s="3" t="s">
        <v>1573</v>
      </c>
      <c r="B4456" t="s">
        <v>8</v>
      </c>
      <c r="C4456" s="3" t="s">
        <v>1412</v>
      </c>
      <c r="D4456" s="3" t="s">
        <v>53</v>
      </c>
    </row>
    <row r="4457" spans="1:4" x14ac:dyDescent="0.2">
      <c r="A4457" s="3" t="s">
        <v>1573</v>
      </c>
      <c r="B4457" t="s">
        <v>8</v>
      </c>
      <c r="C4457" s="3" t="s">
        <v>1574</v>
      </c>
      <c r="D4457" s="3" t="s">
        <v>53</v>
      </c>
    </row>
    <row r="4458" spans="1:4" x14ac:dyDescent="0.2">
      <c r="A4458" s="3" t="s">
        <v>1573</v>
      </c>
      <c r="B4458" t="s">
        <v>8</v>
      </c>
      <c r="C4458" s="3" t="s">
        <v>1413</v>
      </c>
      <c r="D4458" s="3" t="s">
        <v>53</v>
      </c>
    </row>
    <row r="4459" spans="1:4" x14ac:dyDescent="0.2">
      <c r="A4459" s="3" t="s">
        <v>1573</v>
      </c>
      <c r="B4459" t="s">
        <v>8</v>
      </c>
      <c r="C4459" s="3" t="s">
        <v>254</v>
      </c>
      <c r="D4459" s="3" t="s">
        <v>53</v>
      </c>
    </row>
    <row r="4460" spans="1:4" x14ac:dyDescent="0.2">
      <c r="A4460" s="3" t="s">
        <v>1573</v>
      </c>
      <c r="B4460" t="s">
        <v>8</v>
      </c>
      <c r="C4460" s="3" t="s">
        <v>255</v>
      </c>
      <c r="D4460" s="3" t="s">
        <v>53</v>
      </c>
    </row>
    <row r="4461" spans="1:4" x14ac:dyDescent="0.2">
      <c r="A4461" s="3" t="s">
        <v>1573</v>
      </c>
      <c r="B4461" t="s">
        <v>8</v>
      </c>
      <c r="C4461" s="3" t="s">
        <v>1575</v>
      </c>
      <c r="D4461" s="3" t="s">
        <v>53</v>
      </c>
    </row>
    <row r="4462" spans="1:4" x14ac:dyDescent="0.2">
      <c r="A4462" s="3" t="s">
        <v>1573</v>
      </c>
      <c r="B4462" t="s">
        <v>8</v>
      </c>
      <c r="C4462" s="3" t="s">
        <v>1411</v>
      </c>
      <c r="D4462" s="3" t="s">
        <v>54</v>
      </c>
    </row>
    <row r="4463" spans="1:4" x14ac:dyDescent="0.2">
      <c r="A4463" s="3" t="s">
        <v>1573</v>
      </c>
      <c r="B4463" t="s">
        <v>8</v>
      </c>
      <c r="C4463" s="3" t="s">
        <v>1412</v>
      </c>
      <c r="D4463" s="3" t="s">
        <v>54</v>
      </c>
    </row>
    <row r="4464" spans="1:4" x14ac:dyDescent="0.2">
      <c r="A4464" s="3" t="s">
        <v>1573</v>
      </c>
      <c r="B4464" t="s">
        <v>8</v>
      </c>
      <c r="C4464" s="3" t="s">
        <v>1574</v>
      </c>
      <c r="D4464" s="3" t="s">
        <v>54</v>
      </c>
    </row>
    <row r="4465" spans="1:4" x14ac:dyDescent="0.2">
      <c r="A4465" s="3" t="s">
        <v>1573</v>
      </c>
      <c r="B4465" t="s">
        <v>8</v>
      </c>
      <c r="C4465" s="3" t="s">
        <v>1413</v>
      </c>
      <c r="D4465" s="3" t="s">
        <v>54</v>
      </c>
    </row>
    <row r="4466" spans="1:4" x14ac:dyDescent="0.2">
      <c r="A4466" s="3" t="s">
        <v>1573</v>
      </c>
      <c r="B4466" t="s">
        <v>8</v>
      </c>
      <c r="C4466" s="3" t="s">
        <v>254</v>
      </c>
      <c r="D4466" s="3" t="s">
        <v>54</v>
      </c>
    </row>
    <row r="4467" spans="1:4" x14ac:dyDescent="0.2">
      <c r="A4467" s="3" t="s">
        <v>1573</v>
      </c>
      <c r="B4467" t="s">
        <v>8</v>
      </c>
      <c r="C4467" s="3" t="s">
        <v>255</v>
      </c>
      <c r="D4467" s="3" t="s">
        <v>54</v>
      </c>
    </row>
    <row r="4468" spans="1:4" x14ac:dyDescent="0.2">
      <c r="A4468" s="3" t="s">
        <v>1573</v>
      </c>
      <c r="B4468" t="s">
        <v>8</v>
      </c>
      <c r="C4468" s="3" t="s">
        <v>1575</v>
      </c>
      <c r="D4468" s="3" t="s">
        <v>54</v>
      </c>
    </row>
    <row r="4469" spans="1:4" x14ac:dyDescent="0.2">
      <c r="A4469" s="3" t="s">
        <v>1573</v>
      </c>
      <c r="B4469" t="s">
        <v>8</v>
      </c>
      <c r="C4469" s="3" t="s">
        <v>1411</v>
      </c>
      <c r="D4469" s="3" t="s">
        <v>55</v>
      </c>
    </row>
    <row r="4470" spans="1:4" x14ac:dyDescent="0.2">
      <c r="A4470" s="3" t="s">
        <v>1573</v>
      </c>
      <c r="B4470" t="s">
        <v>8</v>
      </c>
      <c r="C4470" s="3" t="s">
        <v>1412</v>
      </c>
      <c r="D4470" s="3" t="s">
        <v>55</v>
      </c>
    </row>
    <row r="4471" spans="1:4" x14ac:dyDescent="0.2">
      <c r="A4471" s="3" t="s">
        <v>1573</v>
      </c>
      <c r="B4471" t="s">
        <v>8</v>
      </c>
      <c r="C4471" s="3" t="s">
        <v>1574</v>
      </c>
      <c r="D4471" s="3" t="s">
        <v>55</v>
      </c>
    </row>
    <row r="4472" spans="1:4" x14ac:dyDescent="0.2">
      <c r="A4472" s="3" t="s">
        <v>1573</v>
      </c>
      <c r="B4472" t="s">
        <v>8</v>
      </c>
      <c r="C4472" s="3" t="s">
        <v>1413</v>
      </c>
      <c r="D4472" s="3" t="s">
        <v>55</v>
      </c>
    </row>
    <row r="4473" spans="1:4" x14ac:dyDescent="0.2">
      <c r="A4473" s="3" t="s">
        <v>1573</v>
      </c>
      <c r="B4473" t="s">
        <v>8</v>
      </c>
      <c r="C4473" s="3" t="s">
        <v>254</v>
      </c>
      <c r="D4473" s="3" t="s">
        <v>55</v>
      </c>
    </row>
    <row r="4474" spans="1:4" x14ac:dyDescent="0.2">
      <c r="A4474" s="3" t="s">
        <v>1573</v>
      </c>
      <c r="B4474" t="s">
        <v>8</v>
      </c>
      <c r="C4474" s="3" t="s">
        <v>1575</v>
      </c>
      <c r="D4474" s="3" t="s">
        <v>55</v>
      </c>
    </row>
    <row r="4475" spans="1:4" x14ac:dyDescent="0.2">
      <c r="A4475" s="3" t="s">
        <v>1573</v>
      </c>
      <c r="B4475" t="s">
        <v>8</v>
      </c>
      <c r="C4475" s="3" t="s">
        <v>1411</v>
      </c>
      <c r="D4475" s="3" t="s">
        <v>56</v>
      </c>
    </row>
    <row r="4476" spans="1:4" x14ac:dyDescent="0.2">
      <c r="A4476" s="3" t="s">
        <v>1573</v>
      </c>
      <c r="B4476" t="s">
        <v>8</v>
      </c>
      <c r="C4476" s="3" t="s">
        <v>1412</v>
      </c>
      <c r="D4476" s="3" t="s">
        <v>56</v>
      </c>
    </row>
    <row r="4477" spans="1:4" x14ac:dyDescent="0.2">
      <c r="A4477" s="3" t="s">
        <v>1573</v>
      </c>
      <c r="B4477" t="s">
        <v>8</v>
      </c>
      <c r="C4477" s="3" t="s">
        <v>1574</v>
      </c>
      <c r="D4477" s="3" t="s">
        <v>56</v>
      </c>
    </row>
    <row r="4478" spans="1:4" x14ac:dyDescent="0.2">
      <c r="A4478" s="3" t="s">
        <v>1573</v>
      </c>
      <c r="B4478" t="s">
        <v>8</v>
      </c>
      <c r="C4478" s="3" t="s">
        <v>1413</v>
      </c>
      <c r="D4478" s="3" t="s">
        <v>56</v>
      </c>
    </row>
    <row r="4479" spans="1:4" x14ac:dyDescent="0.2">
      <c r="A4479" s="3" t="s">
        <v>1573</v>
      </c>
      <c r="B4479" t="s">
        <v>8</v>
      </c>
      <c r="C4479" s="3" t="s">
        <v>254</v>
      </c>
      <c r="D4479" s="3" t="s">
        <v>56</v>
      </c>
    </row>
    <row r="4480" spans="1:4" x14ac:dyDescent="0.2">
      <c r="A4480" s="3" t="s">
        <v>1573</v>
      </c>
      <c r="B4480" t="s">
        <v>8</v>
      </c>
      <c r="C4480" s="3" t="s">
        <v>1575</v>
      </c>
      <c r="D4480" s="3" t="s">
        <v>56</v>
      </c>
    </row>
    <row r="4481" spans="1:4" x14ac:dyDescent="0.2">
      <c r="A4481" s="3" t="s">
        <v>1573</v>
      </c>
      <c r="B4481" t="s">
        <v>8</v>
      </c>
      <c r="C4481" s="3" t="s">
        <v>1411</v>
      </c>
      <c r="D4481" s="3" t="s">
        <v>57</v>
      </c>
    </row>
    <row r="4482" spans="1:4" x14ac:dyDescent="0.2">
      <c r="A4482" s="3" t="s">
        <v>1573</v>
      </c>
      <c r="B4482" t="s">
        <v>8</v>
      </c>
      <c r="C4482" s="3" t="s">
        <v>1412</v>
      </c>
      <c r="D4482" s="3" t="s">
        <v>57</v>
      </c>
    </row>
    <row r="4483" spans="1:4" x14ac:dyDescent="0.2">
      <c r="A4483" s="3" t="s">
        <v>1573</v>
      </c>
      <c r="B4483" t="s">
        <v>8</v>
      </c>
      <c r="C4483" s="3" t="s">
        <v>1574</v>
      </c>
      <c r="D4483" s="3" t="s">
        <v>57</v>
      </c>
    </row>
    <row r="4484" spans="1:4" x14ac:dyDescent="0.2">
      <c r="A4484" s="3" t="s">
        <v>1573</v>
      </c>
      <c r="B4484" t="s">
        <v>8</v>
      </c>
      <c r="C4484" s="3" t="s">
        <v>1413</v>
      </c>
      <c r="D4484" s="3" t="s">
        <v>57</v>
      </c>
    </row>
    <row r="4485" spans="1:4" x14ac:dyDescent="0.2">
      <c r="A4485" s="3" t="s">
        <v>1573</v>
      </c>
      <c r="B4485" t="s">
        <v>8</v>
      </c>
      <c r="C4485" s="3" t="s">
        <v>254</v>
      </c>
      <c r="D4485" s="3" t="s">
        <v>57</v>
      </c>
    </row>
    <row r="4486" spans="1:4" x14ac:dyDescent="0.2">
      <c r="A4486" s="3" t="s">
        <v>1573</v>
      </c>
      <c r="B4486" t="s">
        <v>8</v>
      </c>
      <c r="C4486" s="3" t="s">
        <v>255</v>
      </c>
      <c r="D4486" s="3" t="s">
        <v>57</v>
      </c>
    </row>
    <row r="4487" spans="1:4" x14ac:dyDescent="0.2">
      <c r="A4487" s="3" t="s">
        <v>1573</v>
      </c>
      <c r="B4487" t="s">
        <v>8</v>
      </c>
      <c r="C4487" s="3" t="s">
        <v>1575</v>
      </c>
      <c r="D4487" s="3" t="s">
        <v>57</v>
      </c>
    </row>
    <row r="4488" spans="1:4" x14ac:dyDescent="0.2">
      <c r="A4488" s="3" t="s">
        <v>1573</v>
      </c>
      <c r="B4488" t="s">
        <v>8</v>
      </c>
      <c r="C4488" s="3" t="s">
        <v>1576</v>
      </c>
      <c r="D4488" s="3" t="s">
        <v>169</v>
      </c>
    </row>
    <row r="4489" spans="1:4" x14ac:dyDescent="0.2">
      <c r="A4489" s="3" t="s">
        <v>1573</v>
      </c>
      <c r="B4489" t="s">
        <v>8</v>
      </c>
      <c r="C4489" s="3" t="s">
        <v>243</v>
      </c>
      <c r="D4489" s="3" t="s">
        <v>169</v>
      </c>
    </row>
    <row r="4490" spans="1:4" x14ac:dyDescent="0.2">
      <c r="A4490" s="3" t="s">
        <v>1573</v>
      </c>
      <c r="B4490" t="s">
        <v>8</v>
      </c>
      <c r="C4490" s="3" t="s">
        <v>246</v>
      </c>
      <c r="D4490" s="3" t="s">
        <v>169</v>
      </c>
    </row>
    <row r="4491" spans="1:4" x14ac:dyDescent="0.2">
      <c r="A4491" s="3" t="s">
        <v>1573</v>
      </c>
      <c r="B4491" t="s">
        <v>8</v>
      </c>
      <c r="C4491" s="3" t="s">
        <v>1577</v>
      </c>
      <c r="D4491" s="3" t="s">
        <v>22</v>
      </c>
    </row>
    <row r="4492" spans="1:4" x14ac:dyDescent="0.2">
      <c r="A4492" s="3" t="s">
        <v>1573</v>
      </c>
      <c r="B4492" t="s">
        <v>8</v>
      </c>
      <c r="C4492" s="3" t="s">
        <v>1578</v>
      </c>
      <c r="D4492" s="3" t="s">
        <v>22</v>
      </c>
    </row>
    <row r="4493" spans="1:4" x14ac:dyDescent="0.2">
      <c r="A4493" s="3" t="s">
        <v>1573</v>
      </c>
      <c r="B4493" t="s">
        <v>8</v>
      </c>
      <c r="C4493" s="3" t="s">
        <v>1579</v>
      </c>
      <c r="D4493" s="3" t="s">
        <v>22</v>
      </c>
    </row>
    <row r="4494" spans="1:4" x14ac:dyDescent="0.2">
      <c r="A4494" s="3" t="s">
        <v>1573</v>
      </c>
      <c r="B4494" t="s">
        <v>8</v>
      </c>
      <c r="C4494" s="3" t="s">
        <v>1580</v>
      </c>
      <c r="D4494" s="3" t="s">
        <v>22</v>
      </c>
    </row>
    <row r="4495" spans="1:4" x14ac:dyDescent="0.2">
      <c r="A4495" s="3" t="s">
        <v>1581</v>
      </c>
      <c r="B4495" t="s">
        <v>8</v>
      </c>
      <c r="C4495" s="3" t="s">
        <v>1411</v>
      </c>
      <c r="D4495" s="3" t="s">
        <v>53</v>
      </c>
    </row>
    <row r="4496" spans="1:4" x14ac:dyDescent="0.2">
      <c r="A4496" s="3" t="s">
        <v>1581</v>
      </c>
      <c r="B4496" t="s">
        <v>8</v>
      </c>
      <c r="C4496" s="3" t="s">
        <v>1412</v>
      </c>
      <c r="D4496" s="3" t="s">
        <v>53</v>
      </c>
    </row>
    <row r="4497" spans="1:4" x14ac:dyDescent="0.2">
      <c r="A4497" s="3" t="s">
        <v>1581</v>
      </c>
      <c r="B4497" t="s">
        <v>8</v>
      </c>
      <c r="C4497" s="3" t="s">
        <v>1413</v>
      </c>
      <c r="D4497" s="3" t="s">
        <v>53</v>
      </c>
    </row>
    <row r="4498" spans="1:4" x14ac:dyDescent="0.2">
      <c r="A4498" s="3" t="s">
        <v>1581</v>
      </c>
      <c r="B4498" t="s">
        <v>8</v>
      </c>
      <c r="C4498" s="3" t="s">
        <v>1411</v>
      </c>
      <c r="D4498" s="3" t="s">
        <v>54</v>
      </c>
    </row>
    <row r="4499" spans="1:4" x14ac:dyDescent="0.2">
      <c r="A4499" s="3" t="s">
        <v>1581</v>
      </c>
      <c r="B4499" t="s">
        <v>8</v>
      </c>
      <c r="C4499" s="3" t="s">
        <v>1412</v>
      </c>
      <c r="D4499" s="3" t="s">
        <v>54</v>
      </c>
    </row>
    <row r="4500" spans="1:4" x14ac:dyDescent="0.2">
      <c r="A4500" s="3" t="s">
        <v>1581</v>
      </c>
      <c r="B4500" t="s">
        <v>8</v>
      </c>
      <c r="C4500" s="3" t="s">
        <v>1413</v>
      </c>
      <c r="D4500" s="3" t="s">
        <v>54</v>
      </c>
    </row>
    <row r="4501" spans="1:4" x14ac:dyDescent="0.2">
      <c r="A4501" s="3" t="s">
        <v>1581</v>
      </c>
      <c r="B4501" t="s">
        <v>8</v>
      </c>
      <c r="C4501" s="3" t="s">
        <v>1411</v>
      </c>
      <c r="D4501" s="3" t="s">
        <v>55</v>
      </c>
    </row>
    <row r="4502" spans="1:4" x14ac:dyDescent="0.2">
      <c r="A4502" s="3" t="s">
        <v>1581</v>
      </c>
      <c r="B4502" t="s">
        <v>8</v>
      </c>
      <c r="C4502" s="3" t="s">
        <v>1412</v>
      </c>
      <c r="D4502" s="3" t="s">
        <v>55</v>
      </c>
    </row>
    <row r="4503" spans="1:4" x14ac:dyDescent="0.2">
      <c r="A4503" s="3" t="s">
        <v>1581</v>
      </c>
      <c r="B4503" t="s">
        <v>8</v>
      </c>
      <c r="C4503" s="3" t="s">
        <v>1413</v>
      </c>
      <c r="D4503" s="3" t="s">
        <v>55</v>
      </c>
    </row>
    <row r="4504" spans="1:4" x14ac:dyDescent="0.2">
      <c r="A4504" s="3" t="s">
        <v>1581</v>
      </c>
      <c r="B4504" t="s">
        <v>8</v>
      </c>
      <c r="C4504" s="3" t="s">
        <v>1411</v>
      </c>
      <c r="D4504" s="3" t="s">
        <v>56</v>
      </c>
    </row>
    <row r="4505" spans="1:4" x14ac:dyDescent="0.2">
      <c r="A4505" s="3" t="s">
        <v>1581</v>
      </c>
      <c r="B4505" t="s">
        <v>8</v>
      </c>
      <c r="C4505" s="3" t="s">
        <v>1412</v>
      </c>
      <c r="D4505" s="3" t="s">
        <v>56</v>
      </c>
    </row>
    <row r="4506" spans="1:4" x14ac:dyDescent="0.2">
      <c r="A4506" s="3" t="s">
        <v>1581</v>
      </c>
      <c r="B4506" t="s">
        <v>8</v>
      </c>
      <c r="C4506" s="3" t="s">
        <v>1413</v>
      </c>
      <c r="D4506" s="3" t="s">
        <v>56</v>
      </c>
    </row>
    <row r="4507" spans="1:4" x14ac:dyDescent="0.2">
      <c r="A4507" s="3" t="s">
        <v>1581</v>
      </c>
      <c r="B4507" t="s">
        <v>8</v>
      </c>
      <c r="C4507" s="3" t="s">
        <v>1411</v>
      </c>
      <c r="D4507" s="3" t="s">
        <v>57</v>
      </c>
    </row>
    <row r="4508" spans="1:4" x14ac:dyDescent="0.2">
      <c r="A4508" s="3" t="s">
        <v>1581</v>
      </c>
      <c r="B4508" t="s">
        <v>8</v>
      </c>
      <c r="C4508" s="3" t="s">
        <v>1412</v>
      </c>
      <c r="D4508" s="3" t="s">
        <v>57</v>
      </c>
    </row>
    <row r="4509" spans="1:4" x14ac:dyDescent="0.2">
      <c r="A4509" s="3" t="s">
        <v>1581</v>
      </c>
      <c r="B4509" t="s">
        <v>8</v>
      </c>
      <c r="C4509" s="3" t="s">
        <v>1413</v>
      </c>
      <c r="D4509" s="3" t="s">
        <v>57</v>
      </c>
    </row>
    <row r="4510" spans="1:4" x14ac:dyDescent="0.2">
      <c r="A4510" s="3" t="s">
        <v>1581</v>
      </c>
      <c r="B4510" t="s">
        <v>8</v>
      </c>
      <c r="C4510" s="3" t="s">
        <v>243</v>
      </c>
      <c r="D4510" s="3" t="s">
        <v>169</v>
      </c>
    </row>
    <row r="4511" spans="1:4" x14ac:dyDescent="0.2">
      <c r="A4511" s="3" t="s">
        <v>1581</v>
      </c>
      <c r="B4511" t="s">
        <v>8</v>
      </c>
      <c r="C4511" s="3" t="s">
        <v>1577</v>
      </c>
      <c r="D4511" s="3" t="s">
        <v>22</v>
      </c>
    </row>
    <row r="4512" spans="1:4" x14ac:dyDescent="0.2">
      <c r="A4512" s="3" t="s">
        <v>1581</v>
      </c>
      <c r="B4512" t="s">
        <v>8</v>
      </c>
      <c r="C4512" s="3" t="s">
        <v>1578</v>
      </c>
      <c r="D4512" s="3" t="s">
        <v>22</v>
      </c>
    </row>
    <row r="4513" spans="1:4" x14ac:dyDescent="0.2">
      <c r="A4513" s="3" t="s">
        <v>1581</v>
      </c>
      <c r="B4513" t="s">
        <v>8</v>
      </c>
      <c r="C4513" s="3" t="s">
        <v>1579</v>
      </c>
      <c r="D4513" s="3" t="s">
        <v>22</v>
      </c>
    </row>
    <row r="4514" spans="1:4" x14ac:dyDescent="0.2">
      <c r="A4514" s="3" t="s">
        <v>1581</v>
      </c>
      <c r="B4514" t="s">
        <v>8</v>
      </c>
      <c r="C4514" s="3" t="s">
        <v>1580</v>
      </c>
      <c r="D4514" s="3" t="s">
        <v>22</v>
      </c>
    </row>
    <row r="4515" spans="1:4" x14ac:dyDescent="0.2">
      <c r="A4515" s="3" t="s">
        <v>1582</v>
      </c>
      <c r="B4515" t="s">
        <v>8</v>
      </c>
      <c r="C4515" s="3" t="s">
        <v>1583</v>
      </c>
      <c r="D4515" s="3" t="s">
        <v>53</v>
      </c>
    </row>
    <row r="4516" spans="1:4" x14ac:dyDescent="0.2">
      <c r="A4516" s="3" t="s">
        <v>1582</v>
      </c>
      <c r="B4516" t="s">
        <v>8</v>
      </c>
      <c r="C4516" s="3" t="s">
        <v>1583</v>
      </c>
      <c r="D4516" s="3" t="s">
        <v>54</v>
      </c>
    </row>
    <row r="4517" spans="1:4" x14ac:dyDescent="0.2">
      <c r="A4517" s="3" t="s">
        <v>1582</v>
      </c>
      <c r="B4517" t="s">
        <v>8</v>
      </c>
      <c r="C4517" s="3" t="s">
        <v>1583</v>
      </c>
      <c r="D4517" s="3" t="s">
        <v>55</v>
      </c>
    </row>
    <row r="4518" spans="1:4" x14ac:dyDescent="0.2">
      <c r="A4518" s="3" t="s">
        <v>1582</v>
      </c>
      <c r="B4518" t="s">
        <v>8</v>
      </c>
      <c r="C4518" s="3" t="s">
        <v>1583</v>
      </c>
      <c r="D4518" s="3" t="s">
        <v>56</v>
      </c>
    </row>
    <row r="4519" spans="1:4" x14ac:dyDescent="0.2">
      <c r="A4519" s="3" t="s">
        <v>1582</v>
      </c>
      <c r="B4519" t="s">
        <v>8</v>
      </c>
      <c r="C4519" s="3" t="s">
        <v>1583</v>
      </c>
      <c r="D4519" s="3" t="s">
        <v>57</v>
      </c>
    </row>
    <row r="4520" spans="1:4" x14ac:dyDescent="0.2">
      <c r="A4520" s="3" t="s">
        <v>1584</v>
      </c>
      <c r="B4520" t="s">
        <v>8</v>
      </c>
      <c r="C4520" s="3" t="s">
        <v>1583</v>
      </c>
      <c r="D4520" s="3" t="s">
        <v>53</v>
      </c>
    </row>
    <row r="4521" spans="1:4" x14ac:dyDescent="0.2">
      <c r="A4521" s="3" t="s">
        <v>1584</v>
      </c>
      <c r="B4521" t="s">
        <v>8</v>
      </c>
      <c r="C4521" s="3" t="s">
        <v>1583</v>
      </c>
      <c r="D4521" s="3" t="s">
        <v>54</v>
      </c>
    </row>
    <row r="4522" spans="1:4" x14ac:dyDescent="0.2">
      <c r="A4522" s="3" t="s">
        <v>1584</v>
      </c>
      <c r="B4522" t="s">
        <v>8</v>
      </c>
      <c r="C4522" s="3" t="s">
        <v>1583</v>
      </c>
      <c r="D4522" s="3" t="s">
        <v>55</v>
      </c>
    </row>
    <row r="4523" spans="1:4" x14ac:dyDescent="0.2">
      <c r="A4523" s="3" t="s">
        <v>1584</v>
      </c>
      <c r="B4523" t="s">
        <v>8</v>
      </c>
      <c r="C4523" s="3" t="s">
        <v>1583</v>
      </c>
      <c r="D4523" s="3" t="s">
        <v>56</v>
      </c>
    </row>
    <row r="4524" spans="1:4" x14ac:dyDescent="0.2">
      <c r="A4524" s="3" t="s">
        <v>1584</v>
      </c>
      <c r="B4524" t="s">
        <v>8</v>
      </c>
      <c r="C4524" s="3" t="s">
        <v>1583</v>
      </c>
      <c r="D4524" s="3" t="s">
        <v>57</v>
      </c>
    </row>
    <row r="4525" spans="1:4" x14ac:dyDescent="0.2">
      <c r="A4525" s="3" t="s">
        <v>1585</v>
      </c>
      <c r="B4525" t="s">
        <v>8</v>
      </c>
      <c r="C4525" s="3" t="s">
        <v>1448</v>
      </c>
      <c r="D4525" s="3" t="s">
        <v>53</v>
      </c>
    </row>
    <row r="4526" spans="1:4" x14ac:dyDescent="0.2">
      <c r="A4526" s="3" t="s">
        <v>1585</v>
      </c>
      <c r="B4526" t="s">
        <v>8</v>
      </c>
      <c r="C4526" s="3" t="s">
        <v>882</v>
      </c>
      <c r="D4526" s="3" t="s">
        <v>53</v>
      </c>
    </row>
    <row r="4527" spans="1:4" x14ac:dyDescent="0.2">
      <c r="A4527" s="3" t="s">
        <v>1585</v>
      </c>
      <c r="B4527" t="s">
        <v>8</v>
      </c>
      <c r="C4527" s="3" t="s">
        <v>988</v>
      </c>
      <c r="D4527" s="3" t="s">
        <v>53</v>
      </c>
    </row>
    <row r="4528" spans="1:4" x14ac:dyDescent="0.2">
      <c r="A4528" s="3" t="s">
        <v>1585</v>
      </c>
      <c r="B4528" t="s">
        <v>8</v>
      </c>
      <c r="C4528" s="3" t="s">
        <v>989</v>
      </c>
      <c r="D4528" s="3" t="s">
        <v>53</v>
      </c>
    </row>
    <row r="4529" spans="1:4" x14ac:dyDescent="0.2">
      <c r="A4529" s="3" t="s">
        <v>1585</v>
      </c>
      <c r="B4529" t="s">
        <v>8</v>
      </c>
      <c r="C4529" s="3" t="s">
        <v>883</v>
      </c>
      <c r="D4529" s="3" t="s">
        <v>53</v>
      </c>
    </row>
    <row r="4530" spans="1:4" x14ac:dyDescent="0.2">
      <c r="A4530" s="3" t="s">
        <v>1585</v>
      </c>
      <c r="B4530" t="s">
        <v>8</v>
      </c>
      <c r="C4530" s="3" t="s">
        <v>884</v>
      </c>
      <c r="D4530" s="3" t="s">
        <v>53</v>
      </c>
    </row>
    <row r="4531" spans="1:4" x14ac:dyDescent="0.2">
      <c r="A4531" s="3" t="s">
        <v>1585</v>
      </c>
      <c r="B4531" t="s">
        <v>8</v>
      </c>
      <c r="C4531" s="3" t="s">
        <v>991</v>
      </c>
      <c r="D4531" s="3" t="s">
        <v>53</v>
      </c>
    </row>
    <row r="4532" spans="1:4" x14ac:dyDescent="0.2">
      <c r="A4532" s="3" t="s">
        <v>1585</v>
      </c>
      <c r="B4532" t="s">
        <v>8</v>
      </c>
      <c r="C4532" s="3" t="s">
        <v>992</v>
      </c>
      <c r="D4532" s="3" t="s">
        <v>53</v>
      </c>
    </row>
    <row r="4533" spans="1:4" x14ac:dyDescent="0.2">
      <c r="A4533" s="3" t="s">
        <v>1585</v>
      </c>
      <c r="B4533" t="s">
        <v>8</v>
      </c>
      <c r="C4533" s="3" t="s">
        <v>1448</v>
      </c>
      <c r="D4533" s="3" t="s">
        <v>54</v>
      </c>
    </row>
    <row r="4534" spans="1:4" x14ac:dyDescent="0.2">
      <c r="A4534" s="3" t="s">
        <v>1585</v>
      </c>
      <c r="B4534" t="s">
        <v>8</v>
      </c>
      <c r="C4534" s="3" t="s">
        <v>882</v>
      </c>
      <c r="D4534" s="3" t="s">
        <v>54</v>
      </c>
    </row>
    <row r="4535" spans="1:4" x14ac:dyDescent="0.2">
      <c r="A4535" s="3" t="s">
        <v>1585</v>
      </c>
      <c r="B4535" t="s">
        <v>8</v>
      </c>
      <c r="C4535" s="3" t="s">
        <v>988</v>
      </c>
      <c r="D4535" s="3" t="s">
        <v>54</v>
      </c>
    </row>
    <row r="4536" spans="1:4" x14ac:dyDescent="0.2">
      <c r="A4536" s="3" t="s">
        <v>1585</v>
      </c>
      <c r="B4536" t="s">
        <v>8</v>
      </c>
      <c r="C4536" s="3" t="s">
        <v>989</v>
      </c>
      <c r="D4536" s="3" t="s">
        <v>54</v>
      </c>
    </row>
    <row r="4537" spans="1:4" x14ac:dyDescent="0.2">
      <c r="A4537" s="3" t="s">
        <v>1585</v>
      </c>
      <c r="B4537" t="s">
        <v>8</v>
      </c>
      <c r="C4537" s="3" t="s">
        <v>883</v>
      </c>
      <c r="D4537" s="3" t="s">
        <v>54</v>
      </c>
    </row>
    <row r="4538" spans="1:4" x14ac:dyDescent="0.2">
      <c r="A4538" s="3" t="s">
        <v>1585</v>
      </c>
      <c r="B4538" t="s">
        <v>8</v>
      </c>
      <c r="C4538" s="3" t="s">
        <v>884</v>
      </c>
      <c r="D4538" s="3" t="s">
        <v>54</v>
      </c>
    </row>
    <row r="4539" spans="1:4" x14ac:dyDescent="0.2">
      <c r="A4539" s="3" t="s">
        <v>1585</v>
      </c>
      <c r="B4539" t="s">
        <v>8</v>
      </c>
      <c r="C4539" s="3" t="s">
        <v>991</v>
      </c>
      <c r="D4539" s="3" t="s">
        <v>54</v>
      </c>
    </row>
    <row r="4540" spans="1:4" x14ac:dyDescent="0.2">
      <c r="A4540" s="3" t="s">
        <v>1585</v>
      </c>
      <c r="B4540" t="s">
        <v>8</v>
      </c>
      <c r="C4540" s="3" t="s">
        <v>992</v>
      </c>
      <c r="D4540" s="3" t="s">
        <v>54</v>
      </c>
    </row>
    <row r="4541" spans="1:4" x14ac:dyDescent="0.2">
      <c r="A4541" s="3" t="s">
        <v>1585</v>
      </c>
      <c r="B4541" t="s">
        <v>8</v>
      </c>
      <c r="C4541" s="3" t="s">
        <v>1448</v>
      </c>
      <c r="D4541" s="3" t="s">
        <v>55</v>
      </c>
    </row>
    <row r="4542" spans="1:4" x14ac:dyDescent="0.2">
      <c r="A4542" s="3" t="s">
        <v>1585</v>
      </c>
      <c r="B4542" t="s">
        <v>8</v>
      </c>
      <c r="C4542" s="3" t="s">
        <v>882</v>
      </c>
      <c r="D4542" s="3" t="s">
        <v>55</v>
      </c>
    </row>
    <row r="4543" spans="1:4" x14ac:dyDescent="0.2">
      <c r="A4543" s="3" t="s">
        <v>1585</v>
      </c>
      <c r="B4543" t="s">
        <v>8</v>
      </c>
      <c r="C4543" s="3" t="s">
        <v>988</v>
      </c>
      <c r="D4543" s="3" t="s">
        <v>55</v>
      </c>
    </row>
    <row r="4544" spans="1:4" x14ac:dyDescent="0.2">
      <c r="A4544" s="3" t="s">
        <v>1585</v>
      </c>
      <c r="B4544" t="s">
        <v>8</v>
      </c>
      <c r="C4544" s="3" t="s">
        <v>989</v>
      </c>
      <c r="D4544" s="3" t="s">
        <v>55</v>
      </c>
    </row>
    <row r="4545" spans="1:4" x14ac:dyDescent="0.2">
      <c r="A4545" s="3" t="s">
        <v>1585</v>
      </c>
      <c r="B4545" t="s">
        <v>8</v>
      </c>
      <c r="C4545" s="3" t="s">
        <v>883</v>
      </c>
      <c r="D4545" s="3" t="s">
        <v>55</v>
      </c>
    </row>
    <row r="4546" spans="1:4" x14ac:dyDescent="0.2">
      <c r="A4546" s="3" t="s">
        <v>1585</v>
      </c>
      <c r="B4546" t="s">
        <v>8</v>
      </c>
      <c r="C4546" s="3" t="s">
        <v>884</v>
      </c>
      <c r="D4546" s="3" t="s">
        <v>55</v>
      </c>
    </row>
    <row r="4547" spans="1:4" x14ac:dyDescent="0.2">
      <c r="A4547" s="3" t="s">
        <v>1585</v>
      </c>
      <c r="B4547" t="s">
        <v>8</v>
      </c>
      <c r="C4547" s="3" t="s">
        <v>991</v>
      </c>
      <c r="D4547" s="3" t="s">
        <v>55</v>
      </c>
    </row>
    <row r="4548" spans="1:4" x14ac:dyDescent="0.2">
      <c r="A4548" s="3" t="s">
        <v>1585</v>
      </c>
      <c r="B4548" t="s">
        <v>8</v>
      </c>
      <c r="C4548" s="3" t="s">
        <v>992</v>
      </c>
      <c r="D4548" s="3" t="s">
        <v>55</v>
      </c>
    </row>
    <row r="4549" spans="1:4" x14ac:dyDescent="0.2">
      <c r="A4549" s="3" t="s">
        <v>1585</v>
      </c>
      <c r="B4549" t="s">
        <v>8</v>
      </c>
      <c r="C4549" s="3" t="s">
        <v>1448</v>
      </c>
      <c r="D4549" s="3" t="s">
        <v>56</v>
      </c>
    </row>
    <row r="4550" spans="1:4" x14ac:dyDescent="0.2">
      <c r="A4550" s="3" t="s">
        <v>1585</v>
      </c>
      <c r="B4550" t="s">
        <v>8</v>
      </c>
      <c r="C4550" s="3" t="s">
        <v>882</v>
      </c>
      <c r="D4550" s="3" t="s">
        <v>56</v>
      </c>
    </row>
    <row r="4551" spans="1:4" x14ac:dyDescent="0.2">
      <c r="A4551" s="3" t="s">
        <v>1585</v>
      </c>
      <c r="B4551" t="s">
        <v>8</v>
      </c>
      <c r="C4551" s="3" t="s">
        <v>988</v>
      </c>
      <c r="D4551" s="3" t="s">
        <v>56</v>
      </c>
    </row>
    <row r="4552" spans="1:4" x14ac:dyDescent="0.2">
      <c r="A4552" s="3" t="s">
        <v>1585</v>
      </c>
      <c r="B4552" t="s">
        <v>8</v>
      </c>
      <c r="C4552" s="3" t="s">
        <v>989</v>
      </c>
      <c r="D4552" s="3" t="s">
        <v>56</v>
      </c>
    </row>
    <row r="4553" spans="1:4" x14ac:dyDescent="0.2">
      <c r="A4553" s="3" t="s">
        <v>1585</v>
      </c>
      <c r="B4553" t="s">
        <v>8</v>
      </c>
      <c r="C4553" s="3" t="s">
        <v>883</v>
      </c>
      <c r="D4553" s="3" t="s">
        <v>56</v>
      </c>
    </row>
    <row r="4554" spans="1:4" x14ac:dyDescent="0.2">
      <c r="A4554" s="3" t="s">
        <v>1585</v>
      </c>
      <c r="B4554" t="s">
        <v>8</v>
      </c>
      <c r="C4554" s="3" t="s">
        <v>884</v>
      </c>
      <c r="D4554" s="3" t="s">
        <v>56</v>
      </c>
    </row>
    <row r="4555" spans="1:4" x14ac:dyDescent="0.2">
      <c r="A4555" s="3" t="s">
        <v>1585</v>
      </c>
      <c r="B4555" t="s">
        <v>8</v>
      </c>
      <c r="C4555" s="3" t="s">
        <v>991</v>
      </c>
      <c r="D4555" s="3" t="s">
        <v>56</v>
      </c>
    </row>
    <row r="4556" spans="1:4" x14ac:dyDescent="0.2">
      <c r="A4556" s="3" t="s">
        <v>1585</v>
      </c>
      <c r="B4556" t="s">
        <v>8</v>
      </c>
      <c r="C4556" s="3" t="s">
        <v>992</v>
      </c>
      <c r="D4556" s="3" t="s">
        <v>56</v>
      </c>
    </row>
    <row r="4557" spans="1:4" x14ac:dyDescent="0.2">
      <c r="A4557" s="3" t="s">
        <v>1585</v>
      </c>
      <c r="B4557" t="s">
        <v>8</v>
      </c>
      <c r="C4557" s="3" t="s">
        <v>1448</v>
      </c>
      <c r="D4557" s="3" t="s">
        <v>57</v>
      </c>
    </row>
    <row r="4558" spans="1:4" x14ac:dyDescent="0.2">
      <c r="A4558" s="3" t="s">
        <v>1585</v>
      </c>
      <c r="B4558" t="s">
        <v>8</v>
      </c>
      <c r="C4558" s="3" t="s">
        <v>882</v>
      </c>
      <c r="D4558" s="3" t="s">
        <v>57</v>
      </c>
    </row>
    <row r="4559" spans="1:4" x14ac:dyDescent="0.2">
      <c r="A4559" s="3" t="s">
        <v>1585</v>
      </c>
      <c r="B4559" t="s">
        <v>8</v>
      </c>
      <c r="C4559" s="3" t="s">
        <v>988</v>
      </c>
      <c r="D4559" s="3" t="s">
        <v>57</v>
      </c>
    </row>
    <row r="4560" spans="1:4" x14ac:dyDescent="0.2">
      <c r="A4560" s="3" t="s">
        <v>1585</v>
      </c>
      <c r="B4560" t="s">
        <v>8</v>
      </c>
      <c r="C4560" s="3" t="s">
        <v>989</v>
      </c>
      <c r="D4560" s="3" t="s">
        <v>57</v>
      </c>
    </row>
    <row r="4561" spans="1:4" x14ac:dyDescent="0.2">
      <c r="A4561" s="3" t="s">
        <v>1585</v>
      </c>
      <c r="B4561" t="s">
        <v>8</v>
      </c>
      <c r="C4561" s="3" t="s">
        <v>883</v>
      </c>
      <c r="D4561" s="3" t="s">
        <v>57</v>
      </c>
    </row>
    <row r="4562" spans="1:4" x14ac:dyDescent="0.2">
      <c r="A4562" s="3" t="s">
        <v>1585</v>
      </c>
      <c r="B4562" t="s">
        <v>8</v>
      </c>
      <c r="C4562" s="3" t="s">
        <v>884</v>
      </c>
      <c r="D4562" s="3" t="s">
        <v>57</v>
      </c>
    </row>
    <row r="4563" spans="1:4" x14ac:dyDescent="0.2">
      <c r="A4563" s="3" t="s">
        <v>1585</v>
      </c>
      <c r="B4563" t="s">
        <v>8</v>
      </c>
      <c r="C4563" s="3" t="s">
        <v>991</v>
      </c>
      <c r="D4563" s="3" t="s">
        <v>57</v>
      </c>
    </row>
    <row r="4564" spans="1:4" x14ac:dyDescent="0.2">
      <c r="A4564" s="3" t="s">
        <v>1585</v>
      </c>
      <c r="B4564" t="s">
        <v>8</v>
      </c>
      <c r="C4564" s="3" t="s">
        <v>992</v>
      </c>
      <c r="D4564" s="3" t="s">
        <v>57</v>
      </c>
    </row>
    <row r="4565" spans="1:4" x14ac:dyDescent="0.2">
      <c r="A4565" s="3" t="s">
        <v>1585</v>
      </c>
      <c r="B4565" t="s">
        <v>8</v>
      </c>
      <c r="C4565" s="3" t="s">
        <v>1586</v>
      </c>
      <c r="D4565" s="3" t="s">
        <v>22</v>
      </c>
    </row>
    <row r="4566" spans="1:4" x14ac:dyDescent="0.2">
      <c r="A4566" s="3" t="s">
        <v>1585</v>
      </c>
      <c r="B4566" t="s">
        <v>8</v>
      </c>
      <c r="C4566" s="3" t="s">
        <v>1587</v>
      </c>
      <c r="D4566" s="3" t="s">
        <v>22</v>
      </c>
    </row>
    <row r="4567" spans="1:4" x14ac:dyDescent="0.2">
      <c r="A4567" s="3" t="s">
        <v>1585</v>
      </c>
      <c r="B4567" t="s">
        <v>8</v>
      </c>
      <c r="C4567" s="3" t="s">
        <v>1588</v>
      </c>
      <c r="D4567" s="3" t="s">
        <v>22</v>
      </c>
    </row>
    <row r="4568" spans="1:4" x14ac:dyDescent="0.2">
      <c r="A4568" s="3" t="s">
        <v>1585</v>
      </c>
      <c r="B4568" t="s">
        <v>8</v>
      </c>
      <c r="C4568" s="3" t="s">
        <v>1589</v>
      </c>
      <c r="D4568" s="3" t="s">
        <v>22</v>
      </c>
    </row>
    <row r="4569" spans="1:4" x14ac:dyDescent="0.2">
      <c r="A4569" s="3" t="s">
        <v>1585</v>
      </c>
      <c r="B4569" t="s">
        <v>8</v>
      </c>
      <c r="C4569" s="3" t="s">
        <v>1590</v>
      </c>
      <c r="D4569" s="3" t="s">
        <v>22</v>
      </c>
    </row>
    <row r="4570" spans="1:4" x14ac:dyDescent="0.2">
      <c r="A4570" s="3" t="s">
        <v>1585</v>
      </c>
      <c r="B4570" t="s">
        <v>8</v>
      </c>
      <c r="C4570" s="3" t="s">
        <v>1591</v>
      </c>
      <c r="D4570" s="3" t="s">
        <v>22</v>
      </c>
    </row>
    <row r="4571" spans="1:4" x14ac:dyDescent="0.2">
      <c r="A4571" s="3" t="s">
        <v>1585</v>
      </c>
      <c r="B4571" t="s">
        <v>8</v>
      </c>
      <c r="C4571" s="3" t="s">
        <v>1592</v>
      </c>
      <c r="D4571" s="3" t="s">
        <v>22</v>
      </c>
    </row>
    <row r="4572" spans="1:4" x14ac:dyDescent="0.2">
      <c r="A4572" s="3" t="s">
        <v>1593</v>
      </c>
      <c r="B4572" t="s">
        <v>8</v>
      </c>
      <c r="C4572" s="3" t="s">
        <v>1564</v>
      </c>
      <c r="D4572" s="3" t="s">
        <v>53</v>
      </c>
    </row>
    <row r="4573" spans="1:4" x14ac:dyDescent="0.2">
      <c r="A4573" s="3" t="s">
        <v>1593</v>
      </c>
      <c r="B4573" t="s">
        <v>8</v>
      </c>
      <c r="C4573" s="3" t="s">
        <v>1564</v>
      </c>
      <c r="D4573" s="3" t="s">
        <v>54</v>
      </c>
    </row>
    <row r="4574" spans="1:4" x14ac:dyDescent="0.2">
      <c r="A4574" s="3" t="s">
        <v>1593</v>
      </c>
      <c r="B4574" t="s">
        <v>8</v>
      </c>
      <c r="C4574" s="3" t="s">
        <v>1564</v>
      </c>
      <c r="D4574" s="3" t="s">
        <v>55</v>
      </c>
    </row>
    <row r="4575" spans="1:4" x14ac:dyDescent="0.2">
      <c r="A4575" s="3" t="s">
        <v>1593</v>
      </c>
      <c r="B4575" t="s">
        <v>8</v>
      </c>
      <c r="C4575" s="3" t="s">
        <v>1564</v>
      </c>
      <c r="D4575" s="3" t="s">
        <v>56</v>
      </c>
    </row>
    <row r="4576" spans="1:4" x14ac:dyDescent="0.2">
      <c r="A4576" s="3" t="s">
        <v>1593</v>
      </c>
      <c r="B4576" t="s">
        <v>8</v>
      </c>
      <c r="C4576" s="3" t="s">
        <v>1564</v>
      </c>
      <c r="D4576" s="3" t="s">
        <v>57</v>
      </c>
    </row>
    <row r="4577" spans="1:4" x14ac:dyDescent="0.2">
      <c r="A4577" s="3" t="s">
        <v>1594</v>
      </c>
      <c r="B4577" t="s">
        <v>8</v>
      </c>
      <c r="C4577" s="3" t="s">
        <v>1311</v>
      </c>
      <c r="D4577" s="3" t="s">
        <v>10</v>
      </c>
    </row>
    <row r="4578" spans="1:4" x14ac:dyDescent="0.2">
      <c r="A4578" s="3" t="s">
        <v>1594</v>
      </c>
      <c r="B4578" t="s">
        <v>8</v>
      </c>
      <c r="C4578" s="3" t="s">
        <v>1311</v>
      </c>
      <c r="D4578" s="3" t="s">
        <v>11</v>
      </c>
    </row>
    <row r="4579" spans="1:4" x14ac:dyDescent="0.2">
      <c r="A4579" s="3" t="s">
        <v>1595</v>
      </c>
      <c r="B4579" t="s">
        <v>8</v>
      </c>
      <c r="C4579" s="3" t="s">
        <v>1308</v>
      </c>
      <c r="D4579" s="3" t="s">
        <v>11</v>
      </c>
    </row>
    <row r="4580" spans="1:4" x14ac:dyDescent="0.2">
      <c r="A4580" s="3" t="s">
        <v>1595</v>
      </c>
      <c r="B4580" t="s">
        <v>8</v>
      </c>
      <c r="C4580" s="3" t="s">
        <v>1309</v>
      </c>
      <c r="D4580" s="3" t="s">
        <v>11</v>
      </c>
    </row>
    <row r="4581" spans="1:4" x14ac:dyDescent="0.2">
      <c r="A4581" s="3" t="s">
        <v>1596</v>
      </c>
      <c r="B4581" t="s">
        <v>8</v>
      </c>
      <c r="C4581" s="3" t="s">
        <v>1597</v>
      </c>
      <c r="D4581" s="3" t="s">
        <v>53</v>
      </c>
    </row>
    <row r="4582" spans="1:4" x14ac:dyDescent="0.2">
      <c r="A4582" s="3" t="s">
        <v>1596</v>
      </c>
      <c r="B4582" t="s">
        <v>8</v>
      </c>
      <c r="C4582" s="3" t="s">
        <v>990</v>
      </c>
      <c r="D4582" s="3" t="s">
        <v>53</v>
      </c>
    </row>
    <row r="4583" spans="1:4" x14ac:dyDescent="0.2">
      <c r="A4583" s="3" t="s">
        <v>1596</v>
      </c>
      <c r="B4583" t="s">
        <v>8</v>
      </c>
      <c r="C4583" s="3" t="s">
        <v>1598</v>
      </c>
      <c r="D4583" s="3" t="s">
        <v>53</v>
      </c>
    </row>
    <row r="4584" spans="1:4" x14ac:dyDescent="0.2">
      <c r="A4584" s="3" t="s">
        <v>1596</v>
      </c>
      <c r="B4584" t="s">
        <v>8</v>
      </c>
      <c r="C4584" s="3" t="s">
        <v>1599</v>
      </c>
      <c r="D4584" s="3" t="s">
        <v>53</v>
      </c>
    </row>
    <row r="4585" spans="1:4" x14ac:dyDescent="0.2">
      <c r="A4585" s="3" t="s">
        <v>1596</v>
      </c>
      <c r="B4585" t="s">
        <v>8</v>
      </c>
      <c r="C4585" s="3" t="s">
        <v>1597</v>
      </c>
      <c r="D4585" s="3" t="s">
        <v>54</v>
      </c>
    </row>
    <row r="4586" spans="1:4" x14ac:dyDescent="0.2">
      <c r="A4586" s="3" t="s">
        <v>1596</v>
      </c>
      <c r="B4586" t="s">
        <v>8</v>
      </c>
      <c r="C4586" s="3" t="s">
        <v>990</v>
      </c>
      <c r="D4586" s="3" t="s">
        <v>54</v>
      </c>
    </row>
    <row r="4587" spans="1:4" x14ac:dyDescent="0.2">
      <c r="A4587" s="3" t="s">
        <v>1596</v>
      </c>
      <c r="B4587" t="s">
        <v>8</v>
      </c>
      <c r="C4587" s="3" t="s">
        <v>1598</v>
      </c>
      <c r="D4587" s="3" t="s">
        <v>54</v>
      </c>
    </row>
    <row r="4588" spans="1:4" x14ac:dyDescent="0.2">
      <c r="A4588" s="3" t="s">
        <v>1596</v>
      </c>
      <c r="B4588" t="s">
        <v>8</v>
      </c>
      <c r="C4588" s="3" t="s">
        <v>1599</v>
      </c>
      <c r="D4588" s="3" t="s">
        <v>54</v>
      </c>
    </row>
    <row r="4589" spans="1:4" x14ac:dyDescent="0.2">
      <c r="A4589" s="3" t="s">
        <v>1596</v>
      </c>
      <c r="B4589" t="s">
        <v>8</v>
      </c>
      <c r="C4589" s="3" t="s">
        <v>931</v>
      </c>
      <c r="D4589" s="3" t="s">
        <v>10</v>
      </c>
    </row>
    <row r="4590" spans="1:4" x14ac:dyDescent="0.2">
      <c r="A4590" s="3" t="s">
        <v>1596</v>
      </c>
      <c r="B4590" t="s">
        <v>8</v>
      </c>
      <c r="C4590" s="3" t="s">
        <v>186</v>
      </c>
      <c r="D4590" s="3" t="s">
        <v>10</v>
      </c>
    </row>
    <row r="4591" spans="1:4" x14ac:dyDescent="0.2">
      <c r="A4591" s="3" t="s">
        <v>1596</v>
      </c>
      <c r="B4591" t="s">
        <v>8</v>
      </c>
      <c r="C4591" s="3" t="s">
        <v>187</v>
      </c>
      <c r="D4591" s="3" t="s">
        <v>10</v>
      </c>
    </row>
    <row r="4592" spans="1:4" x14ac:dyDescent="0.2">
      <c r="A4592" s="3" t="s">
        <v>1596</v>
      </c>
      <c r="B4592" t="s">
        <v>8</v>
      </c>
      <c r="C4592" s="3" t="s">
        <v>931</v>
      </c>
      <c r="D4592" s="3" t="s">
        <v>11</v>
      </c>
    </row>
    <row r="4593" spans="1:4" x14ac:dyDescent="0.2">
      <c r="A4593" s="3" t="s">
        <v>1596</v>
      </c>
      <c r="B4593" t="s">
        <v>8</v>
      </c>
      <c r="C4593" s="3" t="s">
        <v>186</v>
      </c>
      <c r="D4593" s="3" t="s">
        <v>11</v>
      </c>
    </row>
    <row r="4594" spans="1:4" x14ac:dyDescent="0.2">
      <c r="A4594" s="3" t="s">
        <v>1600</v>
      </c>
      <c r="B4594" t="s">
        <v>8</v>
      </c>
      <c r="C4594" s="3" t="s">
        <v>1601</v>
      </c>
      <c r="D4594" s="3" t="s">
        <v>53</v>
      </c>
    </row>
    <row r="4595" spans="1:4" x14ac:dyDescent="0.2">
      <c r="A4595" s="3" t="s">
        <v>1600</v>
      </c>
      <c r="B4595" t="s">
        <v>8</v>
      </c>
      <c r="C4595" s="3" t="s">
        <v>1602</v>
      </c>
      <c r="D4595" s="3" t="s">
        <v>53</v>
      </c>
    </row>
    <row r="4596" spans="1:4" x14ac:dyDescent="0.2">
      <c r="A4596" s="3" t="s">
        <v>1600</v>
      </c>
      <c r="B4596" t="s">
        <v>8</v>
      </c>
      <c r="C4596" s="3" t="s">
        <v>926</v>
      </c>
      <c r="D4596" s="3" t="s">
        <v>53</v>
      </c>
    </row>
    <row r="4597" spans="1:4" x14ac:dyDescent="0.2">
      <c r="A4597" s="3" t="s">
        <v>1600</v>
      </c>
      <c r="B4597" t="s">
        <v>8</v>
      </c>
      <c r="C4597" s="3" t="s">
        <v>1601</v>
      </c>
      <c r="D4597" s="3" t="s">
        <v>54</v>
      </c>
    </row>
    <row r="4598" spans="1:4" x14ac:dyDescent="0.2">
      <c r="A4598" s="3" t="s">
        <v>1600</v>
      </c>
      <c r="B4598" t="s">
        <v>8</v>
      </c>
      <c r="C4598" s="3" t="s">
        <v>1602</v>
      </c>
      <c r="D4598" s="3" t="s">
        <v>54</v>
      </c>
    </row>
    <row r="4599" spans="1:4" x14ac:dyDescent="0.2">
      <c r="A4599" s="3" t="s">
        <v>1600</v>
      </c>
      <c r="B4599" t="s">
        <v>8</v>
      </c>
      <c r="C4599" s="3" t="s">
        <v>926</v>
      </c>
      <c r="D4599" s="3" t="s">
        <v>54</v>
      </c>
    </row>
    <row r="4600" spans="1:4" x14ac:dyDescent="0.2">
      <c r="A4600" s="3" t="s">
        <v>1600</v>
      </c>
      <c r="B4600" t="s">
        <v>8</v>
      </c>
      <c r="C4600" s="3" t="s">
        <v>1601</v>
      </c>
      <c r="D4600" s="3" t="s">
        <v>55</v>
      </c>
    </row>
    <row r="4601" spans="1:4" x14ac:dyDescent="0.2">
      <c r="A4601" s="3" t="s">
        <v>1600</v>
      </c>
      <c r="B4601" t="s">
        <v>8</v>
      </c>
      <c r="C4601" s="3" t="s">
        <v>1602</v>
      </c>
      <c r="D4601" s="3" t="s">
        <v>55</v>
      </c>
    </row>
    <row r="4602" spans="1:4" x14ac:dyDescent="0.2">
      <c r="A4602" s="3" t="s">
        <v>1600</v>
      </c>
      <c r="B4602" t="s">
        <v>8</v>
      </c>
      <c r="C4602" s="3" t="s">
        <v>926</v>
      </c>
      <c r="D4602" s="3" t="s">
        <v>55</v>
      </c>
    </row>
    <row r="4603" spans="1:4" x14ac:dyDescent="0.2">
      <c r="A4603" s="3" t="s">
        <v>1600</v>
      </c>
      <c r="B4603" t="s">
        <v>8</v>
      </c>
      <c r="C4603" s="3" t="s">
        <v>1601</v>
      </c>
      <c r="D4603" s="3" t="s">
        <v>56</v>
      </c>
    </row>
    <row r="4604" spans="1:4" x14ac:dyDescent="0.2">
      <c r="A4604" s="3" t="s">
        <v>1600</v>
      </c>
      <c r="B4604" t="s">
        <v>8</v>
      </c>
      <c r="C4604" s="3" t="s">
        <v>1602</v>
      </c>
      <c r="D4604" s="3" t="s">
        <v>56</v>
      </c>
    </row>
    <row r="4605" spans="1:4" x14ac:dyDescent="0.2">
      <c r="A4605" s="3" t="s">
        <v>1600</v>
      </c>
      <c r="B4605" t="s">
        <v>8</v>
      </c>
      <c r="C4605" s="3" t="s">
        <v>926</v>
      </c>
      <c r="D4605" s="3" t="s">
        <v>56</v>
      </c>
    </row>
    <row r="4606" spans="1:4" x14ac:dyDescent="0.2">
      <c r="A4606" s="3" t="s">
        <v>1600</v>
      </c>
      <c r="B4606" t="s">
        <v>8</v>
      </c>
      <c r="C4606" s="3" t="s">
        <v>1601</v>
      </c>
      <c r="D4606" s="3" t="s">
        <v>57</v>
      </c>
    </row>
    <row r="4607" spans="1:4" x14ac:dyDescent="0.2">
      <c r="A4607" s="3" t="s">
        <v>1600</v>
      </c>
      <c r="B4607" t="s">
        <v>8</v>
      </c>
      <c r="C4607" s="3" t="s">
        <v>1602</v>
      </c>
      <c r="D4607" s="3" t="s">
        <v>57</v>
      </c>
    </row>
    <row r="4608" spans="1:4" x14ac:dyDescent="0.2">
      <c r="A4608" s="3" t="s">
        <v>1600</v>
      </c>
      <c r="B4608" t="s">
        <v>8</v>
      </c>
      <c r="C4608" s="3" t="s">
        <v>926</v>
      </c>
      <c r="D4608" s="3" t="s">
        <v>57</v>
      </c>
    </row>
    <row r="4609" spans="1:4" x14ac:dyDescent="0.2">
      <c r="A4609" s="3" t="s">
        <v>1603</v>
      </c>
      <c r="B4609" t="s">
        <v>8</v>
      </c>
      <c r="C4609" s="3" t="s">
        <v>978</v>
      </c>
      <c r="D4609" s="3" t="s">
        <v>53</v>
      </c>
    </row>
    <row r="4610" spans="1:4" x14ac:dyDescent="0.2">
      <c r="A4610" s="3" t="s">
        <v>1603</v>
      </c>
      <c r="B4610" t="s">
        <v>8</v>
      </c>
      <c r="C4610" s="3" t="s">
        <v>1604</v>
      </c>
      <c r="D4610" s="3" t="s">
        <v>53</v>
      </c>
    </row>
    <row r="4611" spans="1:4" x14ac:dyDescent="0.2">
      <c r="A4611" s="3" t="s">
        <v>1603</v>
      </c>
      <c r="B4611" t="s">
        <v>8</v>
      </c>
      <c r="C4611" s="3" t="s">
        <v>983</v>
      </c>
      <c r="D4611" s="3" t="s">
        <v>53</v>
      </c>
    </row>
    <row r="4612" spans="1:4" x14ac:dyDescent="0.2">
      <c r="A4612" s="3" t="s">
        <v>1603</v>
      </c>
      <c r="B4612" t="s">
        <v>8</v>
      </c>
      <c r="C4612" s="3" t="s">
        <v>978</v>
      </c>
      <c r="D4612" s="3" t="s">
        <v>54</v>
      </c>
    </row>
    <row r="4613" spans="1:4" x14ac:dyDescent="0.2">
      <c r="A4613" s="3" t="s">
        <v>1603</v>
      </c>
      <c r="B4613" t="s">
        <v>8</v>
      </c>
      <c r="C4613" s="3" t="s">
        <v>1604</v>
      </c>
      <c r="D4613" s="3" t="s">
        <v>54</v>
      </c>
    </row>
    <row r="4614" spans="1:4" x14ac:dyDescent="0.2">
      <c r="A4614" s="3" t="s">
        <v>1603</v>
      </c>
      <c r="B4614" t="s">
        <v>8</v>
      </c>
      <c r="C4614" s="3" t="s">
        <v>983</v>
      </c>
      <c r="D4614" s="3" t="s">
        <v>54</v>
      </c>
    </row>
    <row r="4615" spans="1:4" x14ac:dyDescent="0.2">
      <c r="A4615" s="3" t="s">
        <v>1605</v>
      </c>
      <c r="B4615" t="s">
        <v>8</v>
      </c>
      <c r="C4615" s="3" t="s">
        <v>1601</v>
      </c>
      <c r="D4615" s="3" t="s">
        <v>53</v>
      </c>
    </row>
    <row r="4616" spans="1:4" x14ac:dyDescent="0.2">
      <c r="A4616" s="3" t="s">
        <v>1605</v>
      </c>
      <c r="B4616" t="s">
        <v>8</v>
      </c>
      <c r="C4616" s="3" t="s">
        <v>1602</v>
      </c>
      <c r="D4616" s="3" t="s">
        <v>53</v>
      </c>
    </row>
    <row r="4617" spans="1:4" x14ac:dyDescent="0.2">
      <c r="A4617" s="3" t="s">
        <v>1605</v>
      </c>
      <c r="B4617" t="s">
        <v>8</v>
      </c>
      <c r="C4617" s="3" t="s">
        <v>994</v>
      </c>
      <c r="D4617" s="3" t="s">
        <v>53</v>
      </c>
    </row>
    <row r="4618" spans="1:4" x14ac:dyDescent="0.2">
      <c r="A4618" s="3" t="s">
        <v>1605</v>
      </c>
      <c r="B4618" t="s">
        <v>8</v>
      </c>
      <c r="C4618" s="3" t="s">
        <v>926</v>
      </c>
      <c r="D4618" s="3" t="s">
        <v>53</v>
      </c>
    </row>
    <row r="4619" spans="1:4" x14ac:dyDescent="0.2">
      <c r="A4619" s="3" t="s">
        <v>1605</v>
      </c>
      <c r="B4619" t="s">
        <v>8</v>
      </c>
      <c r="C4619" s="3" t="s">
        <v>944</v>
      </c>
      <c r="D4619" s="3" t="s">
        <v>53</v>
      </c>
    </row>
    <row r="4620" spans="1:4" x14ac:dyDescent="0.2">
      <c r="A4620" s="3" t="s">
        <v>1605</v>
      </c>
      <c r="B4620" t="s">
        <v>8</v>
      </c>
      <c r="C4620" s="3" t="s">
        <v>974</v>
      </c>
      <c r="D4620" s="3" t="s">
        <v>53</v>
      </c>
    </row>
    <row r="4621" spans="1:4" x14ac:dyDescent="0.2">
      <c r="A4621" s="3" t="s">
        <v>1605</v>
      </c>
      <c r="B4621" t="s">
        <v>8</v>
      </c>
      <c r="C4621" s="3" t="s">
        <v>945</v>
      </c>
      <c r="D4621" s="3" t="s">
        <v>53</v>
      </c>
    </row>
    <row r="4622" spans="1:4" x14ac:dyDescent="0.2">
      <c r="A4622" s="3" t="s">
        <v>1605</v>
      </c>
      <c r="B4622" t="s">
        <v>8</v>
      </c>
      <c r="C4622" s="3" t="s">
        <v>946</v>
      </c>
      <c r="D4622" s="3" t="s">
        <v>53</v>
      </c>
    </row>
    <row r="4623" spans="1:4" x14ac:dyDescent="0.2">
      <c r="A4623" s="3" t="s">
        <v>1605</v>
      </c>
      <c r="B4623" t="s">
        <v>8</v>
      </c>
      <c r="C4623" s="3" t="s">
        <v>947</v>
      </c>
      <c r="D4623" s="3" t="s">
        <v>53</v>
      </c>
    </row>
    <row r="4624" spans="1:4" x14ac:dyDescent="0.2">
      <c r="A4624" s="3" t="s">
        <v>1605</v>
      </c>
      <c r="B4624" t="s">
        <v>8</v>
      </c>
      <c r="C4624" s="3" t="s">
        <v>1601</v>
      </c>
      <c r="D4624" s="3" t="s">
        <v>54</v>
      </c>
    </row>
    <row r="4625" spans="1:4" x14ac:dyDescent="0.2">
      <c r="A4625" s="3" t="s">
        <v>1605</v>
      </c>
      <c r="B4625" t="s">
        <v>8</v>
      </c>
      <c r="C4625" s="3" t="s">
        <v>1602</v>
      </c>
      <c r="D4625" s="3" t="s">
        <v>54</v>
      </c>
    </row>
    <row r="4626" spans="1:4" x14ac:dyDescent="0.2">
      <c r="A4626" s="3" t="s">
        <v>1605</v>
      </c>
      <c r="B4626" t="s">
        <v>8</v>
      </c>
      <c r="C4626" s="3" t="s">
        <v>994</v>
      </c>
      <c r="D4626" s="3" t="s">
        <v>54</v>
      </c>
    </row>
    <row r="4627" spans="1:4" x14ac:dyDescent="0.2">
      <c r="A4627" s="3" t="s">
        <v>1605</v>
      </c>
      <c r="B4627" t="s">
        <v>8</v>
      </c>
      <c r="C4627" s="3" t="s">
        <v>926</v>
      </c>
      <c r="D4627" s="3" t="s">
        <v>54</v>
      </c>
    </row>
    <row r="4628" spans="1:4" x14ac:dyDescent="0.2">
      <c r="A4628" s="3" t="s">
        <v>1605</v>
      </c>
      <c r="B4628" t="s">
        <v>8</v>
      </c>
      <c r="C4628" s="3" t="s">
        <v>944</v>
      </c>
      <c r="D4628" s="3" t="s">
        <v>54</v>
      </c>
    </row>
    <row r="4629" spans="1:4" x14ac:dyDescent="0.2">
      <c r="A4629" s="3" t="s">
        <v>1605</v>
      </c>
      <c r="B4629" t="s">
        <v>8</v>
      </c>
      <c r="C4629" s="3" t="s">
        <v>974</v>
      </c>
      <c r="D4629" s="3" t="s">
        <v>54</v>
      </c>
    </row>
    <row r="4630" spans="1:4" x14ac:dyDescent="0.2">
      <c r="A4630" s="3" t="s">
        <v>1605</v>
      </c>
      <c r="B4630" t="s">
        <v>8</v>
      </c>
      <c r="C4630" s="3" t="s">
        <v>945</v>
      </c>
      <c r="D4630" s="3" t="s">
        <v>54</v>
      </c>
    </row>
    <row r="4631" spans="1:4" x14ac:dyDescent="0.2">
      <c r="A4631" s="3" t="s">
        <v>1605</v>
      </c>
      <c r="B4631" t="s">
        <v>8</v>
      </c>
      <c r="C4631" s="3" t="s">
        <v>946</v>
      </c>
      <c r="D4631" s="3" t="s">
        <v>54</v>
      </c>
    </row>
    <row r="4632" spans="1:4" x14ac:dyDescent="0.2">
      <c r="A4632" s="3" t="s">
        <v>1605</v>
      </c>
      <c r="B4632" t="s">
        <v>8</v>
      </c>
      <c r="C4632" s="3" t="s">
        <v>947</v>
      </c>
      <c r="D4632" s="3" t="s">
        <v>54</v>
      </c>
    </row>
    <row r="4633" spans="1:4" x14ac:dyDescent="0.2">
      <c r="A4633" s="3" t="s">
        <v>1605</v>
      </c>
      <c r="B4633" t="s">
        <v>8</v>
      </c>
      <c r="C4633" s="3" t="s">
        <v>1601</v>
      </c>
      <c r="D4633" s="3" t="s">
        <v>55</v>
      </c>
    </row>
    <row r="4634" spans="1:4" x14ac:dyDescent="0.2">
      <c r="A4634" s="3" t="s">
        <v>1605</v>
      </c>
      <c r="B4634" t="s">
        <v>8</v>
      </c>
      <c r="C4634" s="3" t="s">
        <v>1602</v>
      </c>
      <c r="D4634" s="3" t="s">
        <v>55</v>
      </c>
    </row>
    <row r="4635" spans="1:4" x14ac:dyDescent="0.2">
      <c r="A4635" s="3" t="s">
        <v>1605</v>
      </c>
      <c r="B4635" t="s">
        <v>8</v>
      </c>
      <c r="C4635" s="3" t="s">
        <v>994</v>
      </c>
      <c r="D4635" s="3" t="s">
        <v>55</v>
      </c>
    </row>
    <row r="4636" spans="1:4" x14ac:dyDescent="0.2">
      <c r="A4636" s="3" t="s">
        <v>1605</v>
      </c>
      <c r="B4636" t="s">
        <v>8</v>
      </c>
      <c r="C4636" s="3" t="s">
        <v>926</v>
      </c>
      <c r="D4636" s="3" t="s">
        <v>55</v>
      </c>
    </row>
    <row r="4637" spans="1:4" x14ac:dyDescent="0.2">
      <c r="A4637" s="3" t="s">
        <v>1605</v>
      </c>
      <c r="B4637" t="s">
        <v>8</v>
      </c>
      <c r="C4637" s="3" t="s">
        <v>944</v>
      </c>
      <c r="D4637" s="3" t="s">
        <v>55</v>
      </c>
    </row>
    <row r="4638" spans="1:4" x14ac:dyDescent="0.2">
      <c r="A4638" s="3" t="s">
        <v>1605</v>
      </c>
      <c r="B4638" t="s">
        <v>8</v>
      </c>
      <c r="C4638" s="3" t="s">
        <v>974</v>
      </c>
      <c r="D4638" s="3" t="s">
        <v>55</v>
      </c>
    </row>
    <row r="4639" spans="1:4" x14ac:dyDescent="0.2">
      <c r="A4639" s="3" t="s">
        <v>1605</v>
      </c>
      <c r="B4639" t="s">
        <v>8</v>
      </c>
      <c r="C4639" s="3" t="s">
        <v>945</v>
      </c>
      <c r="D4639" s="3" t="s">
        <v>55</v>
      </c>
    </row>
    <row r="4640" spans="1:4" x14ac:dyDescent="0.2">
      <c r="A4640" s="3" t="s">
        <v>1605</v>
      </c>
      <c r="B4640" t="s">
        <v>8</v>
      </c>
      <c r="C4640" s="3" t="s">
        <v>946</v>
      </c>
      <c r="D4640" s="3" t="s">
        <v>55</v>
      </c>
    </row>
    <row r="4641" spans="1:4" x14ac:dyDescent="0.2">
      <c r="A4641" s="3" t="s">
        <v>1605</v>
      </c>
      <c r="B4641" t="s">
        <v>8</v>
      </c>
      <c r="C4641" s="3" t="s">
        <v>947</v>
      </c>
      <c r="D4641" s="3" t="s">
        <v>55</v>
      </c>
    </row>
    <row r="4642" spans="1:4" x14ac:dyDescent="0.2">
      <c r="A4642" s="3" t="s">
        <v>1605</v>
      </c>
      <c r="B4642" t="s">
        <v>8</v>
      </c>
      <c r="C4642" s="3" t="s">
        <v>1601</v>
      </c>
      <c r="D4642" s="3" t="s">
        <v>56</v>
      </c>
    </row>
    <row r="4643" spans="1:4" x14ac:dyDescent="0.2">
      <c r="A4643" s="3" t="s">
        <v>1605</v>
      </c>
      <c r="B4643" t="s">
        <v>8</v>
      </c>
      <c r="C4643" s="3" t="s">
        <v>1602</v>
      </c>
      <c r="D4643" s="3" t="s">
        <v>56</v>
      </c>
    </row>
    <row r="4644" spans="1:4" x14ac:dyDescent="0.2">
      <c r="A4644" s="3" t="s">
        <v>1605</v>
      </c>
      <c r="B4644" t="s">
        <v>8</v>
      </c>
      <c r="C4644" s="3" t="s">
        <v>994</v>
      </c>
      <c r="D4644" s="3" t="s">
        <v>56</v>
      </c>
    </row>
    <row r="4645" spans="1:4" x14ac:dyDescent="0.2">
      <c r="A4645" s="3" t="s">
        <v>1605</v>
      </c>
      <c r="B4645" t="s">
        <v>8</v>
      </c>
      <c r="C4645" s="3" t="s">
        <v>926</v>
      </c>
      <c r="D4645" s="3" t="s">
        <v>56</v>
      </c>
    </row>
    <row r="4646" spans="1:4" x14ac:dyDescent="0.2">
      <c r="A4646" s="3" t="s">
        <v>1605</v>
      </c>
      <c r="B4646" t="s">
        <v>8</v>
      </c>
      <c r="C4646" s="3" t="s">
        <v>944</v>
      </c>
      <c r="D4646" s="3" t="s">
        <v>56</v>
      </c>
    </row>
    <row r="4647" spans="1:4" x14ac:dyDescent="0.2">
      <c r="A4647" s="3" t="s">
        <v>1605</v>
      </c>
      <c r="B4647" t="s">
        <v>8</v>
      </c>
      <c r="C4647" s="3" t="s">
        <v>974</v>
      </c>
      <c r="D4647" s="3" t="s">
        <v>56</v>
      </c>
    </row>
    <row r="4648" spans="1:4" x14ac:dyDescent="0.2">
      <c r="A4648" s="3" t="s">
        <v>1605</v>
      </c>
      <c r="B4648" t="s">
        <v>8</v>
      </c>
      <c r="C4648" s="3" t="s">
        <v>945</v>
      </c>
      <c r="D4648" s="3" t="s">
        <v>56</v>
      </c>
    </row>
    <row r="4649" spans="1:4" x14ac:dyDescent="0.2">
      <c r="A4649" s="3" t="s">
        <v>1605</v>
      </c>
      <c r="B4649" t="s">
        <v>8</v>
      </c>
      <c r="C4649" s="3" t="s">
        <v>946</v>
      </c>
      <c r="D4649" s="3" t="s">
        <v>56</v>
      </c>
    </row>
    <row r="4650" spans="1:4" x14ac:dyDescent="0.2">
      <c r="A4650" s="3" t="s">
        <v>1605</v>
      </c>
      <c r="B4650" t="s">
        <v>8</v>
      </c>
      <c r="C4650" s="3" t="s">
        <v>947</v>
      </c>
      <c r="D4650" s="3" t="s">
        <v>56</v>
      </c>
    </row>
    <row r="4651" spans="1:4" x14ac:dyDescent="0.2">
      <c r="A4651" s="3" t="s">
        <v>1605</v>
      </c>
      <c r="B4651" t="s">
        <v>8</v>
      </c>
      <c r="C4651" s="3" t="s">
        <v>1601</v>
      </c>
      <c r="D4651" s="3" t="s">
        <v>57</v>
      </c>
    </row>
    <row r="4652" spans="1:4" x14ac:dyDescent="0.2">
      <c r="A4652" s="3" t="s">
        <v>1605</v>
      </c>
      <c r="B4652" t="s">
        <v>8</v>
      </c>
      <c r="C4652" s="3" t="s">
        <v>1602</v>
      </c>
      <c r="D4652" s="3" t="s">
        <v>57</v>
      </c>
    </row>
    <row r="4653" spans="1:4" x14ac:dyDescent="0.2">
      <c r="A4653" s="3" t="s">
        <v>1605</v>
      </c>
      <c r="B4653" t="s">
        <v>8</v>
      </c>
      <c r="C4653" s="3" t="s">
        <v>994</v>
      </c>
      <c r="D4653" s="3" t="s">
        <v>57</v>
      </c>
    </row>
    <row r="4654" spans="1:4" x14ac:dyDescent="0.2">
      <c r="A4654" s="3" t="s">
        <v>1605</v>
      </c>
      <c r="B4654" t="s">
        <v>8</v>
      </c>
      <c r="C4654" s="3" t="s">
        <v>926</v>
      </c>
      <c r="D4654" s="3" t="s">
        <v>57</v>
      </c>
    </row>
    <row r="4655" spans="1:4" x14ac:dyDescent="0.2">
      <c r="A4655" s="3" t="s">
        <v>1605</v>
      </c>
      <c r="B4655" t="s">
        <v>8</v>
      </c>
      <c r="C4655" s="3" t="s">
        <v>944</v>
      </c>
      <c r="D4655" s="3" t="s">
        <v>57</v>
      </c>
    </row>
    <row r="4656" spans="1:4" x14ac:dyDescent="0.2">
      <c r="A4656" s="3" t="s">
        <v>1605</v>
      </c>
      <c r="B4656" t="s">
        <v>8</v>
      </c>
      <c r="C4656" s="3" t="s">
        <v>974</v>
      </c>
      <c r="D4656" s="3" t="s">
        <v>57</v>
      </c>
    </row>
    <row r="4657" spans="1:4" x14ac:dyDescent="0.2">
      <c r="A4657" s="3" t="s">
        <v>1605</v>
      </c>
      <c r="B4657" t="s">
        <v>8</v>
      </c>
      <c r="C4657" s="3" t="s">
        <v>945</v>
      </c>
      <c r="D4657" s="3" t="s">
        <v>57</v>
      </c>
    </row>
    <row r="4658" spans="1:4" x14ac:dyDescent="0.2">
      <c r="A4658" s="3" t="s">
        <v>1605</v>
      </c>
      <c r="B4658" t="s">
        <v>8</v>
      </c>
      <c r="C4658" s="3" t="s">
        <v>946</v>
      </c>
      <c r="D4658" s="3" t="s">
        <v>57</v>
      </c>
    </row>
    <row r="4659" spans="1:4" x14ac:dyDescent="0.2">
      <c r="A4659" s="3" t="s">
        <v>1605</v>
      </c>
      <c r="B4659" t="s">
        <v>8</v>
      </c>
      <c r="C4659" s="3" t="s">
        <v>947</v>
      </c>
      <c r="D4659" s="3" t="s">
        <v>57</v>
      </c>
    </row>
    <row r="4660" spans="1:4" x14ac:dyDescent="0.2">
      <c r="A4660" s="3" t="s">
        <v>1605</v>
      </c>
      <c r="B4660" t="s">
        <v>8</v>
      </c>
      <c r="C4660" s="3" t="s">
        <v>960</v>
      </c>
      <c r="D4660" s="3" t="s">
        <v>169</v>
      </c>
    </row>
    <row r="4661" spans="1:4" x14ac:dyDescent="0.2">
      <c r="A4661" s="3" t="s">
        <v>1606</v>
      </c>
      <c r="B4661" t="s">
        <v>8</v>
      </c>
      <c r="C4661" s="3" t="s">
        <v>1601</v>
      </c>
      <c r="D4661" s="3" t="s">
        <v>53</v>
      </c>
    </row>
    <row r="4662" spans="1:4" x14ac:dyDescent="0.2">
      <c r="A4662" s="3" t="s">
        <v>1606</v>
      </c>
      <c r="B4662" t="s">
        <v>8</v>
      </c>
      <c r="C4662" s="3" t="s">
        <v>1602</v>
      </c>
      <c r="D4662" s="3" t="s">
        <v>53</v>
      </c>
    </row>
    <row r="4663" spans="1:4" x14ac:dyDescent="0.2">
      <c r="A4663" s="3" t="s">
        <v>1606</v>
      </c>
      <c r="B4663" t="s">
        <v>8</v>
      </c>
      <c r="C4663" s="3" t="s">
        <v>927</v>
      </c>
      <c r="D4663" s="3" t="s">
        <v>53</v>
      </c>
    </row>
    <row r="4664" spans="1:4" x14ac:dyDescent="0.2">
      <c r="A4664" s="3" t="s">
        <v>1606</v>
      </c>
      <c r="B4664" t="s">
        <v>8</v>
      </c>
      <c r="C4664" s="3" t="s">
        <v>1601</v>
      </c>
      <c r="D4664" s="3" t="s">
        <v>54</v>
      </c>
    </row>
    <row r="4665" spans="1:4" x14ac:dyDescent="0.2">
      <c r="A4665" s="3" t="s">
        <v>1606</v>
      </c>
      <c r="B4665" t="s">
        <v>8</v>
      </c>
      <c r="C4665" s="3" t="s">
        <v>1602</v>
      </c>
      <c r="D4665" s="3" t="s">
        <v>54</v>
      </c>
    </row>
    <row r="4666" spans="1:4" x14ac:dyDescent="0.2">
      <c r="A4666" s="3" t="s">
        <v>1606</v>
      </c>
      <c r="B4666" t="s">
        <v>8</v>
      </c>
      <c r="C4666" s="3" t="s">
        <v>927</v>
      </c>
      <c r="D4666" s="3" t="s">
        <v>54</v>
      </c>
    </row>
    <row r="4667" spans="1:4" x14ac:dyDescent="0.2">
      <c r="A4667" s="3" t="s">
        <v>1606</v>
      </c>
      <c r="B4667" t="s">
        <v>8</v>
      </c>
      <c r="C4667" s="3" t="s">
        <v>1601</v>
      </c>
      <c r="D4667" s="3" t="s">
        <v>55</v>
      </c>
    </row>
    <row r="4668" spans="1:4" x14ac:dyDescent="0.2">
      <c r="A4668" s="3" t="s">
        <v>1606</v>
      </c>
      <c r="B4668" t="s">
        <v>8</v>
      </c>
      <c r="C4668" s="3" t="s">
        <v>1602</v>
      </c>
      <c r="D4668" s="3" t="s">
        <v>55</v>
      </c>
    </row>
    <row r="4669" spans="1:4" x14ac:dyDescent="0.2">
      <c r="A4669" s="3" t="s">
        <v>1606</v>
      </c>
      <c r="B4669" t="s">
        <v>8</v>
      </c>
      <c r="C4669" s="3" t="s">
        <v>927</v>
      </c>
      <c r="D4669" s="3" t="s">
        <v>55</v>
      </c>
    </row>
    <row r="4670" spans="1:4" x14ac:dyDescent="0.2">
      <c r="A4670" s="3" t="s">
        <v>1606</v>
      </c>
      <c r="B4670" t="s">
        <v>8</v>
      </c>
      <c r="C4670" s="3" t="s">
        <v>1601</v>
      </c>
      <c r="D4670" s="3" t="s">
        <v>56</v>
      </c>
    </row>
    <row r="4671" spans="1:4" x14ac:dyDescent="0.2">
      <c r="A4671" s="3" t="s">
        <v>1606</v>
      </c>
      <c r="B4671" t="s">
        <v>8</v>
      </c>
      <c r="C4671" s="3" t="s">
        <v>1602</v>
      </c>
      <c r="D4671" s="3" t="s">
        <v>56</v>
      </c>
    </row>
    <row r="4672" spans="1:4" x14ac:dyDescent="0.2">
      <c r="A4672" s="3" t="s">
        <v>1606</v>
      </c>
      <c r="B4672" t="s">
        <v>8</v>
      </c>
      <c r="C4672" s="3" t="s">
        <v>927</v>
      </c>
      <c r="D4672" s="3" t="s">
        <v>56</v>
      </c>
    </row>
    <row r="4673" spans="1:4" x14ac:dyDescent="0.2">
      <c r="A4673" s="3" t="s">
        <v>1606</v>
      </c>
      <c r="B4673" t="s">
        <v>8</v>
      </c>
      <c r="C4673" s="3" t="s">
        <v>1601</v>
      </c>
      <c r="D4673" s="3" t="s">
        <v>57</v>
      </c>
    </row>
    <row r="4674" spans="1:4" x14ac:dyDescent="0.2">
      <c r="A4674" s="3" t="s">
        <v>1606</v>
      </c>
      <c r="B4674" t="s">
        <v>8</v>
      </c>
      <c r="C4674" s="3" t="s">
        <v>1602</v>
      </c>
      <c r="D4674" s="3" t="s">
        <v>57</v>
      </c>
    </row>
    <row r="4675" spans="1:4" x14ac:dyDescent="0.2">
      <c r="A4675" s="3" t="s">
        <v>1606</v>
      </c>
      <c r="B4675" t="s">
        <v>8</v>
      </c>
      <c r="C4675" s="3" t="s">
        <v>927</v>
      </c>
      <c r="D4675" s="3" t="s">
        <v>57</v>
      </c>
    </row>
    <row r="4676" spans="1:4" x14ac:dyDescent="0.2">
      <c r="A4676" s="3" t="s">
        <v>1606</v>
      </c>
      <c r="B4676" t="s">
        <v>8</v>
      </c>
      <c r="C4676" s="3" t="s">
        <v>942</v>
      </c>
      <c r="D4676" s="3" t="s">
        <v>22</v>
      </c>
    </row>
    <row r="4677" spans="1:4" x14ac:dyDescent="0.2">
      <c r="A4677" s="3" t="s">
        <v>1606</v>
      </c>
      <c r="B4677" t="s">
        <v>8</v>
      </c>
      <c r="C4677" s="3" t="s">
        <v>1607</v>
      </c>
      <c r="D4677" s="3" t="s">
        <v>22</v>
      </c>
    </row>
    <row r="4678" spans="1:4" x14ac:dyDescent="0.2">
      <c r="A4678" s="3" t="s">
        <v>1606</v>
      </c>
      <c r="B4678" t="s">
        <v>8</v>
      </c>
      <c r="C4678" s="3" t="s">
        <v>1608</v>
      </c>
      <c r="D4678" s="3" t="s">
        <v>22</v>
      </c>
    </row>
    <row r="4679" spans="1:4" x14ac:dyDescent="0.2">
      <c r="A4679" s="3" t="s">
        <v>1609</v>
      </c>
      <c r="B4679" t="s">
        <v>8</v>
      </c>
      <c r="C4679" s="3" t="s">
        <v>869</v>
      </c>
      <c r="D4679" s="3" t="s">
        <v>53</v>
      </c>
    </row>
    <row r="4680" spans="1:4" x14ac:dyDescent="0.2">
      <c r="A4680" s="3" t="s">
        <v>1609</v>
      </c>
      <c r="B4680" t="s">
        <v>8</v>
      </c>
      <c r="C4680" s="3" t="s">
        <v>869</v>
      </c>
      <c r="D4680" s="3" t="s">
        <v>54</v>
      </c>
    </row>
    <row r="4681" spans="1:4" x14ac:dyDescent="0.2">
      <c r="A4681" s="3" t="s">
        <v>1609</v>
      </c>
      <c r="B4681" t="s">
        <v>8</v>
      </c>
      <c r="C4681" s="3" t="s">
        <v>869</v>
      </c>
      <c r="D4681" s="3" t="s">
        <v>55</v>
      </c>
    </row>
    <row r="4682" spans="1:4" x14ac:dyDescent="0.2">
      <c r="A4682" s="3" t="s">
        <v>1609</v>
      </c>
      <c r="B4682" t="s">
        <v>8</v>
      </c>
      <c r="C4682" s="3" t="s">
        <v>869</v>
      </c>
      <c r="D4682" s="3" t="s">
        <v>56</v>
      </c>
    </row>
    <row r="4683" spans="1:4" x14ac:dyDescent="0.2">
      <c r="A4683" s="3" t="s">
        <v>1609</v>
      </c>
      <c r="B4683" t="s">
        <v>8</v>
      </c>
      <c r="C4683" s="3" t="s">
        <v>869</v>
      </c>
      <c r="D4683" s="3" t="s">
        <v>57</v>
      </c>
    </row>
    <row r="4684" spans="1:4" x14ac:dyDescent="0.2">
      <c r="A4684" s="3" t="s">
        <v>1609</v>
      </c>
      <c r="B4684" t="s">
        <v>8</v>
      </c>
      <c r="C4684" s="3" t="s">
        <v>1554</v>
      </c>
      <c r="D4684" s="3" t="s">
        <v>22</v>
      </c>
    </row>
    <row r="4685" spans="1:4" x14ac:dyDescent="0.2">
      <c r="A4685" s="3" t="s">
        <v>1609</v>
      </c>
      <c r="B4685" t="s">
        <v>8</v>
      </c>
      <c r="C4685" s="3" t="s">
        <v>1555</v>
      </c>
      <c r="D4685" s="3" t="s">
        <v>22</v>
      </c>
    </row>
    <row r="4686" spans="1:4" x14ac:dyDescent="0.2">
      <c r="A4686" s="3" t="s">
        <v>1609</v>
      </c>
      <c r="B4686" t="s">
        <v>8</v>
      </c>
      <c r="C4686" s="3" t="s">
        <v>1556</v>
      </c>
      <c r="D4686" s="3" t="s">
        <v>22</v>
      </c>
    </row>
    <row r="4687" spans="1:4" x14ac:dyDescent="0.2">
      <c r="A4687" s="3" t="s">
        <v>1610</v>
      </c>
      <c r="B4687" t="s">
        <v>8</v>
      </c>
      <c r="C4687" s="3" t="s">
        <v>1601</v>
      </c>
      <c r="D4687" s="3" t="s">
        <v>53</v>
      </c>
    </row>
    <row r="4688" spans="1:4" x14ac:dyDescent="0.2">
      <c r="A4688" s="3" t="s">
        <v>1610</v>
      </c>
      <c r="B4688" t="s">
        <v>8</v>
      </c>
      <c r="C4688" s="3" t="s">
        <v>1602</v>
      </c>
      <c r="D4688" s="3" t="s">
        <v>53</v>
      </c>
    </row>
    <row r="4689" spans="1:4" x14ac:dyDescent="0.2">
      <c r="A4689" s="3" t="s">
        <v>1610</v>
      </c>
      <c r="B4689" t="s">
        <v>8</v>
      </c>
      <c r="C4689" s="3" t="s">
        <v>1611</v>
      </c>
      <c r="D4689" s="3" t="s">
        <v>53</v>
      </c>
    </row>
    <row r="4690" spans="1:4" x14ac:dyDescent="0.2">
      <c r="A4690" s="3" t="s">
        <v>1610</v>
      </c>
      <c r="B4690" t="s">
        <v>8</v>
      </c>
      <c r="C4690" s="3" t="s">
        <v>1612</v>
      </c>
      <c r="D4690" s="3" t="s">
        <v>53</v>
      </c>
    </row>
    <row r="4691" spans="1:4" x14ac:dyDescent="0.2">
      <c r="A4691" s="3" t="s">
        <v>1610</v>
      </c>
      <c r="B4691" t="s">
        <v>8</v>
      </c>
      <c r="C4691" s="3" t="s">
        <v>927</v>
      </c>
      <c r="D4691" s="3" t="s">
        <v>53</v>
      </c>
    </row>
    <row r="4692" spans="1:4" x14ac:dyDescent="0.2">
      <c r="A4692" s="3" t="s">
        <v>1610</v>
      </c>
      <c r="B4692" t="s">
        <v>8</v>
      </c>
      <c r="C4692" s="3" t="s">
        <v>928</v>
      </c>
      <c r="D4692" s="3" t="s">
        <v>53</v>
      </c>
    </row>
    <row r="4693" spans="1:4" x14ac:dyDescent="0.2">
      <c r="A4693" s="3" t="s">
        <v>1610</v>
      </c>
      <c r="B4693" t="s">
        <v>8</v>
      </c>
      <c r="C4693" s="3" t="s">
        <v>1613</v>
      </c>
      <c r="D4693" s="3" t="s">
        <v>53</v>
      </c>
    </row>
    <row r="4694" spans="1:4" x14ac:dyDescent="0.2">
      <c r="A4694" s="3" t="s">
        <v>1610</v>
      </c>
      <c r="B4694" t="s">
        <v>8</v>
      </c>
      <c r="C4694" s="3" t="s">
        <v>948</v>
      </c>
      <c r="D4694" s="3" t="s">
        <v>53</v>
      </c>
    </row>
    <row r="4695" spans="1:4" x14ac:dyDescent="0.2">
      <c r="A4695" s="3" t="s">
        <v>1610</v>
      </c>
      <c r="B4695" t="s">
        <v>8</v>
      </c>
      <c r="C4695" s="3" t="s">
        <v>949</v>
      </c>
      <c r="D4695" s="3" t="s">
        <v>53</v>
      </c>
    </row>
    <row r="4696" spans="1:4" x14ac:dyDescent="0.2">
      <c r="A4696" s="3" t="s">
        <v>1610</v>
      </c>
      <c r="B4696" t="s">
        <v>8</v>
      </c>
      <c r="C4696" s="3" t="s">
        <v>1614</v>
      </c>
      <c r="D4696" s="3" t="s">
        <v>53</v>
      </c>
    </row>
    <row r="4697" spans="1:4" x14ac:dyDescent="0.2">
      <c r="A4697" s="3" t="s">
        <v>1610</v>
      </c>
      <c r="B4697" t="s">
        <v>8</v>
      </c>
      <c r="C4697" s="3" t="s">
        <v>1615</v>
      </c>
      <c r="D4697" s="3" t="s">
        <v>53</v>
      </c>
    </row>
    <row r="4698" spans="1:4" x14ac:dyDescent="0.2">
      <c r="A4698" s="3" t="s">
        <v>1610</v>
      </c>
      <c r="B4698" t="s">
        <v>8</v>
      </c>
      <c r="C4698" s="3" t="s">
        <v>1616</v>
      </c>
      <c r="D4698" s="3" t="s">
        <v>53</v>
      </c>
    </row>
    <row r="4699" spans="1:4" x14ac:dyDescent="0.2">
      <c r="A4699" s="3" t="s">
        <v>1610</v>
      </c>
      <c r="B4699" t="s">
        <v>8</v>
      </c>
      <c r="C4699" s="3" t="s">
        <v>1617</v>
      </c>
      <c r="D4699" s="3" t="s">
        <v>53</v>
      </c>
    </row>
    <row r="4700" spans="1:4" x14ac:dyDescent="0.2">
      <c r="A4700" s="3" t="s">
        <v>1610</v>
      </c>
      <c r="B4700" t="s">
        <v>8</v>
      </c>
      <c r="C4700" s="3" t="s">
        <v>1618</v>
      </c>
      <c r="D4700" s="3" t="s">
        <v>53</v>
      </c>
    </row>
    <row r="4701" spans="1:4" x14ac:dyDescent="0.2">
      <c r="A4701" s="3" t="s">
        <v>1610</v>
      </c>
      <c r="B4701" t="s">
        <v>8</v>
      </c>
      <c r="C4701" s="3" t="s">
        <v>1619</v>
      </c>
      <c r="D4701" s="3" t="s">
        <v>53</v>
      </c>
    </row>
    <row r="4702" spans="1:4" x14ac:dyDescent="0.2">
      <c r="A4702" s="3" t="s">
        <v>1610</v>
      </c>
      <c r="B4702" t="s">
        <v>8</v>
      </c>
      <c r="C4702" s="3" t="s">
        <v>1601</v>
      </c>
      <c r="D4702" s="3" t="s">
        <v>54</v>
      </c>
    </row>
    <row r="4703" spans="1:4" x14ac:dyDescent="0.2">
      <c r="A4703" s="3" t="s">
        <v>1610</v>
      </c>
      <c r="B4703" t="s">
        <v>8</v>
      </c>
      <c r="C4703" s="3" t="s">
        <v>1602</v>
      </c>
      <c r="D4703" s="3" t="s">
        <v>54</v>
      </c>
    </row>
    <row r="4704" spans="1:4" x14ac:dyDescent="0.2">
      <c r="A4704" s="3" t="s">
        <v>1610</v>
      </c>
      <c r="B4704" t="s">
        <v>8</v>
      </c>
      <c r="C4704" s="3" t="s">
        <v>1611</v>
      </c>
      <c r="D4704" s="3" t="s">
        <v>54</v>
      </c>
    </row>
    <row r="4705" spans="1:4" x14ac:dyDescent="0.2">
      <c r="A4705" s="3" t="s">
        <v>1610</v>
      </c>
      <c r="B4705" t="s">
        <v>8</v>
      </c>
      <c r="C4705" s="3" t="s">
        <v>1612</v>
      </c>
      <c r="D4705" s="3" t="s">
        <v>54</v>
      </c>
    </row>
    <row r="4706" spans="1:4" x14ac:dyDescent="0.2">
      <c r="A4706" s="3" t="s">
        <v>1610</v>
      </c>
      <c r="B4706" t="s">
        <v>8</v>
      </c>
      <c r="C4706" s="3" t="s">
        <v>927</v>
      </c>
      <c r="D4706" s="3" t="s">
        <v>54</v>
      </c>
    </row>
    <row r="4707" spans="1:4" x14ac:dyDescent="0.2">
      <c r="A4707" s="3" t="s">
        <v>1610</v>
      </c>
      <c r="B4707" t="s">
        <v>8</v>
      </c>
      <c r="C4707" s="3" t="s">
        <v>928</v>
      </c>
      <c r="D4707" s="3" t="s">
        <v>54</v>
      </c>
    </row>
    <row r="4708" spans="1:4" x14ac:dyDescent="0.2">
      <c r="A4708" s="3" t="s">
        <v>1610</v>
      </c>
      <c r="B4708" t="s">
        <v>8</v>
      </c>
      <c r="C4708" s="3" t="s">
        <v>1613</v>
      </c>
      <c r="D4708" s="3" t="s">
        <v>54</v>
      </c>
    </row>
    <row r="4709" spans="1:4" x14ac:dyDescent="0.2">
      <c r="A4709" s="3" t="s">
        <v>1610</v>
      </c>
      <c r="B4709" t="s">
        <v>8</v>
      </c>
      <c r="C4709" s="3" t="s">
        <v>948</v>
      </c>
      <c r="D4709" s="3" t="s">
        <v>54</v>
      </c>
    </row>
    <row r="4710" spans="1:4" x14ac:dyDescent="0.2">
      <c r="A4710" s="3" t="s">
        <v>1610</v>
      </c>
      <c r="B4710" t="s">
        <v>8</v>
      </c>
      <c r="C4710" s="3" t="s">
        <v>949</v>
      </c>
      <c r="D4710" s="3" t="s">
        <v>54</v>
      </c>
    </row>
    <row r="4711" spans="1:4" x14ac:dyDescent="0.2">
      <c r="A4711" s="3" t="s">
        <v>1610</v>
      </c>
      <c r="B4711" t="s">
        <v>8</v>
      </c>
      <c r="C4711" s="3" t="s">
        <v>1614</v>
      </c>
      <c r="D4711" s="3" t="s">
        <v>54</v>
      </c>
    </row>
    <row r="4712" spans="1:4" x14ac:dyDescent="0.2">
      <c r="A4712" s="3" t="s">
        <v>1610</v>
      </c>
      <c r="B4712" t="s">
        <v>8</v>
      </c>
      <c r="C4712" s="3" t="s">
        <v>1615</v>
      </c>
      <c r="D4712" s="3" t="s">
        <v>54</v>
      </c>
    </row>
    <row r="4713" spans="1:4" x14ac:dyDescent="0.2">
      <c r="A4713" s="3" t="s">
        <v>1610</v>
      </c>
      <c r="B4713" t="s">
        <v>8</v>
      </c>
      <c r="C4713" s="3" t="s">
        <v>1616</v>
      </c>
      <c r="D4713" s="3" t="s">
        <v>54</v>
      </c>
    </row>
    <row r="4714" spans="1:4" x14ac:dyDescent="0.2">
      <c r="A4714" s="3" t="s">
        <v>1610</v>
      </c>
      <c r="B4714" t="s">
        <v>8</v>
      </c>
      <c r="C4714" s="3" t="s">
        <v>1617</v>
      </c>
      <c r="D4714" s="3" t="s">
        <v>54</v>
      </c>
    </row>
    <row r="4715" spans="1:4" x14ac:dyDescent="0.2">
      <c r="A4715" s="3" t="s">
        <v>1610</v>
      </c>
      <c r="B4715" t="s">
        <v>8</v>
      </c>
      <c r="C4715" s="3" t="s">
        <v>1618</v>
      </c>
      <c r="D4715" s="3" t="s">
        <v>54</v>
      </c>
    </row>
    <row r="4716" spans="1:4" x14ac:dyDescent="0.2">
      <c r="A4716" s="3" t="s">
        <v>1610</v>
      </c>
      <c r="B4716" t="s">
        <v>8</v>
      </c>
      <c r="C4716" s="3" t="s">
        <v>1619</v>
      </c>
      <c r="D4716" s="3" t="s">
        <v>54</v>
      </c>
    </row>
    <row r="4717" spans="1:4" x14ac:dyDescent="0.2">
      <c r="A4717" s="3" t="s">
        <v>1610</v>
      </c>
      <c r="B4717" t="s">
        <v>8</v>
      </c>
      <c r="C4717" s="3" t="s">
        <v>1601</v>
      </c>
      <c r="D4717" s="3" t="s">
        <v>55</v>
      </c>
    </row>
    <row r="4718" spans="1:4" x14ac:dyDescent="0.2">
      <c r="A4718" s="3" t="s">
        <v>1610</v>
      </c>
      <c r="B4718" t="s">
        <v>8</v>
      </c>
      <c r="C4718" s="3" t="s">
        <v>1602</v>
      </c>
      <c r="D4718" s="3" t="s">
        <v>55</v>
      </c>
    </row>
    <row r="4719" spans="1:4" x14ac:dyDescent="0.2">
      <c r="A4719" s="3" t="s">
        <v>1610</v>
      </c>
      <c r="B4719" t="s">
        <v>8</v>
      </c>
      <c r="C4719" s="3" t="s">
        <v>1611</v>
      </c>
      <c r="D4719" s="3" t="s">
        <v>55</v>
      </c>
    </row>
    <row r="4720" spans="1:4" x14ac:dyDescent="0.2">
      <c r="A4720" s="3" t="s">
        <v>1610</v>
      </c>
      <c r="B4720" t="s">
        <v>8</v>
      </c>
      <c r="C4720" s="3" t="s">
        <v>1612</v>
      </c>
      <c r="D4720" s="3" t="s">
        <v>55</v>
      </c>
    </row>
    <row r="4721" spans="1:4" x14ac:dyDescent="0.2">
      <c r="A4721" s="3" t="s">
        <v>1610</v>
      </c>
      <c r="B4721" t="s">
        <v>8</v>
      </c>
      <c r="C4721" s="3" t="s">
        <v>927</v>
      </c>
      <c r="D4721" s="3" t="s">
        <v>55</v>
      </c>
    </row>
    <row r="4722" spans="1:4" x14ac:dyDescent="0.2">
      <c r="A4722" s="3" t="s">
        <v>1610</v>
      </c>
      <c r="B4722" t="s">
        <v>8</v>
      </c>
      <c r="C4722" s="3" t="s">
        <v>928</v>
      </c>
      <c r="D4722" s="3" t="s">
        <v>55</v>
      </c>
    </row>
    <row r="4723" spans="1:4" x14ac:dyDescent="0.2">
      <c r="A4723" s="3" t="s">
        <v>1610</v>
      </c>
      <c r="B4723" t="s">
        <v>8</v>
      </c>
      <c r="C4723" s="3" t="s">
        <v>1613</v>
      </c>
      <c r="D4723" s="3" t="s">
        <v>55</v>
      </c>
    </row>
    <row r="4724" spans="1:4" x14ac:dyDescent="0.2">
      <c r="A4724" s="3" t="s">
        <v>1610</v>
      </c>
      <c r="B4724" t="s">
        <v>8</v>
      </c>
      <c r="C4724" s="3" t="s">
        <v>948</v>
      </c>
      <c r="D4724" s="3" t="s">
        <v>55</v>
      </c>
    </row>
    <row r="4725" spans="1:4" x14ac:dyDescent="0.2">
      <c r="A4725" s="3" t="s">
        <v>1610</v>
      </c>
      <c r="B4725" t="s">
        <v>8</v>
      </c>
      <c r="C4725" s="3" t="s">
        <v>949</v>
      </c>
      <c r="D4725" s="3" t="s">
        <v>55</v>
      </c>
    </row>
    <row r="4726" spans="1:4" x14ac:dyDescent="0.2">
      <c r="A4726" s="3" t="s">
        <v>1610</v>
      </c>
      <c r="B4726" t="s">
        <v>8</v>
      </c>
      <c r="C4726" s="3" t="s">
        <v>1614</v>
      </c>
      <c r="D4726" s="3" t="s">
        <v>55</v>
      </c>
    </row>
    <row r="4727" spans="1:4" x14ac:dyDescent="0.2">
      <c r="A4727" s="3" t="s">
        <v>1610</v>
      </c>
      <c r="B4727" t="s">
        <v>8</v>
      </c>
      <c r="C4727" s="3" t="s">
        <v>1615</v>
      </c>
      <c r="D4727" s="3" t="s">
        <v>55</v>
      </c>
    </row>
    <row r="4728" spans="1:4" x14ac:dyDescent="0.2">
      <c r="A4728" s="3" t="s">
        <v>1610</v>
      </c>
      <c r="B4728" t="s">
        <v>8</v>
      </c>
      <c r="C4728" s="3" t="s">
        <v>1616</v>
      </c>
      <c r="D4728" s="3" t="s">
        <v>55</v>
      </c>
    </row>
    <row r="4729" spans="1:4" x14ac:dyDescent="0.2">
      <c r="A4729" s="3" t="s">
        <v>1610</v>
      </c>
      <c r="B4729" t="s">
        <v>8</v>
      </c>
      <c r="C4729" s="3" t="s">
        <v>1617</v>
      </c>
      <c r="D4729" s="3" t="s">
        <v>55</v>
      </c>
    </row>
    <row r="4730" spans="1:4" x14ac:dyDescent="0.2">
      <c r="A4730" s="3" t="s">
        <v>1610</v>
      </c>
      <c r="B4730" t="s">
        <v>8</v>
      </c>
      <c r="C4730" s="3" t="s">
        <v>1618</v>
      </c>
      <c r="D4730" s="3" t="s">
        <v>55</v>
      </c>
    </row>
    <row r="4731" spans="1:4" x14ac:dyDescent="0.2">
      <c r="A4731" s="3" t="s">
        <v>1610</v>
      </c>
      <c r="B4731" t="s">
        <v>8</v>
      </c>
      <c r="C4731" s="3" t="s">
        <v>1619</v>
      </c>
      <c r="D4731" s="3" t="s">
        <v>55</v>
      </c>
    </row>
    <row r="4732" spans="1:4" x14ac:dyDescent="0.2">
      <c r="A4732" s="3" t="s">
        <v>1610</v>
      </c>
      <c r="B4732" t="s">
        <v>8</v>
      </c>
      <c r="C4732" s="3" t="s">
        <v>1601</v>
      </c>
      <c r="D4732" s="3" t="s">
        <v>56</v>
      </c>
    </row>
    <row r="4733" spans="1:4" x14ac:dyDescent="0.2">
      <c r="A4733" s="3" t="s">
        <v>1610</v>
      </c>
      <c r="B4733" t="s">
        <v>8</v>
      </c>
      <c r="C4733" s="3" t="s">
        <v>1602</v>
      </c>
      <c r="D4733" s="3" t="s">
        <v>56</v>
      </c>
    </row>
    <row r="4734" spans="1:4" x14ac:dyDescent="0.2">
      <c r="A4734" s="3" t="s">
        <v>1610</v>
      </c>
      <c r="B4734" t="s">
        <v>8</v>
      </c>
      <c r="C4734" s="3" t="s">
        <v>1611</v>
      </c>
      <c r="D4734" s="3" t="s">
        <v>56</v>
      </c>
    </row>
    <row r="4735" spans="1:4" x14ac:dyDescent="0.2">
      <c r="A4735" s="3" t="s">
        <v>1610</v>
      </c>
      <c r="B4735" t="s">
        <v>8</v>
      </c>
      <c r="C4735" s="3" t="s">
        <v>1612</v>
      </c>
      <c r="D4735" s="3" t="s">
        <v>56</v>
      </c>
    </row>
    <row r="4736" spans="1:4" x14ac:dyDescent="0.2">
      <c r="A4736" s="3" t="s">
        <v>1610</v>
      </c>
      <c r="B4736" t="s">
        <v>8</v>
      </c>
      <c r="C4736" s="3" t="s">
        <v>927</v>
      </c>
      <c r="D4736" s="3" t="s">
        <v>56</v>
      </c>
    </row>
    <row r="4737" spans="1:4" x14ac:dyDescent="0.2">
      <c r="A4737" s="3" t="s">
        <v>1610</v>
      </c>
      <c r="B4737" t="s">
        <v>8</v>
      </c>
      <c r="C4737" s="3" t="s">
        <v>928</v>
      </c>
      <c r="D4737" s="3" t="s">
        <v>56</v>
      </c>
    </row>
    <row r="4738" spans="1:4" x14ac:dyDescent="0.2">
      <c r="A4738" s="3" t="s">
        <v>1610</v>
      </c>
      <c r="B4738" t="s">
        <v>8</v>
      </c>
      <c r="C4738" s="3" t="s">
        <v>1613</v>
      </c>
      <c r="D4738" s="3" t="s">
        <v>56</v>
      </c>
    </row>
    <row r="4739" spans="1:4" x14ac:dyDescent="0.2">
      <c r="A4739" s="3" t="s">
        <v>1610</v>
      </c>
      <c r="B4739" t="s">
        <v>8</v>
      </c>
      <c r="C4739" s="3" t="s">
        <v>948</v>
      </c>
      <c r="D4739" s="3" t="s">
        <v>56</v>
      </c>
    </row>
    <row r="4740" spans="1:4" x14ac:dyDescent="0.2">
      <c r="A4740" s="3" t="s">
        <v>1610</v>
      </c>
      <c r="B4740" t="s">
        <v>8</v>
      </c>
      <c r="C4740" s="3" t="s">
        <v>949</v>
      </c>
      <c r="D4740" s="3" t="s">
        <v>56</v>
      </c>
    </row>
    <row r="4741" spans="1:4" x14ac:dyDescent="0.2">
      <c r="A4741" s="3" t="s">
        <v>1610</v>
      </c>
      <c r="B4741" t="s">
        <v>8</v>
      </c>
      <c r="C4741" s="3" t="s">
        <v>1614</v>
      </c>
      <c r="D4741" s="3" t="s">
        <v>56</v>
      </c>
    </row>
    <row r="4742" spans="1:4" x14ac:dyDescent="0.2">
      <c r="A4742" s="3" t="s">
        <v>1610</v>
      </c>
      <c r="B4742" t="s">
        <v>8</v>
      </c>
      <c r="C4742" s="3" t="s">
        <v>1615</v>
      </c>
      <c r="D4742" s="3" t="s">
        <v>56</v>
      </c>
    </row>
    <row r="4743" spans="1:4" x14ac:dyDescent="0.2">
      <c r="A4743" s="3" t="s">
        <v>1610</v>
      </c>
      <c r="B4743" t="s">
        <v>8</v>
      </c>
      <c r="C4743" s="3" t="s">
        <v>1616</v>
      </c>
      <c r="D4743" s="3" t="s">
        <v>56</v>
      </c>
    </row>
    <row r="4744" spans="1:4" x14ac:dyDescent="0.2">
      <c r="A4744" s="3" t="s">
        <v>1610</v>
      </c>
      <c r="B4744" t="s">
        <v>8</v>
      </c>
      <c r="C4744" s="3" t="s">
        <v>1617</v>
      </c>
      <c r="D4744" s="3" t="s">
        <v>56</v>
      </c>
    </row>
    <row r="4745" spans="1:4" x14ac:dyDescent="0.2">
      <c r="A4745" s="3" t="s">
        <v>1610</v>
      </c>
      <c r="B4745" t="s">
        <v>8</v>
      </c>
      <c r="C4745" s="3" t="s">
        <v>1618</v>
      </c>
      <c r="D4745" s="3" t="s">
        <v>56</v>
      </c>
    </row>
    <row r="4746" spans="1:4" x14ac:dyDescent="0.2">
      <c r="A4746" s="3" t="s">
        <v>1610</v>
      </c>
      <c r="B4746" t="s">
        <v>8</v>
      </c>
      <c r="C4746" s="3" t="s">
        <v>1619</v>
      </c>
      <c r="D4746" s="3" t="s">
        <v>56</v>
      </c>
    </row>
    <row r="4747" spans="1:4" x14ac:dyDescent="0.2">
      <c r="A4747" s="3" t="s">
        <v>1610</v>
      </c>
      <c r="B4747" t="s">
        <v>8</v>
      </c>
      <c r="C4747" s="3" t="s">
        <v>1601</v>
      </c>
      <c r="D4747" s="3" t="s">
        <v>57</v>
      </c>
    </row>
    <row r="4748" spans="1:4" x14ac:dyDescent="0.2">
      <c r="A4748" s="3" t="s">
        <v>1610</v>
      </c>
      <c r="B4748" t="s">
        <v>8</v>
      </c>
      <c r="C4748" s="3" t="s">
        <v>1602</v>
      </c>
      <c r="D4748" s="3" t="s">
        <v>57</v>
      </c>
    </row>
    <row r="4749" spans="1:4" x14ac:dyDescent="0.2">
      <c r="A4749" s="3" t="s">
        <v>1610</v>
      </c>
      <c r="B4749" t="s">
        <v>8</v>
      </c>
      <c r="C4749" s="3" t="s">
        <v>1611</v>
      </c>
      <c r="D4749" s="3" t="s">
        <v>57</v>
      </c>
    </row>
    <row r="4750" spans="1:4" x14ac:dyDescent="0.2">
      <c r="A4750" s="3" t="s">
        <v>1610</v>
      </c>
      <c r="B4750" t="s">
        <v>8</v>
      </c>
      <c r="C4750" s="3" t="s">
        <v>1612</v>
      </c>
      <c r="D4750" s="3" t="s">
        <v>57</v>
      </c>
    </row>
    <row r="4751" spans="1:4" x14ac:dyDescent="0.2">
      <c r="A4751" s="3" t="s">
        <v>1610</v>
      </c>
      <c r="B4751" t="s">
        <v>8</v>
      </c>
      <c r="C4751" s="3" t="s">
        <v>927</v>
      </c>
      <c r="D4751" s="3" t="s">
        <v>57</v>
      </c>
    </row>
    <row r="4752" spans="1:4" x14ac:dyDescent="0.2">
      <c r="A4752" s="3" t="s">
        <v>1610</v>
      </c>
      <c r="B4752" t="s">
        <v>8</v>
      </c>
      <c r="C4752" s="3" t="s">
        <v>928</v>
      </c>
      <c r="D4752" s="3" t="s">
        <v>57</v>
      </c>
    </row>
    <row r="4753" spans="1:4" x14ac:dyDescent="0.2">
      <c r="A4753" s="3" t="s">
        <v>1610</v>
      </c>
      <c r="B4753" t="s">
        <v>8</v>
      </c>
      <c r="C4753" s="3" t="s">
        <v>1613</v>
      </c>
      <c r="D4753" s="3" t="s">
        <v>57</v>
      </c>
    </row>
    <row r="4754" spans="1:4" x14ac:dyDescent="0.2">
      <c r="A4754" s="3" t="s">
        <v>1610</v>
      </c>
      <c r="B4754" t="s">
        <v>8</v>
      </c>
      <c r="C4754" s="3" t="s">
        <v>948</v>
      </c>
      <c r="D4754" s="3" t="s">
        <v>57</v>
      </c>
    </row>
    <row r="4755" spans="1:4" x14ac:dyDescent="0.2">
      <c r="A4755" s="3" t="s">
        <v>1610</v>
      </c>
      <c r="B4755" t="s">
        <v>8</v>
      </c>
      <c r="C4755" s="3" t="s">
        <v>949</v>
      </c>
      <c r="D4755" s="3" t="s">
        <v>57</v>
      </c>
    </row>
    <row r="4756" spans="1:4" x14ac:dyDescent="0.2">
      <c r="A4756" s="3" t="s">
        <v>1610</v>
      </c>
      <c r="B4756" t="s">
        <v>8</v>
      </c>
      <c r="C4756" s="3" t="s">
        <v>1614</v>
      </c>
      <c r="D4756" s="3" t="s">
        <v>57</v>
      </c>
    </row>
    <row r="4757" spans="1:4" x14ac:dyDescent="0.2">
      <c r="A4757" s="3" t="s">
        <v>1610</v>
      </c>
      <c r="B4757" t="s">
        <v>8</v>
      </c>
      <c r="C4757" s="3" t="s">
        <v>1615</v>
      </c>
      <c r="D4757" s="3" t="s">
        <v>57</v>
      </c>
    </row>
    <row r="4758" spans="1:4" x14ac:dyDescent="0.2">
      <c r="A4758" s="3" t="s">
        <v>1610</v>
      </c>
      <c r="B4758" t="s">
        <v>8</v>
      </c>
      <c r="C4758" s="3" t="s">
        <v>1616</v>
      </c>
      <c r="D4758" s="3" t="s">
        <v>57</v>
      </c>
    </row>
    <row r="4759" spans="1:4" x14ac:dyDescent="0.2">
      <c r="A4759" s="3" t="s">
        <v>1610</v>
      </c>
      <c r="B4759" t="s">
        <v>8</v>
      </c>
      <c r="C4759" s="3" t="s">
        <v>1617</v>
      </c>
      <c r="D4759" s="3" t="s">
        <v>57</v>
      </c>
    </row>
    <row r="4760" spans="1:4" x14ac:dyDescent="0.2">
      <c r="A4760" s="3" t="s">
        <v>1610</v>
      </c>
      <c r="B4760" t="s">
        <v>8</v>
      </c>
      <c r="C4760" s="3" t="s">
        <v>1618</v>
      </c>
      <c r="D4760" s="3" t="s">
        <v>57</v>
      </c>
    </row>
    <row r="4761" spans="1:4" x14ac:dyDescent="0.2">
      <c r="A4761" s="3" t="s">
        <v>1610</v>
      </c>
      <c r="B4761" t="s">
        <v>8</v>
      </c>
      <c r="C4761" s="3" t="s">
        <v>1619</v>
      </c>
      <c r="D4761" s="3" t="s">
        <v>57</v>
      </c>
    </row>
    <row r="4762" spans="1:4" x14ac:dyDescent="0.2">
      <c r="A4762" s="3" t="s">
        <v>1610</v>
      </c>
      <c r="B4762" t="s">
        <v>8</v>
      </c>
      <c r="C4762" s="3" t="s">
        <v>960</v>
      </c>
      <c r="D4762" s="3" t="s">
        <v>169</v>
      </c>
    </row>
    <row r="4763" spans="1:4" x14ac:dyDescent="0.2">
      <c r="A4763" s="3" t="s">
        <v>1620</v>
      </c>
      <c r="B4763" t="s">
        <v>8</v>
      </c>
      <c r="C4763" s="3" t="s">
        <v>1601</v>
      </c>
      <c r="D4763" s="3" t="s">
        <v>53</v>
      </c>
    </row>
    <row r="4764" spans="1:4" x14ac:dyDescent="0.2">
      <c r="A4764" s="3" t="s">
        <v>1620</v>
      </c>
      <c r="B4764" t="s">
        <v>8</v>
      </c>
      <c r="C4764" s="3" t="s">
        <v>1602</v>
      </c>
      <c r="D4764" s="3" t="s">
        <v>53</v>
      </c>
    </row>
    <row r="4765" spans="1:4" x14ac:dyDescent="0.2">
      <c r="A4765" s="3" t="s">
        <v>1620</v>
      </c>
      <c r="B4765" t="s">
        <v>8</v>
      </c>
      <c r="C4765" s="3" t="s">
        <v>929</v>
      </c>
      <c r="D4765" s="3" t="s">
        <v>53</v>
      </c>
    </row>
    <row r="4766" spans="1:4" x14ac:dyDescent="0.2">
      <c r="A4766" s="3" t="s">
        <v>1620</v>
      </c>
      <c r="B4766" t="s">
        <v>8</v>
      </c>
      <c r="C4766" s="3" t="s">
        <v>1601</v>
      </c>
      <c r="D4766" s="3" t="s">
        <v>54</v>
      </c>
    </row>
    <row r="4767" spans="1:4" x14ac:dyDescent="0.2">
      <c r="A4767" s="3" t="s">
        <v>1620</v>
      </c>
      <c r="B4767" t="s">
        <v>8</v>
      </c>
      <c r="C4767" s="3" t="s">
        <v>1602</v>
      </c>
      <c r="D4767" s="3" t="s">
        <v>54</v>
      </c>
    </row>
    <row r="4768" spans="1:4" x14ac:dyDescent="0.2">
      <c r="A4768" s="3" t="s">
        <v>1620</v>
      </c>
      <c r="B4768" t="s">
        <v>8</v>
      </c>
      <c r="C4768" s="3" t="s">
        <v>929</v>
      </c>
      <c r="D4768" s="3" t="s">
        <v>54</v>
      </c>
    </row>
    <row r="4769" spans="1:4" x14ac:dyDescent="0.2">
      <c r="A4769" s="3" t="s">
        <v>1620</v>
      </c>
      <c r="B4769" t="s">
        <v>8</v>
      </c>
      <c r="C4769" s="3" t="s">
        <v>1601</v>
      </c>
      <c r="D4769" s="3" t="s">
        <v>55</v>
      </c>
    </row>
    <row r="4770" spans="1:4" x14ac:dyDescent="0.2">
      <c r="A4770" s="3" t="s">
        <v>1620</v>
      </c>
      <c r="B4770" t="s">
        <v>8</v>
      </c>
      <c r="C4770" s="3" t="s">
        <v>1602</v>
      </c>
      <c r="D4770" s="3" t="s">
        <v>55</v>
      </c>
    </row>
    <row r="4771" spans="1:4" x14ac:dyDescent="0.2">
      <c r="A4771" s="3" t="s">
        <v>1620</v>
      </c>
      <c r="B4771" t="s">
        <v>8</v>
      </c>
      <c r="C4771" s="3" t="s">
        <v>929</v>
      </c>
      <c r="D4771" s="3" t="s">
        <v>55</v>
      </c>
    </row>
    <row r="4772" spans="1:4" x14ac:dyDescent="0.2">
      <c r="A4772" s="3" t="s">
        <v>1620</v>
      </c>
      <c r="B4772" t="s">
        <v>8</v>
      </c>
      <c r="C4772" s="3" t="s">
        <v>1601</v>
      </c>
      <c r="D4772" s="3" t="s">
        <v>56</v>
      </c>
    </row>
    <row r="4773" spans="1:4" x14ac:dyDescent="0.2">
      <c r="A4773" s="3" t="s">
        <v>1620</v>
      </c>
      <c r="B4773" t="s">
        <v>8</v>
      </c>
      <c r="C4773" s="3" t="s">
        <v>1602</v>
      </c>
      <c r="D4773" s="3" t="s">
        <v>56</v>
      </c>
    </row>
    <row r="4774" spans="1:4" x14ac:dyDescent="0.2">
      <c r="A4774" s="3" t="s">
        <v>1620</v>
      </c>
      <c r="B4774" t="s">
        <v>8</v>
      </c>
      <c r="C4774" s="3" t="s">
        <v>929</v>
      </c>
      <c r="D4774" s="3" t="s">
        <v>56</v>
      </c>
    </row>
    <row r="4775" spans="1:4" x14ac:dyDescent="0.2">
      <c r="A4775" s="3" t="s">
        <v>1620</v>
      </c>
      <c r="B4775" t="s">
        <v>8</v>
      </c>
      <c r="C4775" s="3" t="s">
        <v>1601</v>
      </c>
      <c r="D4775" s="3" t="s">
        <v>57</v>
      </c>
    </row>
    <row r="4776" spans="1:4" x14ac:dyDescent="0.2">
      <c r="A4776" s="3" t="s">
        <v>1620</v>
      </c>
      <c r="B4776" t="s">
        <v>8</v>
      </c>
      <c r="C4776" s="3" t="s">
        <v>1602</v>
      </c>
      <c r="D4776" s="3" t="s">
        <v>57</v>
      </c>
    </row>
    <row r="4777" spans="1:4" x14ac:dyDescent="0.2">
      <c r="A4777" s="3" t="s">
        <v>1620</v>
      </c>
      <c r="B4777" t="s">
        <v>8</v>
      </c>
      <c r="C4777" s="3" t="s">
        <v>929</v>
      </c>
      <c r="D4777" s="3" t="s">
        <v>57</v>
      </c>
    </row>
    <row r="4778" spans="1:4" x14ac:dyDescent="0.2">
      <c r="A4778" s="3" t="s">
        <v>1620</v>
      </c>
      <c r="B4778" t="s">
        <v>8</v>
      </c>
      <c r="C4778" s="3" t="s">
        <v>942</v>
      </c>
      <c r="D4778" s="3" t="s">
        <v>22</v>
      </c>
    </row>
    <row r="4779" spans="1:4" x14ac:dyDescent="0.2">
      <c r="A4779" s="3" t="s">
        <v>1620</v>
      </c>
      <c r="B4779" t="s">
        <v>8</v>
      </c>
      <c r="C4779" s="3" t="s">
        <v>1607</v>
      </c>
      <c r="D4779" s="3" t="s">
        <v>22</v>
      </c>
    </row>
    <row r="4780" spans="1:4" x14ac:dyDescent="0.2">
      <c r="A4780" s="3" t="s">
        <v>1620</v>
      </c>
      <c r="B4780" t="s">
        <v>8</v>
      </c>
      <c r="C4780" s="3" t="s">
        <v>1608</v>
      </c>
      <c r="D4780" s="3" t="s">
        <v>22</v>
      </c>
    </row>
    <row r="4781" spans="1:4" x14ac:dyDescent="0.2">
      <c r="A4781" s="3" t="s">
        <v>1621</v>
      </c>
      <c r="B4781" t="s">
        <v>8</v>
      </c>
      <c r="C4781" s="3" t="s">
        <v>869</v>
      </c>
      <c r="D4781" s="3" t="s">
        <v>53</v>
      </c>
    </row>
    <row r="4782" spans="1:4" x14ac:dyDescent="0.2">
      <c r="A4782" s="3" t="s">
        <v>1621</v>
      </c>
      <c r="B4782" t="s">
        <v>8</v>
      </c>
      <c r="C4782" s="3" t="s">
        <v>869</v>
      </c>
      <c r="D4782" s="3" t="s">
        <v>54</v>
      </c>
    </row>
    <row r="4783" spans="1:4" x14ac:dyDescent="0.2">
      <c r="A4783" s="3" t="s">
        <v>1621</v>
      </c>
      <c r="B4783" t="s">
        <v>8</v>
      </c>
      <c r="C4783" s="3" t="s">
        <v>869</v>
      </c>
      <c r="D4783" s="3" t="s">
        <v>55</v>
      </c>
    </row>
    <row r="4784" spans="1:4" x14ac:dyDescent="0.2">
      <c r="A4784" s="3" t="s">
        <v>1621</v>
      </c>
      <c r="B4784" t="s">
        <v>8</v>
      </c>
      <c r="C4784" s="3" t="s">
        <v>869</v>
      </c>
      <c r="D4784" s="3" t="s">
        <v>56</v>
      </c>
    </row>
    <row r="4785" spans="1:4" x14ac:dyDescent="0.2">
      <c r="A4785" s="3" t="s">
        <v>1621</v>
      </c>
      <c r="B4785" t="s">
        <v>8</v>
      </c>
      <c r="C4785" s="3" t="s">
        <v>869</v>
      </c>
      <c r="D4785" s="3" t="s">
        <v>57</v>
      </c>
    </row>
    <row r="4786" spans="1:4" x14ac:dyDescent="0.2">
      <c r="A4786" s="3" t="s">
        <v>1621</v>
      </c>
      <c r="B4786" t="s">
        <v>8</v>
      </c>
      <c r="C4786" s="3" t="s">
        <v>1557</v>
      </c>
      <c r="D4786" s="3" t="s">
        <v>22</v>
      </c>
    </row>
    <row r="4787" spans="1:4" x14ac:dyDescent="0.2">
      <c r="A4787" s="3" t="s">
        <v>1621</v>
      </c>
      <c r="B4787" t="s">
        <v>8</v>
      </c>
      <c r="C4787" s="3" t="s">
        <v>1558</v>
      </c>
      <c r="D4787" s="3" t="s">
        <v>22</v>
      </c>
    </row>
    <row r="4788" spans="1:4" x14ac:dyDescent="0.2">
      <c r="A4788" s="3" t="s">
        <v>1622</v>
      </c>
      <c r="B4788" t="s">
        <v>8</v>
      </c>
      <c r="C4788" s="3" t="s">
        <v>1601</v>
      </c>
      <c r="D4788" s="3" t="s">
        <v>53</v>
      </c>
    </row>
    <row r="4789" spans="1:4" x14ac:dyDescent="0.2">
      <c r="A4789" s="3" t="s">
        <v>1622</v>
      </c>
      <c r="B4789" t="s">
        <v>8</v>
      </c>
      <c r="C4789" s="3" t="s">
        <v>1602</v>
      </c>
      <c r="D4789" s="3" t="s">
        <v>53</v>
      </c>
    </row>
    <row r="4790" spans="1:4" x14ac:dyDescent="0.2">
      <c r="A4790" s="3" t="s">
        <v>1622</v>
      </c>
      <c r="B4790" t="s">
        <v>8</v>
      </c>
      <c r="C4790" s="3" t="s">
        <v>1623</v>
      </c>
      <c r="D4790" s="3" t="s">
        <v>53</v>
      </c>
    </row>
    <row r="4791" spans="1:4" x14ac:dyDescent="0.2">
      <c r="A4791" s="3" t="s">
        <v>1622</v>
      </c>
      <c r="B4791" t="s">
        <v>8</v>
      </c>
      <c r="C4791" s="3" t="s">
        <v>1624</v>
      </c>
      <c r="D4791" s="3" t="s">
        <v>53</v>
      </c>
    </row>
    <row r="4792" spans="1:4" x14ac:dyDescent="0.2">
      <c r="A4792" s="3" t="s">
        <v>1622</v>
      </c>
      <c r="B4792" t="s">
        <v>8</v>
      </c>
      <c r="C4792" s="3" t="s">
        <v>929</v>
      </c>
      <c r="D4792" s="3" t="s">
        <v>53</v>
      </c>
    </row>
    <row r="4793" spans="1:4" x14ac:dyDescent="0.2">
      <c r="A4793" s="3" t="s">
        <v>1622</v>
      </c>
      <c r="B4793" t="s">
        <v>8</v>
      </c>
      <c r="C4793" s="3" t="s">
        <v>930</v>
      </c>
      <c r="D4793" s="3" t="s">
        <v>53</v>
      </c>
    </row>
    <row r="4794" spans="1:4" x14ac:dyDescent="0.2">
      <c r="A4794" s="3" t="s">
        <v>1622</v>
      </c>
      <c r="B4794" t="s">
        <v>8</v>
      </c>
      <c r="C4794" s="3" t="s">
        <v>1625</v>
      </c>
      <c r="D4794" s="3" t="s">
        <v>53</v>
      </c>
    </row>
    <row r="4795" spans="1:4" x14ac:dyDescent="0.2">
      <c r="A4795" s="3" t="s">
        <v>1622</v>
      </c>
      <c r="B4795" t="s">
        <v>8</v>
      </c>
      <c r="C4795" s="3" t="s">
        <v>1601</v>
      </c>
      <c r="D4795" s="3" t="s">
        <v>54</v>
      </c>
    </row>
    <row r="4796" spans="1:4" x14ac:dyDescent="0.2">
      <c r="A4796" s="3" t="s">
        <v>1622</v>
      </c>
      <c r="B4796" t="s">
        <v>8</v>
      </c>
      <c r="C4796" s="3" t="s">
        <v>1602</v>
      </c>
      <c r="D4796" s="3" t="s">
        <v>54</v>
      </c>
    </row>
    <row r="4797" spans="1:4" x14ac:dyDescent="0.2">
      <c r="A4797" s="3" t="s">
        <v>1622</v>
      </c>
      <c r="B4797" t="s">
        <v>8</v>
      </c>
      <c r="C4797" s="3" t="s">
        <v>1623</v>
      </c>
      <c r="D4797" s="3" t="s">
        <v>54</v>
      </c>
    </row>
    <row r="4798" spans="1:4" x14ac:dyDescent="0.2">
      <c r="A4798" s="3" t="s">
        <v>1622</v>
      </c>
      <c r="B4798" t="s">
        <v>8</v>
      </c>
      <c r="C4798" s="3" t="s">
        <v>1624</v>
      </c>
      <c r="D4798" s="3" t="s">
        <v>54</v>
      </c>
    </row>
    <row r="4799" spans="1:4" x14ac:dyDescent="0.2">
      <c r="A4799" s="3" t="s">
        <v>1622</v>
      </c>
      <c r="B4799" t="s">
        <v>8</v>
      </c>
      <c r="C4799" s="3" t="s">
        <v>929</v>
      </c>
      <c r="D4799" s="3" t="s">
        <v>54</v>
      </c>
    </row>
    <row r="4800" spans="1:4" x14ac:dyDescent="0.2">
      <c r="A4800" s="3" t="s">
        <v>1622</v>
      </c>
      <c r="B4800" t="s">
        <v>8</v>
      </c>
      <c r="C4800" s="3" t="s">
        <v>930</v>
      </c>
      <c r="D4800" s="3" t="s">
        <v>54</v>
      </c>
    </row>
    <row r="4801" spans="1:4" x14ac:dyDescent="0.2">
      <c r="A4801" s="3" t="s">
        <v>1622</v>
      </c>
      <c r="B4801" t="s">
        <v>8</v>
      </c>
      <c r="C4801" s="3" t="s">
        <v>1625</v>
      </c>
      <c r="D4801" s="3" t="s">
        <v>54</v>
      </c>
    </row>
    <row r="4802" spans="1:4" x14ac:dyDescent="0.2">
      <c r="A4802" s="3" t="s">
        <v>1622</v>
      </c>
      <c r="B4802" t="s">
        <v>8</v>
      </c>
      <c r="C4802" s="3" t="s">
        <v>1626</v>
      </c>
      <c r="D4802" s="3" t="s">
        <v>54</v>
      </c>
    </row>
    <row r="4803" spans="1:4" x14ac:dyDescent="0.2">
      <c r="A4803" s="3" t="s">
        <v>1622</v>
      </c>
      <c r="B4803" t="s">
        <v>8</v>
      </c>
      <c r="C4803" s="3" t="s">
        <v>1601</v>
      </c>
      <c r="D4803" s="3" t="s">
        <v>55</v>
      </c>
    </row>
    <row r="4804" spans="1:4" x14ac:dyDescent="0.2">
      <c r="A4804" s="3" t="s">
        <v>1622</v>
      </c>
      <c r="B4804" t="s">
        <v>8</v>
      </c>
      <c r="C4804" s="3" t="s">
        <v>1602</v>
      </c>
      <c r="D4804" s="3" t="s">
        <v>55</v>
      </c>
    </row>
    <row r="4805" spans="1:4" x14ac:dyDescent="0.2">
      <c r="A4805" s="3" t="s">
        <v>1622</v>
      </c>
      <c r="B4805" t="s">
        <v>8</v>
      </c>
      <c r="C4805" s="3" t="s">
        <v>1623</v>
      </c>
      <c r="D4805" s="3" t="s">
        <v>55</v>
      </c>
    </row>
    <row r="4806" spans="1:4" x14ac:dyDescent="0.2">
      <c r="A4806" s="3" t="s">
        <v>1622</v>
      </c>
      <c r="B4806" t="s">
        <v>8</v>
      </c>
      <c r="C4806" s="3" t="s">
        <v>1624</v>
      </c>
      <c r="D4806" s="3" t="s">
        <v>55</v>
      </c>
    </row>
    <row r="4807" spans="1:4" x14ac:dyDescent="0.2">
      <c r="A4807" s="3" t="s">
        <v>1622</v>
      </c>
      <c r="B4807" t="s">
        <v>8</v>
      </c>
      <c r="C4807" s="3" t="s">
        <v>929</v>
      </c>
      <c r="D4807" s="3" t="s">
        <v>55</v>
      </c>
    </row>
    <row r="4808" spans="1:4" x14ac:dyDescent="0.2">
      <c r="A4808" s="3" t="s">
        <v>1622</v>
      </c>
      <c r="B4808" t="s">
        <v>8</v>
      </c>
      <c r="C4808" s="3" t="s">
        <v>930</v>
      </c>
      <c r="D4808" s="3" t="s">
        <v>55</v>
      </c>
    </row>
    <row r="4809" spans="1:4" x14ac:dyDescent="0.2">
      <c r="A4809" s="3" t="s">
        <v>1622</v>
      </c>
      <c r="B4809" t="s">
        <v>8</v>
      </c>
      <c r="C4809" s="3" t="s">
        <v>1625</v>
      </c>
      <c r="D4809" s="3" t="s">
        <v>55</v>
      </c>
    </row>
    <row r="4810" spans="1:4" x14ac:dyDescent="0.2">
      <c r="A4810" s="3" t="s">
        <v>1622</v>
      </c>
      <c r="B4810" t="s">
        <v>8</v>
      </c>
      <c r="C4810" s="3" t="s">
        <v>1601</v>
      </c>
      <c r="D4810" s="3" t="s">
        <v>56</v>
      </c>
    </row>
    <row r="4811" spans="1:4" x14ac:dyDescent="0.2">
      <c r="A4811" s="3" t="s">
        <v>1622</v>
      </c>
      <c r="B4811" t="s">
        <v>8</v>
      </c>
      <c r="C4811" s="3" t="s">
        <v>1602</v>
      </c>
      <c r="D4811" s="3" t="s">
        <v>56</v>
      </c>
    </row>
    <row r="4812" spans="1:4" x14ac:dyDescent="0.2">
      <c r="A4812" s="3" t="s">
        <v>1622</v>
      </c>
      <c r="B4812" t="s">
        <v>8</v>
      </c>
      <c r="C4812" s="3" t="s">
        <v>1623</v>
      </c>
      <c r="D4812" s="3" t="s">
        <v>56</v>
      </c>
    </row>
    <row r="4813" spans="1:4" x14ac:dyDescent="0.2">
      <c r="A4813" s="3" t="s">
        <v>1622</v>
      </c>
      <c r="B4813" t="s">
        <v>8</v>
      </c>
      <c r="C4813" s="3" t="s">
        <v>1624</v>
      </c>
      <c r="D4813" s="3" t="s">
        <v>56</v>
      </c>
    </row>
    <row r="4814" spans="1:4" x14ac:dyDescent="0.2">
      <c r="A4814" s="3" t="s">
        <v>1622</v>
      </c>
      <c r="B4814" t="s">
        <v>8</v>
      </c>
      <c r="C4814" s="3" t="s">
        <v>929</v>
      </c>
      <c r="D4814" s="3" t="s">
        <v>56</v>
      </c>
    </row>
    <row r="4815" spans="1:4" x14ac:dyDescent="0.2">
      <c r="A4815" s="3" t="s">
        <v>1622</v>
      </c>
      <c r="B4815" t="s">
        <v>8</v>
      </c>
      <c r="C4815" s="3" t="s">
        <v>930</v>
      </c>
      <c r="D4815" s="3" t="s">
        <v>56</v>
      </c>
    </row>
    <row r="4816" spans="1:4" x14ac:dyDescent="0.2">
      <c r="A4816" s="3" t="s">
        <v>1622</v>
      </c>
      <c r="B4816" t="s">
        <v>8</v>
      </c>
      <c r="C4816" s="3" t="s">
        <v>1625</v>
      </c>
      <c r="D4816" s="3" t="s">
        <v>56</v>
      </c>
    </row>
    <row r="4817" spans="1:4" x14ac:dyDescent="0.2">
      <c r="A4817" s="3" t="s">
        <v>1622</v>
      </c>
      <c r="B4817" t="s">
        <v>8</v>
      </c>
      <c r="C4817" s="3" t="s">
        <v>1627</v>
      </c>
      <c r="D4817" s="3" t="s">
        <v>56</v>
      </c>
    </row>
    <row r="4818" spans="1:4" x14ac:dyDescent="0.2">
      <c r="A4818" s="3" t="s">
        <v>1622</v>
      </c>
      <c r="B4818" t="s">
        <v>8</v>
      </c>
      <c r="C4818" s="3" t="s">
        <v>1601</v>
      </c>
      <c r="D4818" s="3" t="s">
        <v>57</v>
      </c>
    </row>
    <row r="4819" spans="1:4" x14ac:dyDescent="0.2">
      <c r="A4819" s="3" t="s">
        <v>1622</v>
      </c>
      <c r="B4819" t="s">
        <v>8</v>
      </c>
      <c r="C4819" s="3" t="s">
        <v>1602</v>
      </c>
      <c r="D4819" s="3" t="s">
        <v>57</v>
      </c>
    </row>
    <row r="4820" spans="1:4" x14ac:dyDescent="0.2">
      <c r="A4820" s="3" t="s">
        <v>1622</v>
      </c>
      <c r="B4820" t="s">
        <v>8</v>
      </c>
      <c r="C4820" s="3" t="s">
        <v>1623</v>
      </c>
      <c r="D4820" s="3" t="s">
        <v>57</v>
      </c>
    </row>
    <row r="4821" spans="1:4" x14ac:dyDescent="0.2">
      <c r="A4821" s="3" t="s">
        <v>1622</v>
      </c>
      <c r="B4821" t="s">
        <v>8</v>
      </c>
      <c r="C4821" s="3" t="s">
        <v>1624</v>
      </c>
      <c r="D4821" s="3" t="s">
        <v>57</v>
      </c>
    </row>
    <row r="4822" spans="1:4" x14ac:dyDescent="0.2">
      <c r="A4822" s="3" t="s">
        <v>1622</v>
      </c>
      <c r="B4822" t="s">
        <v>8</v>
      </c>
      <c r="C4822" s="3" t="s">
        <v>929</v>
      </c>
      <c r="D4822" s="3" t="s">
        <v>57</v>
      </c>
    </row>
    <row r="4823" spans="1:4" x14ac:dyDescent="0.2">
      <c r="A4823" s="3" t="s">
        <v>1622</v>
      </c>
      <c r="B4823" t="s">
        <v>8</v>
      </c>
      <c r="C4823" s="3" t="s">
        <v>930</v>
      </c>
      <c r="D4823" s="3" t="s">
        <v>57</v>
      </c>
    </row>
    <row r="4824" spans="1:4" x14ac:dyDescent="0.2">
      <c r="A4824" s="3" t="s">
        <v>1622</v>
      </c>
      <c r="B4824" t="s">
        <v>8</v>
      </c>
      <c r="C4824" s="3" t="s">
        <v>1625</v>
      </c>
      <c r="D4824" s="3" t="s">
        <v>57</v>
      </c>
    </row>
    <row r="4825" spans="1:4" x14ac:dyDescent="0.2">
      <c r="A4825" s="3" t="s">
        <v>1622</v>
      </c>
      <c r="B4825" t="s">
        <v>8</v>
      </c>
      <c r="C4825" s="3" t="s">
        <v>1628</v>
      </c>
      <c r="D4825" s="3" t="s">
        <v>57</v>
      </c>
    </row>
    <row r="4826" spans="1:4" x14ac:dyDescent="0.2">
      <c r="A4826" s="3" t="s">
        <v>1622</v>
      </c>
      <c r="B4826" t="s">
        <v>8</v>
      </c>
      <c r="C4826" s="3" t="s">
        <v>960</v>
      </c>
      <c r="D4826" s="3" t="s">
        <v>169</v>
      </c>
    </row>
    <row r="4827" spans="1:4" x14ac:dyDescent="0.2">
      <c r="A4827" s="3" t="s">
        <v>1629</v>
      </c>
      <c r="B4827" t="s">
        <v>8</v>
      </c>
      <c r="C4827" s="3" t="s">
        <v>1601</v>
      </c>
      <c r="D4827" s="3" t="s">
        <v>53</v>
      </c>
    </row>
    <row r="4828" spans="1:4" x14ac:dyDescent="0.2">
      <c r="A4828" s="3" t="s">
        <v>1629</v>
      </c>
      <c r="B4828" t="s">
        <v>8</v>
      </c>
      <c r="C4828" s="3" t="s">
        <v>1602</v>
      </c>
      <c r="D4828" s="3" t="s">
        <v>53</v>
      </c>
    </row>
    <row r="4829" spans="1:4" x14ac:dyDescent="0.2">
      <c r="A4829" s="3" t="s">
        <v>1629</v>
      </c>
      <c r="B4829" t="s">
        <v>8</v>
      </c>
      <c r="C4829" s="3" t="s">
        <v>1601</v>
      </c>
      <c r="D4829" s="3" t="s">
        <v>54</v>
      </c>
    </row>
    <row r="4830" spans="1:4" x14ac:dyDescent="0.2">
      <c r="A4830" s="3" t="s">
        <v>1629</v>
      </c>
      <c r="B4830" t="s">
        <v>8</v>
      </c>
      <c r="C4830" s="3" t="s">
        <v>1602</v>
      </c>
      <c r="D4830" s="3" t="s">
        <v>54</v>
      </c>
    </row>
    <row r="4831" spans="1:4" x14ac:dyDescent="0.2">
      <c r="A4831" s="3" t="s">
        <v>1629</v>
      </c>
      <c r="B4831" t="s">
        <v>8</v>
      </c>
      <c r="C4831" s="3" t="s">
        <v>1601</v>
      </c>
      <c r="D4831" s="3" t="s">
        <v>55</v>
      </c>
    </row>
    <row r="4832" spans="1:4" x14ac:dyDescent="0.2">
      <c r="A4832" s="3" t="s">
        <v>1629</v>
      </c>
      <c r="B4832" t="s">
        <v>8</v>
      </c>
      <c r="C4832" s="3" t="s">
        <v>1602</v>
      </c>
      <c r="D4832" s="3" t="s">
        <v>55</v>
      </c>
    </row>
    <row r="4833" spans="1:4" x14ac:dyDescent="0.2">
      <c r="A4833" s="3" t="s">
        <v>1629</v>
      </c>
      <c r="B4833" t="s">
        <v>8</v>
      </c>
      <c r="C4833" s="3" t="s">
        <v>1601</v>
      </c>
      <c r="D4833" s="3" t="s">
        <v>56</v>
      </c>
    </row>
    <row r="4834" spans="1:4" x14ac:dyDescent="0.2">
      <c r="A4834" s="3" t="s">
        <v>1629</v>
      </c>
      <c r="B4834" t="s">
        <v>8</v>
      </c>
      <c r="C4834" s="3" t="s">
        <v>1602</v>
      </c>
      <c r="D4834" s="3" t="s">
        <v>56</v>
      </c>
    </row>
    <row r="4835" spans="1:4" x14ac:dyDescent="0.2">
      <c r="A4835" s="3" t="s">
        <v>1629</v>
      </c>
      <c r="B4835" t="s">
        <v>8</v>
      </c>
      <c r="C4835" s="3" t="s">
        <v>1601</v>
      </c>
      <c r="D4835" s="3" t="s">
        <v>57</v>
      </c>
    </row>
    <row r="4836" spans="1:4" x14ac:dyDescent="0.2">
      <c r="A4836" s="3" t="s">
        <v>1629</v>
      </c>
      <c r="B4836" t="s">
        <v>8</v>
      </c>
      <c r="C4836" s="3" t="s">
        <v>1602</v>
      </c>
      <c r="D4836" s="3" t="s">
        <v>57</v>
      </c>
    </row>
    <row r="4837" spans="1:4" x14ac:dyDescent="0.2">
      <c r="A4837" s="3" t="s">
        <v>1629</v>
      </c>
      <c r="B4837" t="s">
        <v>8</v>
      </c>
      <c r="C4837" s="3" t="s">
        <v>942</v>
      </c>
      <c r="D4837" s="3" t="s">
        <v>22</v>
      </c>
    </row>
    <row r="4838" spans="1:4" x14ac:dyDescent="0.2">
      <c r="A4838" s="3" t="s">
        <v>1629</v>
      </c>
      <c r="B4838" t="s">
        <v>8</v>
      </c>
      <c r="C4838" s="3" t="s">
        <v>1607</v>
      </c>
      <c r="D4838" s="3" t="s">
        <v>22</v>
      </c>
    </row>
    <row r="4839" spans="1:4" x14ac:dyDescent="0.2">
      <c r="A4839" s="3" t="s">
        <v>1629</v>
      </c>
      <c r="B4839" t="s">
        <v>8</v>
      </c>
      <c r="C4839" s="3" t="s">
        <v>1608</v>
      </c>
      <c r="D4839" s="3" t="s">
        <v>22</v>
      </c>
    </row>
    <row r="4840" spans="1:4" x14ac:dyDescent="0.2">
      <c r="A4840" s="3" t="s">
        <v>1630</v>
      </c>
      <c r="B4840" t="s">
        <v>8</v>
      </c>
      <c r="C4840" s="3" t="s">
        <v>1559</v>
      </c>
      <c r="D4840" s="3" t="s">
        <v>22</v>
      </c>
    </row>
    <row r="4841" spans="1:4" x14ac:dyDescent="0.2">
      <c r="A4841" s="3" t="s">
        <v>1630</v>
      </c>
      <c r="B4841" t="s">
        <v>8</v>
      </c>
      <c r="C4841" s="3" t="s">
        <v>1560</v>
      </c>
      <c r="D4841" s="3" t="s">
        <v>22</v>
      </c>
    </row>
    <row r="4842" spans="1:4" x14ac:dyDescent="0.2">
      <c r="A4842" s="3" t="s">
        <v>1631</v>
      </c>
      <c r="B4842" t="s">
        <v>8</v>
      </c>
      <c r="C4842" s="3" t="s">
        <v>1601</v>
      </c>
      <c r="D4842" s="3" t="s">
        <v>53</v>
      </c>
    </row>
    <row r="4843" spans="1:4" x14ac:dyDescent="0.2">
      <c r="A4843" s="3" t="s">
        <v>1631</v>
      </c>
      <c r="B4843" t="s">
        <v>8</v>
      </c>
      <c r="C4843" s="3" t="s">
        <v>1602</v>
      </c>
      <c r="D4843" s="3" t="s">
        <v>53</v>
      </c>
    </row>
    <row r="4844" spans="1:4" x14ac:dyDescent="0.2">
      <c r="A4844" s="3" t="s">
        <v>1631</v>
      </c>
      <c r="B4844" t="s">
        <v>8</v>
      </c>
      <c r="C4844" s="3" t="s">
        <v>1632</v>
      </c>
      <c r="D4844" s="3" t="s">
        <v>53</v>
      </c>
    </row>
    <row r="4845" spans="1:4" x14ac:dyDescent="0.2">
      <c r="A4845" s="3" t="s">
        <v>1631</v>
      </c>
      <c r="B4845" t="s">
        <v>8</v>
      </c>
      <c r="C4845" s="3" t="s">
        <v>1633</v>
      </c>
      <c r="D4845" s="3" t="s">
        <v>53</v>
      </c>
    </row>
    <row r="4846" spans="1:4" x14ac:dyDescent="0.2">
      <c r="A4846" s="3" t="s">
        <v>1631</v>
      </c>
      <c r="B4846" t="s">
        <v>8</v>
      </c>
      <c r="C4846" s="3" t="s">
        <v>1634</v>
      </c>
      <c r="D4846" s="3" t="s">
        <v>53</v>
      </c>
    </row>
    <row r="4847" spans="1:4" x14ac:dyDescent="0.2">
      <c r="A4847" s="3" t="s">
        <v>1631</v>
      </c>
      <c r="B4847" t="s">
        <v>8</v>
      </c>
      <c r="C4847" s="3" t="s">
        <v>1635</v>
      </c>
      <c r="D4847" s="3" t="s">
        <v>53</v>
      </c>
    </row>
    <row r="4848" spans="1:4" x14ac:dyDescent="0.2">
      <c r="A4848" s="3" t="s">
        <v>1631</v>
      </c>
      <c r="B4848" t="s">
        <v>8</v>
      </c>
      <c r="C4848" s="3" t="s">
        <v>1636</v>
      </c>
      <c r="D4848" s="3" t="s">
        <v>53</v>
      </c>
    </row>
    <row r="4849" spans="1:4" x14ac:dyDescent="0.2">
      <c r="A4849" s="3" t="s">
        <v>1631</v>
      </c>
      <c r="B4849" t="s">
        <v>8</v>
      </c>
      <c r="C4849" s="3" t="s">
        <v>1637</v>
      </c>
      <c r="D4849" s="3" t="s">
        <v>53</v>
      </c>
    </row>
    <row r="4850" spans="1:4" x14ac:dyDescent="0.2">
      <c r="A4850" s="3" t="s">
        <v>1631</v>
      </c>
      <c r="B4850" t="s">
        <v>8</v>
      </c>
      <c r="C4850" s="3" t="s">
        <v>1601</v>
      </c>
      <c r="D4850" s="3" t="s">
        <v>54</v>
      </c>
    </row>
    <row r="4851" spans="1:4" x14ac:dyDescent="0.2">
      <c r="A4851" s="3" t="s">
        <v>1631</v>
      </c>
      <c r="B4851" t="s">
        <v>8</v>
      </c>
      <c r="C4851" s="3" t="s">
        <v>1602</v>
      </c>
      <c r="D4851" s="3" t="s">
        <v>54</v>
      </c>
    </row>
    <row r="4852" spans="1:4" x14ac:dyDescent="0.2">
      <c r="A4852" s="3" t="s">
        <v>1631</v>
      </c>
      <c r="B4852" t="s">
        <v>8</v>
      </c>
      <c r="C4852" s="3" t="s">
        <v>1632</v>
      </c>
      <c r="D4852" s="3" t="s">
        <v>54</v>
      </c>
    </row>
    <row r="4853" spans="1:4" x14ac:dyDescent="0.2">
      <c r="A4853" s="3" t="s">
        <v>1631</v>
      </c>
      <c r="B4853" t="s">
        <v>8</v>
      </c>
      <c r="C4853" s="3" t="s">
        <v>1633</v>
      </c>
      <c r="D4853" s="3" t="s">
        <v>54</v>
      </c>
    </row>
    <row r="4854" spans="1:4" x14ac:dyDescent="0.2">
      <c r="A4854" s="3" t="s">
        <v>1631</v>
      </c>
      <c r="B4854" t="s">
        <v>8</v>
      </c>
      <c r="C4854" s="3" t="s">
        <v>1634</v>
      </c>
      <c r="D4854" s="3" t="s">
        <v>54</v>
      </c>
    </row>
    <row r="4855" spans="1:4" x14ac:dyDescent="0.2">
      <c r="A4855" s="3" t="s">
        <v>1631</v>
      </c>
      <c r="B4855" t="s">
        <v>8</v>
      </c>
      <c r="C4855" s="3" t="s">
        <v>1635</v>
      </c>
      <c r="D4855" s="3" t="s">
        <v>54</v>
      </c>
    </row>
    <row r="4856" spans="1:4" x14ac:dyDescent="0.2">
      <c r="A4856" s="3" t="s">
        <v>1631</v>
      </c>
      <c r="B4856" t="s">
        <v>8</v>
      </c>
      <c r="C4856" s="3" t="s">
        <v>1636</v>
      </c>
      <c r="D4856" s="3" t="s">
        <v>54</v>
      </c>
    </row>
    <row r="4857" spans="1:4" x14ac:dyDescent="0.2">
      <c r="A4857" s="3" t="s">
        <v>1631</v>
      </c>
      <c r="B4857" t="s">
        <v>8</v>
      </c>
      <c r="C4857" s="3" t="s">
        <v>1637</v>
      </c>
      <c r="D4857" s="3" t="s">
        <v>54</v>
      </c>
    </row>
    <row r="4858" spans="1:4" x14ac:dyDescent="0.2">
      <c r="A4858" s="3" t="s">
        <v>1631</v>
      </c>
      <c r="B4858" t="s">
        <v>8</v>
      </c>
      <c r="C4858" s="3" t="s">
        <v>1601</v>
      </c>
      <c r="D4858" s="3" t="s">
        <v>55</v>
      </c>
    </row>
    <row r="4859" spans="1:4" x14ac:dyDescent="0.2">
      <c r="A4859" s="3" t="s">
        <v>1631</v>
      </c>
      <c r="B4859" t="s">
        <v>8</v>
      </c>
      <c r="C4859" s="3" t="s">
        <v>1602</v>
      </c>
      <c r="D4859" s="3" t="s">
        <v>55</v>
      </c>
    </row>
    <row r="4860" spans="1:4" x14ac:dyDescent="0.2">
      <c r="A4860" s="3" t="s">
        <v>1631</v>
      </c>
      <c r="B4860" t="s">
        <v>8</v>
      </c>
      <c r="C4860" s="3" t="s">
        <v>1632</v>
      </c>
      <c r="D4860" s="3" t="s">
        <v>55</v>
      </c>
    </row>
    <row r="4861" spans="1:4" x14ac:dyDescent="0.2">
      <c r="A4861" s="3" t="s">
        <v>1631</v>
      </c>
      <c r="B4861" t="s">
        <v>8</v>
      </c>
      <c r="C4861" s="3" t="s">
        <v>1633</v>
      </c>
      <c r="D4861" s="3" t="s">
        <v>55</v>
      </c>
    </row>
    <row r="4862" spans="1:4" x14ac:dyDescent="0.2">
      <c r="A4862" s="3" t="s">
        <v>1631</v>
      </c>
      <c r="B4862" t="s">
        <v>8</v>
      </c>
      <c r="C4862" s="3" t="s">
        <v>1634</v>
      </c>
      <c r="D4862" s="3" t="s">
        <v>55</v>
      </c>
    </row>
    <row r="4863" spans="1:4" x14ac:dyDescent="0.2">
      <c r="A4863" s="3" t="s">
        <v>1631</v>
      </c>
      <c r="B4863" t="s">
        <v>8</v>
      </c>
      <c r="C4863" s="3" t="s">
        <v>1635</v>
      </c>
      <c r="D4863" s="3" t="s">
        <v>55</v>
      </c>
    </row>
    <row r="4864" spans="1:4" x14ac:dyDescent="0.2">
      <c r="A4864" s="3" t="s">
        <v>1631</v>
      </c>
      <c r="B4864" t="s">
        <v>8</v>
      </c>
      <c r="C4864" s="3" t="s">
        <v>1636</v>
      </c>
      <c r="D4864" s="3" t="s">
        <v>55</v>
      </c>
    </row>
    <row r="4865" spans="1:4" x14ac:dyDescent="0.2">
      <c r="A4865" s="3" t="s">
        <v>1631</v>
      </c>
      <c r="B4865" t="s">
        <v>8</v>
      </c>
      <c r="C4865" s="3" t="s">
        <v>1637</v>
      </c>
      <c r="D4865" s="3" t="s">
        <v>55</v>
      </c>
    </row>
    <row r="4866" spans="1:4" x14ac:dyDescent="0.2">
      <c r="A4866" s="3" t="s">
        <v>1631</v>
      </c>
      <c r="B4866" t="s">
        <v>8</v>
      </c>
      <c r="C4866" s="3" t="s">
        <v>1601</v>
      </c>
      <c r="D4866" s="3" t="s">
        <v>56</v>
      </c>
    </row>
    <row r="4867" spans="1:4" x14ac:dyDescent="0.2">
      <c r="A4867" s="3" t="s">
        <v>1631</v>
      </c>
      <c r="B4867" t="s">
        <v>8</v>
      </c>
      <c r="C4867" s="3" t="s">
        <v>1602</v>
      </c>
      <c r="D4867" s="3" t="s">
        <v>56</v>
      </c>
    </row>
    <row r="4868" spans="1:4" x14ac:dyDescent="0.2">
      <c r="A4868" s="3" t="s">
        <v>1631</v>
      </c>
      <c r="B4868" t="s">
        <v>8</v>
      </c>
      <c r="C4868" s="3" t="s">
        <v>1632</v>
      </c>
      <c r="D4868" s="3" t="s">
        <v>56</v>
      </c>
    </row>
    <row r="4869" spans="1:4" x14ac:dyDescent="0.2">
      <c r="A4869" s="3" t="s">
        <v>1631</v>
      </c>
      <c r="B4869" t="s">
        <v>8</v>
      </c>
      <c r="C4869" s="3" t="s">
        <v>1633</v>
      </c>
      <c r="D4869" s="3" t="s">
        <v>56</v>
      </c>
    </row>
    <row r="4870" spans="1:4" x14ac:dyDescent="0.2">
      <c r="A4870" s="3" t="s">
        <v>1631</v>
      </c>
      <c r="B4870" t="s">
        <v>8</v>
      </c>
      <c r="C4870" s="3" t="s">
        <v>1634</v>
      </c>
      <c r="D4870" s="3" t="s">
        <v>56</v>
      </c>
    </row>
    <row r="4871" spans="1:4" x14ac:dyDescent="0.2">
      <c r="A4871" s="3" t="s">
        <v>1631</v>
      </c>
      <c r="B4871" t="s">
        <v>8</v>
      </c>
      <c r="C4871" s="3" t="s">
        <v>1635</v>
      </c>
      <c r="D4871" s="3" t="s">
        <v>56</v>
      </c>
    </row>
    <row r="4872" spans="1:4" x14ac:dyDescent="0.2">
      <c r="A4872" s="3" t="s">
        <v>1631</v>
      </c>
      <c r="B4872" t="s">
        <v>8</v>
      </c>
      <c r="C4872" s="3" t="s">
        <v>1636</v>
      </c>
      <c r="D4872" s="3" t="s">
        <v>56</v>
      </c>
    </row>
    <row r="4873" spans="1:4" x14ac:dyDescent="0.2">
      <c r="A4873" s="3" t="s">
        <v>1631</v>
      </c>
      <c r="B4873" t="s">
        <v>8</v>
      </c>
      <c r="C4873" s="3" t="s">
        <v>1637</v>
      </c>
      <c r="D4873" s="3" t="s">
        <v>56</v>
      </c>
    </row>
    <row r="4874" spans="1:4" x14ac:dyDescent="0.2">
      <c r="A4874" s="3" t="s">
        <v>1631</v>
      </c>
      <c r="B4874" t="s">
        <v>8</v>
      </c>
      <c r="C4874" s="3" t="s">
        <v>1601</v>
      </c>
      <c r="D4874" s="3" t="s">
        <v>57</v>
      </c>
    </row>
    <row r="4875" spans="1:4" x14ac:dyDescent="0.2">
      <c r="A4875" s="3" t="s">
        <v>1631</v>
      </c>
      <c r="B4875" t="s">
        <v>8</v>
      </c>
      <c r="C4875" s="3" t="s">
        <v>1602</v>
      </c>
      <c r="D4875" s="3" t="s">
        <v>57</v>
      </c>
    </row>
    <row r="4876" spans="1:4" x14ac:dyDescent="0.2">
      <c r="A4876" s="3" t="s">
        <v>1631</v>
      </c>
      <c r="B4876" t="s">
        <v>8</v>
      </c>
      <c r="C4876" s="3" t="s">
        <v>1632</v>
      </c>
      <c r="D4876" s="3" t="s">
        <v>57</v>
      </c>
    </row>
    <row r="4877" spans="1:4" x14ac:dyDescent="0.2">
      <c r="A4877" s="3" t="s">
        <v>1631</v>
      </c>
      <c r="B4877" t="s">
        <v>8</v>
      </c>
      <c r="C4877" s="3" t="s">
        <v>1633</v>
      </c>
      <c r="D4877" s="3" t="s">
        <v>57</v>
      </c>
    </row>
    <row r="4878" spans="1:4" x14ac:dyDescent="0.2">
      <c r="A4878" s="3" t="s">
        <v>1631</v>
      </c>
      <c r="B4878" t="s">
        <v>8</v>
      </c>
      <c r="C4878" s="3" t="s">
        <v>1634</v>
      </c>
      <c r="D4878" s="3" t="s">
        <v>57</v>
      </c>
    </row>
    <row r="4879" spans="1:4" x14ac:dyDescent="0.2">
      <c r="A4879" s="3" t="s">
        <v>1631</v>
      </c>
      <c r="B4879" t="s">
        <v>8</v>
      </c>
      <c r="C4879" s="3" t="s">
        <v>1635</v>
      </c>
      <c r="D4879" s="3" t="s">
        <v>57</v>
      </c>
    </row>
    <row r="4880" spans="1:4" x14ac:dyDescent="0.2">
      <c r="A4880" s="3" t="s">
        <v>1631</v>
      </c>
      <c r="B4880" t="s">
        <v>8</v>
      </c>
      <c r="C4880" s="3" t="s">
        <v>1636</v>
      </c>
      <c r="D4880" s="3" t="s">
        <v>57</v>
      </c>
    </row>
    <row r="4881" spans="1:4" x14ac:dyDescent="0.2">
      <c r="A4881" s="3" t="s">
        <v>1631</v>
      </c>
      <c r="B4881" t="s">
        <v>8</v>
      </c>
      <c r="C4881" s="3" t="s">
        <v>1637</v>
      </c>
      <c r="D4881" s="3" t="s">
        <v>57</v>
      </c>
    </row>
    <row r="4882" spans="1:4" x14ac:dyDescent="0.2">
      <c r="A4882" s="3" t="s">
        <v>1631</v>
      </c>
      <c r="B4882" t="s">
        <v>8</v>
      </c>
      <c r="C4882" s="3" t="s">
        <v>960</v>
      </c>
      <c r="D4882" s="3" t="s">
        <v>169</v>
      </c>
    </row>
    <row r="4883" spans="1:4" x14ac:dyDescent="0.2">
      <c r="A4883" s="3" t="s">
        <v>1638</v>
      </c>
      <c r="B4883" t="s">
        <v>8</v>
      </c>
      <c r="C4883" s="3" t="s">
        <v>1639</v>
      </c>
      <c r="D4883" s="3" t="s">
        <v>53</v>
      </c>
    </row>
    <row r="4884" spans="1:4" x14ac:dyDescent="0.2">
      <c r="A4884" s="3" t="s">
        <v>1638</v>
      </c>
      <c r="B4884" t="s">
        <v>8</v>
      </c>
      <c r="C4884" s="3" t="s">
        <v>779</v>
      </c>
      <c r="D4884" s="3" t="s">
        <v>53</v>
      </c>
    </row>
    <row r="4885" spans="1:4" x14ac:dyDescent="0.2">
      <c r="A4885" s="3" t="s">
        <v>1638</v>
      </c>
      <c r="B4885" t="s">
        <v>8</v>
      </c>
      <c r="C4885" s="3" t="s">
        <v>1639</v>
      </c>
      <c r="D4885" s="3" t="s">
        <v>54</v>
      </c>
    </row>
    <row r="4886" spans="1:4" x14ac:dyDescent="0.2">
      <c r="A4886" s="3" t="s">
        <v>1638</v>
      </c>
      <c r="B4886" t="s">
        <v>8</v>
      </c>
      <c r="C4886" s="3" t="s">
        <v>779</v>
      </c>
      <c r="D4886" s="3" t="s">
        <v>54</v>
      </c>
    </row>
    <row r="4887" spans="1:4" x14ac:dyDescent="0.2">
      <c r="A4887" s="3" t="s">
        <v>1638</v>
      </c>
      <c r="B4887" t="s">
        <v>8</v>
      </c>
      <c r="C4887" s="3" t="s">
        <v>1639</v>
      </c>
      <c r="D4887" s="3" t="s">
        <v>55</v>
      </c>
    </row>
    <row r="4888" spans="1:4" x14ac:dyDescent="0.2">
      <c r="A4888" s="3" t="s">
        <v>1638</v>
      </c>
      <c r="B4888" t="s">
        <v>8</v>
      </c>
      <c r="C4888" s="3" t="s">
        <v>779</v>
      </c>
      <c r="D4888" s="3" t="s">
        <v>55</v>
      </c>
    </row>
    <row r="4889" spans="1:4" x14ac:dyDescent="0.2">
      <c r="A4889" s="3" t="s">
        <v>1638</v>
      </c>
      <c r="B4889" t="s">
        <v>8</v>
      </c>
      <c r="C4889" s="3" t="s">
        <v>1639</v>
      </c>
      <c r="D4889" s="3" t="s">
        <v>56</v>
      </c>
    </row>
    <row r="4890" spans="1:4" x14ac:dyDescent="0.2">
      <c r="A4890" s="3" t="s">
        <v>1638</v>
      </c>
      <c r="B4890" t="s">
        <v>8</v>
      </c>
      <c r="C4890" s="3" t="s">
        <v>779</v>
      </c>
      <c r="D4890" s="3" t="s">
        <v>56</v>
      </c>
    </row>
    <row r="4891" spans="1:4" x14ac:dyDescent="0.2">
      <c r="A4891" s="3" t="s">
        <v>1638</v>
      </c>
      <c r="B4891" t="s">
        <v>8</v>
      </c>
      <c r="C4891" s="3" t="s">
        <v>1639</v>
      </c>
      <c r="D4891" s="3" t="s">
        <v>57</v>
      </c>
    </row>
    <row r="4892" spans="1:4" x14ac:dyDescent="0.2">
      <c r="A4892" s="3" t="s">
        <v>1638</v>
      </c>
      <c r="B4892" t="s">
        <v>8</v>
      </c>
      <c r="C4892" s="3" t="s">
        <v>779</v>
      </c>
      <c r="D4892" s="3" t="s">
        <v>57</v>
      </c>
    </row>
    <row r="4893" spans="1:4" x14ac:dyDescent="0.2">
      <c r="A4893" s="3" t="s">
        <v>1638</v>
      </c>
      <c r="B4893" t="s">
        <v>8</v>
      </c>
      <c r="C4893" s="3" t="s">
        <v>810</v>
      </c>
      <c r="D4893" s="3" t="s">
        <v>169</v>
      </c>
    </row>
    <row r="4894" spans="1:4" x14ac:dyDescent="0.2">
      <c r="A4894" s="3" t="s">
        <v>1638</v>
      </c>
      <c r="B4894" t="s">
        <v>8</v>
      </c>
      <c r="C4894" s="3" t="s">
        <v>811</v>
      </c>
      <c r="D4894" s="3" t="s">
        <v>169</v>
      </c>
    </row>
    <row r="4895" spans="1:4" x14ac:dyDescent="0.2">
      <c r="A4895" s="3" t="s">
        <v>1640</v>
      </c>
      <c r="B4895" t="s">
        <v>8</v>
      </c>
      <c r="C4895" s="3" t="s">
        <v>1641</v>
      </c>
      <c r="D4895" s="3" t="s">
        <v>53</v>
      </c>
    </row>
    <row r="4896" spans="1:4" x14ac:dyDescent="0.2">
      <c r="A4896" s="3" t="s">
        <v>1640</v>
      </c>
      <c r="B4896" t="s">
        <v>8</v>
      </c>
      <c r="C4896" s="3" t="s">
        <v>1642</v>
      </c>
      <c r="D4896" s="3" t="s">
        <v>53</v>
      </c>
    </row>
    <row r="4897" spans="1:4" x14ac:dyDescent="0.2">
      <c r="A4897" s="3" t="s">
        <v>1640</v>
      </c>
      <c r="B4897" t="s">
        <v>8</v>
      </c>
      <c r="C4897" s="3" t="s">
        <v>1643</v>
      </c>
      <c r="D4897" s="3" t="s">
        <v>53</v>
      </c>
    </row>
    <row r="4898" spans="1:4" x14ac:dyDescent="0.2">
      <c r="A4898" s="3" t="s">
        <v>1640</v>
      </c>
      <c r="B4898" t="s">
        <v>8</v>
      </c>
      <c r="C4898" s="3" t="s">
        <v>1641</v>
      </c>
      <c r="D4898" s="3" t="s">
        <v>54</v>
      </c>
    </row>
    <row r="4899" spans="1:4" x14ac:dyDescent="0.2">
      <c r="A4899" s="3" t="s">
        <v>1640</v>
      </c>
      <c r="B4899" t="s">
        <v>8</v>
      </c>
      <c r="C4899" s="3" t="s">
        <v>1642</v>
      </c>
      <c r="D4899" s="3" t="s">
        <v>54</v>
      </c>
    </row>
    <row r="4900" spans="1:4" x14ac:dyDescent="0.2">
      <c r="A4900" s="3" t="s">
        <v>1640</v>
      </c>
      <c r="B4900" t="s">
        <v>8</v>
      </c>
      <c r="C4900" s="3" t="s">
        <v>1643</v>
      </c>
      <c r="D4900" s="3" t="s">
        <v>54</v>
      </c>
    </row>
    <row r="4901" spans="1:4" x14ac:dyDescent="0.2">
      <c r="A4901" s="3" t="s">
        <v>1640</v>
      </c>
      <c r="B4901" t="s">
        <v>8</v>
      </c>
      <c r="C4901" s="3" t="s">
        <v>1641</v>
      </c>
      <c r="D4901" s="3" t="s">
        <v>55</v>
      </c>
    </row>
    <row r="4902" spans="1:4" x14ac:dyDescent="0.2">
      <c r="A4902" s="3" t="s">
        <v>1640</v>
      </c>
      <c r="B4902" t="s">
        <v>8</v>
      </c>
      <c r="C4902" s="3" t="s">
        <v>1642</v>
      </c>
      <c r="D4902" s="3" t="s">
        <v>55</v>
      </c>
    </row>
    <row r="4903" spans="1:4" x14ac:dyDescent="0.2">
      <c r="A4903" s="3" t="s">
        <v>1640</v>
      </c>
      <c r="B4903" t="s">
        <v>8</v>
      </c>
      <c r="C4903" s="3" t="s">
        <v>1643</v>
      </c>
      <c r="D4903" s="3" t="s">
        <v>55</v>
      </c>
    </row>
    <row r="4904" spans="1:4" x14ac:dyDescent="0.2">
      <c r="A4904" s="3" t="s">
        <v>1640</v>
      </c>
      <c r="B4904" t="s">
        <v>8</v>
      </c>
      <c r="C4904" s="3" t="s">
        <v>1641</v>
      </c>
      <c r="D4904" s="3" t="s">
        <v>56</v>
      </c>
    </row>
    <row r="4905" spans="1:4" x14ac:dyDescent="0.2">
      <c r="A4905" s="3" t="s">
        <v>1640</v>
      </c>
      <c r="B4905" t="s">
        <v>8</v>
      </c>
      <c r="C4905" s="3" t="s">
        <v>1642</v>
      </c>
      <c r="D4905" s="3" t="s">
        <v>56</v>
      </c>
    </row>
    <row r="4906" spans="1:4" x14ac:dyDescent="0.2">
      <c r="A4906" s="3" t="s">
        <v>1640</v>
      </c>
      <c r="B4906" t="s">
        <v>8</v>
      </c>
      <c r="C4906" s="3" t="s">
        <v>1643</v>
      </c>
      <c r="D4906" s="3" t="s">
        <v>56</v>
      </c>
    </row>
    <row r="4907" spans="1:4" x14ac:dyDescent="0.2">
      <c r="A4907" s="3" t="s">
        <v>1640</v>
      </c>
      <c r="B4907" t="s">
        <v>8</v>
      </c>
      <c r="C4907" s="3" t="s">
        <v>1641</v>
      </c>
      <c r="D4907" s="3" t="s">
        <v>57</v>
      </c>
    </row>
    <row r="4908" spans="1:4" x14ac:dyDescent="0.2">
      <c r="A4908" s="3" t="s">
        <v>1640</v>
      </c>
      <c r="B4908" t="s">
        <v>8</v>
      </c>
      <c r="C4908" s="3" t="s">
        <v>1642</v>
      </c>
      <c r="D4908" s="3" t="s">
        <v>57</v>
      </c>
    </row>
    <row r="4909" spans="1:4" x14ac:dyDescent="0.2">
      <c r="A4909" s="3" t="s">
        <v>1640</v>
      </c>
      <c r="B4909" t="s">
        <v>8</v>
      </c>
      <c r="C4909" s="3" t="s">
        <v>1643</v>
      </c>
      <c r="D4909" s="3" t="s">
        <v>57</v>
      </c>
    </row>
    <row r="4910" spans="1:4" x14ac:dyDescent="0.2">
      <c r="A4910" s="3" t="s">
        <v>1640</v>
      </c>
      <c r="B4910" t="s">
        <v>8</v>
      </c>
      <c r="C4910" s="3" t="s">
        <v>1644</v>
      </c>
      <c r="D4910" s="3" t="s">
        <v>22</v>
      </c>
    </row>
    <row r="4911" spans="1:4" x14ac:dyDescent="0.2">
      <c r="A4911" s="3" t="s">
        <v>1645</v>
      </c>
      <c r="B4911" t="s">
        <v>8</v>
      </c>
      <c r="C4911" s="3" t="s">
        <v>1646</v>
      </c>
      <c r="D4911" s="3" t="s">
        <v>53</v>
      </c>
    </row>
    <row r="4912" spans="1:4" x14ac:dyDescent="0.2">
      <c r="A4912" s="3" t="s">
        <v>1645</v>
      </c>
      <c r="B4912" t="s">
        <v>8</v>
      </c>
      <c r="C4912" s="3" t="s">
        <v>1646</v>
      </c>
      <c r="D4912" s="3" t="s">
        <v>54</v>
      </c>
    </row>
    <row r="4913" spans="1:4" x14ac:dyDescent="0.2">
      <c r="A4913" s="3" t="s">
        <v>1645</v>
      </c>
      <c r="B4913" t="s">
        <v>8</v>
      </c>
      <c r="C4913" s="3" t="s">
        <v>1646</v>
      </c>
      <c r="D4913" s="3" t="s">
        <v>55</v>
      </c>
    </row>
    <row r="4914" spans="1:4" x14ac:dyDescent="0.2">
      <c r="A4914" s="3" t="s">
        <v>1645</v>
      </c>
      <c r="B4914" t="s">
        <v>8</v>
      </c>
      <c r="C4914" s="3" t="s">
        <v>1646</v>
      </c>
      <c r="D4914" s="3" t="s">
        <v>56</v>
      </c>
    </row>
    <row r="4915" spans="1:4" x14ac:dyDescent="0.2">
      <c r="A4915" s="3" t="s">
        <v>1645</v>
      </c>
      <c r="B4915" t="s">
        <v>8</v>
      </c>
      <c r="C4915" s="3" t="s">
        <v>1646</v>
      </c>
      <c r="D4915" s="3" t="s">
        <v>57</v>
      </c>
    </row>
    <row r="4916" spans="1:4" x14ac:dyDescent="0.2">
      <c r="A4916" s="3" t="s">
        <v>1645</v>
      </c>
      <c r="B4916" t="s">
        <v>8</v>
      </c>
      <c r="C4916" s="3" t="s">
        <v>1647</v>
      </c>
      <c r="D4916" s="3" t="s">
        <v>22</v>
      </c>
    </row>
    <row r="4917" spans="1:4" x14ac:dyDescent="0.2">
      <c r="A4917" s="3" t="s">
        <v>1645</v>
      </c>
      <c r="B4917" t="s">
        <v>8</v>
      </c>
      <c r="C4917" s="3" t="s">
        <v>1648</v>
      </c>
      <c r="D4917" s="3" t="s">
        <v>22</v>
      </c>
    </row>
    <row r="4918" spans="1:4" x14ac:dyDescent="0.2">
      <c r="A4918" s="3" t="s">
        <v>1649</v>
      </c>
      <c r="B4918" t="s">
        <v>8</v>
      </c>
      <c r="C4918" s="3" t="s">
        <v>1650</v>
      </c>
      <c r="D4918" s="3" t="s">
        <v>53</v>
      </c>
    </row>
    <row r="4919" spans="1:4" x14ac:dyDescent="0.2">
      <c r="A4919" s="3" t="s">
        <v>1649</v>
      </c>
      <c r="B4919" t="s">
        <v>8</v>
      </c>
      <c r="C4919" s="3" t="s">
        <v>1651</v>
      </c>
      <c r="D4919" s="3" t="s">
        <v>53</v>
      </c>
    </row>
    <row r="4920" spans="1:4" x14ac:dyDescent="0.2">
      <c r="A4920" s="3" t="s">
        <v>1649</v>
      </c>
      <c r="B4920" t="s">
        <v>8</v>
      </c>
      <c r="C4920" s="3" t="s">
        <v>1652</v>
      </c>
      <c r="D4920" s="3" t="s">
        <v>53</v>
      </c>
    </row>
    <row r="4921" spans="1:4" x14ac:dyDescent="0.2">
      <c r="A4921" s="3" t="s">
        <v>1649</v>
      </c>
      <c r="B4921" t="s">
        <v>8</v>
      </c>
      <c r="C4921" s="3" t="s">
        <v>1653</v>
      </c>
      <c r="D4921" s="3" t="s">
        <v>53</v>
      </c>
    </row>
    <row r="4922" spans="1:4" x14ac:dyDescent="0.2">
      <c r="A4922" s="3" t="s">
        <v>1649</v>
      </c>
      <c r="B4922" t="s">
        <v>8</v>
      </c>
      <c r="C4922" s="3" t="s">
        <v>779</v>
      </c>
      <c r="D4922" s="3" t="s">
        <v>53</v>
      </c>
    </row>
    <row r="4923" spans="1:4" x14ac:dyDescent="0.2">
      <c r="A4923" s="3" t="s">
        <v>1649</v>
      </c>
      <c r="B4923" t="s">
        <v>8</v>
      </c>
      <c r="C4923" s="3" t="s">
        <v>1650</v>
      </c>
      <c r="D4923" s="3" t="s">
        <v>54</v>
      </c>
    </row>
    <row r="4924" spans="1:4" x14ac:dyDescent="0.2">
      <c r="A4924" s="3" t="s">
        <v>1649</v>
      </c>
      <c r="B4924" t="s">
        <v>8</v>
      </c>
      <c r="C4924" s="3" t="s">
        <v>1651</v>
      </c>
      <c r="D4924" s="3" t="s">
        <v>54</v>
      </c>
    </row>
    <row r="4925" spans="1:4" x14ac:dyDescent="0.2">
      <c r="A4925" s="3" t="s">
        <v>1649</v>
      </c>
      <c r="B4925" t="s">
        <v>8</v>
      </c>
      <c r="C4925" s="3" t="s">
        <v>1652</v>
      </c>
      <c r="D4925" s="3" t="s">
        <v>54</v>
      </c>
    </row>
    <row r="4926" spans="1:4" x14ac:dyDescent="0.2">
      <c r="A4926" s="3" t="s">
        <v>1649</v>
      </c>
      <c r="B4926" t="s">
        <v>8</v>
      </c>
      <c r="C4926" s="3" t="s">
        <v>1653</v>
      </c>
      <c r="D4926" s="3" t="s">
        <v>54</v>
      </c>
    </row>
    <row r="4927" spans="1:4" x14ac:dyDescent="0.2">
      <c r="A4927" s="3" t="s">
        <v>1649</v>
      </c>
      <c r="B4927" t="s">
        <v>8</v>
      </c>
      <c r="C4927" s="3" t="s">
        <v>779</v>
      </c>
      <c r="D4927" s="3" t="s">
        <v>54</v>
      </c>
    </row>
    <row r="4928" spans="1:4" x14ac:dyDescent="0.2">
      <c r="A4928" s="3" t="s">
        <v>1649</v>
      </c>
      <c r="B4928" t="s">
        <v>8</v>
      </c>
      <c r="C4928" s="3" t="s">
        <v>1650</v>
      </c>
      <c r="D4928" s="3" t="s">
        <v>55</v>
      </c>
    </row>
    <row r="4929" spans="1:4" x14ac:dyDescent="0.2">
      <c r="A4929" s="3" t="s">
        <v>1649</v>
      </c>
      <c r="B4929" t="s">
        <v>8</v>
      </c>
      <c r="C4929" s="3" t="s">
        <v>1651</v>
      </c>
      <c r="D4929" s="3" t="s">
        <v>55</v>
      </c>
    </row>
    <row r="4930" spans="1:4" x14ac:dyDescent="0.2">
      <c r="A4930" s="3" t="s">
        <v>1649</v>
      </c>
      <c r="B4930" t="s">
        <v>8</v>
      </c>
      <c r="C4930" s="3" t="s">
        <v>1652</v>
      </c>
      <c r="D4930" s="3" t="s">
        <v>55</v>
      </c>
    </row>
    <row r="4931" spans="1:4" x14ac:dyDescent="0.2">
      <c r="A4931" s="3" t="s">
        <v>1649</v>
      </c>
      <c r="B4931" t="s">
        <v>8</v>
      </c>
      <c r="C4931" s="3" t="s">
        <v>1653</v>
      </c>
      <c r="D4931" s="3" t="s">
        <v>55</v>
      </c>
    </row>
    <row r="4932" spans="1:4" x14ac:dyDescent="0.2">
      <c r="A4932" s="3" t="s">
        <v>1649</v>
      </c>
      <c r="B4932" t="s">
        <v>8</v>
      </c>
      <c r="C4932" s="3" t="s">
        <v>779</v>
      </c>
      <c r="D4932" s="3" t="s">
        <v>55</v>
      </c>
    </row>
    <row r="4933" spans="1:4" x14ac:dyDescent="0.2">
      <c r="A4933" s="3" t="s">
        <v>1649</v>
      </c>
      <c r="B4933" t="s">
        <v>8</v>
      </c>
      <c r="C4933" s="3" t="s">
        <v>1650</v>
      </c>
      <c r="D4933" s="3" t="s">
        <v>56</v>
      </c>
    </row>
    <row r="4934" spans="1:4" x14ac:dyDescent="0.2">
      <c r="A4934" s="3" t="s">
        <v>1649</v>
      </c>
      <c r="B4934" t="s">
        <v>8</v>
      </c>
      <c r="C4934" s="3" t="s">
        <v>1651</v>
      </c>
      <c r="D4934" s="3" t="s">
        <v>56</v>
      </c>
    </row>
    <row r="4935" spans="1:4" x14ac:dyDescent="0.2">
      <c r="A4935" s="3" t="s">
        <v>1649</v>
      </c>
      <c r="B4935" t="s">
        <v>8</v>
      </c>
      <c r="C4935" s="3" t="s">
        <v>1652</v>
      </c>
      <c r="D4935" s="3" t="s">
        <v>56</v>
      </c>
    </row>
    <row r="4936" spans="1:4" x14ac:dyDescent="0.2">
      <c r="A4936" s="3" t="s">
        <v>1649</v>
      </c>
      <c r="B4936" t="s">
        <v>8</v>
      </c>
      <c r="C4936" s="3" t="s">
        <v>1653</v>
      </c>
      <c r="D4936" s="3" t="s">
        <v>56</v>
      </c>
    </row>
    <row r="4937" spans="1:4" x14ac:dyDescent="0.2">
      <c r="A4937" s="3" t="s">
        <v>1649</v>
      </c>
      <c r="B4937" t="s">
        <v>8</v>
      </c>
      <c r="C4937" s="3" t="s">
        <v>779</v>
      </c>
      <c r="D4937" s="3" t="s">
        <v>56</v>
      </c>
    </row>
    <row r="4938" spans="1:4" x14ac:dyDescent="0.2">
      <c r="A4938" s="3" t="s">
        <v>1649</v>
      </c>
      <c r="B4938" t="s">
        <v>8</v>
      </c>
      <c r="C4938" s="3" t="s">
        <v>1650</v>
      </c>
      <c r="D4938" s="3" t="s">
        <v>57</v>
      </c>
    </row>
    <row r="4939" spans="1:4" x14ac:dyDescent="0.2">
      <c r="A4939" s="3" t="s">
        <v>1649</v>
      </c>
      <c r="B4939" t="s">
        <v>8</v>
      </c>
      <c r="C4939" s="3" t="s">
        <v>1651</v>
      </c>
      <c r="D4939" s="3" t="s">
        <v>57</v>
      </c>
    </row>
    <row r="4940" spans="1:4" x14ac:dyDescent="0.2">
      <c r="A4940" s="3" t="s">
        <v>1649</v>
      </c>
      <c r="B4940" t="s">
        <v>8</v>
      </c>
      <c r="C4940" s="3" t="s">
        <v>1652</v>
      </c>
      <c r="D4940" s="3" t="s">
        <v>57</v>
      </c>
    </row>
    <row r="4941" spans="1:4" x14ac:dyDescent="0.2">
      <c r="A4941" s="3" t="s">
        <v>1649</v>
      </c>
      <c r="B4941" t="s">
        <v>8</v>
      </c>
      <c r="C4941" s="3" t="s">
        <v>1653</v>
      </c>
      <c r="D4941" s="3" t="s">
        <v>57</v>
      </c>
    </row>
    <row r="4942" spans="1:4" x14ac:dyDescent="0.2">
      <c r="A4942" s="3" t="s">
        <v>1649</v>
      </c>
      <c r="B4942" t="s">
        <v>8</v>
      </c>
      <c r="C4942" s="3" t="s">
        <v>779</v>
      </c>
      <c r="D4942" s="3" t="s">
        <v>57</v>
      </c>
    </row>
    <row r="4943" spans="1:4" x14ac:dyDescent="0.2">
      <c r="A4943" s="3" t="s">
        <v>1649</v>
      </c>
      <c r="B4943" t="s">
        <v>8</v>
      </c>
      <c r="C4943" s="3" t="s">
        <v>810</v>
      </c>
      <c r="D4943" s="3" t="s">
        <v>169</v>
      </c>
    </row>
    <row r="4944" spans="1:4" x14ac:dyDescent="0.2">
      <c r="A4944" s="3" t="s">
        <v>1649</v>
      </c>
      <c r="B4944" t="s">
        <v>8</v>
      </c>
      <c r="C4944" s="3" t="s">
        <v>811</v>
      </c>
      <c r="D4944" s="3" t="s">
        <v>169</v>
      </c>
    </row>
    <row r="4945" spans="1:4" x14ac:dyDescent="0.2">
      <c r="A4945" s="3" t="s">
        <v>1649</v>
      </c>
      <c r="B4945" t="s">
        <v>8</v>
      </c>
      <c r="C4945" s="3" t="s">
        <v>1654</v>
      </c>
      <c r="D4945" s="3" t="s">
        <v>22</v>
      </c>
    </row>
    <row r="4946" spans="1:4" x14ac:dyDescent="0.2">
      <c r="A4946" s="3" t="s">
        <v>1655</v>
      </c>
      <c r="B4946" t="s">
        <v>8</v>
      </c>
      <c r="C4946" s="3" t="s">
        <v>1656</v>
      </c>
      <c r="D4946" s="3" t="s">
        <v>53</v>
      </c>
    </row>
    <row r="4947" spans="1:4" x14ac:dyDescent="0.2">
      <c r="A4947" s="3" t="s">
        <v>1655</v>
      </c>
      <c r="B4947" t="s">
        <v>8</v>
      </c>
      <c r="C4947" s="3" t="s">
        <v>1657</v>
      </c>
      <c r="D4947" s="3" t="s">
        <v>53</v>
      </c>
    </row>
    <row r="4948" spans="1:4" x14ac:dyDescent="0.2">
      <c r="A4948" s="3" t="s">
        <v>1655</v>
      </c>
      <c r="B4948" t="s">
        <v>8</v>
      </c>
      <c r="C4948" s="3" t="s">
        <v>1658</v>
      </c>
      <c r="D4948" s="3" t="s">
        <v>53</v>
      </c>
    </row>
    <row r="4949" spans="1:4" x14ac:dyDescent="0.2">
      <c r="A4949" s="3" t="s">
        <v>1655</v>
      </c>
      <c r="B4949" t="s">
        <v>8</v>
      </c>
      <c r="C4949" s="3" t="s">
        <v>1656</v>
      </c>
      <c r="D4949" s="3" t="s">
        <v>54</v>
      </c>
    </row>
    <row r="4950" spans="1:4" x14ac:dyDescent="0.2">
      <c r="A4950" s="3" t="s">
        <v>1655</v>
      </c>
      <c r="B4950" t="s">
        <v>8</v>
      </c>
      <c r="C4950" s="3" t="s">
        <v>1657</v>
      </c>
      <c r="D4950" s="3" t="s">
        <v>54</v>
      </c>
    </row>
    <row r="4951" spans="1:4" x14ac:dyDescent="0.2">
      <c r="A4951" s="3" t="s">
        <v>1655</v>
      </c>
      <c r="B4951" t="s">
        <v>8</v>
      </c>
      <c r="C4951" s="3" t="s">
        <v>1658</v>
      </c>
      <c r="D4951" s="3" t="s">
        <v>54</v>
      </c>
    </row>
    <row r="4952" spans="1:4" x14ac:dyDescent="0.2">
      <c r="A4952" s="3" t="s">
        <v>1655</v>
      </c>
      <c r="B4952" t="s">
        <v>8</v>
      </c>
      <c r="C4952" s="3" t="s">
        <v>1656</v>
      </c>
      <c r="D4952" s="3" t="s">
        <v>55</v>
      </c>
    </row>
    <row r="4953" spans="1:4" x14ac:dyDescent="0.2">
      <c r="A4953" s="3" t="s">
        <v>1655</v>
      </c>
      <c r="B4953" t="s">
        <v>8</v>
      </c>
      <c r="C4953" s="3" t="s">
        <v>1657</v>
      </c>
      <c r="D4953" s="3" t="s">
        <v>55</v>
      </c>
    </row>
    <row r="4954" spans="1:4" x14ac:dyDescent="0.2">
      <c r="A4954" s="3" t="s">
        <v>1655</v>
      </c>
      <c r="B4954" t="s">
        <v>8</v>
      </c>
      <c r="C4954" s="3" t="s">
        <v>1658</v>
      </c>
      <c r="D4954" s="3" t="s">
        <v>55</v>
      </c>
    </row>
    <row r="4955" spans="1:4" x14ac:dyDescent="0.2">
      <c r="A4955" s="3" t="s">
        <v>1655</v>
      </c>
      <c r="B4955" t="s">
        <v>8</v>
      </c>
      <c r="C4955" s="3" t="s">
        <v>1656</v>
      </c>
      <c r="D4955" s="3" t="s">
        <v>56</v>
      </c>
    </row>
    <row r="4956" spans="1:4" x14ac:dyDescent="0.2">
      <c r="A4956" s="3" t="s">
        <v>1655</v>
      </c>
      <c r="B4956" t="s">
        <v>8</v>
      </c>
      <c r="C4956" s="3" t="s">
        <v>1657</v>
      </c>
      <c r="D4956" s="3" t="s">
        <v>56</v>
      </c>
    </row>
    <row r="4957" spans="1:4" x14ac:dyDescent="0.2">
      <c r="A4957" s="3" t="s">
        <v>1655</v>
      </c>
      <c r="B4957" t="s">
        <v>8</v>
      </c>
      <c r="C4957" s="3" t="s">
        <v>1658</v>
      </c>
      <c r="D4957" s="3" t="s">
        <v>56</v>
      </c>
    </row>
    <row r="4958" spans="1:4" x14ac:dyDescent="0.2">
      <c r="A4958" s="3" t="s">
        <v>1655</v>
      </c>
      <c r="B4958" t="s">
        <v>8</v>
      </c>
      <c r="C4958" s="3" t="s">
        <v>1656</v>
      </c>
      <c r="D4958" s="3" t="s">
        <v>57</v>
      </c>
    </row>
    <row r="4959" spans="1:4" x14ac:dyDescent="0.2">
      <c r="A4959" s="3" t="s">
        <v>1655</v>
      </c>
      <c r="B4959" t="s">
        <v>8</v>
      </c>
      <c r="C4959" s="3" t="s">
        <v>1657</v>
      </c>
      <c r="D4959" s="3" t="s">
        <v>57</v>
      </c>
    </row>
    <row r="4960" spans="1:4" x14ac:dyDescent="0.2">
      <c r="A4960" s="3" t="s">
        <v>1655</v>
      </c>
      <c r="B4960" t="s">
        <v>8</v>
      </c>
      <c r="C4960" s="3" t="s">
        <v>1658</v>
      </c>
      <c r="D4960" s="3" t="s">
        <v>57</v>
      </c>
    </row>
    <row r="4961" spans="1:4" x14ac:dyDescent="0.2">
      <c r="A4961" s="3" t="s">
        <v>1655</v>
      </c>
      <c r="B4961" t="s">
        <v>8</v>
      </c>
      <c r="C4961" s="3" t="s">
        <v>1659</v>
      </c>
      <c r="D4961" s="3" t="s">
        <v>22</v>
      </c>
    </row>
    <row r="4962" spans="1:4" x14ac:dyDescent="0.2">
      <c r="A4962" s="3" t="s">
        <v>1660</v>
      </c>
      <c r="B4962" t="s">
        <v>8</v>
      </c>
      <c r="C4962" s="3" t="s">
        <v>1661</v>
      </c>
      <c r="D4962" s="3" t="s">
        <v>53</v>
      </c>
    </row>
    <row r="4963" spans="1:4" x14ac:dyDescent="0.2">
      <c r="A4963" s="3" t="s">
        <v>1660</v>
      </c>
      <c r="B4963" t="s">
        <v>8</v>
      </c>
      <c r="C4963" s="3" t="s">
        <v>1662</v>
      </c>
      <c r="D4963" s="3" t="s">
        <v>53</v>
      </c>
    </row>
    <row r="4964" spans="1:4" x14ac:dyDescent="0.2">
      <c r="A4964" s="3" t="s">
        <v>1660</v>
      </c>
      <c r="B4964" t="s">
        <v>8</v>
      </c>
      <c r="C4964" s="3" t="s">
        <v>1663</v>
      </c>
      <c r="D4964" s="3" t="s">
        <v>53</v>
      </c>
    </row>
    <row r="4965" spans="1:4" x14ac:dyDescent="0.2">
      <c r="A4965" s="3" t="s">
        <v>1660</v>
      </c>
      <c r="B4965" t="s">
        <v>8</v>
      </c>
      <c r="C4965" s="3" t="s">
        <v>1664</v>
      </c>
      <c r="D4965" s="3" t="s">
        <v>53</v>
      </c>
    </row>
    <row r="4966" spans="1:4" x14ac:dyDescent="0.2">
      <c r="A4966" s="3" t="s">
        <v>1660</v>
      </c>
      <c r="B4966" t="s">
        <v>8</v>
      </c>
      <c r="C4966" s="3" t="s">
        <v>1665</v>
      </c>
      <c r="D4966" s="3" t="s">
        <v>53</v>
      </c>
    </row>
    <row r="4967" spans="1:4" x14ac:dyDescent="0.2">
      <c r="A4967" s="3" t="s">
        <v>1660</v>
      </c>
      <c r="B4967" t="s">
        <v>8</v>
      </c>
      <c r="C4967" s="3" t="s">
        <v>1661</v>
      </c>
      <c r="D4967" s="3" t="s">
        <v>54</v>
      </c>
    </row>
    <row r="4968" spans="1:4" x14ac:dyDescent="0.2">
      <c r="A4968" s="3" t="s">
        <v>1660</v>
      </c>
      <c r="B4968" t="s">
        <v>8</v>
      </c>
      <c r="C4968" s="3" t="s">
        <v>1662</v>
      </c>
      <c r="D4968" s="3" t="s">
        <v>54</v>
      </c>
    </row>
    <row r="4969" spans="1:4" x14ac:dyDescent="0.2">
      <c r="A4969" s="3" t="s">
        <v>1660</v>
      </c>
      <c r="B4969" t="s">
        <v>8</v>
      </c>
      <c r="C4969" s="3" t="s">
        <v>1663</v>
      </c>
      <c r="D4969" s="3" t="s">
        <v>54</v>
      </c>
    </row>
    <row r="4970" spans="1:4" x14ac:dyDescent="0.2">
      <c r="A4970" s="3" t="s">
        <v>1660</v>
      </c>
      <c r="B4970" t="s">
        <v>8</v>
      </c>
      <c r="C4970" s="3" t="s">
        <v>1664</v>
      </c>
      <c r="D4970" s="3" t="s">
        <v>54</v>
      </c>
    </row>
    <row r="4971" spans="1:4" x14ac:dyDescent="0.2">
      <c r="A4971" s="3" t="s">
        <v>1660</v>
      </c>
      <c r="B4971" t="s">
        <v>8</v>
      </c>
      <c r="C4971" s="3" t="s">
        <v>1665</v>
      </c>
      <c r="D4971" s="3" t="s">
        <v>54</v>
      </c>
    </row>
    <row r="4972" spans="1:4" x14ac:dyDescent="0.2">
      <c r="A4972" s="3" t="s">
        <v>1660</v>
      </c>
      <c r="B4972" t="s">
        <v>8</v>
      </c>
      <c r="C4972" s="3" t="s">
        <v>1661</v>
      </c>
      <c r="D4972" s="3" t="s">
        <v>55</v>
      </c>
    </row>
    <row r="4973" spans="1:4" x14ac:dyDescent="0.2">
      <c r="A4973" s="3" t="s">
        <v>1660</v>
      </c>
      <c r="B4973" t="s">
        <v>8</v>
      </c>
      <c r="C4973" s="3" t="s">
        <v>1662</v>
      </c>
      <c r="D4973" s="3" t="s">
        <v>55</v>
      </c>
    </row>
    <row r="4974" spans="1:4" x14ac:dyDescent="0.2">
      <c r="A4974" s="3" t="s">
        <v>1660</v>
      </c>
      <c r="B4974" t="s">
        <v>8</v>
      </c>
      <c r="C4974" s="3" t="s">
        <v>1663</v>
      </c>
      <c r="D4974" s="3" t="s">
        <v>55</v>
      </c>
    </row>
    <row r="4975" spans="1:4" x14ac:dyDescent="0.2">
      <c r="A4975" s="3" t="s">
        <v>1660</v>
      </c>
      <c r="B4975" t="s">
        <v>8</v>
      </c>
      <c r="C4975" s="3" t="s">
        <v>1664</v>
      </c>
      <c r="D4975" s="3" t="s">
        <v>55</v>
      </c>
    </row>
    <row r="4976" spans="1:4" x14ac:dyDescent="0.2">
      <c r="A4976" s="3" t="s">
        <v>1660</v>
      </c>
      <c r="B4976" t="s">
        <v>8</v>
      </c>
      <c r="C4976" s="3" t="s">
        <v>1665</v>
      </c>
      <c r="D4976" s="3" t="s">
        <v>55</v>
      </c>
    </row>
    <row r="4977" spans="1:4" x14ac:dyDescent="0.2">
      <c r="A4977" s="3" t="s">
        <v>1660</v>
      </c>
      <c r="B4977" t="s">
        <v>8</v>
      </c>
      <c r="C4977" s="3" t="s">
        <v>1661</v>
      </c>
      <c r="D4977" s="3" t="s">
        <v>56</v>
      </c>
    </row>
    <row r="4978" spans="1:4" x14ac:dyDescent="0.2">
      <c r="A4978" s="3" t="s">
        <v>1660</v>
      </c>
      <c r="B4978" t="s">
        <v>8</v>
      </c>
      <c r="C4978" s="3" t="s">
        <v>1662</v>
      </c>
      <c r="D4978" s="3" t="s">
        <v>56</v>
      </c>
    </row>
    <row r="4979" spans="1:4" x14ac:dyDescent="0.2">
      <c r="A4979" s="3" t="s">
        <v>1660</v>
      </c>
      <c r="B4979" t="s">
        <v>8</v>
      </c>
      <c r="C4979" s="3" t="s">
        <v>1663</v>
      </c>
      <c r="D4979" s="3" t="s">
        <v>56</v>
      </c>
    </row>
    <row r="4980" spans="1:4" x14ac:dyDescent="0.2">
      <c r="A4980" s="3" t="s">
        <v>1660</v>
      </c>
      <c r="B4980" t="s">
        <v>8</v>
      </c>
      <c r="C4980" s="3" t="s">
        <v>1664</v>
      </c>
      <c r="D4980" s="3" t="s">
        <v>56</v>
      </c>
    </row>
    <row r="4981" spans="1:4" x14ac:dyDescent="0.2">
      <c r="A4981" s="3" t="s">
        <v>1660</v>
      </c>
      <c r="B4981" t="s">
        <v>8</v>
      </c>
      <c r="C4981" s="3" t="s">
        <v>1665</v>
      </c>
      <c r="D4981" s="3" t="s">
        <v>56</v>
      </c>
    </row>
    <row r="4982" spans="1:4" x14ac:dyDescent="0.2">
      <c r="A4982" s="3" t="s">
        <v>1660</v>
      </c>
      <c r="B4982" t="s">
        <v>8</v>
      </c>
      <c r="C4982" s="3" t="s">
        <v>1661</v>
      </c>
      <c r="D4982" s="3" t="s">
        <v>57</v>
      </c>
    </row>
    <row r="4983" spans="1:4" x14ac:dyDescent="0.2">
      <c r="A4983" s="3" t="s">
        <v>1660</v>
      </c>
      <c r="B4983" t="s">
        <v>8</v>
      </c>
      <c r="C4983" s="3" t="s">
        <v>1662</v>
      </c>
      <c r="D4983" s="3" t="s">
        <v>57</v>
      </c>
    </row>
    <row r="4984" spans="1:4" x14ac:dyDescent="0.2">
      <c r="A4984" s="3" t="s">
        <v>1660</v>
      </c>
      <c r="B4984" t="s">
        <v>8</v>
      </c>
      <c r="C4984" s="3" t="s">
        <v>1663</v>
      </c>
      <c r="D4984" s="3" t="s">
        <v>57</v>
      </c>
    </row>
    <row r="4985" spans="1:4" x14ac:dyDescent="0.2">
      <c r="A4985" s="3" t="s">
        <v>1660</v>
      </c>
      <c r="B4985" t="s">
        <v>8</v>
      </c>
      <c r="C4985" s="3" t="s">
        <v>1664</v>
      </c>
      <c r="D4985" s="3" t="s">
        <v>57</v>
      </c>
    </row>
    <row r="4986" spans="1:4" x14ac:dyDescent="0.2">
      <c r="A4986" s="3" t="s">
        <v>1660</v>
      </c>
      <c r="B4986" t="s">
        <v>8</v>
      </c>
      <c r="C4986" s="3" t="s">
        <v>1665</v>
      </c>
      <c r="D4986" s="3" t="s">
        <v>57</v>
      </c>
    </row>
    <row r="4987" spans="1:4" x14ac:dyDescent="0.2">
      <c r="A4987" s="3" t="s">
        <v>1660</v>
      </c>
      <c r="B4987" t="s">
        <v>8</v>
      </c>
      <c r="C4987" s="3" t="s">
        <v>1666</v>
      </c>
      <c r="D4987" s="3" t="s">
        <v>22</v>
      </c>
    </row>
    <row r="4988" spans="1:4" x14ac:dyDescent="0.2">
      <c r="A4988" s="3" t="s">
        <v>1667</v>
      </c>
      <c r="B4988" t="s">
        <v>8</v>
      </c>
      <c r="C4988" s="3" t="s">
        <v>766</v>
      </c>
      <c r="D4988" s="3" t="s">
        <v>53</v>
      </c>
    </row>
    <row r="4989" spans="1:4" x14ac:dyDescent="0.2">
      <c r="A4989" s="3" t="s">
        <v>1667</v>
      </c>
      <c r="B4989" t="s">
        <v>8</v>
      </c>
      <c r="C4989" s="3" t="s">
        <v>766</v>
      </c>
      <c r="D4989" s="3" t="s">
        <v>54</v>
      </c>
    </row>
    <row r="4990" spans="1:4" x14ac:dyDescent="0.2">
      <c r="A4990" s="3" t="s">
        <v>1667</v>
      </c>
      <c r="B4990" t="s">
        <v>8</v>
      </c>
      <c r="C4990" s="3" t="s">
        <v>766</v>
      </c>
      <c r="D4990" s="3" t="s">
        <v>55</v>
      </c>
    </row>
    <row r="4991" spans="1:4" x14ac:dyDescent="0.2">
      <c r="A4991" s="3" t="s">
        <v>1667</v>
      </c>
      <c r="B4991" t="s">
        <v>8</v>
      </c>
      <c r="C4991" s="3" t="s">
        <v>766</v>
      </c>
      <c r="D4991" s="3" t="s">
        <v>56</v>
      </c>
    </row>
    <row r="4992" spans="1:4" x14ac:dyDescent="0.2">
      <c r="A4992" s="3" t="s">
        <v>1667</v>
      </c>
      <c r="B4992" t="s">
        <v>8</v>
      </c>
      <c r="C4992" s="3" t="s">
        <v>766</v>
      </c>
      <c r="D4992" s="3" t="s">
        <v>57</v>
      </c>
    </row>
    <row r="4993" spans="1:4" x14ac:dyDescent="0.2">
      <c r="A4993" s="3" t="s">
        <v>1668</v>
      </c>
      <c r="B4993" t="s">
        <v>8</v>
      </c>
      <c r="C4993" s="3" t="s">
        <v>1669</v>
      </c>
      <c r="D4993" s="3" t="s">
        <v>53</v>
      </c>
    </row>
    <row r="4994" spans="1:4" x14ac:dyDescent="0.2">
      <c r="A4994" s="3" t="s">
        <v>1668</v>
      </c>
      <c r="B4994" t="s">
        <v>8</v>
      </c>
      <c r="C4994" s="3" t="s">
        <v>1670</v>
      </c>
      <c r="D4994" s="3" t="s">
        <v>53</v>
      </c>
    </row>
    <row r="4995" spans="1:4" x14ac:dyDescent="0.2">
      <c r="A4995" s="3" t="s">
        <v>1668</v>
      </c>
      <c r="B4995" t="s">
        <v>8</v>
      </c>
      <c r="C4995" s="3" t="s">
        <v>1671</v>
      </c>
      <c r="D4995" s="3" t="s">
        <v>53</v>
      </c>
    </row>
    <row r="4996" spans="1:4" x14ac:dyDescent="0.2">
      <c r="A4996" s="3" t="s">
        <v>1668</v>
      </c>
      <c r="B4996" t="s">
        <v>8</v>
      </c>
      <c r="C4996" s="3" t="s">
        <v>1669</v>
      </c>
      <c r="D4996" s="3" t="s">
        <v>54</v>
      </c>
    </row>
    <row r="4997" spans="1:4" x14ac:dyDescent="0.2">
      <c r="A4997" s="3" t="s">
        <v>1668</v>
      </c>
      <c r="B4997" t="s">
        <v>8</v>
      </c>
      <c r="C4997" s="3" t="s">
        <v>1670</v>
      </c>
      <c r="D4997" s="3" t="s">
        <v>54</v>
      </c>
    </row>
    <row r="4998" spans="1:4" x14ac:dyDescent="0.2">
      <c r="A4998" s="3" t="s">
        <v>1668</v>
      </c>
      <c r="B4998" t="s">
        <v>8</v>
      </c>
      <c r="C4998" s="3" t="s">
        <v>1671</v>
      </c>
      <c r="D4998" s="3" t="s">
        <v>54</v>
      </c>
    </row>
    <row r="4999" spans="1:4" x14ac:dyDescent="0.2">
      <c r="A4999" s="3" t="s">
        <v>1668</v>
      </c>
      <c r="B4999" t="s">
        <v>8</v>
      </c>
      <c r="C4999" s="3" t="s">
        <v>1669</v>
      </c>
      <c r="D4999" s="3" t="s">
        <v>55</v>
      </c>
    </row>
    <row r="5000" spans="1:4" x14ac:dyDescent="0.2">
      <c r="A5000" s="3" t="s">
        <v>1668</v>
      </c>
      <c r="B5000" t="s">
        <v>8</v>
      </c>
      <c r="C5000" s="3" t="s">
        <v>1670</v>
      </c>
      <c r="D5000" s="3" t="s">
        <v>55</v>
      </c>
    </row>
    <row r="5001" spans="1:4" x14ac:dyDescent="0.2">
      <c r="A5001" s="3" t="s">
        <v>1668</v>
      </c>
      <c r="B5001" t="s">
        <v>8</v>
      </c>
      <c r="C5001" s="3" t="s">
        <v>1669</v>
      </c>
      <c r="D5001" s="3" t="s">
        <v>56</v>
      </c>
    </row>
    <row r="5002" spans="1:4" x14ac:dyDescent="0.2">
      <c r="A5002" s="3" t="s">
        <v>1668</v>
      </c>
      <c r="B5002" t="s">
        <v>8</v>
      </c>
      <c r="C5002" s="3" t="s">
        <v>1670</v>
      </c>
      <c r="D5002" s="3" t="s">
        <v>56</v>
      </c>
    </row>
    <row r="5003" spans="1:4" x14ac:dyDescent="0.2">
      <c r="A5003" s="3" t="s">
        <v>1668</v>
      </c>
      <c r="B5003" t="s">
        <v>8</v>
      </c>
      <c r="C5003" s="3" t="s">
        <v>1669</v>
      </c>
      <c r="D5003" s="3" t="s">
        <v>57</v>
      </c>
    </row>
    <row r="5004" spans="1:4" x14ac:dyDescent="0.2">
      <c r="A5004" s="3" t="s">
        <v>1668</v>
      </c>
      <c r="B5004" t="s">
        <v>8</v>
      </c>
      <c r="C5004" s="3" t="s">
        <v>1670</v>
      </c>
      <c r="D5004" s="3" t="s">
        <v>57</v>
      </c>
    </row>
    <row r="5005" spans="1:4" x14ac:dyDescent="0.2">
      <c r="A5005" s="3" t="s">
        <v>1668</v>
      </c>
      <c r="B5005" t="s">
        <v>8</v>
      </c>
      <c r="C5005" s="3" t="s">
        <v>1672</v>
      </c>
      <c r="D5005" s="3" t="s">
        <v>22</v>
      </c>
    </row>
    <row r="5006" spans="1:4" x14ac:dyDescent="0.2">
      <c r="A5006" s="3" t="s">
        <v>1668</v>
      </c>
      <c r="B5006" t="s">
        <v>8</v>
      </c>
      <c r="C5006" s="3" t="s">
        <v>1673</v>
      </c>
      <c r="D5006" s="3" t="s">
        <v>22</v>
      </c>
    </row>
    <row r="5007" spans="1:4" x14ac:dyDescent="0.2">
      <c r="A5007" s="3" t="s">
        <v>1668</v>
      </c>
      <c r="B5007" t="s">
        <v>8</v>
      </c>
      <c r="C5007" s="3" t="s">
        <v>1674</v>
      </c>
      <c r="D5007" s="3" t="s">
        <v>22</v>
      </c>
    </row>
    <row r="5008" spans="1:4" x14ac:dyDescent="0.2">
      <c r="A5008" s="3" t="s">
        <v>1668</v>
      </c>
      <c r="B5008" t="s">
        <v>8</v>
      </c>
      <c r="C5008" s="3" t="s">
        <v>1675</v>
      </c>
      <c r="D5008" s="3" t="s">
        <v>22</v>
      </c>
    </row>
    <row r="5009" spans="1:4" x14ac:dyDescent="0.2">
      <c r="A5009" s="3" t="s">
        <v>1676</v>
      </c>
      <c r="B5009" t="s">
        <v>8</v>
      </c>
      <c r="C5009" s="3" t="s">
        <v>1677</v>
      </c>
      <c r="D5009" s="3" t="s">
        <v>53</v>
      </c>
    </row>
    <row r="5010" spans="1:4" x14ac:dyDescent="0.2">
      <c r="A5010" s="3" t="s">
        <v>1676</v>
      </c>
      <c r="B5010" t="s">
        <v>8</v>
      </c>
      <c r="C5010" s="3" t="s">
        <v>1678</v>
      </c>
      <c r="D5010" s="3" t="s">
        <v>53</v>
      </c>
    </row>
    <row r="5011" spans="1:4" x14ac:dyDescent="0.2">
      <c r="A5011" s="3" t="s">
        <v>1676</v>
      </c>
      <c r="B5011" t="s">
        <v>8</v>
      </c>
      <c r="C5011" s="3" t="s">
        <v>1679</v>
      </c>
      <c r="D5011" s="3" t="s">
        <v>53</v>
      </c>
    </row>
    <row r="5012" spans="1:4" x14ac:dyDescent="0.2">
      <c r="A5012" s="3" t="s">
        <v>1676</v>
      </c>
      <c r="B5012" t="s">
        <v>8</v>
      </c>
      <c r="C5012" s="3" t="s">
        <v>1680</v>
      </c>
      <c r="D5012" s="3" t="s">
        <v>53</v>
      </c>
    </row>
    <row r="5013" spans="1:4" x14ac:dyDescent="0.2">
      <c r="A5013" s="3" t="s">
        <v>1676</v>
      </c>
      <c r="B5013" t="s">
        <v>8</v>
      </c>
      <c r="C5013" s="3" t="s">
        <v>1681</v>
      </c>
      <c r="D5013" s="3" t="s">
        <v>53</v>
      </c>
    </row>
    <row r="5014" spans="1:4" x14ac:dyDescent="0.2">
      <c r="A5014" s="3" t="s">
        <v>1676</v>
      </c>
      <c r="B5014" t="s">
        <v>8</v>
      </c>
      <c r="C5014" s="3" t="s">
        <v>1677</v>
      </c>
      <c r="D5014" s="3" t="s">
        <v>54</v>
      </c>
    </row>
    <row r="5015" spans="1:4" x14ac:dyDescent="0.2">
      <c r="A5015" s="3" t="s">
        <v>1676</v>
      </c>
      <c r="B5015" t="s">
        <v>8</v>
      </c>
      <c r="C5015" s="3" t="s">
        <v>1678</v>
      </c>
      <c r="D5015" s="3" t="s">
        <v>54</v>
      </c>
    </row>
    <row r="5016" spans="1:4" x14ac:dyDescent="0.2">
      <c r="A5016" s="3" t="s">
        <v>1676</v>
      </c>
      <c r="B5016" t="s">
        <v>8</v>
      </c>
      <c r="C5016" s="3" t="s">
        <v>1679</v>
      </c>
      <c r="D5016" s="3" t="s">
        <v>54</v>
      </c>
    </row>
    <row r="5017" spans="1:4" x14ac:dyDescent="0.2">
      <c r="A5017" s="3" t="s">
        <v>1676</v>
      </c>
      <c r="B5017" t="s">
        <v>8</v>
      </c>
      <c r="C5017" s="3" t="s">
        <v>1680</v>
      </c>
      <c r="D5017" s="3" t="s">
        <v>54</v>
      </c>
    </row>
    <row r="5018" spans="1:4" x14ac:dyDescent="0.2">
      <c r="A5018" s="3" t="s">
        <v>1676</v>
      </c>
      <c r="B5018" t="s">
        <v>8</v>
      </c>
      <c r="C5018" s="3" t="s">
        <v>1677</v>
      </c>
      <c r="D5018" s="3" t="s">
        <v>55</v>
      </c>
    </row>
    <row r="5019" spans="1:4" x14ac:dyDescent="0.2">
      <c r="A5019" s="3" t="s">
        <v>1676</v>
      </c>
      <c r="B5019" t="s">
        <v>8</v>
      </c>
      <c r="C5019" s="3" t="s">
        <v>1678</v>
      </c>
      <c r="D5019" s="3" t="s">
        <v>55</v>
      </c>
    </row>
    <row r="5020" spans="1:4" x14ac:dyDescent="0.2">
      <c r="A5020" s="3" t="s">
        <v>1676</v>
      </c>
      <c r="B5020" t="s">
        <v>8</v>
      </c>
      <c r="C5020" s="3" t="s">
        <v>1679</v>
      </c>
      <c r="D5020" s="3" t="s">
        <v>55</v>
      </c>
    </row>
    <row r="5021" spans="1:4" x14ac:dyDescent="0.2">
      <c r="A5021" s="3" t="s">
        <v>1676</v>
      </c>
      <c r="B5021" t="s">
        <v>8</v>
      </c>
      <c r="C5021" s="3" t="s">
        <v>1680</v>
      </c>
      <c r="D5021" s="3" t="s">
        <v>55</v>
      </c>
    </row>
    <row r="5022" spans="1:4" x14ac:dyDescent="0.2">
      <c r="A5022" s="3" t="s">
        <v>1676</v>
      </c>
      <c r="B5022" t="s">
        <v>8</v>
      </c>
      <c r="C5022" s="3" t="s">
        <v>1677</v>
      </c>
      <c r="D5022" s="3" t="s">
        <v>56</v>
      </c>
    </row>
    <row r="5023" spans="1:4" x14ac:dyDescent="0.2">
      <c r="A5023" s="3" t="s">
        <v>1676</v>
      </c>
      <c r="B5023" t="s">
        <v>8</v>
      </c>
      <c r="C5023" s="3" t="s">
        <v>1678</v>
      </c>
      <c r="D5023" s="3" t="s">
        <v>56</v>
      </c>
    </row>
    <row r="5024" spans="1:4" x14ac:dyDescent="0.2">
      <c r="A5024" s="3" t="s">
        <v>1676</v>
      </c>
      <c r="B5024" t="s">
        <v>8</v>
      </c>
      <c r="C5024" s="3" t="s">
        <v>1679</v>
      </c>
      <c r="D5024" s="3" t="s">
        <v>56</v>
      </c>
    </row>
    <row r="5025" spans="1:4" x14ac:dyDescent="0.2">
      <c r="A5025" s="3" t="s">
        <v>1676</v>
      </c>
      <c r="B5025" t="s">
        <v>8</v>
      </c>
      <c r="C5025" s="3" t="s">
        <v>1680</v>
      </c>
      <c r="D5025" s="3" t="s">
        <v>56</v>
      </c>
    </row>
    <row r="5026" spans="1:4" x14ac:dyDescent="0.2">
      <c r="A5026" s="3" t="s">
        <v>1676</v>
      </c>
      <c r="B5026" t="s">
        <v>8</v>
      </c>
      <c r="C5026" s="3" t="s">
        <v>1677</v>
      </c>
      <c r="D5026" s="3" t="s">
        <v>57</v>
      </c>
    </row>
    <row r="5027" spans="1:4" x14ac:dyDescent="0.2">
      <c r="A5027" s="3" t="s">
        <v>1676</v>
      </c>
      <c r="B5027" t="s">
        <v>8</v>
      </c>
      <c r="C5027" s="3" t="s">
        <v>1678</v>
      </c>
      <c r="D5027" s="3" t="s">
        <v>57</v>
      </c>
    </row>
    <row r="5028" spans="1:4" x14ac:dyDescent="0.2">
      <c r="A5028" s="3" t="s">
        <v>1676</v>
      </c>
      <c r="B5028" t="s">
        <v>8</v>
      </c>
      <c r="C5028" s="3" t="s">
        <v>1679</v>
      </c>
      <c r="D5028" s="3" t="s">
        <v>57</v>
      </c>
    </row>
    <row r="5029" spans="1:4" x14ac:dyDescent="0.2">
      <c r="A5029" s="3" t="s">
        <v>1676</v>
      </c>
      <c r="B5029" t="s">
        <v>8</v>
      </c>
      <c r="C5029" s="3" t="s">
        <v>1680</v>
      </c>
      <c r="D5029" s="3" t="s">
        <v>57</v>
      </c>
    </row>
    <row r="5030" spans="1:4" x14ac:dyDescent="0.2">
      <c r="A5030" s="3" t="s">
        <v>1676</v>
      </c>
      <c r="B5030" t="s">
        <v>8</v>
      </c>
      <c r="C5030" s="3" t="s">
        <v>1682</v>
      </c>
      <c r="D5030" s="3" t="s">
        <v>169</v>
      </c>
    </row>
    <row r="5031" spans="1:4" x14ac:dyDescent="0.2">
      <c r="A5031" s="3" t="s">
        <v>1676</v>
      </c>
      <c r="B5031" t="s">
        <v>8</v>
      </c>
      <c r="C5031" s="3" t="s">
        <v>1683</v>
      </c>
      <c r="D5031" s="3" t="s">
        <v>22</v>
      </c>
    </row>
    <row r="5032" spans="1:4" x14ac:dyDescent="0.2">
      <c r="A5032" s="3" t="s">
        <v>1676</v>
      </c>
      <c r="B5032" t="s">
        <v>8</v>
      </c>
      <c r="C5032" s="3" t="s">
        <v>1684</v>
      </c>
      <c r="D5032" s="3" t="s">
        <v>22</v>
      </c>
    </row>
    <row r="5033" spans="1:4" x14ac:dyDescent="0.2">
      <c r="A5033" s="3" t="s">
        <v>1685</v>
      </c>
      <c r="B5033" t="s">
        <v>8</v>
      </c>
      <c r="C5033" s="3" t="s">
        <v>1686</v>
      </c>
      <c r="D5033" s="3" t="s">
        <v>53</v>
      </c>
    </row>
    <row r="5034" spans="1:4" x14ac:dyDescent="0.2">
      <c r="A5034" s="3" t="s">
        <v>1685</v>
      </c>
      <c r="B5034" t="s">
        <v>8</v>
      </c>
      <c r="C5034" s="3" t="s">
        <v>1687</v>
      </c>
      <c r="D5034" s="3" t="s">
        <v>53</v>
      </c>
    </row>
    <row r="5035" spans="1:4" x14ac:dyDescent="0.2">
      <c r="A5035" s="3" t="s">
        <v>1685</v>
      </c>
      <c r="B5035" t="s">
        <v>8</v>
      </c>
      <c r="C5035" s="3" t="s">
        <v>1688</v>
      </c>
      <c r="D5035" s="3" t="s">
        <v>53</v>
      </c>
    </row>
    <row r="5036" spans="1:4" x14ac:dyDescent="0.2">
      <c r="A5036" s="3" t="s">
        <v>1685</v>
      </c>
      <c r="B5036" t="s">
        <v>8</v>
      </c>
      <c r="C5036" s="3" t="s">
        <v>1689</v>
      </c>
      <c r="D5036" s="3" t="s">
        <v>53</v>
      </c>
    </row>
    <row r="5037" spans="1:4" x14ac:dyDescent="0.2">
      <c r="A5037" s="3" t="s">
        <v>1685</v>
      </c>
      <c r="B5037" t="s">
        <v>8</v>
      </c>
      <c r="C5037" s="3" t="s">
        <v>1690</v>
      </c>
      <c r="D5037" s="3" t="s">
        <v>53</v>
      </c>
    </row>
    <row r="5038" spans="1:4" x14ac:dyDescent="0.2">
      <c r="A5038" s="3" t="s">
        <v>1685</v>
      </c>
      <c r="B5038" t="s">
        <v>8</v>
      </c>
      <c r="C5038" s="3" t="s">
        <v>1691</v>
      </c>
      <c r="D5038" s="3" t="s">
        <v>53</v>
      </c>
    </row>
    <row r="5039" spans="1:4" x14ac:dyDescent="0.2">
      <c r="A5039" s="3" t="s">
        <v>1685</v>
      </c>
      <c r="B5039" t="s">
        <v>8</v>
      </c>
      <c r="C5039" s="3" t="s">
        <v>1692</v>
      </c>
      <c r="D5039" s="3" t="s">
        <v>53</v>
      </c>
    </row>
    <row r="5040" spans="1:4" x14ac:dyDescent="0.2">
      <c r="A5040" s="3" t="s">
        <v>1685</v>
      </c>
      <c r="B5040" t="s">
        <v>8</v>
      </c>
      <c r="C5040" s="3" t="s">
        <v>1680</v>
      </c>
      <c r="D5040" s="3" t="s">
        <v>53</v>
      </c>
    </row>
    <row r="5041" spans="1:4" x14ac:dyDescent="0.2">
      <c r="A5041" s="3" t="s">
        <v>1685</v>
      </c>
      <c r="B5041" t="s">
        <v>8</v>
      </c>
      <c r="C5041" s="3" t="s">
        <v>1693</v>
      </c>
      <c r="D5041" s="3" t="s">
        <v>53</v>
      </c>
    </row>
    <row r="5042" spans="1:4" x14ac:dyDescent="0.2">
      <c r="A5042" s="3" t="s">
        <v>1685</v>
      </c>
      <c r="B5042" t="s">
        <v>8</v>
      </c>
      <c r="C5042" s="3" t="s">
        <v>1694</v>
      </c>
      <c r="D5042" s="3" t="s">
        <v>53</v>
      </c>
    </row>
    <row r="5043" spans="1:4" x14ac:dyDescent="0.2">
      <c r="A5043" s="3" t="s">
        <v>1685</v>
      </c>
      <c r="B5043" t="s">
        <v>8</v>
      </c>
      <c r="C5043" s="3" t="s">
        <v>1681</v>
      </c>
      <c r="D5043" s="3" t="s">
        <v>53</v>
      </c>
    </row>
    <row r="5044" spans="1:4" x14ac:dyDescent="0.2">
      <c r="A5044" s="3" t="s">
        <v>1685</v>
      </c>
      <c r="B5044" t="s">
        <v>8</v>
      </c>
      <c r="C5044" s="3" t="s">
        <v>1686</v>
      </c>
      <c r="D5044" s="3" t="s">
        <v>54</v>
      </c>
    </row>
    <row r="5045" spans="1:4" x14ac:dyDescent="0.2">
      <c r="A5045" s="3" t="s">
        <v>1685</v>
      </c>
      <c r="B5045" t="s">
        <v>8</v>
      </c>
      <c r="C5045" s="3" t="s">
        <v>1687</v>
      </c>
      <c r="D5045" s="3" t="s">
        <v>54</v>
      </c>
    </row>
    <row r="5046" spans="1:4" x14ac:dyDescent="0.2">
      <c r="A5046" s="3" t="s">
        <v>1685</v>
      </c>
      <c r="B5046" t="s">
        <v>8</v>
      </c>
      <c r="C5046" s="3" t="s">
        <v>1688</v>
      </c>
      <c r="D5046" s="3" t="s">
        <v>54</v>
      </c>
    </row>
    <row r="5047" spans="1:4" x14ac:dyDescent="0.2">
      <c r="A5047" s="3" t="s">
        <v>1685</v>
      </c>
      <c r="B5047" t="s">
        <v>8</v>
      </c>
      <c r="C5047" s="3" t="s">
        <v>1689</v>
      </c>
      <c r="D5047" s="3" t="s">
        <v>54</v>
      </c>
    </row>
    <row r="5048" spans="1:4" x14ac:dyDescent="0.2">
      <c r="A5048" s="3" t="s">
        <v>1685</v>
      </c>
      <c r="B5048" t="s">
        <v>8</v>
      </c>
      <c r="C5048" s="3" t="s">
        <v>1690</v>
      </c>
      <c r="D5048" s="3" t="s">
        <v>54</v>
      </c>
    </row>
    <row r="5049" spans="1:4" x14ac:dyDescent="0.2">
      <c r="A5049" s="3" t="s">
        <v>1685</v>
      </c>
      <c r="B5049" t="s">
        <v>8</v>
      </c>
      <c r="C5049" s="3" t="s">
        <v>1691</v>
      </c>
      <c r="D5049" s="3" t="s">
        <v>54</v>
      </c>
    </row>
    <row r="5050" spans="1:4" x14ac:dyDescent="0.2">
      <c r="A5050" s="3" t="s">
        <v>1685</v>
      </c>
      <c r="B5050" t="s">
        <v>8</v>
      </c>
      <c r="C5050" s="3" t="s">
        <v>1692</v>
      </c>
      <c r="D5050" s="3" t="s">
        <v>54</v>
      </c>
    </row>
    <row r="5051" spans="1:4" x14ac:dyDescent="0.2">
      <c r="A5051" s="3" t="s">
        <v>1685</v>
      </c>
      <c r="B5051" t="s">
        <v>8</v>
      </c>
      <c r="C5051" s="3" t="s">
        <v>1680</v>
      </c>
      <c r="D5051" s="3" t="s">
        <v>54</v>
      </c>
    </row>
    <row r="5052" spans="1:4" x14ac:dyDescent="0.2">
      <c r="A5052" s="3" t="s">
        <v>1685</v>
      </c>
      <c r="B5052" t="s">
        <v>8</v>
      </c>
      <c r="C5052" s="3" t="s">
        <v>1693</v>
      </c>
      <c r="D5052" s="3" t="s">
        <v>54</v>
      </c>
    </row>
    <row r="5053" spans="1:4" x14ac:dyDescent="0.2">
      <c r="A5053" s="3" t="s">
        <v>1685</v>
      </c>
      <c r="B5053" t="s">
        <v>8</v>
      </c>
      <c r="C5053" s="3" t="s">
        <v>1694</v>
      </c>
      <c r="D5053" s="3" t="s">
        <v>54</v>
      </c>
    </row>
    <row r="5054" spans="1:4" x14ac:dyDescent="0.2">
      <c r="A5054" s="3" t="s">
        <v>1685</v>
      </c>
      <c r="B5054" t="s">
        <v>8</v>
      </c>
      <c r="C5054" s="3" t="s">
        <v>1686</v>
      </c>
      <c r="D5054" s="3" t="s">
        <v>55</v>
      </c>
    </row>
    <row r="5055" spans="1:4" x14ac:dyDescent="0.2">
      <c r="A5055" s="3" t="s">
        <v>1685</v>
      </c>
      <c r="B5055" t="s">
        <v>8</v>
      </c>
      <c r="C5055" s="3" t="s">
        <v>1687</v>
      </c>
      <c r="D5055" s="3" t="s">
        <v>55</v>
      </c>
    </row>
    <row r="5056" spans="1:4" x14ac:dyDescent="0.2">
      <c r="A5056" s="3" t="s">
        <v>1685</v>
      </c>
      <c r="B5056" t="s">
        <v>8</v>
      </c>
      <c r="C5056" s="3" t="s">
        <v>1688</v>
      </c>
      <c r="D5056" s="3" t="s">
        <v>55</v>
      </c>
    </row>
    <row r="5057" spans="1:4" x14ac:dyDescent="0.2">
      <c r="A5057" s="3" t="s">
        <v>1685</v>
      </c>
      <c r="B5057" t="s">
        <v>8</v>
      </c>
      <c r="C5057" s="3" t="s">
        <v>1689</v>
      </c>
      <c r="D5057" s="3" t="s">
        <v>55</v>
      </c>
    </row>
    <row r="5058" spans="1:4" x14ac:dyDescent="0.2">
      <c r="A5058" s="3" t="s">
        <v>1685</v>
      </c>
      <c r="B5058" t="s">
        <v>8</v>
      </c>
      <c r="C5058" s="3" t="s">
        <v>1690</v>
      </c>
      <c r="D5058" s="3" t="s">
        <v>55</v>
      </c>
    </row>
    <row r="5059" spans="1:4" x14ac:dyDescent="0.2">
      <c r="A5059" s="3" t="s">
        <v>1685</v>
      </c>
      <c r="B5059" t="s">
        <v>8</v>
      </c>
      <c r="C5059" s="3" t="s">
        <v>1691</v>
      </c>
      <c r="D5059" s="3" t="s">
        <v>55</v>
      </c>
    </row>
    <row r="5060" spans="1:4" x14ac:dyDescent="0.2">
      <c r="A5060" s="3" t="s">
        <v>1685</v>
      </c>
      <c r="B5060" t="s">
        <v>8</v>
      </c>
      <c r="C5060" s="3" t="s">
        <v>1692</v>
      </c>
      <c r="D5060" s="3" t="s">
        <v>55</v>
      </c>
    </row>
    <row r="5061" spans="1:4" x14ac:dyDescent="0.2">
      <c r="A5061" s="3" t="s">
        <v>1685</v>
      </c>
      <c r="B5061" t="s">
        <v>8</v>
      </c>
      <c r="C5061" s="3" t="s">
        <v>1680</v>
      </c>
      <c r="D5061" s="3" t="s">
        <v>55</v>
      </c>
    </row>
    <row r="5062" spans="1:4" x14ac:dyDescent="0.2">
      <c r="A5062" s="3" t="s">
        <v>1685</v>
      </c>
      <c r="B5062" t="s">
        <v>8</v>
      </c>
      <c r="C5062" s="3" t="s">
        <v>1693</v>
      </c>
      <c r="D5062" s="3" t="s">
        <v>55</v>
      </c>
    </row>
    <row r="5063" spans="1:4" x14ac:dyDescent="0.2">
      <c r="A5063" s="3" t="s">
        <v>1685</v>
      </c>
      <c r="B5063" t="s">
        <v>8</v>
      </c>
      <c r="C5063" s="3" t="s">
        <v>1694</v>
      </c>
      <c r="D5063" s="3" t="s">
        <v>55</v>
      </c>
    </row>
    <row r="5064" spans="1:4" x14ac:dyDescent="0.2">
      <c r="A5064" s="3" t="s">
        <v>1685</v>
      </c>
      <c r="B5064" t="s">
        <v>8</v>
      </c>
      <c r="C5064" s="3" t="s">
        <v>1686</v>
      </c>
      <c r="D5064" s="3" t="s">
        <v>56</v>
      </c>
    </row>
    <row r="5065" spans="1:4" x14ac:dyDescent="0.2">
      <c r="A5065" s="3" t="s">
        <v>1685</v>
      </c>
      <c r="B5065" t="s">
        <v>8</v>
      </c>
      <c r="C5065" s="3" t="s">
        <v>1687</v>
      </c>
      <c r="D5065" s="3" t="s">
        <v>56</v>
      </c>
    </row>
    <row r="5066" spans="1:4" x14ac:dyDescent="0.2">
      <c r="A5066" s="3" t="s">
        <v>1685</v>
      </c>
      <c r="B5066" t="s">
        <v>8</v>
      </c>
      <c r="C5066" s="3" t="s">
        <v>1688</v>
      </c>
      <c r="D5066" s="3" t="s">
        <v>56</v>
      </c>
    </row>
    <row r="5067" spans="1:4" x14ac:dyDescent="0.2">
      <c r="A5067" s="3" t="s">
        <v>1685</v>
      </c>
      <c r="B5067" t="s">
        <v>8</v>
      </c>
      <c r="C5067" s="3" t="s">
        <v>1689</v>
      </c>
      <c r="D5067" s="3" t="s">
        <v>56</v>
      </c>
    </row>
    <row r="5068" spans="1:4" x14ac:dyDescent="0.2">
      <c r="A5068" s="3" t="s">
        <v>1685</v>
      </c>
      <c r="B5068" t="s">
        <v>8</v>
      </c>
      <c r="C5068" s="3" t="s">
        <v>1690</v>
      </c>
      <c r="D5068" s="3" t="s">
        <v>56</v>
      </c>
    </row>
    <row r="5069" spans="1:4" x14ac:dyDescent="0.2">
      <c r="A5069" s="3" t="s">
        <v>1685</v>
      </c>
      <c r="B5069" t="s">
        <v>8</v>
      </c>
      <c r="C5069" s="3" t="s">
        <v>1691</v>
      </c>
      <c r="D5069" s="3" t="s">
        <v>56</v>
      </c>
    </row>
    <row r="5070" spans="1:4" x14ac:dyDescent="0.2">
      <c r="A5070" s="3" t="s">
        <v>1685</v>
      </c>
      <c r="B5070" t="s">
        <v>8</v>
      </c>
      <c r="C5070" s="3" t="s">
        <v>1692</v>
      </c>
      <c r="D5070" s="3" t="s">
        <v>56</v>
      </c>
    </row>
    <row r="5071" spans="1:4" x14ac:dyDescent="0.2">
      <c r="A5071" s="3" t="s">
        <v>1685</v>
      </c>
      <c r="B5071" t="s">
        <v>8</v>
      </c>
      <c r="C5071" s="3" t="s">
        <v>1680</v>
      </c>
      <c r="D5071" s="3" t="s">
        <v>56</v>
      </c>
    </row>
    <row r="5072" spans="1:4" x14ac:dyDescent="0.2">
      <c r="A5072" s="3" t="s">
        <v>1685</v>
      </c>
      <c r="B5072" t="s">
        <v>8</v>
      </c>
      <c r="C5072" s="3" t="s">
        <v>1693</v>
      </c>
      <c r="D5072" s="3" t="s">
        <v>56</v>
      </c>
    </row>
    <row r="5073" spans="1:4" x14ac:dyDescent="0.2">
      <c r="A5073" s="3" t="s">
        <v>1685</v>
      </c>
      <c r="B5073" t="s">
        <v>8</v>
      </c>
      <c r="C5073" s="3" t="s">
        <v>1694</v>
      </c>
      <c r="D5073" s="3" t="s">
        <v>56</v>
      </c>
    </row>
    <row r="5074" spans="1:4" x14ac:dyDescent="0.2">
      <c r="A5074" s="3" t="s">
        <v>1685</v>
      </c>
      <c r="B5074" t="s">
        <v>8</v>
      </c>
      <c r="C5074" s="3" t="s">
        <v>1686</v>
      </c>
      <c r="D5074" s="3" t="s">
        <v>57</v>
      </c>
    </row>
    <row r="5075" spans="1:4" x14ac:dyDescent="0.2">
      <c r="A5075" s="3" t="s">
        <v>1685</v>
      </c>
      <c r="B5075" t="s">
        <v>8</v>
      </c>
      <c r="C5075" s="3" t="s">
        <v>1687</v>
      </c>
      <c r="D5075" s="3" t="s">
        <v>57</v>
      </c>
    </row>
    <row r="5076" spans="1:4" x14ac:dyDescent="0.2">
      <c r="A5076" s="3" t="s">
        <v>1685</v>
      </c>
      <c r="B5076" t="s">
        <v>8</v>
      </c>
      <c r="C5076" s="3" t="s">
        <v>1688</v>
      </c>
      <c r="D5076" s="3" t="s">
        <v>57</v>
      </c>
    </row>
    <row r="5077" spans="1:4" x14ac:dyDescent="0.2">
      <c r="A5077" s="3" t="s">
        <v>1685</v>
      </c>
      <c r="B5077" t="s">
        <v>8</v>
      </c>
      <c r="C5077" s="3" t="s">
        <v>1689</v>
      </c>
      <c r="D5077" s="3" t="s">
        <v>57</v>
      </c>
    </row>
    <row r="5078" spans="1:4" x14ac:dyDescent="0.2">
      <c r="A5078" s="3" t="s">
        <v>1685</v>
      </c>
      <c r="B5078" t="s">
        <v>8</v>
      </c>
      <c r="C5078" s="3" t="s">
        <v>1690</v>
      </c>
      <c r="D5078" s="3" t="s">
        <v>57</v>
      </c>
    </row>
    <row r="5079" spans="1:4" x14ac:dyDescent="0.2">
      <c r="A5079" s="3" t="s">
        <v>1685</v>
      </c>
      <c r="B5079" t="s">
        <v>8</v>
      </c>
      <c r="C5079" s="3" t="s">
        <v>1691</v>
      </c>
      <c r="D5079" s="3" t="s">
        <v>57</v>
      </c>
    </row>
    <row r="5080" spans="1:4" x14ac:dyDescent="0.2">
      <c r="A5080" s="3" t="s">
        <v>1685</v>
      </c>
      <c r="B5080" t="s">
        <v>8</v>
      </c>
      <c r="C5080" s="3" t="s">
        <v>1692</v>
      </c>
      <c r="D5080" s="3" t="s">
        <v>57</v>
      </c>
    </row>
    <row r="5081" spans="1:4" x14ac:dyDescent="0.2">
      <c r="A5081" s="3" t="s">
        <v>1685</v>
      </c>
      <c r="B5081" t="s">
        <v>8</v>
      </c>
      <c r="C5081" s="3" t="s">
        <v>1680</v>
      </c>
      <c r="D5081" s="3" t="s">
        <v>57</v>
      </c>
    </row>
    <row r="5082" spans="1:4" x14ac:dyDescent="0.2">
      <c r="A5082" s="3" t="s">
        <v>1685</v>
      </c>
      <c r="B5082" t="s">
        <v>8</v>
      </c>
      <c r="C5082" s="3" t="s">
        <v>1693</v>
      </c>
      <c r="D5082" s="3" t="s">
        <v>57</v>
      </c>
    </row>
    <row r="5083" spans="1:4" x14ac:dyDescent="0.2">
      <c r="A5083" s="3" t="s">
        <v>1685</v>
      </c>
      <c r="B5083" t="s">
        <v>8</v>
      </c>
      <c r="C5083" s="3" t="s">
        <v>1694</v>
      </c>
      <c r="D5083" s="3" t="s">
        <v>57</v>
      </c>
    </row>
    <row r="5084" spans="1:4" x14ac:dyDescent="0.2">
      <c r="A5084" s="3" t="s">
        <v>1685</v>
      </c>
      <c r="B5084" t="s">
        <v>8</v>
      </c>
      <c r="C5084" s="3" t="s">
        <v>1695</v>
      </c>
      <c r="D5084" s="3" t="s">
        <v>169</v>
      </c>
    </row>
    <row r="5085" spans="1:4" x14ac:dyDescent="0.2">
      <c r="A5085" s="3" t="s">
        <v>1685</v>
      </c>
      <c r="B5085" t="s">
        <v>8</v>
      </c>
      <c r="C5085" s="3" t="s">
        <v>1696</v>
      </c>
      <c r="D5085" s="3" t="s">
        <v>22</v>
      </c>
    </row>
    <row r="5086" spans="1:4" x14ac:dyDescent="0.2">
      <c r="A5086" s="3" t="s">
        <v>1685</v>
      </c>
      <c r="B5086" t="s">
        <v>8</v>
      </c>
      <c r="C5086" s="3" t="s">
        <v>1654</v>
      </c>
      <c r="D5086" s="3" t="s">
        <v>22</v>
      </c>
    </row>
    <row r="5087" spans="1:4" x14ac:dyDescent="0.2">
      <c r="A5087" s="3" t="s">
        <v>1685</v>
      </c>
      <c r="B5087" t="s">
        <v>8</v>
      </c>
      <c r="C5087" s="3" t="s">
        <v>1697</v>
      </c>
      <c r="D5087" s="3" t="s">
        <v>22</v>
      </c>
    </row>
    <row r="5088" spans="1:4" x14ac:dyDescent="0.2">
      <c r="A5088" s="3" t="s">
        <v>1685</v>
      </c>
      <c r="B5088" t="s">
        <v>8</v>
      </c>
      <c r="C5088" s="3" t="s">
        <v>1698</v>
      </c>
      <c r="D5088" s="3" t="s">
        <v>22</v>
      </c>
    </row>
    <row r="5089" spans="1:4" x14ac:dyDescent="0.2">
      <c r="A5089" s="3" t="s">
        <v>1685</v>
      </c>
      <c r="B5089" t="s">
        <v>8</v>
      </c>
      <c r="C5089" s="3" t="s">
        <v>1699</v>
      </c>
      <c r="D5089" s="3" t="s">
        <v>22</v>
      </c>
    </row>
    <row r="5090" spans="1:4" x14ac:dyDescent="0.2">
      <c r="A5090" s="3" t="s">
        <v>1685</v>
      </c>
      <c r="B5090" t="s">
        <v>8</v>
      </c>
      <c r="C5090" s="3" t="s">
        <v>1647</v>
      </c>
      <c r="D5090" s="3" t="s">
        <v>22</v>
      </c>
    </row>
    <row r="5091" spans="1:4" x14ac:dyDescent="0.2">
      <c r="A5091" s="3" t="s">
        <v>1685</v>
      </c>
      <c r="B5091" t="s">
        <v>8</v>
      </c>
      <c r="C5091" s="3" t="s">
        <v>1700</v>
      </c>
      <c r="D5091" s="3" t="s">
        <v>22</v>
      </c>
    </row>
    <row r="5092" spans="1:4" x14ac:dyDescent="0.2">
      <c r="A5092" s="3" t="s">
        <v>1685</v>
      </c>
      <c r="B5092" t="s">
        <v>8</v>
      </c>
      <c r="C5092" s="3" t="s">
        <v>1701</v>
      </c>
      <c r="D5092" s="3" t="s">
        <v>22</v>
      </c>
    </row>
    <row r="5093" spans="1:4" x14ac:dyDescent="0.2">
      <c r="A5093" s="3" t="s">
        <v>1685</v>
      </c>
      <c r="B5093" t="s">
        <v>8</v>
      </c>
      <c r="C5093" s="3" t="s">
        <v>1644</v>
      </c>
      <c r="D5093" s="3" t="s">
        <v>22</v>
      </c>
    </row>
    <row r="5094" spans="1:4" x14ac:dyDescent="0.2">
      <c r="A5094" s="3" t="s">
        <v>1685</v>
      </c>
      <c r="B5094" t="s">
        <v>8</v>
      </c>
      <c r="C5094" s="3" t="s">
        <v>1648</v>
      </c>
      <c r="D5094" s="3" t="s">
        <v>22</v>
      </c>
    </row>
    <row r="5095" spans="1:4" x14ac:dyDescent="0.2">
      <c r="A5095" s="3" t="s">
        <v>1685</v>
      </c>
      <c r="B5095" t="s">
        <v>8</v>
      </c>
      <c r="C5095" s="3" t="s">
        <v>1702</v>
      </c>
      <c r="D5095" s="3" t="s">
        <v>22</v>
      </c>
    </row>
    <row r="5096" spans="1:4" x14ac:dyDescent="0.2">
      <c r="A5096" s="3" t="s">
        <v>1685</v>
      </c>
      <c r="B5096" t="s">
        <v>8</v>
      </c>
      <c r="C5096" s="3" t="s">
        <v>1703</v>
      </c>
      <c r="D5096" s="3" t="s">
        <v>22</v>
      </c>
    </row>
    <row r="5097" spans="1:4" x14ac:dyDescent="0.2">
      <c r="A5097" s="3" t="s">
        <v>1685</v>
      </c>
      <c r="B5097" t="s">
        <v>8</v>
      </c>
      <c r="C5097" s="3" t="s">
        <v>1704</v>
      </c>
      <c r="D5097" s="3" t="s">
        <v>22</v>
      </c>
    </row>
    <row r="5098" spans="1:4" x14ac:dyDescent="0.2">
      <c r="A5098" s="3" t="s">
        <v>1705</v>
      </c>
      <c r="B5098" t="s">
        <v>8</v>
      </c>
      <c r="C5098" s="3" t="s">
        <v>1706</v>
      </c>
      <c r="D5098" s="3" t="s">
        <v>53</v>
      </c>
    </row>
    <row r="5099" spans="1:4" x14ac:dyDescent="0.2">
      <c r="A5099" s="3" t="s">
        <v>1705</v>
      </c>
      <c r="B5099" t="s">
        <v>8</v>
      </c>
      <c r="C5099" s="3" t="s">
        <v>1706</v>
      </c>
      <c r="D5099" s="3" t="s">
        <v>54</v>
      </c>
    </row>
    <row r="5100" spans="1:4" x14ac:dyDescent="0.2">
      <c r="A5100" s="3" t="s">
        <v>1705</v>
      </c>
      <c r="B5100" t="s">
        <v>8</v>
      </c>
      <c r="C5100" s="3" t="s">
        <v>1672</v>
      </c>
      <c r="D5100" s="3" t="s">
        <v>22</v>
      </c>
    </row>
    <row r="5101" spans="1:4" x14ac:dyDescent="0.2">
      <c r="A5101" s="3" t="s">
        <v>1705</v>
      </c>
      <c r="B5101" t="s">
        <v>8</v>
      </c>
      <c r="C5101" s="3" t="s">
        <v>1707</v>
      </c>
      <c r="D5101" s="3" t="s">
        <v>22</v>
      </c>
    </row>
    <row r="5102" spans="1:4" x14ac:dyDescent="0.2">
      <c r="A5102" s="3" t="s">
        <v>1705</v>
      </c>
      <c r="B5102" t="s">
        <v>8</v>
      </c>
      <c r="C5102" s="3" t="s">
        <v>1674</v>
      </c>
      <c r="D5102" s="3" t="s">
        <v>22</v>
      </c>
    </row>
    <row r="5103" spans="1:4" x14ac:dyDescent="0.2">
      <c r="A5103" s="3" t="s">
        <v>1705</v>
      </c>
      <c r="B5103" t="s">
        <v>8</v>
      </c>
      <c r="C5103" s="3" t="s">
        <v>1675</v>
      </c>
      <c r="D5103" s="3" t="s">
        <v>22</v>
      </c>
    </row>
    <row r="5104" spans="1:4" x14ac:dyDescent="0.2">
      <c r="A5104" s="3" t="s">
        <v>1708</v>
      </c>
      <c r="B5104" t="s">
        <v>8</v>
      </c>
      <c r="C5104" s="3" t="s">
        <v>199</v>
      </c>
      <c r="D5104" s="3" t="s">
        <v>53</v>
      </c>
    </row>
    <row r="5105" spans="1:4" x14ac:dyDescent="0.2">
      <c r="A5105" s="3" t="s">
        <v>1708</v>
      </c>
      <c r="B5105" t="s">
        <v>8</v>
      </c>
      <c r="C5105" s="3" t="s">
        <v>221</v>
      </c>
      <c r="D5105" s="3" t="s">
        <v>54</v>
      </c>
    </row>
    <row r="5106" spans="1:4" x14ac:dyDescent="0.2">
      <c r="A5106" s="3" t="s">
        <v>1708</v>
      </c>
      <c r="B5106" t="s">
        <v>8</v>
      </c>
      <c r="C5106" s="3" t="s">
        <v>199</v>
      </c>
      <c r="D5106" s="3" t="s">
        <v>54</v>
      </c>
    </row>
    <row r="5107" spans="1:4" x14ac:dyDescent="0.2">
      <c r="A5107" s="3" t="s">
        <v>1708</v>
      </c>
      <c r="B5107" t="s">
        <v>8</v>
      </c>
      <c r="C5107" s="3" t="s">
        <v>221</v>
      </c>
      <c r="D5107" s="3" t="s">
        <v>55</v>
      </c>
    </row>
    <row r="5108" spans="1:4" x14ac:dyDescent="0.2">
      <c r="A5108" s="3" t="s">
        <v>1708</v>
      </c>
      <c r="B5108" t="s">
        <v>8</v>
      </c>
      <c r="C5108" s="3" t="s">
        <v>221</v>
      </c>
      <c r="D5108" s="3" t="s">
        <v>56</v>
      </c>
    </row>
    <row r="5109" spans="1:4" x14ac:dyDescent="0.2">
      <c r="A5109" s="3" t="s">
        <v>1708</v>
      </c>
      <c r="B5109" t="s">
        <v>8</v>
      </c>
      <c r="C5109" s="3" t="s">
        <v>199</v>
      </c>
      <c r="D5109" s="3" t="s">
        <v>56</v>
      </c>
    </row>
    <row r="5110" spans="1:4" x14ac:dyDescent="0.2">
      <c r="A5110" s="3" t="s">
        <v>1708</v>
      </c>
      <c r="B5110" t="s">
        <v>8</v>
      </c>
      <c r="C5110" s="3" t="s">
        <v>221</v>
      </c>
      <c r="D5110" s="3" t="s">
        <v>57</v>
      </c>
    </row>
    <row r="5111" spans="1:4" x14ac:dyDescent="0.2">
      <c r="A5111" s="3" t="s">
        <v>1708</v>
      </c>
      <c r="B5111" t="s">
        <v>8</v>
      </c>
      <c r="C5111" s="3" t="s">
        <v>199</v>
      </c>
      <c r="D5111" s="3" t="s">
        <v>57</v>
      </c>
    </row>
    <row r="5112" spans="1:4" x14ac:dyDescent="0.2">
      <c r="A5112" s="3" t="s">
        <v>1708</v>
      </c>
      <c r="B5112" t="s">
        <v>8</v>
      </c>
      <c r="C5112" s="3" t="s">
        <v>1709</v>
      </c>
      <c r="D5112" s="3" t="s">
        <v>169</v>
      </c>
    </row>
    <row r="5113" spans="1:4" x14ac:dyDescent="0.2">
      <c r="A5113" s="3" t="s">
        <v>1708</v>
      </c>
      <c r="B5113" t="s">
        <v>8</v>
      </c>
      <c r="C5113" s="3" t="s">
        <v>1710</v>
      </c>
      <c r="D5113" s="3" t="s">
        <v>169</v>
      </c>
    </row>
    <row r="5114" spans="1:4" x14ac:dyDescent="0.2">
      <c r="A5114" s="3" t="s">
        <v>1711</v>
      </c>
      <c r="B5114" t="s">
        <v>8</v>
      </c>
      <c r="C5114" s="3" t="s">
        <v>1677</v>
      </c>
      <c r="D5114" s="3" t="s">
        <v>53</v>
      </c>
    </row>
    <row r="5115" spans="1:4" x14ac:dyDescent="0.2">
      <c r="A5115" s="3" t="s">
        <v>1711</v>
      </c>
      <c r="B5115" t="s">
        <v>8</v>
      </c>
      <c r="C5115" s="3" t="s">
        <v>1678</v>
      </c>
      <c r="D5115" s="3" t="s">
        <v>53</v>
      </c>
    </row>
    <row r="5116" spans="1:4" x14ac:dyDescent="0.2">
      <c r="A5116" s="3" t="s">
        <v>1711</v>
      </c>
      <c r="B5116" t="s">
        <v>8</v>
      </c>
      <c r="C5116" s="3" t="s">
        <v>1679</v>
      </c>
      <c r="D5116" s="3" t="s">
        <v>53</v>
      </c>
    </row>
    <row r="5117" spans="1:4" x14ac:dyDescent="0.2">
      <c r="A5117" s="3" t="s">
        <v>1711</v>
      </c>
      <c r="B5117" t="s">
        <v>8</v>
      </c>
      <c r="C5117" s="3" t="s">
        <v>1680</v>
      </c>
      <c r="D5117" s="3" t="s">
        <v>53</v>
      </c>
    </row>
    <row r="5118" spans="1:4" x14ac:dyDescent="0.2">
      <c r="A5118" s="3" t="s">
        <v>1711</v>
      </c>
      <c r="B5118" t="s">
        <v>8</v>
      </c>
      <c r="C5118" s="3" t="s">
        <v>1681</v>
      </c>
      <c r="D5118" s="3" t="s">
        <v>53</v>
      </c>
    </row>
    <row r="5119" spans="1:4" x14ac:dyDescent="0.2">
      <c r="A5119" s="3" t="s">
        <v>1711</v>
      </c>
      <c r="B5119" t="s">
        <v>8</v>
      </c>
      <c r="C5119" s="3" t="s">
        <v>1677</v>
      </c>
      <c r="D5119" s="3" t="s">
        <v>54</v>
      </c>
    </row>
    <row r="5120" spans="1:4" x14ac:dyDescent="0.2">
      <c r="A5120" s="3" t="s">
        <v>1711</v>
      </c>
      <c r="B5120" t="s">
        <v>8</v>
      </c>
      <c r="C5120" s="3" t="s">
        <v>1678</v>
      </c>
      <c r="D5120" s="3" t="s">
        <v>54</v>
      </c>
    </row>
    <row r="5121" spans="1:4" x14ac:dyDescent="0.2">
      <c r="A5121" s="3" t="s">
        <v>1711</v>
      </c>
      <c r="B5121" t="s">
        <v>8</v>
      </c>
      <c r="C5121" s="3" t="s">
        <v>1679</v>
      </c>
      <c r="D5121" s="3" t="s">
        <v>54</v>
      </c>
    </row>
    <row r="5122" spans="1:4" x14ac:dyDescent="0.2">
      <c r="A5122" s="3" t="s">
        <v>1711</v>
      </c>
      <c r="B5122" t="s">
        <v>8</v>
      </c>
      <c r="C5122" s="3" t="s">
        <v>1680</v>
      </c>
      <c r="D5122" s="3" t="s">
        <v>54</v>
      </c>
    </row>
    <row r="5123" spans="1:4" x14ac:dyDescent="0.2">
      <c r="A5123" s="3" t="s">
        <v>1711</v>
      </c>
      <c r="B5123" t="s">
        <v>8</v>
      </c>
      <c r="C5123" s="3" t="s">
        <v>1677</v>
      </c>
      <c r="D5123" s="3" t="s">
        <v>55</v>
      </c>
    </row>
    <row r="5124" spans="1:4" x14ac:dyDescent="0.2">
      <c r="A5124" s="3" t="s">
        <v>1711</v>
      </c>
      <c r="B5124" t="s">
        <v>8</v>
      </c>
      <c r="C5124" s="3" t="s">
        <v>1678</v>
      </c>
      <c r="D5124" s="3" t="s">
        <v>55</v>
      </c>
    </row>
    <row r="5125" spans="1:4" x14ac:dyDescent="0.2">
      <c r="A5125" s="3" t="s">
        <v>1711</v>
      </c>
      <c r="B5125" t="s">
        <v>8</v>
      </c>
      <c r="C5125" s="3" t="s">
        <v>1679</v>
      </c>
      <c r="D5125" s="3" t="s">
        <v>55</v>
      </c>
    </row>
    <row r="5126" spans="1:4" x14ac:dyDescent="0.2">
      <c r="A5126" s="3" t="s">
        <v>1711</v>
      </c>
      <c r="B5126" t="s">
        <v>8</v>
      </c>
      <c r="C5126" s="3" t="s">
        <v>1680</v>
      </c>
      <c r="D5126" s="3" t="s">
        <v>55</v>
      </c>
    </row>
    <row r="5127" spans="1:4" x14ac:dyDescent="0.2">
      <c r="A5127" s="3" t="s">
        <v>1711</v>
      </c>
      <c r="B5127" t="s">
        <v>8</v>
      </c>
      <c r="C5127" s="3" t="s">
        <v>1677</v>
      </c>
      <c r="D5127" s="3" t="s">
        <v>56</v>
      </c>
    </row>
    <row r="5128" spans="1:4" x14ac:dyDescent="0.2">
      <c r="A5128" s="3" t="s">
        <v>1711</v>
      </c>
      <c r="B5128" t="s">
        <v>8</v>
      </c>
      <c r="C5128" s="3" t="s">
        <v>1678</v>
      </c>
      <c r="D5128" s="3" t="s">
        <v>56</v>
      </c>
    </row>
    <row r="5129" spans="1:4" x14ac:dyDescent="0.2">
      <c r="A5129" s="3" t="s">
        <v>1711</v>
      </c>
      <c r="B5129" t="s">
        <v>8</v>
      </c>
      <c r="C5129" s="3" t="s">
        <v>1679</v>
      </c>
      <c r="D5129" s="3" t="s">
        <v>56</v>
      </c>
    </row>
    <row r="5130" spans="1:4" x14ac:dyDescent="0.2">
      <c r="A5130" s="3" t="s">
        <v>1711</v>
      </c>
      <c r="B5130" t="s">
        <v>8</v>
      </c>
      <c r="C5130" s="3" t="s">
        <v>1680</v>
      </c>
      <c r="D5130" s="3" t="s">
        <v>56</v>
      </c>
    </row>
    <row r="5131" spans="1:4" x14ac:dyDescent="0.2">
      <c r="A5131" s="3" t="s">
        <v>1711</v>
      </c>
      <c r="B5131" t="s">
        <v>8</v>
      </c>
      <c r="C5131" s="3" t="s">
        <v>1677</v>
      </c>
      <c r="D5131" s="3" t="s">
        <v>57</v>
      </c>
    </row>
    <row r="5132" spans="1:4" x14ac:dyDescent="0.2">
      <c r="A5132" s="3" t="s">
        <v>1711</v>
      </c>
      <c r="B5132" t="s">
        <v>8</v>
      </c>
      <c r="C5132" s="3" t="s">
        <v>1678</v>
      </c>
      <c r="D5132" s="3" t="s">
        <v>57</v>
      </c>
    </row>
    <row r="5133" spans="1:4" x14ac:dyDescent="0.2">
      <c r="A5133" s="3" t="s">
        <v>1711</v>
      </c>
      <c r="B5133" t="s">
        <v>8</v>
      </c>
      <c r="C5133" s="3" t="s">
        <v>1679</v>
      </c>
      <c r="D5133" s="3" t="s">
        <v>57</v>
      </c>
    </row>
    <row r="5134" spans="1:4" x14ac:dyDescent="0.2">
      <c r="A5134" s="3" t="s">
        <v>1711</v>
      </c>
      <c r="B5134" t="s">
        <v>8</v>
      </c>
      <c r="C5134" s="3" t="s">
        <v>1680</v>
      </c>
      <c r="D5134" s="3" t="s">
        <v>57</v>
      </c>
    </row>
    <row r="5135" spans="1:4" x14ac:dyDescent="0.2">
      <c r="A5135" s="3" t="s">
        <v>1711</v>
      </c>
      <c r="B5135" t="s">
        <v>8</v>
      </c>
      <c r="C5135" s="3" t="s">
        <v>1682</v>
      </c>
      <c r="D5135" s="3" t="s">
        <v>169</v>
      </c>
    </row>
    <row r="5136" spans="1:4" x14ac:dyDescent="0.2">
      <c r="A5136" s="3" t="s">
        <v>1712</v>
      </c>
      <c r="B5136" t="s">
        <v>8</v>
      </c>
      <c r="C5136" s="3" t="s">
        <v>1696</v>
      </c>
      <c r="D5136" s="3" t="s">
        <v>22</v>
      </c>
    </row>
    <row r="5137" spans="1:4" x14ac:dyDescent="0.2">
      <c r="A5137" s="3" t="s">
        <v>1712</v>
      </c>
      <c r="B5137" t="s">
        <v>8</v>
      </c>
      <c r="C5137" s="3" t="s">
        <v>1654</v>
      </c>
      <c r="D5137" s="3" t="s">
        <v>22</v>
      </c>
    </row>
    <row r="5138" spans="1:4" x14ac:dyDescent="0.2">
      <c r="A5138" s="3" t="s">
        <v>1712</v>
      </c>
      <c r="B5138" t="s">
        <v>8</v>
      </c>
      <c r="C5138" s="3" t="s">
        <v>1697</v>
      </c>
      <c r="D5138" s="3" t="s">
        <v>22</v>
      </c>
    </row>
    <row r="5139" spans="1:4" x14ac:dyDescent="0.2">
      <c r="A5139" s="3" t="s">
        <v>1712</v>
      </c>
      <c r="B5139" t="s">
        <v>8</v>
      </c>
      <c r="C5139" s="3" t="s">
        <v>1698</v>
      </c>
      <c r="D5139" s="3" t="s">
        <v>22</v>
      </c>
    </row>
    <row r="5140" spans="1:4" x14ac:dyDescent="0.2">
      <c r="A5140" s="3" t="s">
        <v>1712</v>
      </c>
      <c r="B5140" t="s">
        <v>8</v>
      </c>
      <c r="C5140" s="3" t="s">
        <v>1699</v>
      </c>
      <c r="D5140" s="3" t="s">
        <v>22</v>
      </c>
    </row>
    <row r="5141" spans="1:4" x14ac:dyDescent="0.2">
      <c r="A5141" s="3" t="s">
        <v>1712</v>
      </c>
      <c r="B5141" t="s">
        <v>8</v>
      </c>
      <c r="C5141" s="3" t="s">
        <v>1647</v>
      </c>
      <c r="D5141" s="3" t="s">
        <v>22</v>
      </c>
    </row>
    <row r="5142" spans="1:4" x14ac:dyDescent="0.2">
      <c r="A5142" s="3" t="s">
        <v>1712</v>
      </c>
      <c r="B5142" t="s">
        <v>8</v>
      </c>
      <c r="C5142" s="3" t="s">
        <v>1700</v>
      </c>
      <c r="D5142" s="3" t="s">
        <v>22</v>
      </c>
    </row>
    <row r="5143" spans="1:4" x14ac:dyDescent="0.2">
      <c r="A5143" s="3" t="s">
        <v>1712</v>
      </c>
      <c r="B5143" t="s">
        <v>8</v>
      </c>
      <c r="C5143" s="3" t="s">
        <v>1713</v>
      </c>
      <c r="D5143" s="3" t="s">
        <v>22</v>
      </c>
    </row>
    <row r="5144" spans="1:4" x14ac:dyDescent="0.2">
      <c r="A5144" s="3" t="s">
        <v>1712</v>
      </c>
      <c r="B5144" t="s">
        <v>8</v>
      </c>
      <c r="C5144" s="3" t="s">
        <v>1701</v>
      </c>
      <c r="D5144" s="3" t="s">
        <v>22</v>
      </c>
    </row>
    <row r="5145" spans="1:4" x14ac:dyDescent="0.2">
      <c r="A5145" s="3" t="s">
        <v>1712</v>
      </c>
      <c r="B5145" t="s">
        <v>8</v>
      </c>
      <c r="C5145" s="3" t="s">
        <v>1644</v>
      </c>
      <c r="D5145" s="3" t="s">
        <v>22</v>
      </c>
    </row>
    <row r="5146" spans="1:4" x14ac:dyDescent="0.2">
      <c r="A5146" s="3" t="s">
        <v>1712</v>
      </c>
      <c r="B5146" t="s">
        <v>8</v>
      </c>
      <c r="C5146" s="3" t="s">
        <v>1648</v>
      </c>
      <c r="D5146" s="3" t="s">
        <v>22</v>
      </c>
    </row>
    <row r="5147" spans="1:4" x14ac:dyDescent="0.2">
      <c r="A5147" s="3" t="s">
        <v>1712</v>
      </c>
      <c r="B5147" t="s">
        <v>8</v>
      </c>
      <c r="C5147" s="3" t="s">
        <v>1702</v>
      </c>
      <c r="D5147" s="3" t="s">
        <v>22</v>
      </c>
    </row>
    <row r="5148" spans="1:4" x14ac:dyDescent="0.2">
      <c r="A5148" s="3" t="s">
        <v>1712</v>
      </c>
      <c r="B5148" t="s">
        <v>8</v>
      </c>
      <c r="C5148" s="3" t="s">
        <v>1703</v>
      </c>
      <c r="D5148" s="3" t="s">
        <v>22</v>
      </c>
    </row>
    <row r="5149" spans="1:4" x14ac:dyDescent="0.2">
      <c r="A5149" s="3" t="s">
        <v>1714</v>
      </c>
      <c r="B5149" t="s">
        <v>8</v>
      </c>
      <c r="C5149" s="3" t="s">
        <v>1715</v>
      </c>
      <c r="D5149" s="3" t="s">
        <v>22</v>
      </c>
    </row>
    <row r="5150" spans="1:4" x14ac:dyDescent="0.2">
      <c r="A5150" s="3" t="s">
        <v>1714</v>
      </c>
      <c r="B5150" t="s">
        <v>8</v>
      </c>
      <c r="C5150" s="3" t="s">
        <v>1716</v>
      </c>
      <c r="D5150" s="3" t="s">
        <v>22</v>
      </c>
    </row>
    <row r="5151" spans="1:4" x14ac:dyDescent="0.2">
      <c r="A5151" s="3" t="s">
        <v>1714</v>
      </c>
      <c r="B5151" t="s">
        <v>8</v>
      </c>
      <c r="C5151" s="3" t="s">
        <v>1717</v>
      </c>
      <c r="D5151" s="3" t="s">
        <v>22</v>
      </c>
    </row>
    <row r="5152" spans="1:4" x14ac:dyDescent="0.2">
      <c r="A5152" s="3" t="s">
        <v>1714</v>
      </c>
      <c r="B5152" t="s">
        <v>8</v>
      </c>
      <c r="C5152" s="3" t="s">
        <v>1718</v>
      </c>
      <c r="D5152" s="3" t="s">
        <v>22</v>
      </c>
    </row>
    <row r="5153" spans="1:4" x14ac:dyDescent="0.2">
      <c r="A5153" s="3" t="s">
        <v>1714</v>
      </c>
      <c r="B5153" t="s">
        <v>8</v>
      </c>
      <c r="C5153" s="3" t="s">
        <v>1719</v>
      </c>
      <c r="D5153" s="3" t="s">
        <v>22</v>
      </c>
    </row>
    <row r="5154" spans="1:4" x14ac:dyDescent="0.2">
      <c r="A5154" s="3" t="s">
        <v>1714</v>
      </c>
      <c r="B5154" t="s">
        <v>8</v>
      </c>
      <c r="C5154" s="3" t="s">
        <v>1720</v>
      </c>
      <c r="D5154" s="3" t="s">
        <v>22</v>
      </c>
    </row>
    <row r="5155" spans="1:4" x14ac:dyDescent="0.2">
      <c r="A5155" s="3" t="s">
        <v>1714</v>
      </c>
      <c r="B5155" t="s">
        <v>8</v>
      </c>
      <c r="C5155" s="3" t="s">
        <v>1721</v>
      </c>
      <c r="D5155" s="3" t="s">
        <v>22</v>
      </c>
    </row>
    <row r="5156" spans="1:4" x14ac:dyDescent="0.2">
      <c r="A5156" s="3" t="s">
        <v>1714</v>
      </c>
      <c r="B5156" t="s">
        <v>8</v>
      </c>
      <c r="C5156" s="3" t="s">
        <v>1722</v>
      </c>
      <c r="D5156" s="3" t="s">
        <v>22</v>
      </c>
    </row>
    <row r="5157" spans="1:4" x14ac:dyDescent="0.2">
      <c r="A5157" s="3" t="s">
        <v>1714</v>
      </c>
      <c r="B5157" t="s">
        <v>8</v>
      </c>
      <c r="C5157" s="3" t="s">
        <v>1723</v>
      </c>
      <c r="D5157" s="3" t="s">
        <v>22</v>
      </c>
    </row>
    <row r="5158" spans="1:4" x14ac:dyDescent="0.2">
      <c r="A5158" s="3" t="s">
        <v>1714</v>
      </c>
      <c r="B5158" t="s">
        <v>8</v>
      </c>
      <c r="C5158" s="3" t="s">
        <v>1724</v>
      </c>
      <c r="D5158" s="3" t="s">
        <v>22</v>
      </c>
    </row>
    <row r="5159" spans="1:4" x14ac:dyDescent="0.2">
      <c r="A5159" s="3" t="s">
        <v>1714</v>
      </c>
      <c r="B5159" t="s">
        <v>8</v>
      </c>
      <c r="C5159" s="3" t="s">
        <v>1725</v>
      </c>
      <c r="D5159" s="3" t="s">
        <v>22</v>
      </c>
    </row>
    <row r="5160" spans="1:4" x14ac:dyDescent="0.2">
      <c r="A5160" s="3" t="s">
        <v>1726</v>
      </c>
      <c r="B5160" t="s">
        <v>8</v>
      </c>
      <c r="C5160" s="3" t="s">
        <v>1727</v>
      </c>
      <c r="D5160" s="3" t="s">
        <v>22</v>
      </c>
    </row>
    <row r="5161" spans="1:4" x14ac:dyDescent="0.2">
      <c r="A5161" s="3" t="s">
        <v>1726</v>
      </c>
      <c r="B5161" t="s">
        <v>8</v>
      </c>
      <c r="C5161" s="3" t="s">
        <v>1728</v>
      </c>
      <c r="D5161" s="3" t="s">
        <v>22</v>
      </c>
    </row>
    <row r="5162" spans="1:4" x14ac:dyDescent="0.2">
      <c r="A5162" s="3" t="s">
        <v>1726</v>
      </c>
      <c r="B5162" t="s">
        <v>8</v>
      </c>
      <c r="C5162" s="3" t="s">
        <v>1704</v>
      </c>
      <c r="D5162" s="3" t="s">
        <v>22</v>
      </c>
    </row>
    <row r="5163" spans="1:4" x14ac:dyDescent="0.2">
      <c r="A5163" s="3" t="s">
        <v>1729</v>
      </c>
      <c r="B5163" t="s">
        <v>8</v>
      </c>
      <c r="C5163" s="3" t="s">
        <v>1650</v>
      </c>
      <c r="D5163" s="3" t="s">
        <v>53</v>
      </c>
    </row>
    <row r="5164" spans="1:4" x14ac:dyDescent="0.2">
      <c r="A5164" s="3" t="s">
        <v>1729</v>
      </c>
      <c r="B5164" t="s">
        <v>8</v>
      </c>
      <c r="C5164" s="3" t="s">
        <v>1651</v>
      </c>
      <c r="D5164" s="3" t="s">
        <v>53</v>
      </c>
    </row>
    <row r="5165" spans="1:4" x14ac:dyDescent="0.2">
      <c r="A5165" s="3" t="s">
        <v>1729</v>
      </c>
      <c r="B5165" t="s">
        <v>8</v>
      </c>
      <c r="C5165" s="3" t="s">
        <v>1650</v>
      </c>
      <c r="D5165" s="3" t="s">
        <v>54</v>
      </c>
    </row>
    <row r="5166" spans="1:4" x14ac:dyDescent="0.2">
      <c r="A5166" s="3" t="s">
        <v>1729</v>
      </c>
      <c r="B5166" t="s">
        <v>8</v>
      </c>
      <c r="C5166" s="3" t="s">
        <v>1651</v>
      </c>
      <c r="D5166" s="3" t="s">
        <v>54</v>
      </c>
    </row>
    <row r="5167" spans="1:4" x14ac:dyDescent="0.2">
      <c r="A5167" s="3" t="s">
        <v>1729</v>
      </c>
      <c r="B5167" t="s">
        <v>8</v>
      </c>
      <c r="C5167" s="3" t="s">
        <v>1650</v>
      </c>
      <c r="D5167" s="3" t="s">
        <v>55</v>
      </c>
    </row>
    <row r="5168" spans="1:4" x14ac:dyDescent="0.2">
      <c r="A5168" s="3" t="s">
        <v>1729</v>
      </c>
      <c r="B5168" t="s">
        <v>8</v>
      </c>
      <c r="C5168" s="3" t="s">
        <v>1651</v>
      </c>
      <c r="D5168" s="3" t="s">
        <v>55</v>
      </c>
    </row>
    <row r="5169" spans="1:4" x14ac:dyDescent="0.2">
      <c r="A5169" s="3" t="s">
        <v>1729</v>
      </c>
      <c r="B5169" t="s">
        <v>8</v>
      </c>
      <c r="C5169" s="3" t="s">
        <v>1650</v>
      </c>
      <c r="D5169" s="3" t="s">
        <v>56</v>
      </c>
    </row>
    <row r="5170" spans="1:4" x14ac:dyDescent="0.2">
      <c r="A5170" s="3" t="s">
        <v>1729</v>
      </c>
      <c r="B5170" t="s">
        <v>8</v>
      </c>
      <c r="C5170" s="3" t="s">
        <v>1651</v>
      </c>
      <c r="D5170" s="3" t="s">
        <v>56</v>
      </c>
    </row>
    <row r="5171" spans="1:4" x14ac:dyDescent="0.2">
      <c r="A5171" s="3" t="s">
        <v>1729</v>
      </c>
      <c r="B5171" t="s">
        <v>8</v>
      </c>
      <c r="C5171" s="3" t="s">
        <v>1650</v>
      </c>
      <c r="D5171" s="3" t="s">
        <v>57</v>
      </c>
    </row>
    <row r="5172" spans="1:4" x14ac:dyDescent="0.2">
      <c r="A5172" s="3" t="s">
        <v>1729</v>
      </c>
      <c r="B5172" t="s">
        <v>8</v>
      </c>
      <c r="C5172" s="3" t="s">
        <v>1651</v>
      </c>
      <c r="D5172" s="3" t="s">
        <v>57</v>
      </c>
    </row>
    <row r="5173" spans="1:4" x14ac:dyDescent="0.2">
      <c r="A5173" s="3" t="s">
        <v>1729</v>
      </c>
      <c r="B5173" t="s">
        <v>8</v>
      </c>
      <c r="C5173" s="3" t="s">
        <v>1654</v>
      </c>
      <c r="D5173" s="3" t="s">
        <v>22</v>
      </c>
    </row>
    <row r="5174" spans="1:4" x14ac:dyDescent="0.2">
      <c r="A5174" s="3" t="s">
        <v>1729</v>
      </c>
      <c r="B5174" t="s">
        <v>8</v>
      </c>
      <c r="C5174" s="3" t="s">
        <v>1730</v>
      </c>
      <c r="D5174" s="3" t="s">
        <v>22</v>
      </c>
    </row>
    <row r="5175" spans="1:4" x14ac:dyDescent="0.2">
      <c r="A5175" s="3" t="s">
        <v>1729</v>
      </c>
      <c r="B5175" t="s">
        <v>8</v>
      </c>
      <c r="C5175" s="3" t="s">
        <v>1731</v>
      </c>
      <c r="D5175" s="3" t="s">
        <v>22</v>
      </c>
    </row>
    <row r="5176" spans="1:4" x14ac:dyDescent="0.2">
      <c r="A5176" s="3" t="s">
        <v>1729</v>
      </c>
      <c r="B5176" t="s">
        <v>8</v>
      </c>
      <c r="C5176" s="3" t="s">
        <v>1666</v>
      </c>
      <c r="D5176" s="3" t="s">
        <v>22</v>
      </c>
    </row>
    <row r="5177" spans="1:4" x14ac:dyDescent="0.2">
      <c r="A5177" s="3" t="s">
        <v>1729</v>
      </c>
      <c r="B5177" t="s">
        <v>8</v>
      </c>
      <c r="C5177" s="3" t="s">
        <v>1659</v>
      </c>
      <c r="D5177" s="3" t="s">
        <v>22</v>
      </c>
    </row>
    <row r="5178" spans="1:4" x14ac:dyDescent="0.2">
      <c r="A5178" s="3" t="s">
        <v>1732</v>
      </c>
      <c r="B5178" t="s">
        <v>8</v>
      </c>
      <c r="C5178" s="3" t="s">
        <v>1669</v>
      </c>
      <c r="D5178" s="3" t="s">
        <v>53</v>
      </c>
    </row>
    <row r="5179" spans="1:4" x14ac:dyDescent="0.2">
      <c r="A5179" s="3" t="s">
        <v>1732</v>
      </c>
      <c r="B5179" t="s">
        <v>8</v>
      </c>
      <c r="C5179" s="3" t="s">
        <v>1670</v>
      </c>
      <c r="D5179" s="3" t="s">
        <v>53</v>
      </c>
    </row>
    <row r="5180" spans="1:4" x14ac:dyDescent="0.2">
      <c r="A5180" s="3" t="s">
        <v>1732</v>
      </c>
      <c r="B5180" t="s">
        <v>8</v>
      </c>
      <c r="C5180" s="3" t="s">
        <v>1671</v>
      </c>
      <c r="D5180" s="3" t="s">
        <v>53</v>
      </c>
    </row>
    <row r="5181" spans="1:4" x14ac:dyDescent="0.2">
      <c r="A5181" s="3" t="s">
        <v>1732</v>
      </c>
      <c r="B5181" t="s">
        <v>8</v>
      </c>
      <c r="C5181" s="3" t="s">
        <v>1706</v>
      </c>
      <c r="D5181" s="3" t="s">
        <v>53</v>
      </c>
    </row>
    <row r="5182" spans="1:4" x14ac:dyDescent="0.2">
      <c r="A5182" s="3" t="s">
        <v>1732</v>
      </c>
      <c r="B5182" t="s">
        <v>8</v>
      </c>
      <c r="C5182" s="3" t="s">
        <v>1669</v>
      </c>
      <c r="D5182" s="3" t="s">
        <v>54</v>
      </c>
    </row>
    <row r="5183" spans="1:4" x14ac:dyDescent="0.2">
      <c r="A5183" s="3" t="s">
        <v>1732</v>
      </c>
      <c r="B5183" t="s">
        <v>8</v>
      </c>
      <c r="C5183" s="3" t="s">
        <v>1670</v>
      </c>
      <c r="D5183" s="3" t="s">
        <v>54</v>
      </c>
    </row>
    <row r="5184" spans="1:4" x14ac:dyDescent="0.2">
      <c r="A5184" s="3" t="s">
        <v>1732</v>
      </c>
      <c r="B5184" t="s">
        <v>8</v>
      </c>
      <c r="C5184" s="3" t="s">
        <v>1671</v>
      </c>
      <c r="D5184" s="3" t="s">
        <v>54</v>
      </c>
    </row>
    <row r="5185" spans="1:4" x14ac:dyDescent="0.2">
      <c r="A5185" s="3" t="s">
        <v>1732</v>
      </c>
      <c r="B5185" t="s">
        <v>8</v>
      </c>
      <c r="C5185" s="3" t="s">
        <v>1706</v>
      </c>
      <c r="D5185" s="3" t="s">
        <v>54</v>
      </c>
    </row>
    <row r="5186" spans="1:4" x14ac:dyDescent="0.2">
      <c r="A5186" s="3" t="s">
        <v>1732</v>
      </c>
      <c r="B5186" t="s">
        <v>8</v>
      </c>
      <c r="C5186" s="3" t="s">
        <v>1669</v>
      </c>
      <c r="D5186" s="3" t="s">
        <v>55</v>
      </c>
    </row>
    <row r="5187" spans="1:4" x14ac:dyDescent="0.2">
      <c r="A5187" s="3" t="s">
        <v>1732</v>
      </c>
      <c r="B5187" t="s">
        <v>8</v>
      </c>
      <c r="C5187" s="3" t="s">
        <v>1670</v>
      </c>
      <c r="D5187" s="3" t="s">
        <v>55</v>
      </c>
    </row>
    <row r="5188" spans="1:4" x14ac:dyDescent="0.2">
      <c r="A5188" s="3" t="s">
        <v>1732</v>
      </c>
      <c r="B5188" t="s">
        <v>8</v>
      </c>
      <c r="C5188" s="3" t="s">
        <v>1669</v>
      </c>
      <c r="D5188" s="3" t="s">
        <v>56</v>
      </c>
    </row>
    <row r="5189" spans="1:4" x14ac:dyDescent="0.2">
      <c r="A5189" s="3" t="s">
        <v>1732</v>
      </c>
      <c r="B5189" t="s">
        <v>8</v>
      </c>
      <c r="C5189" s="3" t="s">
        <v>1670</v>
      </c>
      <c r="D5189" s="3" t="s">
        <v>56</v>
      </c>
    </row>
    <row r="5190" spans="1:4" x14ac:dyDescent="0.2">
      <c r="A5190" s="3" t="s">
        <v>1732</v>
      </c>
      <c r="B5190" t="s">
        <v>8</v>
      </c>
      <c r="C5190" s="3" t="s">
        <v>1669</v>
      </c>
      <c r="D5190" s="3" t="s">
        <v>57</v>
      </c>
    </row>
    <row r="5191" spans="1:4" x14ac:dyDescent="0.2">
      <c r="A5191" s="3" t="s">
        <v>1732</v>
      </c>
      <c r="B5191" t="s">
        <v>8</v>
      </c>
      <c r="C5191" s="3" t="s">
        <v>1670</v>
      </c>
      <c r="D5191" s="3" t="s">
        <v>57</v>
      </c>
    </row>
    <row r="5192" spans="1:4" x14ac:dyDescent="0.2">
      <c r="A5192" s="3" t="s">
        <v>1732</v>
      </c>
      <c r="B5192" t="s">
        <v>8</v>
      </c>
      <c r="C5192" s="3" t="s">
        <v>1733</v>
      </c>
      <c r="D5192" s="3" t="s">
        <v>169</v>
      </c>
    </row>
    <row r="5193" spans="1:4" x14ac:dyDescent="0.2">
      <c r="A5193" s="3" t="s">
        <v>1732</v>
      </c>
      <c r="B5193" t="s">
        <v>8</v>
      </c>
      <c r="C5193" s="3" t="s">
        <v>1734</v>
      </c>
      <c r="D5193" s="3" t="s">
        <v>169</v>
      </c>
    </row>
    <row r="5194" spans="1:4" x14ac:dyDescent="0.2">
      <c r="A5194" s="3" t="s">
        <v>1735</v>
      </c>
      <c r="B5194" t="s">
        <v>8</v>
      </c>
      <c r="C5194" s="3" t="s">
        <v>1736</v>
      </c>
      <c r="D5194" s="3" t="s">
        <v>53</v>
      </c>
    </row>
    <row r="5195" spans="1:4" x14ac:dyDescent="0.2">
      <c r="A5195" s="3" t="s">
        <v>1735</v>
      </c>
      <c r="B5195" t="s">
        <v>8</v>
      </c>
      <c r="C5195" s="3" t="s">
        <v>1736</v>
      </c>
      <c r="D5195" s="3" t="s">
        <v>54</v>
      </c>
    </row>
    <row r="5196" spans="1:4" x14ac:dyDescent="0.2">
      <c r="A5196" s="3" t="s">
        <v>1735</v>
      </c>
      <c r="B5196" t="s">
        <v>8</v>
      </c>
      <c r="C5196" s="3" t="s">
        <v>1736</v>
      </c>
      <c r="D5196" s="3" t="s">
        <v>55</v>
      </c>
    </row>
    <row r="5197" spans="1:4" x14ac:dyDescent="0.2">
      <c r="A5197" s="3" t="s">
        <v>1735</v>
      </c>
      <c r="B5197" t="s">
        <v>8</v>
      </c>
      <c r="C5197" s="3" t="s">
        <v>1736</v>
      </c>
      <c r="D5197" s="3" t="s">
        <v>56</v>
      </c>
    </row>
    <row r="5198" spans="1:4" x14ac:dyDescent="0.2">
      <c r="A5198" s="3" t="s">
        <v>1735</v>
      </c>
      <c r="B5198" t="s">
        <v>8</v>
      </c>
      <c r="C5198" s="3" t="s">
        <v>1736</v>
      </c>
      <c r="D5198" s="3" t="s">
        <v>57</v>
      </c>
    </row>
    <row r="5199" spans="1:4" x14ac:dyDescent="0.2">
      <c r="A5199" s="3" t="s">
        <v>1735</v>
      </c>
      <c r="B5199" t="s">
        <v>8</v>
      </c>
      <c r="C5199" s="3" t="s">
        <v>1737</v>
      </c>
      <c r="D5199" s="3" t="s">
        <v>169</v>
      </c>
    </row>
    <row r="5200" spans="1:4" x14ac:dyDescent="0.2">
      <c r="A5200" s="3" t="s">
        <v>1735</v>
      </c>
      <c r="B5200" t="s">
        <v>8</v>
      </c>
      <c r="C5200" s="3" t="s">
        <v>1738</v>
      </c>
      <c r="D5200" s="3" t="s">
        <v>169</v>
      </c>
    </row>
    <row r="5201" spans="1:4" x14ac:dyDescent="0.2">
      <c r="A5201" s="3" t="s">
        <v>1735</v>
      </c>
      <c r="B5201" t="s">
        <v>8</v>
      </c>
      <c r="C5201" s="3" t="s">
        <v>1739</v>
      </c>
      <c r="D5201" s="3" t="s">
        <v>169</v>
      </c>
    </row>
    <row r="5202" spans="1:4" x14ac:dyDescent="0.2">
      <c r="A5202" s="3" t="s">
        <v>1735</v>
      </c>
      <c r="B5202" t="s">
        <v>8</v>
      </c>
      <c r="C5202" s="3" t="s">
        <v>1727</v>
      </c>
      <c r="D5202" s="3" t="s">
        <v>22</v>
      </c>
    </row>
    <row r="5203" spans="1:4" x14ac:dyDescent="0.2">
      <c r="A5203" s="3" t="s">
        <v>1740</v>
      </c>
      <c r="B5203" t="s">
        <v>8</v>
      </c>
      <c r="C5203" s="3" t="s">
        <v>1741</v>
      </c>
      <c r="D5203" s="3" t="s">
        <v>169</v>
      </c>
    </row>
    <row r="5204" spans="1:4" x14ac:dyDescent="0.2">
      <c r="A5204" s="3" t="s">
        <v>1740</v>
      </c>
      <c r="B5204" t="s">
        <v>8</v>
      </c>
      <c r="C5204" s="3" t="s">
        <v>1742</v>
      </c>
      <c r="D5204" s="3" t="s">
        <v>169</v>
      </c>
    </row>
    <row r="5205" spans="1:4" x14ac:dyDescent="0.2">
      <c r="A5205" s="3" t="s">
        <v>1740</v>
      </c>
      <c r="B5205" t="s">
        <v>8</v>
      </c>
      <c r="C5205" s="3" t="s">
        <v>1743</v>
      </c>
      <c r="D5205" s="3" t="s">
        <v>169</v>
      </c>
    </row>
    <row r="5206" spans="1:4" x14ac:dyDescent="0.2">
      <c r="A5206" s="3" t="s">
        <v>1740</v>
      </c>
      <c r="B5206" t="s">
        <v>8</v>
      </c>
      <c r="C5206" s="3" t="s">
        <v>1744</v>
      </c>
      <c r="D5206" s="3" t="s">
        <v>169</v>
      </c>
    </row>
    <row r="5207" spans="1:4" x14ac:dyDescent="0.2">
      <c r="A5207" s="3" t="s">
        <v>1740</v>
      </c>
      <c r="B5207" t="s">
        <v>8</v>
      </c>
      <c r="C5207" s="3" t="s">
        <v>1745</v>
      </c>
      <c r="D5207" s="3" t="s">
        <v>169</v>
      </c>
    </row>
    <row r="5208" spans="1:4" x14ac:dyDescent="0.2">
      <c r="A5208" s="3" t="s">
        <v>1740</v>
      </c>
      <c r="B5208" t="s">
        <v>8</v>
      </c>
      <c r="C5208" s="3" t="s">
        <v>1746</v>
      </c>
      <c r="D5208" s="3" t="s">
        <v>169</v>
      </c>
    </row>
    <row r="5209" spans="1:4" x14ac:dyDescent="0.2">
      <c r="A5209" s="3" t="s">
        <v>1740</v>
      </c>
      <c r="B5209" t="s">
        <v>8</v>
      </c>
      <c r="C5209" s="3" t="s">
        <v>1747</v>
      </c>
      <c r="D5209" s="3" t="s">
        <v>169</v>
      </c>
    </row>
    <row r="5210" spans="1:4" x14ac:dyDescent="0.2">
      <c r="A5210" s="3" t="s">
        <v>1740</v>
      </c>
      <c r="B5210" t="s">
        <v>8</v>
      </c>
      <c r="C5210" s="3" t="s">
        <v>1748</v>
      </c>
      <c r="D5210" s="3" t="s">
        <v>169</v>
      </c>
    </row>
    <row r="5211" spans="1:4" x14ac:dyDescent="0.2">
      <c r="A5211" s="3" t="s">
        <v>1740</v>
      </c>
      <c r="B5211" t="s">
        <v>8</v>
      </c>
      <c r="C5211" s="3" t="s">
        <v>1749</v>
      </c>
      <c r="D5211" s="3" t="s">
        <v>169</v>
      </c>
    </row>
    <row r="5212" spans="1:4" x14ac:dyDescent="0.2">
      <c r="A5212" s="3" t="s">
        <v>1740</v>
      </c>
      <c r="B5212" t="s">
        <v>8</v>
      </c>
      <c r="C5212" s="3" t="s">
        <v>1750</v>
      </c>
      <c r="D5212" s="3" t="s">
        <v>169</v>
      </c>
    </row>
    <row r="5213" spans="1:4" x14ac:dyDescent="0.2">
      <c r="A5213" s="3" t="s">
        <v>1740</v>
      </c>
      <c r="B5213" t="s">
        <v>8</v>
      </c>
      <c r="C5213" s="3" t="s">
        <v>1751</v>
      </c>
      <c r="D5213" s="3" t="s">
        <v>169</v>
      </c>
    </row>
    <row r="5214" spans="1:4" x14ac:dyDescent="0.2">
      <c r="A5214" s="3" t="s">
        <v>1740</v>
      </c>
      <c r="B5214" t="s">
        <v>8</v>
      </c>
      <c r="C5214" s="3" t="s">
        <v>1752</v>
      </c>
      <c r="D5214" s="3" t="s">
        <v>169</v>
      </c>
    </row>
    <row r="5215" spans="1:4" x14ac:dyDescent="0.2">
      <c r="A5215" s="3" t="s">
        <v>1740</v>
      </c>
      <c r="B5215" t="s">
        <v>8</v>
      </c>
      <c r="C5215" s="3" t="s">
        <v>1753</v>
      </c>
      <c r="D5215" s="3" t="s">
        <v>169</v>
      </c>
    </row>
    <row r="5216" spans="1:4" x14ac:dyDescent="0.2">
      <c r="A5216" s="3" t="s">
        <v>1740</v>
      </c>
      <c r="B5216" t="s">
        <v>8</v>
      </c>
      <c r="C5216" s="3" t="s">
        <v>1754</v>
      </c>
      <c r="D5216" s="3" t="s">
        <v>169</v>
      </c>
    </row>
    <row r="5217" spans="1:4" x14ac:dyDescent="0.2">
      <c r="A5217" s="3" t="s">
        <v>1740</v>
      </c>
      <c r="B5217" t="s">
        <v>8</v>
      </c>
      <c r="C5217" s="3" t="s">
        <v>1755</v>
      </c>
      <c r="D5217" s="3" t="s">
        <v>169</v>
      </c>
    </row>
    <row r="5218" spans="1:4" x14ac:dyDescent="0.2">
      <c r="A5218" s="3" t="s">
        <v>1740</v>
      </c>
      <c r="B5218" t="s">
        <v>8</v>
      </c>
      <c r="C5218" s="3" t="s">
        <v>1756</v>
      </c>
      <c r="D5218" s="3" t="s">
        <v>169</v>
      </c>
    </row>
    <row r="5219" spans="1:4" x14ac:dyDescent="0.2">
      <c r="A5219" s="3" t="s">
        <v>1740</v>
      </c>
      <c r="B5219" t="s">
        <v>8</v>
      </c>
      <c r="C5219" s="3" t="s">
        <v>1757</v>
      </c>
      <c r="D5219" s="3" t="s">
        <v>169</v>
      </c>
    </row>
    <row r="5220" spans="1:4" x14ac:dyDescent="0.2">
      <c r="A5220" s="3" t="s">
        <v>1740</v>
      </c>
      <c r="B5220" t="s">
        <v>8</v>
      </c>
      <c r="C5220" s="3" t="s">
        <v>1758</v>
      </c>
      <c r="D5220" s="3" t="s">
        <v>169</v>
      </c>
    </row>
    <row r="5221" spans="1:4" x14ac:dyDescent="0.2">
      <c r="A5221" s="3" t="s">
        <v>1740</v>
      </c>
      <c r="B5221" t="s">
        <v>8</v>
      </c>
      <c r="C5221" s="3" t="s">
        <v>1759</v>
      </c>
      <c r="D5221" s="3" t="s">
        <v>169</v>
      </c>
    </row>
    <row r="5222" spans="1:4" x14ac:dyDescent="0.2">
      <c r="A5222" s="3" t="s">
        <v>1740</v>
      </c>
      <c r="B5222" t="s">
        <v>8</v>
      </c>
      <c r="C5222" s="3" t="s">
        <v>1760</v>
      </c>
      <c r="D5222" s="3" t="s">
        <v>169</v>
      </c>
    </row>
    <row r="5223" spans="1:4" x14ac:dyDescent="0.2">
      <c r="A5223" s="3" t="s">
        <v>1740</v>
      </c>
      <c r="B5223" t="s">
        <v>8</v>
      </c>
      <c r="C5223" s="3" t="s">
        <v>1761</v>
      </c>
      <c r="D5223" s="3" t="s">
        <v>169</v>
      </c>
    </row>
    <row r="5224" spans="1:4" x14ac:dyDescent="0.2">
      <c r="A5224" s="3" t="s">
        <v>1740</v>
      </c>
      <c r="B5224" t="s">
        <v>8</v>
      </c>
      <c r="C5224" s="3" t="s">
        <v>1762</v>
      </c>
      <c r="D5224" s="3" t="s">
        <v>169</v>
      </c>
    </row>
    <row r="5225" spans="1:4" x14ac:dyDescent="0.2">
      <c r="A5225" s="3" t="s">
        <v>1740</v>
      </c>
      <c r="B5225" t="s">
        <v>8</v>
      </c>
      <c r="C5225" s="3" t="s">
        <v>1763</v>
      </c>
      <c r="D5225" s="3" t="s">
        <v>169</v>
      </c>
    </row>
    <row r="5226" spans="1:4" x14ac:dyDescent="0.2">
      <c r="A5226" s="3" t="s">
        <v>1740</v>
      </c>
      <c r="B5226" t="s">
        <v>8</v>
      </c>
      <c r="C5226" s="3" t="s">
        <v>1764</v>
      </c>
      <c r="D5226" s="3" t="s">
        <v>169</v>
      </c>
    </row>
    <row r="5227" spans="1:4" x14ac:dyDescent="0.2">
      <c r="A5227" s="3" t="s">
        <v>1740</v>
      </c>
      <c r="B5227" t="s">
        <v>8</v>
      </c>
      <c r="C5227" s="3" t="s">
        <v>1765</v>
      </c>
      <c r="D5227" s="3" t="s">
        <v>169</v>
      </c>
    </row>
    <row r="5228" spans="1:4" x14ac:dyDescent="0.2">
      <c r="A5228" s="3" t="s">
        <v>1740</v>
      </c>
      <c r="B5228" t="s">
        <v>8</v>
      </c>
      <c r="C5228" s="3" t="s">
        <v>1766</v>
      </c>
      <c r="D5228" s="3" t="s">
        <v>169</v>
      </c>
    </row>
    <row r="5229" spans="1:4" x14ac:dyDescent="0.2">
      <c r="A5229" s="3" t="s">
        <v>1740</v>
      </c>
      <c r="B5229" t="s">
        <v>8</v>
      </c>
      <c r="C5229" s="3" t="s">
        <v>1767</v>
      </c>
      <c r="D5229" s="3" t="s">
        <v>169</v>
      </c>
    </row>
    <row r="5230" spans="1:4" x14ac:dyDescent="0.2">
      <c r="A5230" s="3" t="s">
        <v>1740</v>
      </c>
      <c r="B5230" t="s">
        <v>8</v>
      </c>
      <c r="C5230" s="3" t="s">
        <v>1768</v>
      </c>
      <c r="D5230" s="3" t="s">
        <v>169</v>
      </c>
    </row>
    <row r="5231" spans="1:4" x14ac:dyDescent="0.2">
      <c r="A5231" s="3" t="s">
        <v>1740</v>
      </c>
      <c r="B5231" t="s">
        <v>8</v>
      </c>
      <c r="C5231" s="3" t="s">
        <v>1769</v>
      </c>
      <c r="D5231" s="3" t="s">
        <v>169</v>
      </c>
    </row>
    <row r="5232" spans="1:4" x14ac:dyDescent="0.2">
      <c r="A5232" s="3" t="s">
        <v>1740</v>
      </c>
      <c r="B5232" t="s">
        <v>8</v>
      </c>
      <c r="C5232" s="3" t="s">
        <v>1770</v>
      </c>
      <c r="D5232" s="3" t="s">
        <v>169</v>
      </c>
    </row>
    <row r="5233" spans="1:4" x14ac:dyDescent="0.2">
      <c r="A5233" s="3" t="s">
        <v>1740</v>
      </c>
      <c r="B5233" t="s">
        <v>8</v>
      </c>
      <c r="C5233" s="3" t="s">
        <v>1771</v>
      </c>
      <c r="D5233" s="3" t="s">
        <v>169</v>
      </c>
    </row>
    <row r="5234" spans="1:4" x14ac:dyDescent="0.2">
      <c r="A5234" s="3" t="s">
        <v>1740</v>
      </c>
      <c r="B5234" t="s">
        <v>8</v>
      </c>
      <c r="C5234" s="3" t="s">
        <v>1772</v>
      </c>
      <c r="D5234" s="3" t="s">
        <v>169</v>
      </c>
    </row>
    <row r="5235" spans="1:4" x14ac:dyDescent="0.2">
      <c r="A5235" s="3" t="s">
        <v>1740</v>
      </c>
      <c r="B5235" t="s">
        <v>8</v>
      </c>
      <c r="C5235" s="3" t="s">
        <v>1773</v>
      </c>
      <c r="D5235" s="3" t="s">
        <v>169</v>
      </c>
    </row>
    <row r="5236" spans="1:4" x14ac:dyDescent="0.2">
      <c r="A5236" s="3" t="s">
        <v>1740</v>
      </c>
      <c r="B5236" t="s">
        <v>8</v>
      </c>
      <c r="C5236" s="3" t="s">
        <v>1774</v>
      </c>
      <c r="D5236" s="3" t="s">
        <v>169</v>
      </c>
    </row>
    <row r="5237" spans="1:4" x14ac:dyDescent="0.2">
      <c r="A5237" s="3" t="s">
        <v>1740</v>
      </c>
      <c r="B5237" t="s">
        <v>8</v>
      </c>
      <c r="C5237" s="3" t="s">
        <v>1775</v>
      </c>
      <c r="D5237" s="3" t="s">
        <v>169</v>
      </c>
    </row>
    <row r="5238" spans="1:4" x14ac:dyDescent="0.2">
      <c r="A5238" s="3" t="s">
        <v>1740</v>
      </c>
      <c r="B5238" t="s">
        <v>8</v>
      </c>
      <c r="C5238" s="3" t="s">
        <v>1776</v>
      </c>
      <c r="D5238" s="3" t="s">
        <v>169</v>
      </c>
    </row>
    <row r="5239" spans="1:4" x14ac:dyDescent="0.2">
      <c r="A5239" s="3" t="s">
        <v>1740</v>
      </c>
      <c r="B5239" t="s">
        <v>8</v>
      </c>
      <c r="C5239" s="3" t="s">
        <v>1777</v>
      </c>
      <c r="D5239" s="3" t="s">
        <v>169</v>
      </c>
    </row>
    <row r="5240" spans="1:4" x14ac:dyDescent="0.2">
      <c r="A5240" s="3" t="s">
        <v>1740</v>
      </c>
      <c r="B5240" t="s">
        <v>8</v>
      </c>
      <c r="C5240" s="3" t="s">
        <v>1778</v>
      </c>
      <c r="D5240" s="3" t="s">
        <v>169</v>
      </c>
    </row>
    <row r="5241" spans="1:4" x14ac:dyDescent="0.2">
      <c r="A5241" s="3" t="s">
        <v>1740</v>
      </c>
      <c r="B5241" t="s">
        <v>8</v>
      </c>
      <c r="C5241" s="3" t="s">
        <v>1779</v>
      </c>
      <c r="D5241" s="3" t="s">
        <v>169</v>
      </c>
    </row>
    <row r="5242" spans="1:4" x14ac:dyDescent="0.2">
      <c r="A5242" s="3" t="s">
        <v>1740</v>
      </c>
      <c r="B5242" t="s">
        <v>8</v>
      </c>
      <c r="C5242" s="3" t="s">
        <v>1780</v>
      </c>
      <c r="D5242" s="3" t="s">
        <v>169</v>
      </c>
    </row>
    <row r="5243" spans="1:4" x14ac:dyDescent="0.2">
      <c r="A5243" s="3" t="s">
        <v>1740</v>
      </c>
      <c r="B5243" t="s">
        <v>8</v>
      </c>
      <c r="C5243" s="3" t="s">
        <v>1781</v>
      </c>
      <c r="D5243" s="3" t="s">
        <v>169</v>
      </c>
    </row>
    <row r="5244" spans="1:4" x14ac:dyDescent="0.2">
      <c r="A5244" s="3" t="s">
        <v>1740</v>
      </c>
      <c r="B5244" t="s">
        <v>8</v>
      </c>
      <c r="C5244" s="3" t="s">
        <v>1782</v>
      </c>
      <c r="D5244" s="3" t="s">
        <v>169</v>
      </c>
    </row>
    <row r="5245" spans="1:4" x14ac:dyDescent="0.2">
      <c r="A5245" s="3" t="s">
        <v>1740</v>
      </c>
      <c r="B5245" t="s">
        <v>8</v>
      </c>
      <c r="C5245" s="3" t="s">
        <v>1783</v>
      </c>
      <c r="D5245" s="3" t="s">
        <v>169</v>
      </c>
    </row>
    <row r="5246" spans="1:4" x14ac:dyDescent="0.2">
      <c r="A5246" s="3" t="s">
        <v>1740</v>
      </c>
      <c r="B5246" t="s">
        <v>8</v>
      </c>
      <c r="C5246" s="3" t="s">
        <v>1784</v>
      </c>
      <c r="D5246" s="3" t="s">
        <v>169</v>
      </c>
    </row>
    <row r="5247" spans="1:4" x14ac:dyDescent="0.2">
      <c r="A5247" s="3" t="s">
        <v>1740</v>
      </c>
      <c r="B5247" t="s">
        <v>8</v>
      </c>
      <c r="C5247" s="3" t="s">
        <v>1785</v>
      </c>
      <c r="D5247" s="3" t="s">
        <v>169</v>
      </c>
    </row>
    <row r="5248" spans="1:4" x14ac:dyDescent="0.2">
      <c r="A5248" s="3" t="s">
        <v>1740</v>
      </c>
      <c r="B5248" t="s">
        <v>8</v>
      </c>
      <c r="C5248" s="3" t="s">
        <v>1786</v>
      </c>
      <c r="D5248" s="3" t="s">
        <v>169</v>
      </c>
    </row>
    <row r="5249" spans="1:4" x14ac:dyDescent="0.2">
      <c r="A5249" s="3" t="s">
        <v>1740</v>
      </c>
      <c r="B5249" t="s">
        <v>8</v>
      </c>
      <c r="C5249" s="3" t="s">
        <v>1787</v>
      </c>
      <c r="D5249" s="3" t="s">
        <v>169</v>
      </c>
    </row>
    <row r="5250" spans="1:4" x14ac:dyDescent="0.2">
      <c r="A5250" s="3" t="s">
        <v>1740</v>
      </c>
      <c r="B5250" t="s">
        <v>8</v>
      </c>
      <c r="C5250" s="3" t="s">
        <v>1788</v>
      </c>
      <c r="D5250" s="3" t="s">
        <v>169</v>
      </c>
    </row>
    <row r="5251" spans="1:4" x14ac:dyDescent="0.2">
      <c r="A5251" s="3" t="s">
        <v>1740</v>
      </c>
      <c r="B5251" t="s">
        <v>8</v>
      </c>
      <c r="C5251" s="3" t="s">
        <v>1789</v>
      </c>
      <c r="D5251" s="3" t="s">
        <v>169</v>
      </c>
    </row>
    <row r="5252" spans="1:4" x14ac:dyDescent="0.2">
      <c r="A5252" s="3" t="s">
        <v>1740</v>
      </c>
      <c r="B5252" t="s">
        <v>8</v>
      </c>
      <c r="C5252" s="3" t="s">
        <v>1790</v>
      </c>
      <c r="D5252" s="3" t="s">
        <v>169</v>
      </c>
    </row>
    <row r="5253" spans="1:4" x14ac:dyDescent="0.2">
      <c r="A5253" s="3" t="s">
        <v>1740</v>
      </c>
      <c r="B5253" t="s">
        <v>8</v>
      </c>
      <c r="C5253" s="3" t="s">
        <v>1791</v>
      </c>
      <c r="D5253" s="3" t="s">
        <v>169</v>
      </c>
    </row>
    <row r="5254" spans="1:4" x14ac:dyDescent="0.2">
      <c r="A5254" s="3" t="s">
        <v>1740</v>
      </c>
      <c r="B5254" t="s">
        <v>8</v>
      </c>
      <c r="C5254" s="3" t="s">
        <v>1792</v>
      </c>
      <c r="D5254" s="3" t="s">
        <v>169</v>
      </c>
    </row>
    <row r="5255" spans="1:4" x14ac:dyDescent="0.2">
      <c r="A5255" s="3" t="s">
        <v>1740</v>
      </c>
      <c r="B5255" t="s">
        <v>8</v>
      </c>
      <c r="C5255" s="3" t="s">
        <v>1793</v>
      </c>
      <c r="D5255" s="3" t="s">
        <v>169</v>
      </c>
    </row>
    <row r="5256" spans="1:4" x14ac:dyDescent="0.2">
      <c r="A5256" s="3" t="s">
        <v>1740</v>
      </c>
      <c r="B5256" t="s">
        <v>8</v>
      </c>
      <c r="C5256" s="3" t="s">
        <v>1794</v>
      </c>
      <c r="D5256" s="3" t="s">
        <v>169</v>
      </c>
    </row>
    <row r="5257" spans="1:4" x14ac:dyDescent="0.2">
      <c r="A5257" s="3" t="s">
        <v>1740</v>
      </c>
      <c r="B5257" t="s">
        <v>8</v>
      </c>
      <c r="C5257" s="3" t="s">
        <v>1795</v>
      </c>
      <c r="D5257" s="3" t="s">
        <v>169</v>
      </c>
    </row>
    <row r="5258" spans="1:4" x14ac:dyDescent="0.2">
      <c r="A5258" s="3" t="s">
        <v>1740</v>
      </c>
      <c r="B5258" t="s">
        <v>8</v>
      </c>
      <c r="C5258" s="3" t="s">
        <v>1796</v>
      </c>
      <c r="D5258" s="3" t="s">
        <v>169</v>
      </c>
    </row>
    <row r="5259" spans="1:4" x14ac:dyDescent="0.2">
      <c r="A5259" s="3" t="s">
        <v>1740</v>
      </c>
      <c r="B5259" t="s">
        <v>8</v>
      </c>
      <c r="C5259" s="3" t="s">
        <v>1797</v>
      </c>
      <c r="D5259" s="3" t="s">
        <v>169</v>
      </c>
    </row>
    <row r="5260" spans="1:4" x14ac:dyDescent="0.2">
      <c r="A5260" s="3" t="s">
        <v>1740</v>
      </c>
      <c r="B5260" t="s">
        <v>8</v>
      </c>
      <c r="C5260" s="3" t="s">
        <v>1798</v>
      </c>
      <c r="D5260" s="3" t="s">
        <v>169</v>
      </c>
    </row>
    <row r="5261" spans="1:4" x14ac:dyDescent="0.2">
      <c r="A5261" s="3" t="s">
        <v>1740</v>
      </c>
      <c r="B5261" t="s">
        <v>8</v>
      </c>
      <c r="C5261" s="3" t="s">
        <v>1799</v>
      </c>
      <c r="D5261" s="3" t="s">
        <v>169</v>
      </c>
    </row>
    <row r="5262" spans="1:4" x14ac:dyDescent="0.2">
      <c r="A5262" s="3" t="s">
        <v>1740</v>
      </c>
      <c r="B5262" t="s">
        <v>8</v>
      </c>
      <c r="C5262" s="3" t="s">
        <v>1800</v>
      </c>
      <c r="D5262" s="3" t="s">
        <v>169</v>
      </c>
    </row>
    <row r="5263" spans="1:4" x14ac:dyDescent="0.2">
      <c r="A5263" s="3" t="s">
        <v>1740</v>
      </c>
      <c r="B5263" t="s">
        <v>8</v>
      </c>
      <c r="C5263" s="3" t="s">
        <v>1801</v>
      </c>
      <c r="D5263" s="3" t="s">
        <v>169</v>
      </c>
    </row>
    <row r="5264" spans="1:4" x14ac:dyDescent="0.2">
      <c r="A5264" s="3" t="s">
        <v>1740</v>
      </c>
      <c r="B5264" t="s">
        <v>8</v>
      </c>
      <c r="C5264" s="3" t="s">
        <v>1802</v>
      </c>
      <c r="D5264" s="3" t="s">
        <v>169</v>
      </c>
    </row>
    <row r="5265" spans="1:4" x14ac:dyDescent="0.2">
      <c r="A5265" s="3" t="s">
        <v>1740</v>
      </c>
      <c r="B5265" t="s">
        <v>8</v>
      </c>
      <c r="C5265" s="3" t="s">
        <v>1803</v>
      </c>
      <c r="D5265" s="3" t="s">
        <v>169</v>
      </c>
    </row>
    <row r="5266" spans="1:4" x14ac:dyDescent="0.2">
      <c r="A5266" s="3" t="s">
        <v>1740</v>
      </c>
      <c r="B5266" t="s">
        <v>8</v>
      </c>
      <c r="C5266" s="3" t="s">
        <v>1804</v>
      </c>
      <c r="D5266" s="3" t="s">
        <v>169</v>
      </c>
    </row>
    <row r="5267" spans="1:4" x14ac:dyDescent="0.2">
      <c r="A5267" s="3" t="s">
        <v>1740</v>
      </c>
      <c r="B5267" t="s">
        <v>8</v>
      </c>
      <c r="C5267" s="3" t="s">
        <v>1805</v>
      </c>
      <c r="D5267" s="3" t="s">
        <v>169</v>
      </c>
    </row>
    <row r="5268" spans="1:4" x14ac:dyDescent="0.2">
      <c r="A5268" s="3" t="s">
        <v>1740</v>
      </c>
      <c r="B5268" t="s">
        <v>8</v>
      </c>
      <c r="C5268" s="3" t="s">
        <v>1806</v>
      </c>
      <c r="D5268" s="3" t="s">
        <v>169</v>
      </c>
    </row>
    <row r="5269" spans="1:4" x14ac:dyDescent="0.2">
      <c r="A5269" s="3" t="s">
        <v>1740</v>
      </c>
      <c r="B5269" t="s">
        <v>8</v>
      </c>
      <c r="C5269" s="3" t="s">
        <v>1807</v>
      </c>
      <c r="D5269" s="3" t="s">
        <v>169</v>
      </c>
    </row>
    <row r="5270" spans="1:4" x14ac:dyDescent="0.2">
      <c r="A5270" s="3" t="s">
        <v>1740</v>
      </c>
      <c r="B5270" t="s">
        <v>8</v>
      </c>
      <c r="C5270" s="3" t="s">
        <v>1808</v>
      </c>
      <c r="D5270" s="3" t="s">
        <v>169</v>
      </c>
    </row>
    <row r="5271" spans="1:4" x14ac:dyDescent="0.2">
      <c r="A5271" s="3" t="s">
        <v>1740</v>
      </c>
      <c r="B5271" t="s">
        <v>8</v>
      </c>
      <c r="C5271" s="3" t="s">
        <v>1809</v>
      </c>
      <c r="D5271" s="3" t="s">
        <v>169</v>
      </c>
    </row>
    <row r="5272" spans="1:4" x14ac:dyDescent="0.2">
      <c r="A5272" s="3" t="s">
        <v>1740</v>
      </c>
      <c r="B5272" t="s">
        <v>8</v>
      </c>
      <c r="C5272" s="3" t="s">
        <v>1810</v>
      </c>
      <c r="D5272" s="3" t="s">
        <v>169</v>
      </c>
    </row>
    <row r="5273" spans="1:4" x14ac:dyDescent="0.2">
      <c r="A5273" s="3" t="s">
        <v>1740</v>
      </c>
      <c r="B5273" t="s">
        <v>8</v>
      </c>
      <c r="C5273" s="3" t="s">
        <v>1811</v>
      </c>
      <c r="D5273" s="3" t="s">
        <v>169</v>
      </c>
    </row>
    <row r="5274" spans="1:4" x14ac:dyDescent="0.2">
      <c r="A5274" s="3" t="s">
        <v>1740</v>
      </c>
      <c r="B5274" t="s">
        <v>8</v>
      </c>
      <c r="C5274" s="3" t="s">
        <v>1812</v>
      </c>
      <c r="D5274" s="3" t="s">
        <v>169</v>
      </c>
    </row>
    <row r="5275" spans="1:4" x14ac:dyDescent="0.2">
      <c r="A5275" s="3" t="s">
        <v>1740</v>
      </c>
      <c r="B5275" t="s">
        <v>8</v>
      </c>
      <c r="C5275" s="3" t="s">
        <v>1813</v>
      </c>
      <c r="D5275" s="3" t="s">
        <v>169</v>
      </c>
    </row>
    <row r="5276" spans="1:4" x14ac:dyDescent="0.2">
      <c r="A5276" s="3" t="s">
        <v>1740</v>
      </c>
      <c r="B5276" t="s">
        <v>8</v>
      </c>
      <c r="C5276" s="3" t="s">
        <v>1814</v>
      </c>
      <c r="D5276" s="3" t="s">
        <v>169</v>
      </c>
    </row>
    <row r="5277" spans="1:4" x14ac:dyDescent="0.2">
      <c r="A5277" s="3" t="s">
        <v>1740</v>
      </c>
      <c r="B5277" t="s">
        <v>8</v>
      </c>
      <c r="C5277" s="3" t="s">
        <v>1815</v>
      </c>
      <c r="D5277" s="3" t="s">
        <v>169</v>
      </c>
    </row>
    <row r="5278" spans="1:4" x14ac:dyDescent="0.2">
      <c r="A5278" s="3" t="s">
        <v>1740</v>
      </c>
      <c r="B5278" t="s">
        <v>8</v>
      </c>
      <c r="C5278" s="3" t="s">
        <v>1816</v>
      </c>
      <c r="D5278" s="3" t="s">
        <v>169</v>
      </c>
    </row>
    <row r="5279" spans="1:4" x14ac:dyDescent="0.2">
      <c r="A5279" s="3" t="s">
        <v>1740</v>
      </c>
      <c r="B5279" t="s">
        <v>8</v>
      </c>
      <c r="C5279" s="3" t="s">
        <v>1817</v>
      </c>
      <c r="D5279" s="3" t="s">
        <v>169</v>
      </c>
    </row>
    <row r="5280" spans="1:4" x14ac:dyDescent="0.2">
      <c r="A5280" s="3" t="s">
        <v>1740</v>
      </c>
      <c r="B5280" t="s">
        <v>8</v>
      </c>
      <c r="C5280" s="3" t="s">
        <v>1818</v>
      </c>
      <c r="D5280" s="3" t="s">
        <v>169</v>
      </c>
    </row>
    <row r="5281" spans="1:4" x14ac:dyDescent="0.2">
      <c r="A5281" s="3" t="s">
        <v>1740</v>
      </c>
      <c r="B5281" t="s">
        <v>8</v>
      </c>
      <c r="C5281" s="3" t="s">
        <v>1819</v>
      </c>
      <c r="D5281" s="3" t="s">
        <v>169</v>
      </c>
    </row>
    <row r="5282" spans="1:4" x14ac:dyDescent="0.2">
      <c r="A5282" s="3" t="s">
        <v>1740</v>
      </c>
      <c r="B5282" t="s">
        <v>8</v>
      </c>
      <c r="C5282" s="3" t="s">
        <v>1820</v>
      </c>
      <c r="D5282" s="3" t="s">
        <v>169</v>
      </c>
    </row>
    <row r="5283" spans="1:4" x14ac:dyDescent="0.2">
      <c r="A5283" s="3" t="s">
        <v>1740</v>
      </c>
      <c r="B5283" t="s">
        <v>8</v>
      </c>
      <c r="C5283" s="3" t="s">
        <v>1821</v>
      </c>
      <c r="D5283" s="3" t="s">
        <v>169</v>
      </c>
    </row>
    <row r="5284" spans="1:4" x14ac:dyDescent="0.2">
      <c r="A5284" s="3" t="s">
        <v>1740</v>
      </c>
      <c r="B5284" t="s">
        <v>8</v>
      </c>
      <c r="C5284" s="3" t="s">
        <v>1822</v>
      </c>
      <c r="D5284" s="3" t="s">
        <v>169</v>
      </c>
    </row>
    <row r="5285" spans="1:4" x14ac:dyDescent="0.2">
      <c r="A5285" s="3" t="s">
        <v>1740</v>
      </c>
      <c r="B5285" t="s">
        <v>8</v>
      </c>
      <c r="C5285" s="3" t="s">
        <v>1823</v>
      </c>
      <c r="D5285" s="3" t="s">
        <v>169</v>
      </c>
    </row>
    <row r="5286" spans="1:4" x14ac:dyDescent="0.2">
      <c r="A5286" s="3" t="s">
        <v>1740</v>
      </c>
      <c r="B5286" t="s">
        <v>8</v>
      </c>
      <c r="C5286" s="3" t="s">
        <v>1824</v>
      </c>
      <c r="D5286" s="3" t="s">
        <v>169</v>
      </c>
    </row>
    <row r="5287" spans="1:4" x14ac:dyDescent="0.2">
      <c r="A5287" s="3" t="s">
        <v>1740</v>
      </c>
      <c r="B5287" t="s">
        <v>8</v>
      </c>
      <c r="C5287" s="3" t="s">
        <v>1825</v>
      </c>
      <c r="D5287" s="3" t="s">
        <v>169</v>
      </c>
    </row>
    <row r="5288" spans="1:4" x14ac:dyDescent="0.2">
      <c r="A5288" s="3" t="s">
        <v>1740</v>
      </c>
      <c r="B5288" t="s">
        <v>8</v>
      </c>
      <c r="C5288" s="3" t="s">
        <v>1826</v>
      </c>
      <c r="D5288" s="3" t="s">
        <v>169</v>
      </c>
    </row>
    <row r="5289" spans="1:4" x14ac:dyDescent="0.2">
      <c r="A5289" s="3" t="s">
        <v>1740</v>
      </c>
      <c r="B5289" t="s">
        <v>8</v>
      </c>
      <c r="C5289" s="3" t="s">
        <v>1827</v>
      </c>
      <c r="D5289" s="3" t="s">
        <v>169</v>
      </c>
    </row>
    <row r="5290" spans="1:4" x14ac:dyDescent="0.2">
      <c r="A5290" s="3" t="s">
        <v>1740</v>
      </c>
      <c r="B5290" t="s">
        <v>8</v>
      </c>
      <c r="C5290" s="3" t="s">
        <v>1828</v>
      </c>
      <c r="D5290" s="3" t="s">
        <v>169</v>
      </c>
    </row>
    <row r="5291" spans="1:4" x14ac:dyDescent="0.2">
      <c r="A5291" s="3" t="s">
        <v>1740</v>
      </c>
      <c r="B5291" t="s">
        <v>8</v>
      </c>
      <c r="C5291" s="3" t="s">
        <v>1829</v>
      </c>
      <c r="D5291" s="3" t="s">
        <v>169</v>
      </c>
    </row>
    <row r="5292" spans="1:4" x14ac:dyDescent="0.2">
      <c r="A5292" s="3" t="s">
        <v>1740</v>
      </c>
      <c r="B5292" t="s">
        <v>8</v>
      </c>
      <c r="C5292" s="3" t="s">
        <v>1830</v>
      </c>
      <c r="D5292" s="3" t="s">
        <v>169</v>
      </c>
    </row>
    <row r="5293" spans="1:4" x14ac:dyDescent="0.2">
      <c r="A5293" s="3" t="s">
        <v>1740</v>
      </c>
      <c r="B5293" t="s">
        <v>8</v>
      </c>
      <c r="C5293" s="3" t="s">
        <v>1831</v>
      </c>
      <c r="D5293" s="3" t="s">
        <v>169</v>
      </c>
    </row>
    <row r="5294" spans="1:4" x14ac:dyDescent="0.2">
      <c r="A5294" s="3" t="s">
        <v>1740</v>
      </c>
      <c r="B5294" t="s">
        <v>8</v>
      </c>
      <c r="C5294" s="3" t="s">
        <v>1832</v>
      </c>
      <c r="D5294" s="3" t="s">
        <v>169</v>
      </c>
    </row>
    <row r="5295" spans="1:4" x14ac:dyDescent="0.2">
      <c r="A5295" s="3" t="s">
        <v>1740</v>
      </c>
      <c r="B5295" t="s">
        <v>8</v>
      </c>
      <c r="C5295" s="3" t="s">
        <v>1833</v>
      </c>
      <c r="D5295" s="3" t="s">
        <v>169</v>
      </c>
    </row>
    <row r="5296" spans="1:4" x14ac:dyDescent="0.2">
      <c r="A5296" s="3" t="s">
        <v>1740</v>
      </c>
      <c r="B5296" t="s">
        <v>8</v>
      </c>
      <c r="C5296" s="3" t="s">
        <v>1834</v>
      </c>
      <c r="D5296" s="3" t="s">
        <v>169</v>
      </c>
    </row>
    <row r="5297" spans="1:4" x14ac:dyDescent="0.2">
      <c r="A5297" s="3" t="s">
        <v>1740</v>
      </c>
      <c r="B5297" t="s">
        <v>8</v>
      </c>
      <c r="C5297" s="3" t="s">
        <v>1835</v>
      </c>
      <c r="D5297" s="3" t="s">
        <v>169</v>
      </c>
    </row>
    <row r="5298" spans="1:4" x14ac:dyDescent="0.2">
      <c r="A5298" s="3" t="s">
        <v>1740</v>
      </c>
      <c r="B5298" t="s">
        <v>8</v>
      </c>
      <c r="C5298" s="3" t="s">
        <v>1836</v>
      </c>
      <c r="D5298" s="3" t="s">
        <v>169</v>
      </c>
    </row>
    <row r="5299" spans="1:4" x14ac:dyDescent="0.2">
      <c r="A5299" s="3" t="s">
        <v>1740</v>
      </c>
      <c r="B5299" t="s">
        <v>8</v>
      </c>
      <c r="C5299" s="3" t="s">
        <v>1837</v>
      </c>
      <c r="D5299" s="3" t="s">
        <v>169</v>
      </c>
    </row>
    <row r="5300" spans="1:4" x14ac:dyDescent="0.2">
      <c r="A5300" s="3" t="s">
        <v>1740</v>
      </c>
      <c r="B5300" t="s">
        <v>8</v>
      </c>
      <c r="C5300" s="3" t="s">
        <v>1838</v>
      </c>
      <c r="D5300" s="3" t="s">
        <v>169</v>
      </c>
    </row>
    <row r="5301" spans="1:4" x14ac:dyDescent="0.2">
      <c r="A5301" s="3" t="s">
        <v>1740</v>
      </c>
      <c r="B5301" t="s">
        <v>8</v>
      </c>
      <c r="C5301" s="3" t="s">
        <v>1839</v>
      </c>
      <c r="D5301" s="3" t="s">
        <v>22</v>
      </c>
    </row>
    <row r="5302" spans="1:4" x14ac:dyDescent="0.2">
      <c r="A5302" s="3" t="s">
        <v>1740</v>
      </c>
      <c r="B5302" t="s">
        <v>8</v>
      </c>
      <c r="C5302" s="3" t="s">
        <v>1840</v>
      </c>
      <c r="D5302" s="3" t="s">
        <v>22</v>
      </c>
    </row>
    <row r="5303" spans="1:4" x14ac:dyDescent="0.2">
      <c r="A5303" s="3" t="s">
        <v>1740</v>
      </c>
      <c r="B5303" t="s">
        <v>8</v>
      </c>
      <c r="C5303" s="3" t="s">
        <v>1841</v>
      </c>
      <c r="D5303" s="3" t="s">
        <v>22</v>
      </c>
    </row>
    <row r="5304" spans="1:4" x14ac:dyDescent="0.2">
      <c r="A5304" s="3" t="s">
        <v>1740</v>
      </c>
      <c r="B5304" t="s">
        <v>8</v>
      </c>
      <c r="C5304" s="3" t="s">
        <v>1842</v>
      </c>
      <c r="D5304" s="3" t="s">
        <v>22</v>
      </c>
    </row>
    <row r="5305" spans="1:4" x14ac:dyDescent="0.2">
      <c r="A5305" s="3" t="s">
        <v>1740</v>
      </c>
      <c r="B5305" t="s">
        <v>8</v>
      </c>
      <c r="C5305" s="3" t="s">
        <v>1843</v>
      </c>
      <c r="D5305" s="3" t="s">
        <v>22</v>
      </c>
    </row>
    <row r="5306" spans="1:4" x14ac:dyDescent="0.2">
      <c r="A5306" s="3" t="s">
        <v>1740</v>
      </c>
      <c r="B5306" t="s">
        <v>8</v>
      </c>
      <c r="C5306" s="3" t="s">
        <v>1844</v>
      </c>
      <c r="D5306" s="3" t="s">
        <v>22</v>
      </c>
    </row>
    <row r="5307" spans="1:4" x14ac:dyDescent="0.2">
      <c r="A5307" s="3" t="s">
        <v>1740</v>
      </c>
      <c r="B5307" t="s">
        <v>8</v>
      </c>
      <c r="C5307" s="3" t="s">
        <v>1845</v>
      </c>
      <c r="D5307" s="3" t="s">
        <v>22</v>
      </c>
    </row>
    <row r="5308" spans="1:4" x14ac:dyDescent="0.2">
      <c r="A5308" s="3" t="s">
        <v>1740</v>
      </c>
      <c r="B5308" t="s">
        <v>8</v>
      </c>
      <c r="C5308" s="3" t="s">
        <v>1846</v>
      </c>
      <c r="D5308" s="3" t="s">
        <v>22</v>
      </c>
    </row>
    <row r="5309" spans="1:4" x14ac:dyDescent="0.2">
      <c r="A5309" s="3" t="s">
        <v>1740</v>
      </c>
      <c r="B5309" t="s">
        <v>8</v>
      </c>
      <c r="C5309" s="3" t="s">
        <v>1847</v>
      </c>
      <c r="D5309" s="3" t="s">
        <v>22</v>
      </c>
    </row>
    <row r="5310" spans="1:4" x14ac:dyDescent="0.2">
      <c r="A5310" s="3" t="s">
        <v>1740</v>
      </c>
      <c r="B5310" t="s">
        <v>8</v>
      </c>
      <c r="C5310" s="3" t="s">
        <v>1848</v>
      </c>
      <c r="D5310" s="3" t="s">
        <v>22</v>
      </c>
    </row>
    <row r="5311" spans="1:4" x14ac:dyDescent="0.2">
      <c r="A5311" s="3" t="s">
        <v>1740</v>
      </c>
      <c r="B5311" t="s">
        <v>8</v>
      </c>
      <c r="C5311" s="3" t="s">
        <v>1849</v>
      </c>
      <c r="D5311" s="3" t="s">
        <v>22</v>
      </c>
    </row>
    <row r="5312" spans="1:4" x14ac:dyDescent="0.2">
      <c r="A5312" s="3" t="s">
        <v>1740</v>
      </c>
      <c r="B5312" t="s">
        <v>8</v>
      </c>
      <c r="C5312" s="3" t="s">
        <v>1850</v>
      </c>
      <c r="D5312" s="3" t="s">
        <v>22</v>
      </c>
    </row>
    <row r="5313" spans="1:4" x14ac:dyDescent="0.2">
      <c r="A5313" s="3" t="s">
        <v>1740</v>
      </c>
      <c r="B5313" t="s">
        <v>8</v>
      </c>
      <c r="C5313" s="3" t="s">
        <v>1851</v>
      </c>
      <c r="D5313" s="3" t="s">
        <v>22</v>
      </c>
    </row>
    <row r="5314" spans="1:4" x14ac:dyDescent="0.2">
      <c r="A5314" s="3" t="s">
        <v>1740</v>
      </c>
      <c r="B5314" t="s">
        <v>8</v>
      </c>
      <c r="C5314" s="3" t="s">
        <v>1852</v>
      </c>
      <c r="D5314" s="3" t="s">
        <v>22</v>
      </c>
    </row>
    <row r="5315" spans="1:4" x14ac:dyDescent="0.2">
      <c r="A5315" s="3" t="s">
        <v>1740</v>
      </c>
      <c r="B5315" t="s">
        <v>8</v>
      </c>
      <c r="C5315" s="3" t="s">
        <v>1853</v>
      </c>
      <c r="D5315" s="3" t="s">
        <v>22</v>
      </c>
    </row>
    <row r="5316" spans="1:4" x14ac:dyDescent="0.2">
      <c r="A5316" s="3" t="s">
        <v>1740</v>
      </c>
      <c r="B5316" t="s">
        <v>8</v>
      </c>
      <c r="C5316" s="3" t="s">
        <v>1854</v>
      </c>
      <c r="D5316" s="3" t="s">
        <v>22</v>
      </c>
    </row>
    <row r="5317" spans="1:4" x14ac:dyDescent="0.2">
      <c r="A5317" s="3" t="s">
        <v>1740</v>
      </c>
      <c r="B5317" t="s">
        <v>8</v>
      </c>
      <c r="C5317" s="3" t="s">
        <v>1855</v>
      </c>
      <c r="D5317" s="3" t="s">
        <v>22</v>
      </c>
    </row>
    <row r="5318" spans="1:4" x14ac:dyDescent="0.2">
      <c r="A5318" s="3" t="s">
        <v>1740</v>
      </c>
      <c r="B5318" t="s">
        <v>8</v>
      </c>
      <c r="C5318" s="3" t="s">
        <v>1856</v>
      </c>
      <c r="D5318" s="3" t="s">
        <v>22</v>
      </c>
    </row>
    <row r="5319" spans="1:4" x14ac:dyDescent="0.2">
      <c r="A5319" s="3" t="s">
        <v>1740</v>
      </c>
      <c r="B5319" t="s">
        <v>8</v>
      </c>
      <c r="C5319" s="3" t="s">
        <v>1857</v>
      </c>
      <c r="D5319" s="3" t="s">
        <v>22</v>
      </c>
    </row>
    <row r="5320" spans="1:4" x14ac:dyDescent="0.2">
      <c r="A5320" s="3" t="s">
        <v>1740</v>
      </c>
      <c r="B5320" t="s">
        <v>8</v>
      </c>
      <c r="C5320" s="3" t="s">
        <v>1858</v>
      </c>
      <c r="D5320" s="3" t="s">
        <v>22</v>
      </c>
    </row>
    <row r="5321" spans="1:4" x14ac:dyDescent="0.2">
      <c r="A5321" s="3" t="s">
        <v>1740</v>
      </c>
      <c r="B5321" t="s">
        <v>8</v>
      </c>
      <c r="C5321" s="3" t="s">
        <v>1859</v>
      </c>
      <c r="D5321" s="3" t="s">
        <v>22</v>
      </c>
    </row>
    <row r="5322" spans="1:4" x14ac:dyDescent="0.2">
      <c r="A5322" s="3" t="s">
        <v>1740</v>
      </c>
      <c r="B5322" t="s">
        <v>8</v>
      </c>
      <c r="C5322" s="3" t="s">
        <v>1860</v>
      </c>
      <c r="D5322" s="3" t="s">
        <v>22</v>
      </c>
    </row>
    <row r="5323" spans="1:4" x14ac:dyDescent="0.2">
      <c r="A5323" s="3" t="s">
        <v>1740</v>
      </c>
      <c r="B5323" t="s">
        <v>8</v>
      </c>
      <c r="C5323" s="3" t="s">
        <v>1861</v>
      </c>
      <c r="D5323" s="3" t="s">
        <v>22</v>
      </c>
    </row>
    <row r="5324" spans="1:4" x14ac:dyDescent="0.2">
      <c r="A5324" s="3" t="s">
        <v>1740</v>
      </c>
      <c r="B5324" t="s">
        <v>8</v>
      </c>
      <c r="C5324" s="3" t="s">
        <v>1862</v>
      </c>
      <c r="D5324" s="3" t="s">
        <v>22</v>
      </c>
    </row>
    <row r="5325" spans="1:4" x14ac:dyDescent="0.2">
      <c r="A5325" s="3" t="s">
        <v>1740</v>
      </c>
      <c r="B5325" t="s">
        <v>8</v>
      </c>
      <c r="C5325" s="3" t="s">
        <v>1863</v>
      </c>
      <c r="D5325" s="3" t="s">
        <v>22</v>
      </c>
    </row>
    <row r="5326" spans="1:4" x14ac:dyDescent="0.2">
      <c r="A5326" s="3" t="s">
        <v>1740</v>
      </c>
      <c r="B5326" t="s">
        <v>8</v>
      </c>
      <c r="C5326" s="3" t="s">
        <v>1864</v>
      </c>
      <c r="D5326" s="3" t="s">
        <v>22</v>
      </c>
    </row>
    <row r="5327" spans="1:4" x14ac:dyDescent="0.2">
      <c r="A5327" s="3" t="s">
        <v>1740</v>
      </c>
      <c r="B5327" t="s">
        <v>8</v>
      </c>
      <c r="C5327" s="3" t="s">
        <v>1865</v>
      </c>
      <c r="D5327" s="3" t="s">
        <v>22</v>
      </c>
    </row>
    <row r="5328" spans="1:4" x14ac:dyDescent="0.2">
      <c r="A5328" s="3" t="s">
        <v>1740</v>
      </c>
      <c r="B5328" t="s">
        <v>8</v>
      </c>
      <c r="C5328" s="3" t="s">
        <v>1866</v>
      </c>
      <c r="D5328" s="3" t="s">
        <v>22</v>
      </c>
    </row>
    <row r="5329" spans="1:4" x14ac:dyDescent="0.2">
      <c r="A5329" s="3" t="s">
        <v>1740</v>
      </c>
      <c r="B5329" t="s">
        <v>8</v>
      </c>
      <c r="C5329" s="3" t="s">
        <v>1867</v>
      </c>
      <c r="D5329" s="3" t="s">
        <v>22</v>
      </c>
    </row>
    <row r="5330" spans="1:4" x14ac:dyDescent="0.2">
      <c r="A5330" s="3" t="s">
        <v>1740</v>
      </c>
      <c r="B5330" t="s">
        <v>8</v>
      </c>
      <c r="C5330" s="3" t="s">
        <v>1868</v>
      </c>
      <c r="D5330" s="3" t="s">
        <v>22</v>
      </c>
    </row>
    <row r="5331" spans="1:4" x14ac:dyDescent="0.2">
      <c r="A5331" s="3" t="s">
        <v>1740</v>
      </c>
      <c r="B5331" t="s">
        <v>8</v>
      </c>
      <c r="C5331" s="3" t="s">
        <v>1869</v>
      </c>
      <c r="D5331" s="3" t="s">
        <v>22</v>
      </c>
    </row>
    <row r="5332" spans="1:4" x14ac:dyDescent="0.2">
      <c r="A5332" s="3" t="s">
        <v>1740</v>
      </c>
      <c r="B5332" t="s">
        <v>8</v>
      </c>
      <c r="C5332" s="3" t="s">
        <v>1870</v>
      </c>
      <c r="D5332" s="3" t="s">
        <v>22</v>
      </c>
    </row>
    <row r="5333" spans="1:4" x14ac:dyDescent="0.2">
      <c r="A5333" s="3" t="s">
        <v>1740</v>
      </c>
      <c r="B5333" t="s">
        <v>8</v>
      </c>
      <c r="C5333" s="3" t="s">
        <v>1871</v>
      </c>
      <c r="D5333" s="3" t="s">
        <v>22</v>
      </c>
    </row>
    <row r="5334" spans="1:4" x14ac:dyDescent="0.2">
      <c r="A5334" s="3" t="s">
        <v>1740</v>
      </c>
      <c r="B5334" t="s">
        <v>8</v>
      </c>
      <c r="C5334" s="3" t="s">
        <v>1872</v>
      </c>
      <c r="D5334" s="3" t="s">
        <v>22</v>
      </c>
    </row>
    <row r="5335" spans="1:4" x14ac:dyDescent="0.2">
      <c r="A5335" s="3" t="s">
        <v>1740</v>
      </c>
      <c r="B5335" t="s">
        <v>8</v>
      </c>
      <c r="C5335" s="3" t="s">
        <v>1873</v>
      </c>
      <c r="D5335" s="3" t="s">
        <v>22</v>
      </c>
    </row>
    <row r="5336" spans="1:4" x14ac:dyDescent="0.2">
      <c r="A5336" s="3" t="s">
        <v>1740</v>
      </c>
      <c r="B5336" t="s">
        <v>8</v>
      </c>
      <c r="C5336" s="3" t="s">
        <v>1874</v>
      </c>
      <c r="D5336" s="3" t="s">
        <v>22</v>
      </c>
    </row>
    <row r="5337" spans="1:4" x14ac:dyDescent="0.2">
      <c r="A5337" s="3" t="s">
        <v>1740</v>
      </c>
      <c r="B5337" t="s">
        <v>8</v>
      </c>
      <c r="C5337" s="3" t="s">
        <v>1875</v>
      </c>
      <c r="D5337" s="3" t="s">
        <v>22</v>
      </c>
    </row>
    <row r="5338" spans="1:4" x14ac:dyDescent="0.2">
      <c r="A5338" s="3" t="s">
        <v>1740</v>
      </c>
      <c r="B5338" t="s">
        <v>8</v>
      </c>
      <c r="C5338" s="3" t="s">
        <v>1876</v>
      </c>
      <c r="D5338" s="3" t="s">
        <v>22</v>
      </c>
    </row>
    <row r="5339" spans="1:4" x14ac:dyDescent="0.2">
      <c r="A5339" s="3" t="s">
        <v>1740</v>
      </c>
      <c r="B5339" t="s">
        <v>8</v>
      </c>
      <c r="C5339" s="3" t="s">
        <v>1877</v>
      </c>
      <c r="D5339" s="3" t="s">
        <v>22</v>
      </c>
    </row>
    <row r="5340" spans="1:4" x14ac:dyDescent="0.2">
      <c r="A5340" s="3" t="s">
        <v>1740</v>
      </c>
      <c r="B5340" t="s">
        <v>8</v>
      </c>
      <c r="C5340" s="3" t="s">
        <v>1878</v>
      </c>
      <c r="D5340" s="3" t="s">
        <v>22</v>
      </c>
    </row>
    <row r="5341" spans="1:4" x14ac:dyDescent="0.2">
      <c r="A5341" s="3" t="s">
        <v>1740</v>
      </c>
      <c r="B5341" t="s">
        <v>8</v>
      </c>
      <c r="C5341" s="3" t="s">
        <v>1879</v>
      </c>
      <c r="D5341" s="3" t="s">
        <v>22</v>
      </c>
    </row>
    <row r="5342" spans="1:4" x14ac:dyDescent="0.2">
      <c r="A5342" s="3" t="s">
        <v>1740</v>
      </c>
      <c r="B5342" t="s">
        <v>8</v>
      </c>
      <c r="C5342" s="3" t="s">
        <v>1880</v>
      </c>
      <c r="D5342" s="3" t="s">
        <v>22</v>
      </c>
    </row>
    <row r="5343" spans="1:4" x14ac:dyDescent="0.2">
      <c r="A5343" s="3" t="s">
        <v>1740</v>
      </c>
      <c r="B5343" t="s">
        <v>8</v>
      </c>
      <c r="C5343" s="3" t="s">
        <v>1881</v>
      </c>
      <c r="D5343" s="3" t="s">
        <v>22</v>
      </c>
    </row>
    <row r="5344" spans="1:4" x14ac:dyDescent="0.2">
      <c r="A5344" s="3" t="s">
        <v>1740</v>
      </c>
      <c r="B5344" t="s">
        <v>8</v>
      </c>
      <c r="C5344" s="3" t="s">
        <v>1882</v>
      </c>
      <c r="D5344" s="3" t="s">
        <v>22</v>
      </c>
    </row>
    <row r="5345" spans="1:4" x14ac:dyDescent="0.2">
      <c r="A5345" s="3" t="s">
        <v>1740</v>
      </c>
      <c r="B5345" t="s">
        <v>8</v>
      </c>
      <c r="C5345" s="3" t="s">
        <v>1883</v>
      </c>
      <c r="D5345" s="3" t="s">
        <v>22</v>
      </c>
    </row>
    <row r="5346" spans="1:4" x14ac:dyDescent="0.2">
      <c r="A5346" s="3" t="s">
        <v>1740</v>
      </c>
      <c r="B5346" t="s">
        <v>8</v>
      </c>
      <c r="C5346" s="3" t="s">
        <v>1884</v>
      </c>
      <c r="D5346" s="3" t="s">
        <v>22</v>
      </c>
    </row>
    <row r="5347" spans="1:4" x14ac:dyDescent="0.2">
      <c r="A5347" s="3" t="s">
        <v>1740</v>
      </c>
      <c r="B5347" t="s">
        <v>8</v>
      </c>
      <c r="C5347" s="3" t="s">
        <v>2614</v>
      </c>
      <c r="D5347" s="3" t="s">
        <v>22</v>
      </c>
    </row>
    <row r="5348" spans="1:4" x14ac:dyDescent="0.2">
      <c r="A5348" s="3" t="s">
        <v>1740</v>
      </c>
      <c r="B5348" t="s">
        <v>8</v>
      </c>
      <c r="C5348" s="3" t="s">
        <v>1885</v>
      </c>
      <c r="D5348" s="3" t="s">
        <v>22</v>
      </c>
    </row>
    <row r="5349" spans="1:4" x14ac:dyDescent="0.2">
      <c r="A5349" s="3" t="s">
        <v>1740</v>
      </c>
      <c r="B5349" t="s">
        <v>8</v>
      </c>
      <c r="C5349" s="3" t="s">
        <v>2613</v>
      </c>
      <c r="D5349" s="3" t="s">
        <v>22</v>
      </c>
    </row>
    <row r="5350" spans="1:4" x14ac:dyDescent="0.2">
      <c r="A5350" s="3" t="s">
        <v>1740</v>
      </c>
      <c r="B5350" t="s">
        <v>8</v>
      </c>
      <c r="C5350" s="3" t="s">
        <v>1886</v>
      </c>
      <c r="D5350" s="3" t="s">
        <v>22</v>
      </c>
    </row>
    <row r="5351" spans="1:4" x14ac:dyDescent="0.2">
      <c r="A5351" s="3" t="s">
        <v>1740</v>
      </c>
      <c r="B5351" t="s">
        <v>8</v>
      </c>
      <c r="C5351" s="3" t="s">
        <v>1887</v>
      </c>
      <c r="D5351" s="3" t="s">
        <v>22</v>
      </c>
    </row>
    <row r="5352" spans="1:4" x14ac:dyDescent="0.2">
      <c r="A5352" s="3" t="s">
        <v>1740</v>
      </c>
      <c r="B5352" t="s">
        <v>8</v>
      </c>
      <c r="C5352" s="3" t="s">
        <v>1888</v>
      </c>
      <c r="D5352" s="3" t="s">
        <v>22</v>
      </c>
    </row>
    <row r="5353" spans="1:4" x14ac:dyDescent="0.2">
      <c r="A5353" s="3" t="s">
        <v>1740</v>
      </c>
      <c r="B5353" t="s">
        <v>8</v>
      </c>
      <c r="C5353" s="3" t="s">
        <v>1889</v>
      </c>
      <c r="D5353" s="3" t="s">
        <v>22</v>
      </c>
    </row>
    <row r="5354" spans="1:4" x14ac:dyDescent="0.2">
      <c r="A5354" s="3" t="s">
        <v>1740</v>
      </c>
      <c r="B5354" t="s">
        <v>8</v>
      </c>
      <c r="C5354" s="3" t="s">
        <v>1890</v>
      </c>
      <c r="D5354" s="3" t="s">
        <v>22</v>
      </c>
    </row>
    <row r="5355" spans="1:4" x14ac:dyDescent="0.2">
      <c r="A5355" s="3" t="s">
        <v>1740</v>
      </c>
      <c r="B5355" t="s">
        <v>8</v>
      </c>
      <c r="C5355" s="3" t="s">
        <v>1891</v>
      </c>
      <c r="D5355" s="3" t="s">
        <v>22</v>
      </c>
    </row>
    <row r="5356" spans="1:4" x14ac:dyDescent="0.2">
      <c r="A5356" s="3" t="s">
        <v>1740</v>
      </c>
      <c r="B5356" t="s">
        <v>8</v>
      </c>
      <c r="C5356" s="3" t="s">
        <v>1892</v>
      </c>
      <c r="D5356" s="3" t="s">
        <v>22</v>
      </c>
    </row>
    <row r="5357" spans="1:4" x14ac:dyDescent="0.2">
      <c r="A5357" s="3" t="s">
        <v>1740</v>
      </c>
      <c r="B5357" t="s">
        <v>8</v>
      </c>
      <c r="C5357" s="3" t="s">
        <v>1893</v>
      </c>
      <c r="D5357" s="3" t="s">
        <v>22</v>
      </c>
    </row>
    <row r="5358" spans="1:4" x14ac:dyDescent="0.2">
      <c r="A5358" s="3" t="s">
        <v>1740</v>
      </c>
      <c r="B5358" t="s">
        <v>8</v>
      </c>
      <c r="C5358" s="3" t="s">
        <v>1894</v>
      </c>
      <c r="D5358" s="3" t="s">
        <v>22</v>
      </c>
    </row>
    <row r="5359" spans="1:4" x14ac:dyDescent="0.2">
      <c r="A5359" s="3" t="s">
        <v>1740</v>
      </c>
      <c r="B5359" t="s">
        <v>8</v>
      </c>
      <c r="C5359" s="3" t="s">
        <v>1895</v>
      </c>
      <c r="D5359" s="3" t="s">
        <v>22</v>
      </c>
    </row>
    <row r="5360" spans="1:4" x14ac:dyDescent="0.2">
      <c r="A5360" s="3" t="s">
        <v>1740</v>
      </c>
      <c r="B5360" t="s">
        <v>8</v>
      </c>
      <c r="C5360" s="3" t="s">
        <v>1896</v>
      </c>
      <c r="D5360" s="3" t="s">
        <v>22</v>
      </c>
    </row>
    <row r="5361" spans="1:4" x14ac:dyDescent="0.2">
      <c r="A5361" s="3" t="s">
        <v>1740</v>
      </c>
      <c r="B5361" t="s">
        <v>8</v>
      </c>
      <c r="C5361" s="3" t="s">
        <v>1897</v>
      </c>
      <c r="D5361" s="3" t="s">
        <v>22</v>
      </c>
    </row>
    <row r="5362" spans="1:4" x14ac:dyDescent="0.2">
      <c r="A5362" s="3" t="s">
        <v>1740</v>
      </c>
      <c r="B5362" t="s">
        <v>8</v>
      </c>
      <c r="C5362" s="3" t="s">
        <v>1898</v>
      </c>
      <c r="D5362" s="3" t="s">
        <v>22</v>
      </c>
    </row>
    <row r="5363" spans="1:4" x14ac:dyDescent="0.2">
      <c r="A5363" s="3" t="s">
        <v>1740</v>
      </c>
      <c r="B5363" t="s">
        <v>8</v>
      </c>
      <c r="C5363" s="3" t="s">
        <v>1899</v>
      </c>
      <c r="D5363" s="3" t="s">
        <v>22</v>
      </c>
    </row>
    <row r="5364" spans="1:4" x14ac:dyDescent="0.2">
      <c r="A5364" s="3" t="s">
        <v>1740</v>
      </c>
      <c r="B5364" t="s">
        <v>8</v>
      </c>
      <c r="C5364" s="3" t="s">
        <v>1900</v>
      </c>
      <c r="D5364" s="3" t="s">
        <v>22</v>
      </c>
    </row>
    <row r="5365" spans="1:4" x14ac:dyDescent="0.2">
      <c r="A5365" s="3" t="s">
        <v>1740</v>
      </c>
      <c r="B5365" t="s">
        <v>8</v>
      </c>
      <c r="C5365" s="3" t="s">
        <v>1901</v>
      </c>
      <c r="D5365" s="3" t="s">
        <v>22</v>
      </c>
    </row>
    <row r="5366" spans="1:4" x14ac:dyDescent="0.2">
      <c r="A5366" s="3" t="s">
        <v>1740</v>
      </c>
      <c r="B5366" t="s">
        <v>8</v>
      </c>
      <c r="C5366" s="3" t="s">
        <v>1902</v>
      </c>
      <c r="D5366" s="3" t="s">
        <v>22</v>
      </c>
    </row>
    <row r="5367" spans="1:4" x14ac:dyDescent="0.2">
      <c r="A5367" s="3" t="s">
        <v>1740</v>
      </c>
      <c r="B5367" t="s">
        <v>8</v>
      </c>
      <c r="C5367" s="3" t="s">
        <v>1903</v>
      </c>
      <c r="D5367" s="3" t="s">
        <v>22</v>
      </c>
    </row>
    <row r="5368" spans="1:4" x14ac:dyDescent="0.2">
      <c r="A5368" s="3" t="s">
        <v>1740</v>
      </c>
      <c r="B5368" t="s">
        <v>8</v>
      </c>
      <c r="C5368" s="3" t="s">
        <v>1904</v>
      </c>
      <c r="D5368" s="3" t="s">
        <v>22</v>
      </c>
    </row>
    <row r="5369" spans="1:4" x14ac:dyDescent="0.2">
      <c r="A5369" s="3" t="s">
        <v>1740</v>
      </c>
      <c r="B5369" t="s">
        <v>8</v>
      </c>
      <c r="C5369" s="3" t="s">
        <v>1905</v>
      </c>
      <c r="D5369" s="3" t="s">
        <v>22</v>
      </c>
    </row>
    <row r="5370" spans="1:4" x14ac:dyDescent="0.2">
      <c r="A5370" s="3" t="s">
        <v>1740</v>
      </c>
      <c r="B5370" t="s">
        <v>8</v>
      </c>
      <c r="C5370" s="3" t="s">
        <v>1906</v>
      </c>
      <c r="D5370" s="3" t="s">
        <v>22</v>
      </c>
    </row>
    <row r="5371" spans="1:4" x14ac:dyDescent="0.2">
      <c r="A5371" s="3" t="s">
        <v>1740</v>
      </c>
      <c r="B5371" t="s">
        <v>8</v>
      </c>
      <c r="C5371" s="3" t="s">
        <v>1907</v>
      </c>
      <c r="D5371" s="3" t="s">
        <v>22</v>
      </c>
    </row>
    <row r="5372" spans="1:4" x14ac:dyDescent="0.2">
      <c r="A5372" s="3" t="s">
        <v>1740</v>
      </c>
      <c r="B5372" t="s">
        <v>8</v>
      </c>
      <c r="C5372" s="3" t="s">
        <v>1908</v>
      </c>
      <c r="D5372" s="3" t="s">
        <v>22</v>
      </c>
    </row>
    <row r="5373" spans="1:4" x14ac:dyDescent="0.2">
      <c r="A5373" s="3" t="s">
        <v>1909</v>
      </c>
      <c r="B5373" t="s">
        <v>8</v>
      </c>
      <c r="C5373" s="3" t="s">
        <v>1910</v>
      </c>
      <c r="D5373" s="3" t="s">
        <v>53</v>
      </c>
    </row>
    <row r="5374" spans="1:4" x14ac:dyDescent="0.2">
      <c r="A5374" s="3" t="s">
        <v>1909</v>
      </c>
      <c r="B5374" t="s">
        <v>8</v>
      </c>
      <c r="C5374" s="3" t="s">
        <v>1464</v>
      </c>
      <c r="D5374" s="3" t="s">
        <v>53</v>
      </c>
    </row>
    <row r="5375" spans="1:4" x14ac:dyDescent="0.2">
      <c r="A5375" s="3" t="s">
        <v>1909</v>
      </c>
      <c r="B5375" t="s">
        <v>8</v>
      </c>
      <c r="C5375" s="3" t="s">
        <v>1465</v>
      </c>
      <c r="D5375" s="3" t="s">
        <v>53</v>
      </c>
    </row>
    <row r="5376" spans="1:4" x14ac:dyDescent="0.2">
      <c r="A5376" s="3" t="s">
        <v>1909</v>
      </c>
      <c r="B5376" t="s">
        <v>8</v>
      </c>
      <c r="C5376" s="3" t="s">
        <v>1911</v>
      </c>
      <c r="D5376" s="3" t="s">
        <v>53</v>
      </c>
    </row>
    <row r="5377" spans="1:4" x14ac:dyDescent="0.2">
      <c r="A5377" s="3" t="s">
        <v>1909</v>
      </c>
      <c r="B5377" t="s">
        <v>8</v>
      </c>
      <c r="C5377" s="3" t="s">
        <v>1912</v>
      </c>
      <c r="D5377" s="3" t="s">
        <v>53</v>
      </c>
    </row>
    <row r="5378" spans="1:4" x14ac:dyDescent="0.2">
      <c r="A5378" s="3" t="s">
        <v>1909</v>
      </c>
      <c r="B5378" t="s">
        <v>8</v>
      </c>
      <c r="C5378" s="3" t="s">
        <v>1913</v>
      </c>
      <c r="D5378" s="3" t="s">
        <v>53</v>
      </c>
    </row>
    <row r="5379" spans="1:4" x14ac:dyDescent="0.2">
      <c r="A5379" s="3" t="s">
        <v>1909</v>
      </c>
      <c r="B5379" t="s">
        <v>8</v>
      </c>
      <c r="C5379" s="3" t="s">
        <v>1914</v>
      </c>
      <c r="D5379" s="3" t="s">
        <v>53</v>
      </c>
    </row>
    <row r="5380" spans="1:4" x14ac:dyDescent="0.2">
      <c r="A5380" s="3" t="s">
        <v>1909</v>
      </c>
      <c r="B5380" t="s">
        <v>8</v>
      </c>
      <c r="C5380" s="3" t="s">
        <v>1910</v>
      </c>
      <c r="D5380" s="3" t="s">
        <v>54</v>
      </c>
    </row>
    <row r="5381" spans="1:4" x14ac:dyDescent="0.2">
      <c r="A5381" s="3" t="s">
        <v>1909</v>
      </c>
      <c r="B5381" t="s">
        <v>8</v>
      </c>
      <c r="C5381" s="3" t="s">
        <v>1464</v>
      </c>
      <c r="D5381" s="3" t="s">
        <v>54</v>
      </c>
    </row>
    <row r="5382" spans="1:4" x14ac:dyDescent="0.2">
      <c r="A5382" s="3" t="s">
        <v>1909</v>
      </c>
      <c r="B5382" t="s">
        <v>8</v>
      </c>
      <c r="C5382" s="3" t="s">
        <v>1465</v>
      </c>
      <c r="D5382" s="3" t="s">
        <v>54</v>
      </c>
    </row>
    <row r="5383" spans="1:4" x14ac:dyDescent="0.2">
      <c r="A5383" s="3" t="s">
        <v>1909</v>
      </c>
      <c r="B5383" t="s">
        <v>8</v>
      </c>
      <c r="C5383" s="3" t="s">
        <v>1911</v>
      </c>
      <c r="D5383" s="3" t="s">
        <v>54</v>
      </c>
    </row>
    <row r="5384" spans="1:4" x14ac:dyDescent="0.2">
      <c r="A5384" s="3" t="s">
        <v>1909</v>
      </c>
      <c r="B5384" t="s">
        <v>8</v>
      </c>
      <c r="C5384" s="3" t="s">
        <v>1912</v>
      </c>
      <c r="D5384" s="3" t="s">
        <v>54</v>
      </c>
    </row>
    <row r="5385" spans="1:4" x14ac:dyDescent="0.2">
      <c r="A5385" s="3" t="s">
        <v>1909</v>
      </c>
      <c r="B5385" t="s">
        <v>8</v>
      </c>
      <c r="C5385" s="3" t="s">
        <v>1913</v>
      </c>
      <c r="D5385" s="3" t="s">
        <v>54</v>
      </c>
    </row>
    <row r="5386" spans="1:4" x14ac:dyDescent="0.2">
      <c r="A5386" s="3" t="s">
        <v>1909</v>
      </c>
      <c r="B5386" t="s">
        <v>8</v>
      </c>
      <c r="C5386" s="3" t="s">
        <v>1914</v>
      </c>
      <c r="D5386" s="3" t="s">
        <v>54</v>
      </c>
    </row>
    <row r="5387" spans="1:4" x14ac:dyDescent="0.2">
      <c r="A5387" s="3" t="s">
        <v>1909</v>
      </c>
      <c r="B5387" t="s">
        <v>8</v>
      </c>
      <c r="C5387" s="3" t="s">
        <v>1910</v>
      </c>
      <c r="D5387" s="3" t="s">
        <v>55</v>
      </c>
    </row>
    <row r="5388" spans="1:4" x14ac:dyDescent="0.2">
      <c r="A5388" s="3" t="s">
        <v>1909</v>
      </c>
      <c r="B5388" t="s">
        <v>8</v>
      </c>
      <c r="C5388" s="3" t="s">
        <v>1464</v>
      </c>
      <c r="D5388" s="3" t="s">
        <v>55</v>
      </c>
    </row>
    <row r="5389" spans="1:4" x14ac:dyDescent="0.2">
      <c r="A5389" s="3" t="s">
        <v>1909</v>
      </c>
      <c r="B5389" t="s">
        <v>8</v>
      </c>
      <c r="C5389" s="3" t="s">
        <v>1465</v>
      </c>
      <c r="D5389" s="3" t="s">
        <v>55</v>
      </c>
    </row>
    <row r="5390" spans="1:4" x14ac:dyDescent="0.2">
      <c r="A5390" s="3" t="s">
        <v>1909</v>
      </c>
      <c r="B5390" t="s">
        <v>8</v>
      </c>
      <c r="C5390" s="3" t="s">
        <v>1911</v>
      </c>
      <c r="D5390" s="3" t="s">
        <v>55</v>
      </c>
    </row>
    <row r="5391" spans="1:4" x14ac:dyDescent="0.2">
      <c r="A5391" s="3" t="s">
        <v>1909</v>
      </c>
      <c r="B5391" t="s">
        <v>8</v>
      </c>
      <c r="C5391" s="3" t="s">
        <v>1912</v>
      </c>
      <c r="D5391" s="3" t="s">
        <v>55</v>
      </c>
    </row>
    <row r="5392" spans="1:4" x14ac:dyDescent="0.2">
      <c r="A5392" s="3" t="s">
        <v>1909</v>
      </c>
      <c r="B5392" t="s">
        <v>8</v>
      </c>
      <c r="C5392" s="3" t="s">
        <v>1913</v>
      </c>
      <c r="D5392" s="3" t="s">
        <v>55</v>
      </c>
    </row>
    <row r="5393" spans="1:4" x14ac:dyDescent="0.2">
      <c r="A5393" s="3" t="s">
        <v>1909</v>
      </c>
      <c r="B5393" t="s">
        <v>8</v>
      </c>
      <c r="C5393" s="3" t="s">
        <v>1914</v>
      </c>
      <c r="D5393" s="3" t="s">
        <v>55</v>
      </c>
    </row>
    <row r="5394" spans="1:4" x14ac:dyDescent="0.2">
      <c r="A5394" s="3" t="s">
        <v>1909</v>
      </c>
      <c r="B5394" t="s">
        <v>8</v>
      </c>
      <c r="C5394" s="3" t="s">
        <v>1910</v>
      </c>
      <c r="D5394" s="3" t="s">
        <v>56</v>
      </c>
    </row>
    <row r="5395" spans="1:4" x14ac:dyDescent="0.2">
      <c r="A5395" s="3" t="s">
        <v>1909</v>
      </c>
      <c r="B5395" t="s">
        <v>8</v>
      </c>
      <c r="C5395" s="3" t="s">
        <v>1464</v>
      </c>
      <c r="D5395" s="3" t="s">
        <v>56</v>
      </c>
    </row>
    <row r="5396" spans="1:4" x14ac:dyDescent="0.2">
      <c r="A5396" s="3" t="s">
        <v>1909</v>
      </c>
      <c r="B5396" t="s">
        <v>8</v>
      </c>
      <c r="C5396" s="3" t="s">
        <v>1465</v>
      </c>
      <c r="D5396" s="3" t="s">
        <v>56</v>
      </c>
    </row>
    <row r="5397" spans="1:4" x14ac:dyDescent="0.2">
      <c r="A5397" s="3" t="s">
        <v>1909</v>
      </c>
      <c r="B5397" t="s">
        <v>8</v>
      </c>
      <c r="C5397" s="3" t="s">
        <v>1911</v>
      </c>
      <c r="D5397" s="3" t="s">
        <v>56</v>
      </c>
    </row>
    <row r="5398" spans="1:4" x14ac:dyDescent="0.2">
      <c r="A5398" s="3" t="s">
        <v>1909</v>
      </c>
      <c r="B5398" t="s">
        <v>8</v>
      </c>
      <c r="C5398" s="3" t="s">
        <v>1912</v>
      </c>
      <c r="D5398" s="3" t="s">
        <v>56</v>
      </c>
    </row>
    <row r="5399" spans="1:4" x14ac:dyDescent="0.2">
      <c r="A5399" s="3" t="s">
        <v>1909</v>
      </c>
      <c r="B5399" t="s">
        <v>8</v>
      </c>
      <c r="C5399" s="3" t="s">
        <v>1913</v>
      </c>
      <c r="D5399" s="3" t="s">
        <v>56</v>
      </c>
    </row>
    <row r="5400" spans="1:4" x14ac:dyDescent="0.2">
      <c r="A5400" s="3" t="s">
        <v>1909</v>
      </c>
      <c r="B5400" t="s">
        <v>8</v>
      </c>
      <c r="C5400" s="3" t="s">
        <v>1914</v>
      </c>
      <c r="D5400" s="3" t="s">
        <v>56</v>
      </c>
    </row>
    <row r="5401" spans="1:4" x14ac:dyDescent="0.2">
      <c r="A5401" s="3" t="s">
        <v>1909</v>
      </c>
      <c r="B5401" t="s">
        <v>8</v>
      </c>
      <c r="C5401" s="3" t="s">
        <v>1910</v>
      </c>
      <c r="D5401" s="3" t="s">
        <v>57</v>
      </c>
    </row>
    <row r="5402" spans="1:4" x14ac:dyDescent="0.2">
      <c r="A5402" s="3" t="s">
        <v>1909</v>
      </c>
      <c r="B5402" t="s">
        <v>8</v>
      </c>
      <c r="C5402" s="3" t="s">
        <v>1464</v>
      </c>
      <c r="D5402" s="3" t="s">
        <v>57</v>
      </c>
    </row>
    <row r="5403" spans="1:4" x14ac:dyDescent="0.2">
      <c r="A5403" s="3" t="s">
        <v>1909</v>
      </c>
      <c r="B5403" t="s">
        <v>8</v>
      </c>
      <c r="C5403" s="3" t="s">
        <v>1465</v>
      </c>
      <c r="D5403" s="3" t="s">
        <v>57</v>
      </c>
    </row>
    <row r="5404" spans="1:4" x14ac:dyDescent="0.2">
      <c r="A5404" s="3" t="s">
        <v>1909</v>
      </c>
      <c r="B5404" t="s">
        <v>8</v>
      </c>
      <c r="C5404" s="3" t="s">
        <v>1911</v>
      </c>
      <c r="D5404" s="3" t="s">
        <v>57</v>
      </c>
    </row>
    <row r="5405" spans="1:4" x14ac:dyDescent="0.2">
      <c r="A5405" s="3" t="s">
        <v>1909</v>
      </c>
      <c r="B5405" t="s">
        <v>8</v>
      </c>
      <c r="C5405" s="3" t="s">
        <v>1912</v>
      </c>
      <c r="D5405" s="3" t="s">
        <v>57</v>
      </c>
    </row>
    <row r="5406" spans="1:4" x14ac:dyDescent="0.2">
      <c r="A5406" s="3" t="s">
        <v>1909</v>
      </c>
      <c r="B5406" t="s">
        <v>8</v>
      </c>
      <c r="C5406" s="3" t="s">
        <v>1913</v>
      </c>
      <c r="D5406" s="3" t="s">
        <v>57</v>
      </c>
    </row>
    <row r="5407" spans="1:4" x14ac:dyDescent="0.2">
      <c r="A5407" s="3" t="s">
        <v>1909</v>
      </c>
      <c r="B5407" t="s">
        <v>8</v>
      </c>
      <c r="C5407" s="3" t="s">
        <v>1914</v>
      </c>
      <c r="D5407" s="3" t="s">
        <v>57</v>
      </c>
    </row>
    <row r="5408" spans="1:4" x14ac:dyDescent="0.2">
      <c r="A5408" s="3" t="s">
        <v>1909</v>
      </c>
      <c r="B5408" t="s">
        <v>8</v>
      </c>
      <c r="C5408" s="3" t="s">
        <v>1915</v>
      </c>
      <c r="D5408" s="3" t="s">
        <v>169</v>
      </c>
    </row>
    <row r="5409" spans="1:4" x14ac:dyDescent="0.2">
      <c r="A5409" s="3" t="s">
        <v>1909</v>
      </c>
      <c r="B5409" t="s">
        <v>8</v>
      </c>
      <c r="C5409" s="3" t="s">
        <v>1916</v>
      </c>
      <c r="D5409" s="3" t="s">
        <v>169</v>
      </c>
    </row>
    <row r="5410" spans="1:4" x14ac:dyDescent="0.2">
      <c r="A5410" s="3" t="s">
        <v>1909</v>
      </c>
      <c r="B5410" t="s">
        <v>8</v>
      </c>
      <c r="C5410" s="3" t="s">
        <v>1917</v>
      </c>
      <c r="D5410" s="3" t="s">
        <v>169</v>
      </c>
    </row>
    <row r="5411" spans="1:4" x14ac:dyDescent="0.2">
      <c r="A5411" s="3" t="s">
        <v>1909</v>
      </c>
      <c r="B5411" t="s">
        <v>8</v>
      </c>
      <c r="C5411" s="3" t="s">
        <v>1918</v>
      </c>
      <c r="D5411" s="3" t="s">
        <v>169</v>
      </c>
    </row>
    <row r="5412" spans="1:4" x14ac:dyDescent="0.2">
      <c r="A5412" s="3" t="s">
        <v>1909</v>
      </c>
      <c r="B5412" t="s">
        <v>8</v>
      </c>
      <c r="C5412" s="3" t="s">
        <v>1919</v>
      </c>
      <c r="D5412" s="3" t="s">
        <v>169</v>
      </c>
    </row>
    <row r="5413" spans="1:4" x14ac:dyDescent="0.2">
      <c r="A5413" s="3" t="s">
        <v>1909</v>
      </c>
      <c r="B5413" t="s">
        <v>8</v>
      </c>
      <c r="C5413" s="3" t="s">
        <v>1920</v>
      </c>
      <c r="D5413" s="3" t="s">
        <v>169</v>
      </c>
    </row>
    <row r="5414" spans="1:4" x14ac:dyDescent="0.2">
      <c r="A5414" s="3" t="s">
        <v>1909</v>
      </c>
      <c r="B5414" t="s">
        <v>8</v>
      </c>
      <c r="C5414" s="3" t="s">
        <v>1921</v>
      </c>
      <c r="D5414" s="3" t="s">
        <v>169</v>
      </c>
    </row>
    <row r="5415" spans="1:4" x14ac:dyDescent="0.2">
      <c r="A5415" s="3" t="s">
        <v>1922</v>
      </c>
      <c r="B5415" t="s">
        <v>8</v>
      </c>
      <c r="C5415" s="3" t="s">
        <v>1923</v>
      </c>
      <c r="D5415" s="3" t="s">
        <v>53</v>
      </c>
    </row>
    <row r="5416" spans="1:4" x14ac:dyDescent="0.2">
      <c r="A5416" s="3" t="s">
        <v>1922</v>
      </c>
      <c r="B5416" t="s">
        <v>8</v>
      </c>
      <c r="C5416" s="3" t="s">
        <v>1924</v>
      </c>
      <c r="D5416" s="3" t="s">
        <v>53</v>
      </c>
    </row>
    <row r="5417" spans="1:4" x14ac:dyDescent="0.2">
      <c r="A5417" s="3" t="s">
        <v>1922</v>
      </c>
      <c r="B5417" t="s">
        <v>8</v>
      </c>
      <c r="C5417" s="3" t="s">
        <v>1925</v>
      </c>
      <c r="D5417" s="3" t="s">
        <v>53</v>
      </c>
    </row>
    <row r="5418" spans="1:4" x14ac:dyDescent="0.2">
      <c r="A5418" s="3" t="s">
        <v>1922</v>
      </c>
      <c r="B5418" t="s">
        <v>8</v>
      </c>
      <c r="C5418" s="3" t="s">
        <v>1926</v>
      </c>
      <c r="D5418" s="3" t="s">
        <v>53</v>
      </c>
    </row>
    <row r="5419" spans="1:4" x14ac:dyDescent="0.2">
      <c r="A5419" s="3" t="s">
        <v>1922</v>
      </c>
      <c r="B5419" t="s">
        <v>8</v>
      </c>
      <c r="C5419" s="3" t="s">
        <v>1927</v>
      </c>
      <c r="D5419" s="3" t="s">
        <v>53</v>
      </c>
    </row>
    <row r="5420" spans="1:4" x14ac:dyDescent="0.2">
      <c r="A5420" s="3" t="s">
        <v>1922</v>
      </c>
      <c r="B5420" t="s">
        <v>8</v>
      </c>
      <c r="C5420" s="3" t="s">
        <v>1928</v>
      </c>
      <c r="D5420" s="3" t="s">
        <v>53</v>
      </c>
    </row>
    <row r="5421" spans="1:4" x14ac:dyDescent="0.2">
      <c r="A5421" s="3" t="s">
        <v>1922</v>
      </c>
      <c r="B5421" t="s">
        <v>8</v>
      </c>
      <c r="C5421" s="3" t="s">
        <v>1929</v>
      </c>
      <c r="D5421" s="3" t="s">
        <v>53</v>
      </c>
    </row>
    <row r="5422" spans="1:4" x14ac:dyDescent="0.2">
      <c r="A5422" s="3" t="s">
        <v>1922</v>
      </c>
      <c r="B5422" t="s">
        <v>8</v>
      </c>
      <c r="C5422" s="3" t="s">
        <v>1930</v>
      </c>
      <c r="D5422" s="3" t="s">
        <v>53</v>
      </c>
    </row>
    <row r="5423" spans="1:4" x14ac:dyDescent="0.2">
      <c r="A5423" s="3" t="s">
        <v>1922</v>
      </c>
      <c r="B5423" t="s">
        <v>8</v>
      </c>
      <c r="C5423" s="3" t="s">
        <v>1931</v>
      </c>
      <c r="D5423" s="3" t="s">
        <v>53</v>
      </c>
    </row>
    <row r="5424" spans="1:4" x14ac:dyDescent="0.2">
      <c r="A5424" s="3" t="s">
        <v>1922</v>
      </c>
      <c r="B5424" t="s">
        <v>8</v>
      </c>
      <c r="C5424" s="3" t="s">
        <v>1932</v>
      </c>
      <c r="D5424" s="3" t="s">
        <v>53</v>
      </c>
    </row>
    <row r="5425" spans="1:4" x14ac:dyDescent="0.2">
      <c r="A5425" s="3" t="s">
        <v>1922</v>
      </c>
      <c r="B5425" t="s">
        <v>8</v>
      </c>
      <c r="C5425" s="3" t="s">
        <v>1933</v>
      </c>
      <c r="D5425" s="3" t="s">
        <v>53</v>
      </c>
    </row>
    <row r="5426" spans="1:4" x14ac:dyDescent="0.2">
      <c r="A5426" s="3" t="s">
        <v>1922</v>
      </c>
      <c r="B5426" t="s">
        <v>8</v>
      </c>
      <c r="C5426" s="3" t="s">
        <v>1934</v>
      </c>
      <c r="D5426" s="3" t="s">
        <v>53</v>
      </c>
    </row>
    <row r="5427" spans="1:4" x14ac:dyDescent="0.2">
      <c r="A5427" s="3" t="s">
        <v>1922</v>
      </c>
      <c r="B5427" t="s">
        <v>8</v>
      </c>
      <c r="C5427" s="3" t="s">
        <v>1935</v>
      </c>
      <c r="D5427" s="3" t="s">
        <v>53</v>
      </c>
    </row>
    <row r="5428" spans="1:4" x14ac:dyDescent="0.2">
      <c r="A5428" s="3" t="s">
        <v>1922</v>
      </c>
      <c r="B5428" t="s">
        <v>8</v>
      </c>
      <c r="C5428" s="3" t="s">
        <v>1936</v>
      </c>
      <c r="D5428" s="3" t="s">
        <v>53</v>
      </c>
    </row>
    <row r="5429" spans="1:4" x14ac:dyDescent="0.2">
      <c r="A5429" s="3" t="s">
        <v>1922</v>
      </c>
      <c r="B5429" t="s">
        <v>8</v>
      </c>
      <c r="C5429" s="3" t="s">
        <v>1937</v>
      </c>
      <c r="D5429" s="3" t="s">
        <v>53</v>
      </c>
    </row>
    <row r="5430" spans="1:4" x14ac:dyDescent="0.2">
      <c r="A5430" s="3" t="s">
        <v>1922</v>
      </c>
      <c r="B5430" t="s">
        <v>8</v>
      </c>
      <c r="C5430" s="3" t="s">
        <v>1923</v>
      </c>
      <c r="D5430" s="3" t="s">
        <v>54</v>
      </c>
    </row>
    <row r="5431" spans="1:4" x14ac:dyDescent="0.2">
      <c r="A5431" s="3" t="s">
        <v>1922</v>
      </c>
      <c r="B5431" t="s">
        <v>8</v>
      </c>
      <c r="C5431" s="3" t="s">
        <v>1924</v>
      </c>
      <c r="D5431" s="3" t="s">
        <v>54</v>
      </c>
    </row>
    <row r="5432" spans="1:4" x14ac:dyDescent="0.2">
      <c r="A5432" s="3" t="s">
        <v>1922</v>
      </c>
      <c r="B5432" t="s">
        <v>8</v>
      </c>
      <c r="C5432" s="3" t="s">
        <v>1925</v>
      </c>
      <c r="D5432" s="3" t="s">
        <v>54</v>
      </c>
    </row>
    <row r="5433" spans="1:4" x14ac:dyDescent="0.2">
      <c r="A5433" s="3" t="s">
        <v>1922</v>
      </c>
      <c r="B5433" t="s">
        <v>8</v>
      </c>
      <c r="C5433" s="3" t="s">
        <v>1926</v>
      </c>
      <c r="D5433" s="3" t="s">
        <v>54</v>
      </c>
    </row>
    <row r="5434" spans="1:4" x14ac:dyDescent="0.2">
      <c r="A5434" s="3" t="s">
        <v>1922</v>
      </c>
      <c r="B5434" t="s">
        <v>8</v>
      </c>
      <c r="C5434" s="3" t="s">
        <v>1927</v>
      </c>
      <c r="D5434" s="3" t="s">
        <v>54</v>
      </c>
    </row>
    <row r="5435" spans="1:4" x14ac:dyDescent="0.2">
      <c r="A5435" s="3" t="s">
        <v>1922</v>
      </c>
      <c r="B5435" t="s">
        <v>8</v>
      </c>
      <c r="C5435" s="3" t="s">
        <v>1928</v>
      </c>
      <c r="D5435" s="3" t="s">
        <v>54</v>
      </c>
    </row>
    <row r="5436" spans="1:4" x14ac:dyDescent="0.2">
      <c r="A5436" s="3" t="s">
        <v>1922</v>
      </c>
      <c r="B5436" t="s">
        <v>8</v>
      </c>
      <c r="C5436" s="3" t="s">
        <v>1929</v>
      </c>
      <c r="D5436" s="3" t="s">
        <v>54</v>
      </c>
    </row>
    <row r="5437" spans="1:4" x14ac:dyDescent="0.2">
      <c r="A5437" s="3" t="s">
        <v>1922</v>
      </c>
      <c r="B5437" t="s">
        <v>8</v>
      </c>
      <c r="C5437" s="3" t="s">
        <v>1930</v>
      </c>
      <c r="D5437" s="3" t="s">
        <v>54</v>
      </c>
    </row>
    <row r="5438" spans="1:4" x14ac:dyDescent="0.2">
      <c r="A5438" s="3" t="s">
        <v>1922</v>
      </c>
      <c r="B5438" t="s">
        <v>8</v>
      </c>
      <c r="C5438" s="3" t="s">
        <v>1931</v>
      </c>
      <c r="D5438" s="3" t="s">
        <v>54</v>
      </c>
    </row>
    <row r="5439" spans="1:4" x14ac:dyDescent="0.2">
      <c r="A5439" s="3" t="s">
        <v>1922</v>
      </c>
      <c r="B5439" t="s">
        <v>8</v>
      </c>
      <c r="C5439" s="3" t="s">
        <v>1932</v>
      </c>
      <c r="D5439" s="3" t="s">
        <v>54</v>
      </c>
    </row>
    <row r="5440" spans="1:4" x14ac:dyDescent="0.2">
      <c r="A5440" s="3" t="s">
        <v>1922</v>
      </c>
      <c r="B5440" t="s">
        <v>8</v>
      </c>
      <c r="C5440" s="3" t="s">
        <v>1933</v>
      </c>
      <c r="D5440" s="3" t="s">
        <v>54</v>
      </c>
    </row>
    <row r="5441" spans="1:4" x14ac:dyDescent="0.2">
      <c r="A5441" s="3" t="s">
        <v>1922</v>
      </c>
      <c r="B5441" t="s">
        <v>8</v>
      </c>
      <c r="C5441" s="3" t="s">
        <v>1934</v>
      </c>
      <c r="D5441" s="3" t="s">
        <v>54</v>
      </c>
    </row>
    <row r="5442" spans="1:4" x14ac:dyDescent="0.2">
      <c r="A5442" s="3" t="s">
        <v>1922</v>
      </c>
      <c r="B5442" t="s">
        <v>8</v>
      </c>
      <c r="C5442" s="3" t="s">
        <v>1935</v>
      </c>
      <c r="D5442" s="3" t="s">
        <v>54</v>
      </c>
    </row>
    <row r="5443" spans="1:4" x14ac:dyDescent="0.2">
      <c r="A5443" s="3" t="s">
        <v>1922</v>
      </c>
      <c r="B5443" t="s">
        <v>8</v>
      </c>
      <c r="C5443" s="3" t="s">
        <v>1936</v>
      </c>
      <c r="D5443" s="3" t="s">
        <v>54</v>
      </c>
    </row>
    <row r="5444" spans="1:4" x14ac:dyDescent="0.2">
      <c r="A5444" s="3" t="s">
        <v>1922</v>
      </c>
      <c r="B5444" t="s">
        <v>8</v>
      </c>
      <c r="C5444" s="3" t="s">
        <v>1937</v>
      </c>
      <c r="D5444" s="3" t="s">
        <v>54</v>
      </c>
    </row>
    <row r="5445" spans="1:4" x14ac:dyDescent="0.2">
      <c r="A5445" s="3" t="s">
        <v>1922</v>
      </c>
      <c r="B5445" t="s">
        <v>8</v>
      </c>
      <c r="C5445" s="3" t="s">
        <v>1923</v>
      </c>
      <c r="D5445" s="3" t="s">
        <v>55</v>
      </c>
    </row>
    <row r="5446" spans="1:4" x14ac:dyDescent="0.2">
      <c r="A5446" s="3" t="s">
        <v>1922</v>
      </c>
      <c r="B5446" t="s">
        <v>8</v>
      </c>
      <c r="C5446" s="3" t="s">
        <v>1924</v>
      </c>
      <c r="D5446" s="3" t="s">
        <v>55</v>
      </c>
    </row>
    <row r="5447" spans="1:4" x14ac:dyDescent="0.2">
      <c r="A5447" s="3" t="s">
        <v>1922</v>
      </c>
      <c r="B5447" t="s">
        <v>8</v>
      </c>
      <c r="C5447" s="3" t="s">
        <v>1925</v>
      </c>
      <c r="D5447" s="3" t="s">
        <v>55</v>
      </c>
    </row>
    <row r="5448" spans="1:4" x14ac:dyDescent="0.2">
      <c r="A5448" s="3" t="s">
        <v>1922</v>
      </c>
      <c r="B5448" t="s">
        <v>8</v>
      </c>
      <c r="C5448" s="3" t="s">
        <v>1926</v>
      </c>
      <c r="D5448" s="3" t="s">
        <v>55</v>
      </c>
    </row>
    <row r="5449" spans="1:4" x14ac:dyDescent="0.2">
      <c r="A5449" s="3" t="s">
        <v>1922</v>
      </c>
      <c r="B5449" t="s">
        <v>8</v>
      </c>
      <c r="C5449" s="3" t="s">
        <v>1927</v>
      </c>
      <c r="D5449" s="3" t="s">
        <v>55</v>
      </c>
    </row>
    <row r="5450" spans="1:4" x14ac:dyDescent="0.2">
      <c r="A5450" s="3" t="s">
        <v>1922</v>
      </c>
      <c r="B5450" t="s">
        <v>8</v>
      </c>
      <c r="C5450" s="3" t="s">
        <v>1928</v>
      </c>
      <c r="D5450" s="3" t="s">
        <v>55</v>
      </c>
    </row>
    <row r="5451" spans="1:4" x14ac:dyDescent="0.2">
      <c r="A5451" s="3" t="s">
        <v>1922</v>
      </c>
      <c r="B5451" t="s">
        <v>8</v>
      </c>
      <c r="C5451" s="3" t="s">
        <v>1929</v>
      </c>
      <c r="D5451" s="3" t="s">
        <v>55</v>
      </c>
    </row>
    <row r="5452" spans="1:4" x14ac:dyDescent="0.2">
      <c r="A5452" s="3" t="s">
        <v>1922</v>
      </c>
      <c r="B5452" t="s">
        <v>8</v>
      </c>
      <c r="C5452" s="3" t="s">
        <v>1930</v>
      </c>
      <c r="D5452" s="3" t="s">
        <v>55</v>
      </c>
    </row>
    <row r="5453" spans="1:4" x14ac:dyDescent="0.2">
      <c r="A5453" s="3" t="s">
        <v>1922</v>
      </c>
      <c r="B5453" t="s">
        <v>8</v>
      </c>
      <c r="C5453" s="3" t="s">
        <v>1931</v>
      </c>
      <c r="D5453" s="3" t="s">
        <v>55</v>
      </c>
    </row>
    <row r="5454" spans="1:4" x14ac:dyDescent="0.2">
      <c r="A5454" s="3" t="s">
        <v>1922</v>
      </c>
      <c r="B5454" t="s">
        <v>8</v>
      </c>
      <c r="C5454" s="3" t="s">
        <v>1932</v>
      </c>
      <c r="D5454" s="3" t="s">
        <v>55</v>
      </c>
    </row>
    <row r="5455" spans="1:4" x14ac:dyDescent="0.2">
      <c r="A5455" s="3" t="s">
        <v>1922</v>
      </c>
      <c r="B5455" t="s">
        <v>8</v>
      </c>
      <c r="C5455" s="3" t="s">
        <v>1933</v>
      </c>
      <c r="D5455" s="3" t="s">
        <v>55</v>
      </c>
    </row>
    <row r="5456" spans="1:4" x14ac:dyDescent="0.2">
      <c r="A5456" s="3" t="s">
        <v>1922</v>
      </c>
      <c r="B5456" t="s">
        <v>8</v>
      </c>
      <c r="C5456" s="3" t="s">
        <v>1934</v>
      </c>
      <c r="D5456" s="3" t="s">
        <v>55</v>
      </c>
    </row>
    <row r="5457" spans="1:4" x14ac:dyDescent="0.2">
      <c r="A5457" s="3" t="s">
        <v>1922</v>
      </c>
      <c r="B5457" t="s">
        <v>8</v>
      </c>
      <c r="C5457" s="3" t="s">
        <v>1935</v>
      </c>
      <c r="D5457" s="3" t="s">
        <v>55</v>
      </c>
    </row>
    <row r="5458" spans="1:4" x14ac:dyDescent="0.2">
      <c r="A5458" s="3" t="s">
        <v>1922</v>
      </c>
      <c r="B5458" t="s">
        <v>8</v>
      </c>
      <c r="C5458" s="3" t="s">
        <v>1936</v>
      </c>
      <c r="D5458" s="3" t="s">
        <v>55</v>
      </c>
    </row>
    <row r="5459" spans="1:4" x14ac:dyDescent="0.2">
      <c r="A5459" s="3" t="s">
        <v>1922</v>
      </c>
      <c r="B5459" t="s">
        <v>8</v>
      </c>
      <c r="C5459" s="3" t="s">
        <v>1937</v>
      </c>
      <c r="D5459" s="3" t="s">
        <v>55</v>
      </c>
    </row>
    <row r="5460" spans="1:4" x14ac:dyDescent="0.2">
      <c r="A5460" s="3" t="s">
        <v>1922</v>
      </c>
      <c r="B5460" t="s">
        <v>8</v>
      </c>
      <c r="C5460" s="3" t="s">
        <v>1923</v>
      </c>
      <c r="D5460" s="3" t="s">
        <v>56</v>
      </c>
    </row>
    <row r="5461" spans="1:4" x14ac:dyDescent="0.2">
      <c r="A5461" s="3" t="s">
        <v>1922</v>
      </c>
      <c r="B5461" t="s">
        <v>8</v>
      </c>
      <c r="C5461" s="3" t="s">
        <v>1924</v>
      </c>
      <c r="D5461" s="3" t="s">
        <v>56</v>
      </c>
    </row>
    <row r="5462" spans="1:4" x14ac:dyDescent="0.2">
      <c r="A5462" s="3" t="s">
        <v>1922</v>
      </c>
      <c r="B5462" t="s">
        <v>8</v>
      </c>
      <c r="C5462" s="3" t="s">
        <v>1925</v>
      </c>
      <c r="D5462" s="3" t="s">
        <v>56</v>
      </c>
    </row>
    <row r="5463" spans="1:4" x14ac:dyDescent="0.2">
      <c r="A5463" s="3" t="s">
        <v>1922</v>
      </c>
      <c r="B5463" t="s">
        <v>8</v>
      </c>
      <c r="C5463" s="3" t="s">
        <v>1926</v>
      </c>
      <c r="D5463" s="3" t="s">
        <v>56</v>
      </c>
    </row>
    <row r="5464" spans="1:4" x14ac:dyDescent="0.2">
      <c r="A5464" s="3" t="s">
        <v>1922</v>
      </c>
      <c r="B5464" t="s">
        <v>8</v>
      </c>
      <c r="C5464" s="3" t="s">
        <v>1927</v>
      </c>
      <c r="D5464" s="3" t="s">
        <v>56</v>
      </c>
    </row>
    <row r="5465" spans="1:4" x14ac:dyDescent="0.2">
      <c r="A5465" s="3" t="s">
        <v>1922</v>
      </c>
      <c r="B5465" t="s">
        <v>8</v>
      </c>
      <c r="C5465" s="3" t="s">
        <v>1928</v>
      </c>
      <c r="D5465" s="3" t="s">
        <v>56</v>
      </c>
    </row>
    <row r="5466" spans="1:4" x14ac:dyDescent="0.2">
      <c r="A5466" s="3" t="s">
        <v>1922</v>
      </c>
      <c r="B5466" t="s">
        <v>8</v>
      </c>
      <c r="C5466" s="3" t="s">
        <v>1929</v>
      </c>
      <c r="D5466" s="3" t="s">
        <v>56</v>
      </c>
    </row>
    <row r="5467" spans="1:4" x14ac:dyDescent="0.2">
      <c r="A5467" s="3" t="s">
        <v>1922</v>
      </c>
      <c r="B5467" t="s">
        <v>8</v>
      </c>
      <c r="C5467" s="3" t="s">
        <v>1930</v>
      </c>
      <c r="D5467" s="3" t="s">
        <v>56</v>
      </c>
    </row>
    <row r="5468" spans="1:4" x14ac:dyDescent="0.2">
      <c r="A5468" s="3" t="s">
        <v>1922</v>
      </c>
      <c r="B5468" t="s">
        <v>8</v>
      </c>
      <c r="C5468" s="3" t="s">
        <v>1931</v>
      </c>
      <c r="D5468" s="3" t="s">
        <v>56</v>
      </c>
    </row>
    <row r="5469" spans="1:4" x14ac:dyDescent="0.2">
      <c r="A5469" s="3" t="s">
        <v>1922</v>
      </c>
      <c r="B5469" t="s">
        <v>8</v>
      </c>
      <c r="C5469" s="3" t="s">
        <v>1932</v>
      </c>
      <c r="D5469" s="3" t="s">
        <v>56</v>
      </c>
    </row>
    <row r="5470" spans="1:4" x14ac:dyDescent="0.2">
      <c r="A5470" s="3" t="s">
        <v>1922</v>
      </c>
      <c r="B5470" t="s">
        <v>8</v>
      </c>
      <c r="C5470" s="3" t="s">
        <v>1933</v>
      </c>
      <c r="D5470" s="3" t="s">
        <v>56</v>
      </c>
    </row>
    <row r="5471" spans="1:4" x14ac:dyDescent="0.2">
      <c r="A5471" s="3" t="s">
        <v>1922</v>
      </c>
      <c r="B5471" t="s">
        <v>8</v>
      </c>
      <c r="C5471" s="3" t="s">
        <v>1934</v>
      </c>
      <c r="D5471" s="3" t="s">
        <v>56</v>
      </c>
    </row>
    <row r="5472" spans="1:4" x14ac:dyDescent="0.2">
      <c r="A5472" s="3" t="s">
        <v>1922</v>
      </c>
      <c r="B5472" t="s">
        <v>8</v>
      </c>
      <c r="C5472" s="3" t="s">
        <v>1935</v>
      </c>
      <c r="D5472" s="3" t="s">
        <v>56</v>
      </c>
    </row>
    <row r="5473" spans="1:4" x14ac:dyDescent="0.2">
      <c r="A5473" s="3" t="s">
        <v>1922</v>
      </c>
      <c r="B5473" t="s">
        <v>8</v>
      </c>
      <c r="C5473" s="3" t="s">
        <v>1936</v>
      </c>
      <c r="D5473" s="3" t="s">
        <v>56</v>
      </c>
    </row>
    <row r="5474" spans="1:4" x14ac:dyDescent="0.2">
      <c r="A5474" s="3" t="s">
        <v>1922</v>
      </c>
      <c r="B5474" t="s">
        <v>8</v>
      </c>
      <c r="C5474" s="3" t="s">
        <v>1937</v>
      </c>
      <c r="D5474" s="3" t="s">
        <v>56</v>
      </c>
    </row>
    <row r="5475" spans="1:4" x14ac:dyDescent="0.2">
      <c r="A5475" s="3" t="s">
        <v>1922</v>
      </c>
      <c r="B5475" t="s">
        <v>8</v>
      </c>
      <c r="C5475" s="3" t="s">
        <v>1923</v>
      </c>
      <c r="D5475" s="3" t="s">
        <v>57</v>
      </c>
    </row>
    <row r="5476" spans="1:4" x14ac:dyDescent="0.2">
      <c r="A5476" s="3" t="s">
        <v>1922</v>
      </c>
      <c r="B5476" t="s">
        <v>8</v>
      </c>
      <c r="C5476" s="3" t="s">
        <v>1924</v>
      </c>
      <c r="D5476" s="3" t="s">
        <v>57</v>
      </c>
    </row>
    <row r="5477" spans="1:4" x14ac:dyDescent="0.2">
      <c r="A5477" s="3" t="s">
        <v>1922</v>
      </c>
      <c r="B5477" t="s">
        <v>8</v>
      </c>
      <c r="C5477" s="3" t="s">
        <v>1925</v>
      </c>
      <c r="D5477" s="3" t="s">
        <v>57</v>
      </c>
    </row>
    <row r="5478" spans="1:4" x14ac:dyDescent="0.2">
      <c r="A5478" s="3" t="s">
        <v>1922</v>
      </c>
      <c r="B5478" t="s">
        <v>8</v>
      </c>
      <c r="C5478" s="3" t="s">
        <v>1926</v>
      </c>
      <c r="D5478" s="3" t="s">
        <v>57</v>
      </c>
    </row>
    <row r="5479" spans="1:4" x14ac:dyDescent="0.2">
      <c r="A5479" s="3" t="s">
        <v>1922</v>
      </c>
      <c r="B5479" t="s">
        <v>8</v>
      </c>
      <c r="C5479" s="3" t="s">
        <v>1927</v>
      </c>
      <c r="D5479" s="3" t="s">
        <v>57</v>
      </c>
    </row>
    <row r="5480" spans="1:4" x14ac:dyDescent="0.2">
      <c r="A5480" s="3" t="s">
        <v>1922</v>
      </c>
      <c r="B5480" t="s">
        <v>8</v>
      </c>
      <c r="C5480" s="3" t="s">
        <v>1928</v>
      </c>
      <c r="D5480" s="3" t="s">
        <v>57</v>
      </c>
    </row>
    <row r="5481" spans="1:4" x14ac:dyDescent="0.2">
      <c r="A5481" s="3" t="s">
        <v>1922</v>
      </c>
      <c r="B5481" t="s">
        <v>8</v>
      </c>
      <c r="C5481" s="3" t="s">
        <v>1929</v>
      </c>
      <c r="D5481" s="3" t="s">
        <v>57</v>
      </c>
    </row>
    <row r="5482" spans="1:4" x14ac:dyDescent="0.2">
      <c r="A5482" s="3" t="s">
        <v>1922</v>
      </c>
      <c r="B5482" t="s">
        <v>8</v>
      </c>
      <c r="C5482" s="3" t="s">
        <v>1930</v>
      </c>
      <c r="D5482" s="3" t="s">
        <v>57</v>
      </c>
    </row>
    <row r="5483" spans="1:4" x14ac:dyDescent="0.2">
      <c r="A5483" s="3" t="s">
        <v>1922</v>
      </c>
      <c r="B5483" t="s">
        <v>8</v>
      </c>
      <c r="C5483" s="3" t="s">
        <v>1931</v>
      </c>
      <c r="D5483" s="3" t="s">
        <v>57</v>
      </c>
    </row>
    <row r="5484" spans="1:4" x14ac:dyDescent="0.2">
      <c r="A5484" s="3" t="s">
        <v>1922</v>
      </c>
      <c r="B5484" t="s">
        <v>8</v>
      </c>
      <c r="C5484" s="3" t="s">
        <v>1932</v>
      </c>
      <c r="D5484" s="3" t="s">
        <v>57</v>
      </c>
    </row>
    <row r="5485" spans="1:4" x14ac:dyDescent="0.2">
      <c r="A5485" s="3" t="s">
        <v>1922</v>
      </c>
      <c r="B5485" t="s">
        <v>8</v>
      </c>
      <c r="C5485" s="3" t="s">
        <v>1933</v>
      </c>
      <c r="D5485" s="3" t="s">
        <v>57</v>
      </c>
    </row>
    <row r="5486" spans="1:4" x14ac:dyDescent="0.2">
      <c r="A5486" s="3" t="s">
        <v>1922</v>
      </c>
      <c r="B5486" t="s">
        <v>8</v>
      </c>
      <c r="C5486" s="3" t="s">
        <v>1934</v>
      </c>
      <c r="D5486" s="3" t="s">
        <v>57</v>
      </c>
    </row>
    <row r="5487" spans="1:4" x14ac:dyDescent="0.2">
      <c r="A5487" s="3" t="s">
        <v>1922</v>
      </c>
      <c r="B5487" t="s">
        <v>8</v>
      </c>
      <c r="C5487" s="3" t="s">
        <v>1935</v>
      </c>
      <c r="D5487" s="3" t="s">
        <v>57</v>
      </c>
    </row>
    <row r="5488" spans="1:4" x14ac:dyDescent="0.2">
      <c r="A5488" s="3" t="s">
        <v>1922</v>
      </c>
      <c r="B5488" t="s">
        <v>8</v>
      </c>
      <c r="C5488" s="3" t="s">
        <v>1936</v>
      </c>
      <c r="D5488" s="3" t="s">
        <v>57</v>
      </c>
    </row>
    <row r="5489" spans="1:4" x14ac:dyDescent="0.2">
      <c r="A5489" s="3" t="s">
        <v>1922</v>
      </c>
      <c r="B5489" t="s">
        <v>8</v>
      </c>
      <c r="C5489" s="3" t="s">
        <v>1937</v>
      </c>
      <c r="D5489" s="3" t="s">
        <v>57</v>
      </c>
    </row>
    <row r="5490" spans="1:4" x14ac:dyDescent="0.2">
      <c r="A5490" s="3" t="s">
        <v>1922</v>
      </c>
      <c r="B5490" t="s">
        <v>8</v>
      </c>
      <c r="C5490" s="3" t="s">
        <v>1938</v>
      </c>
      <c r="D5490" s="3" t="s">
        <v>22</v>
      </c>
    </row>
    <row r="5491" spans="1:4" x14ac:dyDescent="0.2">
      <c r="A5491" s="3" t="s">
        <v>1922</v>
      </c>
      <c r="B5491" t="s">
        <v>8</v>
      </c>
      <c r="C5491" s="3" t="s">
        <v>1939</v>
      </c>
      <c r="D5491" s="3" t="s">
        <v>22</v>
      </c>
    </row>
    <row r="5492" spans="1:4" x14ac:dyDescent="0.2">
      <c r="A5492" s="3" t="s">
        <v>1922</v>
      </c>
      <c r="B5492" t="s">
        <v>8</v>
      </c>
      <c r="C5492" s="3" t="s">
        <v>1940</v>
      </c>
      <c r="D5492" s="3" t="s">
        <v>22</v>
      </c>
    </row>
    <row r="5493" spans="1:4" x14ac:dyDescent="0.2">
      <c r="A5493" s="3" t="s">
        <v>1922</v>
      </c>
      <c r="B5493" t="s">
        <v>8</v>
      </c>
      <c r="C5493" s="3" t="s">
        <v>1941</v>
      </c>
      <c r="D5493" s="3" t="s">
        <v>22</v>
      </c>
    </row>
    <row r="5494" spans="1:4" x14ac:dyDescent="0.2">
      <c r="A5494" s="3" t="s">
        <v>1922</v>
      </c>
      <c r="B5494" t="s">
        <v>8</v>
      </c>
      <c r="C5494" s="3" t="s">
        <v>1942</v>
      </c>
      <c r="D5494" s="3" t="s">
        <v>22</v>
      </c>
    </row>
    <row r="5495" spans="1:4" x14ac:dyDescent="0.2">
      <c r="A5495" s="3" t="s">
        <v>1943</v>
      </c>
      <c r="B5495" t="s">
        <v>8</v>
      </c>
      <c r="C5495" s="3" t="s">
        <v>1923</v>
      </c>
      <c r="D5495" s="3" t="s">
        <v>53</v>
      </c>
    </row>
    <row r="5496" spans="1:4" x14ac:dyDescent="0.2">
      <c r="A5496" s="3" t="s">
        <v>1943</v>
      </c>
      <c r="B5496" t="s">
        <v>8</v>
      </c>
      <c r="C5496" s="3" t="s">
        <v>1924</v>
      </c>
      <c r="D5496" s="3" t="s">
        <v>53</v>
      </c>
    </row>
    <row r="5497" spans="1:4" x14ac:dyDescent="0.2">
      <c r="A5497" s="3" t="s">
        <v>1943</v>
      </c>
      <c r="B5497" t="s">
        <v>8</v>
      </c>
      <c r="C5497" s="3" t="s">
        <v>1925</v>
      </c>
      <c r="D5497" s="3" t="s">
        <v>53</v>
      </c>
    </row>
    <row r="5498" spans="1:4" x14ac:dyDescent="0.2">
      <c r="A5498" s="3" t="s">
        <v>1943</v>
      </c>
      <c r="B5498" t="s">
        <v>8</v>
      </c>
      <c r="C5498" s="3" t="s">
        <v>1926</v>
      </c>
      <c r="D5498" s="3" t="s">
        <v>53</v>
      </c>
    </row>
    <row r="5499" spans="1:4" x14ac:dyDescent="0.2">
      <c r="A5499" s="3" t="s">
        <v>1943</v>
      </c>
      <c r="B5499" t="s">
        <v>8</v>
      </c>
      <c r="C5499" s="3" t="s">
        <v>1927</v>
      </c>
      <c r="D5499" s="3" t="s">
        <v>53</v>
      </c>
    </row>
    <row r="5500" spans="1:4" x14ac:dyDescent="0.2">
      <c r="A5500" s="3" t="s">
        <v>1943</v>
      </c>
      <c r="B5500" t="s">
        <v>8</v>
      </c>
      <c r="C5500" s="3" t="s">
        <v>1928</v>
      </c>
      <c r="D5500" s="3" t="s">
        <v>53</v>
      </c>
    </row>
    <row r="5501" spans="1:4" x14ac:dyDescent="0.2">
      <c r="A5501" s="3" t="s">
        <v>1943</v>
      </c>
      <c r="B5501" t="s">
        <v>8</v>
      </c>
      <c r="C5501" s="3" t="s">
        <v>1929</v>
      </c>
      <c r="D5501" s="3" t="s">
        <v>53</v>
      </c>
    </row>
    <row r="5502" spans="1:4" x14ac:dyDescent="0.2">
      <c r="A5502" s="3" t="s">
        <v>1943</v>
      </c>
      <c r="B5502" t="s">
        <v>8</v>
      </c>
      <c r="C5502" s="3" t="s">
        <v>1930</v>
      </c>
      <c r="D5502" s="3" t="s">
        <v>53</v>
      </c>
    </row>
    <row r="5503" spans="1:4" x14ac:dyDescent="0.2">
      <c r="A5503" s="3" t="s">
        <v>1943</v>
      </c>
      <c r="B5503" t="s">
        <v>8</v>
      </c>
      <c r="C5503" s="3" t="s">
        <v>1931</v>
      </c>
      <c r="D5503" s="3" t="s">
        <v>53</v>
      </c>
    </row>
    <row r="5504" spans="1:4" x14ac:dyDescent="0.2">
      <c r="A5504" s="3" t="s">
        <v>1943</v>
      </c>
      <c r="B5504" t="s">
        <v>8</v>
      </c>
      <c r="C5504" s="3" t="s">
        <v>1932</v>
      </c>
      <c r="D5504" s="3" t="s">
        <v>53</v>
      </c>
    </row>
    <row r="5505" spans="1:4" x14ac:dyDescent="0.2">
      <c r="A5505" s="3" t="s">
        <v>1943</v>
      </c>
      <c r="B5505" t="s">
        <v>8</v>
      </c>
      <c r="C5505" s="3" t="s">
        <v>1933</v>
      </c>
      <c r="D5505" s="3" t="s">
        <v>53</v>
      </c>
    </row>
    <row r="5506" spans="1:4" x14ac:dyDescent="0.2">
      <c r="A5506" s="3" t="s">
        <v>1943</v>
      </c>
      <c r="B5506" t="s">
        <v>8</v>
      </c>
      <c r="C5506" s="3" t="s">
        <v>1934</v>
      </c>
      <c r="D5506" s="3" t="s">
        <v>53</v>
      </c>
    </row>
    <row r="5507" spans="1:4" x14ac:dyDescent="0.2">
      <c r="A5507" s="3" t="s">
        <v>1943</v>
      </c>
      <c r="B5507" t="s">
        <v>8</v>
      </c>
      <c r="C5507" s="3" t="s">
        <v>1935</v>
      </c>
      <c r="D5507" s="3" t="s">
        <v>53</v>
      </c>
    </row>
    <row r="5508" spans="1:4" x14ac:dyDescent="0.2">
      <c r="A5508" s="3" t="s">
        <v>1943</v>
      </c>
      <c r="B5508" t="s">
        <v>8</v>
      </c>
      <c r="C5508" s="3" t="s">
        <v>1936</v>
      </c>
      <c r="D5508" s="3" t="s">
        <v>53</v>
      </c>
    </row>
    <row r="5509" spans="1:4" x14ac:dyDescent="0.2">
      <c r="A5509" s="3" t="s">
        <v>1943</v>
      </c>
      <c r="B5509" t="s">
        <v>8</v>
      </c>
      <c r="C5509" s="3" t="s">
        <v>1937</v>
      </c>
      <c r="D5509" s="3" t="s">
        <v>53</v>
      </c>
    </row>
    <row r="5510" spans="1:4" x14ac:dyDescent="0.2">
      <c r="A5510" s="3" t="s">
        <v>1943</v>
      </c>
      <c r="B5510" t="s">
        <v>8</v>
      </c>
      <c r="C5510" s="3" t="s">
        <v>1923</v>
      </c>
      <c r="D5510" s="3" t="s">
        <v>54</v>
      </c>
    </row>
    <row r="5511" spans="1:4" x14ac:dyDescent="0.2">
      <c r="A5511" s="3" t="s">
        <v>1943</v>
      </c>
      <c r="B5511" t="s">
        <v>8</v>
      </c>
      <c r="C5511" s="3" t="s">
        <v>1924</v>
      </c>
      <c r="D5511" s="3" t="s">
        <v>54</v>
      </c>
    </row>
    <row r="5512" spans="1:4" x14ac:dyDescent="0.2">
      <c r="A5512" s="3" t="s">
        <v>1943</v>
      </c>
      <c r="B5512" t="s">
        <v>8</v>
      </c>
      <c r="C5512" s="3" t="s">
        <v>1925</v>
      </c>
      <c r="D5512" s="3" t="s">
        <v>54</v>
      </c>
    </row>
    <row r="5513" spans="1:4" x14ac:dyDescent="0.2">
      <c r="A5513" s="3" t="s">
        <v>1943</v>
      </c>
      <c r="B5513" t="s">
        <v>8</v>
      </c>
      <c r="C5513" s="3" t="s">
        <v>1926</v>
      </c>
      <c r="D5513" s="3" t="s">
        <v>54</v>
      </c>
    </row>
    <row r="5514" spans="1:4" x14ac:dyDescent="0.2">
      <c r="A5514" s="3" t="s">
        <v>1943</v>
      </c>
      <c r="B5514" t="s">
        <v>8</v>
      </c>
      <c r="C5514" s="3" t="s">
        <v>1927</v>
      </c>
      <c r="D5514" s="3" t="s">
        <v>54</v>
      </c>
    </row>
    <row r="5515" spans="1:4" x14ac:dyDescent="0.2">
      <c r="A5515" s="3" t="s">
        <v>1943</v>
      </c>
      <c r="B5515" t="s">
        <v>8</v>
      </c>
      <c r="C5515" s="3" t="s">
        <v>1928</v>
      </c>
      <c r="D5515" s="3" t="s">
        <v>54</v>
      </c>
    </row>
    <row r="5516" spans="1:4" x14ac:dyDescent="0.2">
      <c r="A5516" s="3" t="s">
        <v>1943</v>
      </c>
      <c r="B5516" t="s">
        <v>8</v>
      </c>
      <c r="C5516" s="3" t="s">
        <v>1929</v>
      </c>
      <c r="D5516" s="3" t="s">
        <v>54</v>
      </c>
    </row>
    <row r="5517" spans="1:4" x14ac:dyDescent="0.2">
      <c r="A5517" s="3" t="s">
        <v>1943</v>
      </c>
      <c r="B5517" t="s">
        <v>8</v>
      </c>
      <c r="C5517" s="3" t="s">
        <v>1930</v>
      </c>
      <c r="D5517" s="3" t="s">
        <v>54</v>
      </c>
    </row>
    <row r="5518" spans="1:4" x14ac:dyDescent="0.2">
      <c r="A5518" s="3" t="s">
        <v>1943</v>
      </c>
      <c r="B5518" t="s">
        <v>8</v>
      </c>
      <c r="C5518" s="3" t="s">
        <v>1931</v>
      </c>
      <c r="D5518" s="3" t="s">
        <v>54</v>
      </c>
    </row>
    <row r="5519" spans="1:4" x14ac:dyDescent="0.2">
      <c r="A5519" s="3" t="s">
        <v>1943</v>
      </c>
      <c r="B5519" t="s">
        <v>8</v>
      </c>
      <c r="C5519" s="3" t="s">
        <v>1932</v>
      </c>
      <c r="D5519" s="3" t="s">
        <v>54</v>
      </c>
    </row>
    <row r="5520" spans="1:4" x14ac:dyDescent="0.2">
      <c r="A5520" s="3" t="s">
        <v>1943</v>
      </c>
      <c r="B5520" t="s">
        <v>8</v>
      </c>
      <c r="C5520" s="3" t="s">
        <v>1933</v>
      </c>
      <c r="D5520" s="3" t="s">
        <v>54</v>
      </c>
    </row>
    <row r="5521" spans="1:4" x14ac:dyDescent="0.2">
      <c r="A5521" s="3" t="s">
        <v>1943</v>
      </c>
      <c r="B5521" t="s">
        <v>8</v>
      </c>
      <c r="C5521" s="3" t="s">
        <v>1934</v>
      </c>
      <c r="D5521" s="3" t="s">
        <v>54</v>
      </c>
    </row>
    <row r="5522" spans="1:4" x14ac:dyDescent="0.2">
      <c r="A5522" s="3" t="s">
        <v>1943</v>
      </c>
      <c r="B5522" t="s">
        <v>8</v>
      </c>
      <c r="C5522" s="3" t="s">
        <v>1935</v>
      </c>
      <c r="D5522" s="3" t="s">
        <v>54</v>
      </c>
    </row>
    <row r="5523" spans="1:4" x14ac:dyDescent="0.2">
      <c r="A5523" s="3" t="s">
        <v>1943</v>
      </c>
      <c r="B5523" t="s">
        <v>8</v>
      </c>
      <c r="C5523" s="3" t="s">
        <v>1936</v>
      </c>
      <c r="D5523" s="3" t="s">
        <v>54</v>
      </c>
    </row>
    <row r="5524" spans="1:4" x14ac:dyDescent="0.2">
      <c r="A5524" s="3" t="s">
        <v>1943</v>
      </c>
      <c r="B5524" t="s">
        <v>8</v>
      </c>
      <c r="C5524" s="3" t="s">
        <v>1937</v>
      </c>
      <c r="D5524" s="3" t="s">
        <v>54</v>
      </c>
    </row>
    <row r="5525" spans="1:4" x14ac:dyDescent="0.2">
      <c r="A5525" s="3" t="s">
        <v>1943</v>
      </c>
      <c r="B5525" t="s">
        <v>8</v>
      </c>
      <c r="C5525" s="3" t="s">
        <v>1923</v>
      </c>
      <c r="D5525" s="3" t="s">
        <v>55</v>
      </c>
    </row>
    <row r="5526" spans="1:4" x14ac:dyDescent="0.2">
      <c r="A5526" s="3" t="s">
        <v>1943</v>
      </c>
      <c r="B5526" t="s">
        <v>8</v>
      </c>
      <c r="C5526" s="3" t="s">
        <v>1924</v>
      </c>
      <c r="D5526" s="3" t="s">
        <v>55</v>
      </c>
    </row>
    <row r="5527" spans="1:4" x14ac:dyDescent="0.2">
      <c r="A5527" s="3" t="s">
        <v>1943</v>
      </c>
      <c r="B5527" t="s">
        <v>8</v>
      </c>
      <c r="C5527" s="3" t="s">
        <v>1925</v>
      </c>
      <c r="D5527" s="3" t="s">
        <v>55</v>
      </c>
    </row>
    <row r="5528" spans="1:4" x14ac:dyDescent="0.2">
      <c r="A5528" s="3" t="s">
        <v>1943</v>
      </c>
      <c r="B5528" t="s">
        <v>8</v>
      </c>
      <c r="C5528" s="3" t="s">
        <v>1926</v>
      </c>
      <c r="D5528" s="3" t="s">
        <v>55</v>
      </c>
    </row>
    <row r="5529" spans="1:4" x14ac:dyDescent="0.2">
      <c r="A5529" s="3" t="s">
        <v>1943</v>
      </c>
      <c r="B5529" t="s">
        <v>8</v>
      </c>
      <c r="C5529" s="3" t="s">
        <v>1927</v>
      </c>
      <c r="D5529" s="3" t="s">
        <v>55</v>
      </c>
    </row>
    <row r="5530" spans="1:4" x14ac:dyDescent="0.2">
      <c r="A5530" s="3" t="s">
        <v>1943</v>
      </c>
      <c r="B5530" t="s">
        <v>8</v>
      </c>
      <c r="C5530" s="3" t="s">
        <v>1928</v>
      </c>
      <c r="D5530" s="3" t="s">
        <v>55</v>
      </c>
    </row>
    <row r="5531" spans="1:4" x14ac:dyDescent="0.2">
      <c r="A5531" s="3" t="s">
        <v>1943</v>
      </c>
      <c r="B5531" t="s">
        <v>8</v>
      </c>
      <c r="C5531" s="3" t="s">
        <v>1929</v>
      </c>
      <c r="D5531" s="3" t="s">
        <v>55</v>
      </c>
    </row>
    <row r="5532" spans="1:4" x14ac:dyDescent="0.2">
      <c r="A5532" s="3" t="s">
        <v>1943</v>
      </c>
      <c r="B5532" t="s">
        <v>8</v>
      </c>
      <c r="C5532" s="3" t="s">
        <v>1930</v>
      </c>
      <c r="D5532" s="3" t="s">
        <v>55</v>
      </c>
    </row>
    <row r="5533" spans="1:4" x14ac:dyDescent="0.2">
      <c r="A5533" s="3" t="s">
        <v>1943</v>
      </c>
      <c r="B5533" t="s">
        <v>8</v>
      </c>
      <c r="C5533" s="3" t="s">
        <v>1931</v>
      </c>
      <c r="D5533" s="3" t="s">
        <v>55</v>
      </c>
    </row>
    <row r="5534" spans="1:4" x14ac:dyDescent="0.2">
      <c r="A5534" s="3" t="s">
        <v>1943</v>
      </c>
      <c r="B5534" t="s">
        <v>8</v>
      </c>
      <c r="C5534" s="3" t="s">
        <v>1932</v>
      </c>
      <c r="D5534" s="3" t="s">
        <v>55</v>
      </c>
    </row>
    <row r="5535" spans="1:4" x14ac:dyDescent="0.2">
      <c r="A5535" s="3" t="s">
        <v>1943</v>
      </c>
      <c r="B5535" t="s">
        <v>8</v>
      </c>
      <c r="C5535" s="3" t="s">
        <v>1933</v>
      </c>
      <c r="D5535" s="3" t="s">
        <v>55</v>
      </c>
    </row>
    <row r="5536" spans="1:4" x14ac:dyDescent="0.2">
      <c r="A5536" s="3" t="s">
        <v>1943</v>
      </c>
      <c r="B5536" t="s">
        <v>8</v>
      </c>
      <c r="C5536" s="3" t="s">
        <v>1934</v>
      </c>
      <c r="D5536" s="3" t="s">
        <v>55</v>
      </c>
    </row>
    <row r="5537" spans="1:4" x14ac:dyDescent="0.2">
      <c r="A5537" s="3" t="s">
        <v>1943</v>
      </c>
      <c r="B5537" t="s">
        <v>8</v>
      </c>
      <c r="C5537" s="3" t="s">
        <v>1935</v>
      </c>
      <c r="D5537" s="3" t="s">
        <v>55</v>
      </c>
    </row>
    <row r="5538" spans="1:4" x14ac:dyDescent="0.2">
      <c r="A5538" s="3" t="s">
        <v>1943</v>
      </c>
      <c r="B5538" t="s">
        <v>8</v>
      </c>
      <c r="C5538" s="3" t="s">
        <v>1936</v>
      </c>
      <c r="D5538" s="3" t="s">
        <v>55</v>
      </c>
    </row>
    <row r="5539" spans="1:4" x14ac:dyDescent="0.2">
      <c r="A5539" s="3" t="s">
        <v>1943</v>
      </c>
      <c r="B5539" t="s">
        <v>8</v>
      </c>
      <c r="C5539" s="3" t="s">
        <v>1937</v>
      </c>
      <c r="D5539" s="3" t="s">
        <v>55</v>
      </c>
    </row>
    <row r="5540" spans="1:4" x14ac:dyDescent="0.2">
      <c r="A5540" s="3" t="s">
        <v>1943</v>
      </c>
      <c r="B5540" t="s">
        <v>8</v>
      </c>
      <c r="C5540" s="3" t="s">
        <v>1923</v>
      </c>
      <c r="D5540" s="3" t="s">
        <v>56</v>
      </c>
    </row>
    <row r="5541" spans="1:4" x14ac:dyDescent="0.2">
      <c r="A5541" s="3" t="s">
        <v>1943</v>
      </c>
      <c r="B5541" t="s">
        <v>8</v>
      </c>
      <c r="C5541" s="3" t="s">
        <v>1924</v>
      </c>
      <c r="D5541" s="3" t="s">
        <v>56</v>
      </c>
    </row>
    <row r="5542" spans="1:4" x14ac:dyDescent="0.2">
      <c r="A5542" s="3" t="s">
        <v>1943</v>
      </c>
      <c r="B5542" t="s">
        <v>8</v>
      </c>
      <c r="C5542" s="3" t="s">
        <v>1925</v>
      </c>
      <c r="D5542" s="3" t="s">
        <v>56</v>
      </c>
    </row>
    <row r="5543" spans="1:4" x14ac:dyDescent="0.2">
      <c r="A5543" s="3" t="s">
        <v>1943</v>
      </c>
      <c r="B5543" t="s">
        <v>8</v>
      </c>
      <c r="C5543" s="3" t="s">
        <v>1926</v>
      </c>
      <c r="D5543" s="3" t="s">
        <v>56</v>
      </c>
    </row>
    <row r="5544" spans="1:4" x14ac:dyDescent="0.2">
      <c r="A5544" s="3" t="s">
        <v>1943</v>
      </c>
      <c r="B5544" t="s">
        <v>8</v>
      </c>
      <c r="C5544" s="3" t="s">
        <v>1927</v>
      </c>
      <c r="D5544" s="3" t="s">
        <v>56</v>
      </c>
    </row>
    <row r="5545" spans="1:4" x14ac:dyDescent="0.2">
      <c r="A5545" s="3" t="s">
        <v>1943</v>
      </c>
      <c r="B5545" t="s">
        <v>8</v>
      </c>
      <c r="C5545" s="3" t="s">
        <v>1928</v>
      </c>
      <c r="D5545" s="3" t="s">
        <v>56</v>
      </c>
    </row>
    <row r="5546" spans="1:4" x14ac:dyDescent="0.2">
      <c r="A5546" s="3" t="s">
        <v>1943</v>
      </c>
      <c r="B5546" t="s">
        <v>8</v>
      </c>
      <c r="C5546" s="3" t="s">
        <v>1929</v>
      </c>
      <c r="D5546" s="3" t="s">
        <v>56</v>
      </c>
    </row>
    <row r="5547" spans="1:4" x14ac:dyDescent="0.2">
      <c r="A5547" s="3" t="s">
        <v>1943</v>
      </c>
      <c r="B5547" t="s">
        <v>8</v>
      </c>
      <c r="C5547" s="3" t="s">
        <v>1930</v>
      </c>
      <c r="D5547" s="3" t="s">
        <v>56</v>
      </c>
    </row>
    <row r="5548" spans="1:4" x14ac:dyDescent="0.2">
      <c r="A5548" s="3" t="s">
        <v>1943</v>
      </c>
      <c r="B5548" t="s">
        <v>8</v>
      </c>
      <c r="C5548" s="3" t="s">
        <v>1931</v>
      </c>
      <c r="D5548" s="3" t="s">
        <v>56</v>
      </c>
    </row>
    <row r="5549" spans="1:4" x14ac:dyDescent="0.2">
      <c r="A5549" s="3" t="s">
        <v>1943</v>
      </c>
      <c r="B5549" t="s">
        <v>8</v>
      </c>
      <c r="C5549" s="3" t="s">
        <v>1932</v>
      </c>
      <c r="D5549" s="3" t="s">
        <v>56</v>
      </c>
    </row>
    <row r="5550" spans="1:4" x14ac:dyDescent="0.2">
      <c r="A5550" s="3" t="s">
        <v>1943</v>
      </c>
      <c r="B5550" t="s">
        <v>8</v>
      </c>
      <c r="C5550" s="3" t="s">
        <v>1933</v>
      </c>
      <c r="D5550" s="3" t="s">
        <v>56</v>
      </c>
    </row>
    <row r="5551" spans="1:4" x14ac:dyDescent="0.2">
      <c r="A5551" s="3" t="s">
        <v>1943</v>
      </c>
      <c r="B5551" t="s">
        <v>8</v>
      </c>
      <c r="C5551" s="3" t="s">
        <v>1934</v>
      </c>
      <c r="D5551" s="3" t="s">
        <v>56</v>
      </c>
    </row>
    <row r="5552" spans="1:4" x14ac:dyDescent="0.2">
      <c r="A5552" s="3" t="s">
        <v>1943</v>
      </c>
      <c r="B5552" t="s">
        <v>8</v>
      </c>
      <c r="C5552" s="3" t="s">
        <v>1935</v>
      </c>
      <c r="D5552" s="3" t="s">
        <v>56</v>
      </c>
    </row>
    <row r="5553" spans="1:4" x14ac:dyDescent="0.2">
      <c r="A5553" s="3" t="s">
        <v>1943</v>
      </c>
      <c r="B5553" t="s">
        <v>8</v>
      </c>
      <c r="C5553" s="3" t="s">
        <v>1936</v>
      </c>
      <c r="D5553" s="3" t="s">
        <v>56</v>
      </c>
    </row>
    <row r="5554" spans="1:4" x14ac:dyDescent="0.2">
      <c r="A5554" s="3" t="s">
        <v>1943</v>
      </c>
      <c r="B5554" t="s">
        <v>8</v>
      </c>
      <c r="C5554" s="3" t="s">
        <v>1937</v>
      </c>
      <c r="D5554" s="3" t="s">
        <v>56</v>
      </c>
    </row>
    <row r="5555" spans="1:4" x14ac:dyDescent="0.2">
      <c r="A5555" s="3" t="s">
        <v>1943</v>
      </c>
      <c r="B5555" t="s">
        <v>8</v>
      </c>
      <c r="C5555" s="3" t="s">
        <v>1923</v>
      </c>
      <c r="D5555" s="3" t="s">
        <v>57</v>
      </c>
    </row>
    <row r="5556" spans="1:4" x14ac:dyDescent="0.2">
      <c r="A5556" s="3" t="s">
        <v>1943</v>
      </c>
      <c r="B5556" t="s">
        <v>8</v>
      </c>
      <c r="C5556" s="3" t="s">
        <v>1924</v>
      </c>
      <c r="D5556" s="3" t="s">
        <v>57</v>
      </c>
    </row>
    <row r="5557" spans="1:4" x14ac:dyDescent="0.2">
      <c r="A5557" s="3" t="s">
        <v>1943</v>
      </c>
      <c r="B5557" t="s">
        <v>8</v>
      </c>
      <c r="C5557" s="3" t="s">
        <v>1925</v>
      </c>
      <c r="D5557" s="3" t="s">
        <v>57</v>
      </c>
    </row>
    <row r="5558" spans="1:4" x14ac:dyDescent="0.2">
      <c r="A5558" s="3" t="s">
        <v>1943</v>
      </c>
      <c r="B5558" t="s">
        <v>8</v>
      </c>
      <c r="C5558" s="3" t="s">
        <v>1926</v>
      </c>
      <c r="D5558" s="3" t="s">
        <v>57</v>
      </c>
    </row>
    <row r="5559" spans="1:4" x14ac:dyDescent="0.2">
      <c r="A5559" s="3" t="s">
        <v>1943</v>
      </c>
      <c r="B5559" t="s">
        <v>8</v>
      </c>
      <c r="C5559" s="3" t="s">
        <v>1927</v>
      </c>
      <c r="D5559" s="3" t="s">
        <v>57</v>
      </c>
    </row>
    <row r="5560" spans="1:4" x14ac:dyDescent="0.2">
      <c r="A5560" s="3" t="s">
        <v>1943</v>
      </c>
      <c r="B5560" t="s">
        <v>8</v>
      </c>
      <c r="C5560" s="3" t="s">
        <v>1928</v>
      </c>
      <c r="D5560" s="3" t="s">
        <v>57</v>
      </c>
    </row>
    <row r="5561" spans="1:4" x14ac:dyDescent="0.2">
      <c r="A5561" s="3" t="s">
        <v>1943</v>
      </c>
      <c r="B5561" t="s">
        <v>8</v>
      </c>
      <c r="C5561" s="3" t="s">
        <v>1929</v>
      </c>
      <c r="D5561" s="3" t="s">
        <v>57</v>
      </c>
    </row>
    <row r="5562" spans="1:4" x14ac:dyDescent="0.2">
      <c r="A5562" s="3" t="s">
        <v>1943</v>
      </c>
      <c r="B5562" t="s">
        <v>8</v>
      </c>
      <c r="C5562" s="3" t="s">
        <v>1930</v>
      </c>
      <c r="D5562" s="3" t="s">
        <v>57</v>
      </c>
    </row>
    <row r="5563" spans="1:4" x14ac:dyDescent="0.2">
      <c r="A5563" s="3" t="s">
        <v>1943</v>
      </c>
      <c r="B5563" t="s">
        <v>8</v>
      </c>
      <c r="C5563" s="3" t="s">
        <v>1931</v>
      </c>
      <c r="D5563" s="3" t="s">
        <v>57</v>
      </c>
    </row>
    <row r="5564" spans="1:4" x14ac:dyDescent="0.2">
      <c r="A5564" s="3" t="s">
        <v>1943</v>
      </c>
      <c r="B5564" t="s">
        <v>8</v>
      </c>
      <c r="C5564" s="3" t="s">
        <v>1932</v>
      </c>
      <c r="D5564" s="3" t="s">
        <v>57</v>
      </c>
    </row>
    <row r="5565" spans="1:4" x14ac:dyDescent="0.2">
      <c r="A5565" s="3" t="s">
        <v>1943</v>
      </c>
      <c r="B5565" t="s">
        <v>8</v>
      </c>
      <c r="C5565" s="3" t="s">
        <v>1933</v>
      </c>
      <c r="D5565" s="3" t="s">
        <v>57</v>
      </c>
    </row>
    <row r="5566" spans="1:4" x14ac:dyDescent="0.2">
      <c r="A5566" s="3" t="s">
        <v>1943</v>
      </c>
      <c r="B5566" t="s">
        <v>8</v>
      </c>
      <c r="C5566" s="3" t="s">
        <v>1934</v>
      </c>
      <c r="D5566" s="3" t="s">
        <v>57</v>
      </c>
    </row>
    <row r="5567" spans="1:4" x14ac:dyDescent="0.2">
      <c r="A5567" s="3" t="s">
        <v>1943</v>
      </c>
      <c r="B5567" t="s">
        <v>8</v>
      </c>
      <c r="C5567" s="3" t="s">
        <v>1935</v>
      </c>
      <c r="D5567" s="3" t="s">
        <v>57</v>
      </c>
    </row>
    <row r="5568" spans="1:4" x14ac:dyDescent="0.2">
      <c r="A5568" s="3" t="s">
        <v>1943</v>
      </c>
      <c r="B5568" t="s">
        <v>8</v>
      </c>
      <c r="C5568" s="3" t="s">
        <v>1936</v>
      </c>
      <c r="D5568" s="3" t="s">
        <v>57</v>
      </c>
    </row>
    <row r="5569" spans="1:4" x14ac:dyDescent="0.2">
      <c r="A5569" s="3" t="s">
        <v>1943</v>
      </c>
      <c r="B5569" t="s">
        <v>8</v>
      </c>
      <c r="C5569" s="3" t="s">
        <v>1937</v>
      </c>
      <c r="D5569" s="3" t="s">
        <v>57</v>
      </c>
    </row>
    <row r="5570" spans="1:4" x14ac:dyDescent="0.2">
      <c r="A5570" s="3" t="s">
        <v>1943</v>
      </c>
      <c r="B5570" t="s">
        <v>8</v>
      </c>
      <c r="C5570" s="3" t="s">
        <v>1944</v>
      </c>
      <c r="D5570" s="3" t="s">
        <v>169</v>
      </c>
    </row>
    <row r="5571" spans="1:4" x14ac:dyDescent="0.2">
      <c r="A5571" s="3" t="s">
        <v>1943</v>
      </c>
      <c r="B5571" t="s">
        <v>8</v>
      </c>
      <c r="C5571" s="3" t="s">
        <v>1945</v>
      </c>
      <c r="D5571" s="3" t="s">
        <v>169</v>
      </c>
    </row>
    <row r="5572" spans="1:4" x14ac:dyDescent="0.2">
      <c r="A5572" s="3" t="s">
        <v>1943</v>
      </c>
      <c r="B5572" t="s">
        <v>8</v>
      </c>
      <c r="C5572" s="3" t="s">
        <v>1946</v>
      </c>
      <c r="D5572" s="3" t="s">
        <v>169</v>
      </c>
    </row>
    <row r="5573" spans="1:4" x14ac:dyDescent="0.2">
      <c r="A5573" s="3" t="s">
        <v>1943</v>
      </c>
      <c r="B5573" t="s">
        <v>8</v>
      </c>
      <c r="C5573" s="3" t="s">
        <v>1947</v>
      </c>
      <c r="D5573" s="3" t="s">
        <v>169</v>
      </c>
    </row>
    <row r="5574" spans="1:4" x14ac:dyDescent="0.2">
      <c r="A5574" s="3" t="s">
        <v>1943</v>
      </c>
      <c r="B5574" t="s">
        <v>8</v>
      </c>
      <c r="C5574" s="3" t="s">
        <v>1948</v>
      </c>
      <c r="D5574" s="3" t="s">
        <v>169</v>
      </c>
    </row>
    <row r="5575" spans="1:4" x14ac:dyDescent="0.2">
      <c r="A5575" s="3" t="s">
        <v>1943</v>
      </c>
      <c r="B5575" t="s">
        <v>8</v>
      </c>
      <c r="C5575" s="3" t="s">
        <v>1949</v>
      </c>
      <c r="D5575" s="3" t="s">
        <v>169</v>
      </c>
    </row>
    <row r="5576" spans="1:4" x14ac:dyDescent="0.2">
      <c r="A5576" s="3" t="s">
        <v>1943</v>
      </c>
      <c r="B5576" t="s">
        <v>8</v>
      </c>
      <c r="C5576" s="3" t="s">
        <v>1950</v>
      </c>
      <c r="D5576" s="3" t="s">
        <v>169</v>
      </c>
    </row>
    <row r="5577" spans="1:4" x14ac:dyDescent="0.2">
      <c r="A5577" s="3" t="s">
        <v>1951</v>
      </c>
      <c r="B5577" t="s">
        <v>8</v>
      </c>
      <c r="C5577" s="3" t="s">
        <v>1952</v>
      </c>
      <c r="D5577" s="3" t="s">
        <v>53</v>
      </c>
    </row>
    <row r="5578" spans="1:4" x14ac:dyDescent="0.2">
      <c r="A5578" s="3" t="s">
        <v>1951</v>
      </c>
      <c r="B5578" t="s">
        <v>8</v>
      </c>
      <c r="C5578" s="3" t="s">
        <v>1953</v>
      </c>
      <c r="D5578" s="3" t="s">
        <v>53</v>
      </c>
    </row>
    <row r="5579" spans="1:4" x14ac:dyDescent="0.2">
      <c r="A5579" s="3" t="s">
        <v>1951</v>
      </c>
      <c r="B5579" t="s">
        <v>8</v>
      </c>
      <c r="C5579" s="3" t="s">
        <v>1954</v>
      </c>
      <c r="D5579" s="3" t="s">
        <v>53</v>
      </c>
    </row>
    <row r="5580" spans="1:4" x14ac:dyDescent="0.2">
      <c r="A5580" s="3" t="s">
        <v>1951</v>
      </c>
      <c r="B5580" t="s">
        <v>8</v>
      </c>
      <c r="C5580" s="3" t="s">
        <v>1955</v>
      </c>
      <c r="D5580" s="3" t="s">
        <v>53</v>
      </c>
    </row>
    <row r="5581" spans="1:4" x14ac:dyDescent="0.2">
      <c r="A5581" s="3" t="s">
        <v>1951</v>
      </c>
      <c r="B5581" t="s">
        <v>8</v>
      </c>
      <c r="C5581" s="3" t="s">
        <v>1956</v>
      </c>
      <c r="D5581" s="3" t="s">
        <v>53</v>
      </c>
    </row>
    <row r="5582" spans="1:4" x14ac:dyDescent="0.2">
      <c r="A5582" s="3" t="s">
        <v>1951</v>
      </c>
      <c r="B5582" t="s">
        <v>8</v>
      </c>
      <c r="C5582" s="3" t="s">
        <v>1957</v>
      </c>
      <c r="D5582" s="3" t="s">
        <v>53</v>
      </c>
    </row>
    <row r="5583" spans="1:4" x14ac:dyDescent="0.2">
      <c r="A5583" s="3" t="s">
        <v>1951</v>
      </c>
      <c r="B5583" t="s">
        <v>8</v>
      </c>
      <c r="C5583" s="3" t="s">
        <v>1958</v>
      </c>
      <c r="D5583" s="3" t="s">
        <v>53</v>
      </c>
    </row>
    <row r="5584" spans="1:4" x14ac:dyDescent="0.2">
      <c r="A5584" s="3" t="s">
        <v>1951</v>
      </c>
      <c r="B5584" t="s">
        <v>8</v>
      </c>
      <c r="C5584" s="3" t="s">
        <v>1959</v>
      </c>
      <c r="D5584" s="3" t="s">
        <v>53</v>
      </c>
    </row>
    <row r="5585" spans="1:4" x14ac:dyDescent="0.2">
      <c r="A5585" s="3" t="s">
        <v>1951</v>
      </c>
      <c r="B5585" t="s">
        <v>8</v>
      </c>
      <c r="C5585" s="3" t="s">
        <v>1960</v>
      </c>
      <c r="D5585" s="3" t="s">
        <v>53</v>
      </c>
    </row>
    <row r="5586" spans="1:4" x14ac:dyDescent="0.2">
      <c r="A5586" s="3" t="s">
        <v>1951</v>
      </c>
      <c r="B5586" t="s">
        <v>8</v>
      </c>
      <c r="C5586" s="3" t="s">
        <v>1961</v>
      </c>
      <c r="D5586" s="3" t="s">
        <v>53</v>
      </c>
    </row>
    <row r="5587" spans="1:4" x14ac:dyDescent="0.2">
      <c r="A5587" s="3" t="s">
        <v>1951</v>
      </c>
      <c r="B5587" t="s">
        <v>8</v>
      </c>
      <c r="C5587" s="3" t="s">
        <v>1962</v>
      </c>
      <c r="D5587" s="3" t="s">
        <v>53</v>
      </c>
    </row>
    <row r="5588" spans="1:4" x14ac:dyDescent="0.2">
      <c r="A5588" s="3" t="s">
        <v>1951</v>
      </c>
      <c r="B5588" t="s">
        <v>8</v>
      </c>
      <c r="C5588" s="3" t="s">
        <v>1952</v>
      </c>
      <c r="D5588" s="3" t="s">
        <v>54</v>
      </c>
    </row>
    <row r="5589" spans="1:4" x14ac:dyDescent="0.2">
      <c r="A5589" s="3" t="s">
        <v>1951</v>
      </c>
      <c r="B5589" t="s">
        <v>8</v>
      </c>
      <c r="C5589" s="3" t="s">
        <v>1953</v>
      </c>
      <c r="D5589" s="3" t="s">
        <v>54</v>
      </c>
    </row>
    <row r="5590" spans="1:4" x14ac:dyDescent="0.2">
      <c r="A5590" s="3" t="s">
        <v>1951</v>
      </c>
      <c r="B5590" t="s">
        <v>8</v>
      </c>
      <c r="C5590" s="3" t="s">
        <v>1954</v>
      </c>
      <c r="D5590" s="3" t="s">
        <v>54</v>
      </c>
    </row>
    <row r="5591" spans="1:4" x14ac:dyDescent="0.2">
      <c r="A5591" s="3" t="s">
        <v>1951</v>
      </c>
      <c r="B5591" t="s">
        <v>8</v>
      </c>
      <c r="C5591" s="3" t="s">
        <v>1955</v>
      </c>
      <c r="D5591" s="3" t="s">
        <v>54</v>
      </c>
    </row>
    <row r="5592" spans="1:4" x14ac:dyDescent="0.2">
      <c r="A5592" s="3" t="s">
        <v>1951</v>
      </c>
      <c r="B5592" t="s">
        <v>8</v>
      </c>
      <c r="C5592" s="3" t="s">
        <v>1956</v>
      </c>
      <c r="D5592" s="3" t="s">
        <v>54</v>
      </c>
    </row>
    <row r="5593" spans="1:4" x14ac:dyDescent="0.2">
      <c r="A5593" s="3" t="s">
        <v>1951</v>
      </c>
      <c r="B5593" t="s">
        <v>8</v>
      </c>
      <c r="C5593" s="3" t="s">
        <v>1957</v>
      </c>
      <c r="D5593" s="3" t="s">
        <v>54</v>
      </c>
    </row>
    <row r="5594" spans="1:4" x14ac:dyDescent="0.2">
      <c r="A5594" s="3" t="s">
        <v>1951</v>
      </c>
      <c r="B5594" t="s">
        <v>8</v>
      </c>
      <c r="C5594" s="3" t="s">
        <v>1958</v>
      </c>
      <c r="D5594" s="3" t="s">
        <v>54</v>
      </c>
    </row>
    <row r="5595" spans="1:4" x14ac:dyDescent="0.2">
      <c r="A5595" s="3" t="s">
        <v>1951</v>
      </c>
      <c r="B5595" t="s">
        <v>8</v>
      </c>
      <c r="C5595" s="3" t="s">
        <v>1959</v>
      </c>
      <c r="D5595" s="3" t="s">
        <v>54</v>
      </c>
    </row>
    <row r="5596" spans="1:4" x14ac:dyDescent="0.2">
      <c r="A5596" s="3" t="s">
        <v>1951</v>
      </c>
      <c r="B5596" t="s">
        <v>8</v>
      </c>
      <c r="C5596" s="3" t="s">
        <v>1960</v>
      </c>
      <c r="D5596" s="3" t="s">
        <v>54</v>
      </c>
    </row>
    <row r="5597" spans="1:4" x14ac:dyDescent="0.2">
      <c r="A5597" s="3" t="s">
        <v>1951</v>
      </c>
      <c r="B5597" t="s">
        <v>8</v>
      </c>
      <c r="C5597" s="3" t="s">
        <v>1961</v>
      </c>
      <c r="D5597" s="3" t="s">
        <v>54</v>
      </c>
    </row>
    <row r="5598" spans="1:4" x14ac:dyDescent="0.2">
      <c r="A5598" s="3" t="s">
        <v>1951</v>
      </c>
      <c r="B5598" t="s">
        <v>8</v>
      </c>
      <c r="C5598" s="3" t="s">
        <v>1962</v>
      </c>
      <c r="D5598" s="3" t="s">
        <v>54</v>
      </c>
    </row>
    <row r="5599" spans="1:4" x14ac:dyDescent="0.2">
      <c r="A5599" s="3" t="s">
        <v>1951</v>
      </c>
      <c r="B5599" t="s">
        <v>8</v>
      </c>
      <c r="C5599" s="3" t="s">
        <v>1952</v>
      </c>
      <c r="D5599" s="3" t="s">
        <v>55</v>
      </c>
    </row>
    <row r="5600" spans="1:4" x14ac:dyDescent="0.2">
      <c r="A5600" s="3" t="s">
        <v>1951</v>
      </c>
      <c r="B5600" t="s">
        <v>8</v>
      </c>
      <c r="C5600" s="3" t="s">
        <v>1953</v>
      </c>
      <c r="D5600" s="3" t="s">
        <v>55</v>
      </c>
    </row>
    <row r="5601" spans="1:4" x14ac:dyDescent="0.2">
      <c r="A5601" s="3" t="s">
        <v>1951</v>
      </c>
      <c r="B5601" t="s">
        <v>8</v>
      </c>
      <c r="C5601" s="3" t="s">
        <v>1954</v>
      </c>
      <c r="D5601" s="3" t="s">
        <v>55</v>
      </c>
    </row>
    <row r="5602" spans="1:4" x14ac:dyDescent="0.2">
      <c r="A5602" s="3" t="s">
        <v>1951</v>
      </c>
      <c r="B5602" t="s">
        <v>8</v>
      </c>
      <c r="C5602" s="3" t="s">
        <v>1955</v>
      </c>
      <c r="D5602" s="3" t="s">
        <v>55</v>
      </c>
    </row>
    <row r="5603" spans="1:4" x14ac:dyDescent="0.2">
      <c r="A5603" s="3" t="s">
        <v>1951</v>
      </c>
      <c r="B5603" t="s">
        <v>8</v>
      </c>
      <c r="C5603" s="3" t="s">
        <v>1956</v>
      </c>
      <c r="D5603" s="3" t="s">
        <v>55</v>
      </c>
    </row>
    <row r="5604" spans="1:4" x14ac:dyDescent="0.2">
      <c r="A5604" s="3" t="s">
        <v>1951</v>
      </c>
      <c r="B5604" t="s">
        <v>8</v>
      </c>
      <c r="C5604" s="3" t="s">
        <v>1957</v>
      </c>
      <c r="D5604" s="3" t="s">
        <v>55</v>
      </c>
    </row>
    <row r="5605" spans="1:4" x14ac:dyDescent="0.2">
      <c r="A5605" s="3" t="s">
        <v>1951</v>
      </c>
      <c r="B5605" t="s">
        <v>8</v>
      </c>
      <c r="C5605" s="3" t="s">
        <v>1958</v>
      </c>
      <c r="D5605" s="3" t="s">
        <v>55</v>
      </c>
    </row>
    <row r="5606" spans="1:4" x14ac:dyDescent="0.2">
      <c r="A5606" s="3" t="s">
        <v>1951</v>
      </c>
      <c r="B5606" t="s">
        <v>8</v>
      </c>
      <c r="C5606" s="3" t="s">
        <v>1959</v>
      </c>
      <c r="D5606" s="3" t="s">
        <v>55</v>
      </c>
    </row>
    <row r="5607" spans="1:4" x14ac:dyDescent="0.2">
      <c r="A5607" s="3" t="s">
        <v>1951</v>
      </c>
      <c r="B5607" t="s">
        <v>8</v>
      </c>
      <c r="C5607" s="3" t="s">
        <v>1960</v>
      </c>
      <c r="D5607" s="3" t="s">
        <v>55</v>
      </c>
    </row>
    <row r="5608" spans="1:4" x14ac:dyDescent="0.2">
      <c r="A5608" s="3" t="s">
        <v>1951</v>
      </c>
      <c r="B5608" t="s">
        <v>8</v>
      </c>
      <c r="C5608" s="3" t="s">
        <v>1961</v>
      </c>
      <c r="D5608" s="3" t="s">
        <v>55</v>
      </c>
    </row>
    <row r="5609" spans="1:4" x14ac:dyDescent="0.2">
      <c r="A5609" s="3" t="s">
        <v>1951</v>
      </c>
      <c r="B5609" t="s">
        <v>8</v>
      </c>
      <c r="C5609" s="3" t="s">
        <v>1962</v>
      </c>
      <c r="D5609" s="3" t="s">
        <v>55</v>
      </c>
    </row>
    <row r="5610" spans="1:4" x14ac:dyDescent="0.2">
      <c r="A5610" s="3" t="s">
        <v>1951</v>
      </c>
      <c r="B5610" t="s">
        <v>8</v>
      </c>
      <c r="C5610" s="3" t="s">
        <v>1952</v>
      </c>
      <c r="D5610" s="3" t="s">
        <v>56</v>
      </c>
    </row>
    <row r="5611" spans="1:4" x14ac:dyDescent="0.2">
      <c r="A5611" s="3" t="s">
        <v>1951</v>
      </c>
      <c r="B5611" t="s">
        <v>8</v>
      </c>
      <c r="C5611" s="3" t="s">
        <v>1953</v>
      </c>
      <c r="D5611" s="3" t="s">
        <v>56</v>
      </c>
    </row>
    <row r="5612" spans="1:4" x14ac:dyDescent="0.2">
      <c r="A5612" s="3" t="s">
        <v>1951</v>
      </c>
      <c r="B5612" t="s">
        <v>8</v>
      </c>
      <c r="C5612" s="3" t="s">
        <v>1954</v>
      </c>
      <c r="D5612" s="3" t="s">
        <v>56</v>
      </c>
    </row>
    <row r="5613" spans="1:4" x14ac:dyDescent="0.2">
      <c r="A5613" s="3" t="s">
        <v>1951</v>
      </c>
      <c r="B5613" t="s">
        <v>8</v>
      </c>
      <c r="C5613" s="3" t="s">
        <v>1955</v>
      </c>
      <c r="D5613" s="3" t="s">
        <v>56</v>
      </c>
    </row>
    <row r="5614" spans="1:4" x14ac:dyDescent="0.2">
      <c r="A5614" s="3" t="s">
        <v>1951</v>
      </c>
      <c r="B5614" t="s">
        <v>8</v>
      </c>
      <c r="C5614" s="3" t="s">
        <v>1956</v>
      </c>
      <c r="D5614" s="3" t="s">
        <v>56</v>
      </c>
    </row>
    <row r="5615" spans="1:4" x14ac:dyDescent="0.2">
      <c r="A5615" s="3" t="s">
        <v>1951</v>
      </c>
      <c r="B5615" t="s">
        <v>8</v>
      </c>
      <c r="C5615" s="3" t="s">
        <v>1957</v>
      </c>
      <c r="D5615" s="3" t="s">
        <v>56</v>
      </c>
    </row>
    <row r="5616" spans="1:4" x14ac:dyDescent="0.2">
      <c r="A5616" s="3" t="s">
        <v>1951</v>
      </c>
      <c r="B5616" t="s">
        <v>8</v>
      </c>
      <c r="C5616" s="3" t="s">
        <v>1958</v>
      </c>
      <c r="D5616" s="3" t="s">
        <v>56</v>
      </c>
    </row>
    <row r="5617" spans="1:4" x14ac:dyDescent="0.2">
      <c r="A5617" s="3" t="s">
        <v>1951</v>
      </c>
      <c r="B5617" t="s">
        <v>8</v>
      </c>
      <c r="C5617" s="3" t="s">
        <v>1959</v>
      </c>
      <c r="D5617" s="3" t="s">
        <v>56</v>
      </c>
    </row>
    <row r="5618" spans="1:4" x14ac:dyDescent="0.2">
      <c r="A5618" s="3" t="s">
        <v>1951</v>
      </c>
      <c r="B5618" t="s">
        <v>8</v>
      </c>
      <c r="C5618" s="3" t="s">
        <v>1960</v>
      </c>
      <c r="D5618" s="3" t="s">
        <v>56</v>
      </c>
    </row>
    <row r="5619" spans="1:4" x14ac:dyDescent="0.2">
      <c r="A5619" s="3" t="s">
        <v>1951</v>
      </c>
      <c r="B5619" t="s">
        <v>8</v>
      </c>
      <c r="C5619" s="3" t="s">
        <v>1961</v>
      </c>
      <c r="D5619" s="3" t="s">
        <v>56</v>
      </c>
    </row>
    <row r="5620" spans="1:4" x14ac:dyDescent="0.2">
      <c r="A5620" s="3" t="s">
        <v>1951</v>
      </c>
      <c r="B5620" t="s">
        <v>8</v>
      </c>
      <c r="C5620" s="3" t="s">
        <v>1962</v>
      </c>
      <c r="D5620" s="3" t="s">
        <v>56</v>
      </c>
    </row>
    <row r="5621" spans="1:4" x14ac:dyDescent="0.2">
      <c r="A5621" s="3" t="s">
        <v>1951</v>
      </c>
      <c r="B5621" t="s">
        <v>8</v>
      </c>
      <c r="C5621" s="3" t="s">
        <v>1952</v>
      </c>
      <c r="D5621" s="3" t="s">
        <v>57</v>
      </c>
    </row>
    <row r="5622" spans="1:4" x14ac:dyDescent="0.2">
      <c r="A5622" s="3" t="s">
        <v>1951</v>
      </c>
      <c r="B5622" t="s">
        <v>8</v>
      </c>
      <c r="C5622" s="3" t="s">
        <v>1953</v>
      </c>
      <c r="D5622" s="3" t="s">
        <v>57</v>
      </c>
    </row>
    <row r="5623" spans="1:4" x14ac:dyDescent="0.2">
      <c r="A5623" s="3" t="s">
        <v>1951</v>
      </c>
      <c r="B5623" t="s">
        <v>8</v>
      </c>
      <c r="C5623" s="3" t="s">
        <v>1954</v>
      </c>
      <c r="D5623" s="3" t="s">
        <v>57</v>
      </c>
    </row>
    <row r="5624" spans="1:4" x14ac:dyDescent="0.2">
      <c r="A5624" s="3" t="s">
        <v>1951</v>
      </c>
      <c r="B5624" t="s">
        <v>8</v>
      </c>
      <c r="C5624" s="3" t="s">
        <v>1955</v>
      </c>
      <c r="D5624" s="3" t="s">
        <v>57</v>
      </c>
    </row>
    <row r="5625" spans="1:4" x14ac:dyDescent="0.2">
      <c r="A5625" s="3" t="s">
        <v>1951</v>
      </c>
      <c r="B5625" t="s">
        <v>8</v>
      </c>
      <c r="C5625" s="3" t="s">
        <v>1956</v>
      </c>
      <c r="D5625" s="3" t="s">
        <v>57</v>
      </c>
    </row>
    <row r="5626" spans="1:4" x14ac:dyDescent="0.2">
      <c r="A5626" s="3" t="s">
        <v>1951</v>
      </c>
      <c r="B5626" t="s">
        <v>8</v>
      </c>
      <c r="C5626" s="3" t="s">
        <v>1957</v>
      </c>
      <c r="D5626" s="3" t="s">
        <v>57</v>
      </c>
    </row>
    <row r="5627" spans="1:4" x14ac:dyDescent="0.2">
      <c r="A5627" s="3" t="s">
        <v>1951</v>
      </c>
      <c r="B5627" t="s">
        <v>8</v>
      </c>
      <c r="C5627" s="3" t="s">
        <v>1958</v>
      </c>
      <c r="D5627" s="3" t="s">
        <v>57</v>
      </c>
    </row>
    <row r="5628" spans="1:4" x14ac:dyDescent="0.2">
      <c r="A5628" s="3" t="s">
        <v>1951</v>
      </c>
      <c r="B5628" t="s">
        <v>8</v>
      </c>
      <c r="C5628" s="3" t="s">
        <v>1959</v>
      </c>
      <c r="D5628" s="3" t="s">
        <v>57</v>
      </c>
    </row>
    <row r="5629" spans="1:4" x14ac:dyDescent="0.2">
      <c r="A5629" s="3" t="s">
        <v>1951</v>
      </c>
      <c r="B5629" t="s">
        <v>8</v>
      </c>
      <c r="C5629" s="3" t="s">
        <v>1960</v>
      </c>
      <c r="D5629" s="3" t="s">
        <v>57</v>
      </c>
    </row>
    <row r="5630" spans="1:4" x14ac:dyDescent="0.2">
      <c r="A5630" s="3" t="s">
        <v>1951</v>
      </c>
      <c r="B5630" t="s">
        <v>8</v>
      </c>
      <c r="C5630" s="3" t="s">
        <v>1961</v>
      </c>
      <c r="D5630" s="3" t="s">
        <v>57</v>
      </c>
    </row>
    <row r="5631" spans="1:4" x14ac:dyDescent="0.2">
      <c r="A5631" s="3" t="s">
        <v>1951</v>
      </c>
      <c r="B5631" t="s">
        <v>8</v>
      </c>
      <c r="C5631" s="3" t="s">
        <v>1962</v>
      </c>
      <c r="D5631" s="3" t="s">
        <v>57</v>
      </c>
    </row>
    <row r="5632" spans="1:4" x14ac:dyDescent="0.2">
      <c r="A5632" s="3" t="s">
        <v>1951</v>
      </c>
      <c r="B5632" t="s">
        <v>8</v>
      </c>
      <c r="C5632" s="3" t="s">
        <v>1963</v>
      </c>
      <c r="D5632" s="3" t="s">
        <v>22</v>
      </c>
    </row>
    <row r="5633" spans="1:4" x14ac:dyDescent="0.2">
      <c r="A5633" s="3" t="s">
        <v>1951</v>
      </c>
      <c r="B5633" t="s">
        <v>8</v>
      </c>
      <c r="C5633" s="3" t="s">
        <v>1964</v>
      </c>
      <c r="D5633" s="3" t="s">
        <v>22</v>
      </c>
    </row>
    <row r="5634" spans="1:4" x14ac:dyDescent="0.2">
      <c r="A5634" s="3" t="s">
        <v>1951</v>
      </c>
      <c r="B5634" t="s">
        <v>8</v>
      </c>
      <c r="C5634" s="3" t="s">
        <v>1965</v>
      </c>
      <c r="D5634" s="3" t="s">
        <v>22</v>
      </c>
    </row>
    <row r="5635" spans="1:4" x14ac:dyDescent="0.2">
      <c r="A5635" s="3" t="s">
        <v>1951</v>
      </c>
      <c r="B5635" t="s">
        <v>8</v>
      </c>
      <c r="C5635" s="3" t="s">
        <v>1966</v>
      </c>
      <c r="D5635" s="3" t="s">
        <v>22</v>
      </c>
    </row>
    <row r="5636" spans="1:4" x14ac:dyDescent="0.2">
      <c r="A5636" s="3" t="s">
        <v>1951</v>
      </c>
      <c r="B5636" t="s">
        <v>8</v>
      </c>
      <c r="C5636" s="3" t="s">
        <v>1967</v>
      </c>
      <c r="D5636" s="3" t="s">
        <v>22</v>
      </c>
    </row>
    <row r="5637" spans="1:4" x14ac:dyDescent="0.2">
      <c r="A5637" s="3" t="s">
        <v>1951</v>
      </c>
      <c r="B5637" t="s">
        <v>8</v>
      </c>
      <c r="C5637" s="3" t="s">
        <v>1968</v>
      </c>
      <c r="D5637" s="3" t="s">
        <v>22</v>
      </c>
    </row>
    <row r="5638" spans="1:4" x14ac:dyDescent="0.2">
      <c r="A5638" s="3" t="s">
        <v>1951</v>
      </c>
      <c r="B5638" t="s">
        <v>8</v>
      </c>
      <c r="C5638" s="3" t="s">
        <v>1969</v>
      </c>
      <c r="D5638" s="3" t="s">
        <v>22</v>
      </c>
    </row>
    <row r="5639" spans="1:4" x14ac:dyDescent="0.2">
      <c r="A5639" s="3" t="s">
        <v>1951</v>
      </c>
      <c r="B5639" t="s">
        <v>8</v>
      </c>
      <c r="C5639" s="3" t="s">
        <v>1970</v>
      </c>
      <c r="D5639" s="3" t="s">
        <v>22</v>
      </c>
    </row>
    <row r="5640" spans="1:4" x14ac:dyDescent="0.2">
      <c r="A5640" s="3" t="s">
        <v>1951</v>
      </c>
      <c r="B5640" t="s">
        <v>8</v>
      </c>
      <c r="C5640" s="3" t="s">
        <v>1971</v>
      </c>
      <c r="D5640" s="3" t="s">
        <v>22</v>
      </c>
    </row>
    <row r="5641" spans="1:4" x14ac:dyDescent="0.2">
      <c r="A5641" s="3" t="s">
        <v>1951</v>
      </c>
      <c r="B5641" t="s">
        <v>8</v>
      </c>
      <c r="C5641" s="3" t="s">
        <v>1972</v>
      </c>
      <c r="D5641" s="3" t="s">
        <v>22</v>
      </c>
    </row>
    <row r="5642" spans="1:4" x14ac:dyDescent="0.2">
      <c r="A5642" s="3" t="s">
        <v>1951</v>
      </c>
      <c r="B5642" t="s">
        <v>8</v>
      </c>
      <c r="C5642" s="3" t="s">
        <v>1973</v>
      </c>
      <c r="D5642" s="3" t="s">
        <v>22</v>
      </c>
    </row>
    <row r="5643" spans="1:4" x14ac:dyDescent="0.2">
      <c r="A5643" s="3" t="s">
        <v>1951</v>
      </c>
      <c r="B5643" t="s">
        <v>8</v>
      </c>
      <c r="C5643" s="3" t="s">
        <v>1974</v>
      </c>
      <c r="D5643" s="3" t="s">
        <v>22</v>
      </c>
    </row>
    <row r="5644" spans="1:4" x14ac:dyDescent="0.2">
      <c r="A5644" s="3" t="s">
        <v>1951</v>
      </c>
      <c r="B5644" t="s">
        <v>8</v>
      </c>
      <c r="C5644" s="3" t="s">
        <v>1975</v>
      </c>
      <c r="D5644" s="3" t="s">
        <v>22</v>
      </c>
    </row>
    <row r="5645" spans="1:4" x14ac:dyDescent="0.2">
      <c r="A5645" s="3" t="s">
        <v>1951</v>
      </c>
      <c r="B5645" t="s">
        <v>8</v>
      </c>
      <c r="C5645" s="3" t="s">
        <v>1976</v>
      </c>
      <c r="D5645" s="3" t="s">
        <v>22</v>
      </c>
    </row>
    <row r="5646" spans="1:4" x14ac:dyDescent="0.2">
      <c r="A5646" s="3" t="s">
        <v>1951</v>
      </c>
      <c r="B5646" t="s">
        <v>8</v>
      </c>
      <c r="C5646" s="3" t="s">
        <v>1977</v>
      </c>
      <c r="D5646" s="3" t="s">
        <v>22</v>
      </c>
    </row>
    <row r="5647" spans="1:4" x14ac:dyDescent="0.2">
      <c r="A5647" s="3" t="s">
        <v>1951</v>
      </c>
      <c r="B5647" t="s">
        <v>8</v>
      </c>
      <c r="C5647" s="3" t="s">
        <v>1978</v>
      </c>
      <c r="D5647" s="3" t="s">
        <v>22</v>
      </c>
    </row>
    <row r="5648" spans="1:4" x14ac:dyDescent="0.2">
      <c r="A5648" s="3" t="s">
        <v>1951</v>
      </c>
      <c r="B5648" t="s">
        <v>8</v>
      </c>
      <c r="C5648" s="3" t="s">
        <v>1979</v>
      </c>
      <c r="D5648" s="3" t="s">
        <v>22</v>
      </c>
    </row>
    <row r="5649" spans="1:4" x14ac:dyDescent="0.2">
      <c r="A5649" s="3" t="s">
        <v>1951</v>
      </c>
      <c r="B5649" t="s">
        <v>8</v>
      </c>
      <c r="C5649" s="3" t="s">
        <v>1980</v>
      </c>
      <c r="D5649" s="3" t="s">
        <v>22</v>
      </c>
    </row>
    <row r="5650" spans="1:4" x14ac:dyDescent="0.2">
      <c r="A5650" s="3" t="s">
        <v>1951</v>
      </c>
      <c r="B5650" t="s">
        <v>8</v>
      </c>
      <c r="C5650" s="3" t="s">
        <v>1981</v>
      </c>
      <c r="D5650" s="3" t="s">
        <v>22</v>
      </c>
    </row>
    <row r="5651" spans="1:4" x14ac:dyDescent="0.2">
      <c r="A5651" s="3" t="s">
        <v>1951</v>
      </c>
      <c r="B5651" t="s">
        <v>8</v>
      </c>
      <c r="C5651" s="3" t="s">
        <v>1982</v>
      </c>
      <c r="D5651" s="3" t="s">
        <v>22</v>
      </c>
    </row>
    <row r="5652" spans="1:4" x14ac:dyDescent="0.2">
      <c r="A5652" s="3" t="s">
        <v>1951</v>
      </c>
      <c r="B5652" t="s">
        <v>8</v>
      </c>
      <c r="C5652" s="3" t="s">
        <v>1983</v>
      </c>
      <c r="D5652" s="3" t="s">
        <v>22</v>
      </c>
    </row>
    <row r="5653" spans="1:4" x14ac:dyDescent="0.2">
      <c r="A5653" s="3" t="s">
        <v>1951</v>
      </c>
      <c r="B5653" t="s">
        <v>8</v>
      </c>
      <c r="C5653" s="3" t="s">
        <v>1984</v>
      </c>
      <c r="D5653" s="3" t="s">
        <v>22</v>
      </c>
    </row>
    <row r="5654" spans="1:4" x14ac:dyDescent="0.2">
      <c r="A5654" s="3" t="s">
        <v>1951</v>
      </c>
      <c r="B5654" t="s">
        <v>8</v>
      </c>
      <c r="C5654" s="3" t="s">
        <v>1985</v>
      </c>
      <c r="D5654" s="3" t="s">
        <v>22</v>
      </c>
    </row>
    <row r="5655" spans="1:4" x14ac:dyDescent="0.2">
      <c r="A5655" s="3" t="s">
        <v>1951</v>
      </c>
      <c r="B5655" t="s">
        <v>8</v>
      </c>
      <c r="C5655" s="3" t="s">
        <v>1986</v>
      </c>
      <c r="D5655" s="3" t="s">
        <v>22</v>
      </c>
    </row>
    <row r="5656" spans="1:4" x14ac:dyDescent="0.2">
      <c r="A5656" s="3" t="s">
        <v>1951</v>
      </c>
      <c r="B5656" t="s">
        <v>8</v>
      </c>
      <c r="C5656" s="3" t="s">
        <v>1987</v>
      </c>
      <c r="D5656" s="3" t="s">
        <v>22</v>
      </c>
    </row>
    <row r="5657" spans="1:4" x14ac:dyDescent="0.2">
      <c r="A5657" s="3" t="s">
        <v>1951</v>
      </c>
      <c r="B5657" t="s">
        <v>8</v>
      </c>
      <c r="C5657" s="3" t="s">
        <v>1988</v>
      </c>
      <c r="D5657" s="3" t="s">
        <v>22</v>
      </c>
    </row>
    <row r="5658" spans="1:4" x14ac:dyDescent="0.2">
      <c r="A5658" s="3" t="s">
        <v>1951</v>
      </c>
      <c r="B5658" t="s">
        <v>8</v>
      </c>
      <c r="C5658" s="3" t="s">
        <v>1989</v>
      </c>
      <c r="D5658" s="3" t="s">
        <v>22</v>
      </c>
    </row>
    <row r="5659" spans="1:4" x14ac:dyDescent="0.2">
      <c r="A5659" s="3" t="s">
        <v>1951</v>
      </c>
      <c r="B5659" t="s">
        <v>8</v>
      </c>
      <c r="C5659" s="3" t="s">
        <v>1990</v>
      </c>
      <c r="D5659" s="3" t="s">
        <v>22</v>
      </c>
    </row>
    <row r="5660" spans="1:4" x14ac:dyDescent="0.2">
      <c r="A5660" s="3" t="s">
        <v>1951</v>
      </c>
      <c r="B5660" t="s">
        <v>8</v>
      </c>
      <c r="C5660" s="3" t="s">
        <v>1991</v>
      </c>
      <c r="D5660" s="3" t="s">
        <v>22</v>
      </c>
    </row>
    <row r="5661" spans="1:4" x14ac:dyDescent="0.2">
      <c r="A5661" s="3" t="s">
        <v>1951</v>
      </c>
      <c r="B5661" t="s">
        <v>8</v>
      </c>
      <c r="C5661" s="3" t="s">
        <v>1992</v>
      </c>
      <c r="D5661" s="3" t="s">
        <v>22</v>
      </c>
    </row>
    <row r="5662" spans="1:4" x14ac:dyDescent="0.2">
      <c r="A5662" s="3" t="s">
        <v>1951</v>
      </c>
      <c r="B5662" t="s">
        <v>8</v>
      </c>
      <c r="C5662" s="3" t="s">
        <v>1993</v>
      </c>
      <c r="D5662" s="3" t="s">
        <v>22</v>
      </c>
    </row>
    <row r="5663" spans="1:4" x14ac:dyDescent="0.2">
      <c r="A5663" s="3" t="s">
        <v>1951</v>
      </c>
      <c r="B5663" t="s">
        <v>8</v>
      </c>
      <c r="C5663" s="3" t="s">
        <v>1994</v>
      </c>
      <c r="D5663" s="3" t="s">
        <v>22</v>
      </c>
    </row>
    <row r="5664" spans="1:4" x14ac:dyDescent="0.2">
      <c r="A5664" s="3" t="s">
        <v>1951</v>
      </c>
      <c r="B5664" t="s">
        <v>8</v>
      </c>
      <c r="C5664" s="3" t="s">
        <v>1995</v>
      </c>
      <c r="D5664" s="3" t="s">
        <v>22</v>
      </c>
    </row>
    <row r="5665" spans="1:4" x14ac:dyDescent="0.2">
      <c r="A5665" s="3" t="s">
        <v>1951</v>
      </c>
      <c r="B5665" t="s">
        <v>8</v>
      </c>
      <c r="C5665" s="3" t="s">
        <v>1996</v>
      </c>
      <c r="D5665" s="3" t="s">
        <v>22</v>
      </c>
    </row>
    <row r="5666" spans="1:4" x14ac:dyDescent="0.2">
      <c r="A5666" s="3" t="s">
        <v>1951</v>
      </c>
      <c r="B5666" t="s">
        <v>8</v>
      </c>
      <c r="C5666" s="3" t="s">
        <v>1997</v>
      </c>
      <c r="D5666" s="3" t="s">
        <v>22</v>
      </c>
    </row>
    <row r="5667" spans="1:4" x14ac:dyDescent="0.2">
      <c r="A5667" s="3" t="s">
        <v>1998</v>
      </c>
      <c r="B5667" t="s">
        <v>8</v>
      </c>
      <c r="C5667" s="3" t="s">
        <v>16</v>
      </c>
      <c r="D5667" s="3" t="s">
        <v>10</v>
      </c>
    </row>
    <row r="5668" spans="1:4" x14ac:dyDescent="0.2">
      <c r="A5668" s="3" t="s">
        <v>1998</v>
      </c>
      <c r="B5668" t="s">
        <v>8</v>
      </c>
      <c r="C5668" s="3" t="s">
        <v>16</v>
      </c>
      <c r="D5668" s="3" t="s">
        <v>11</v>
      </c>
    </row>
    <row r="5669" spans="1:4" x14ac:dyDescent="0.2">
      <c r="A5669" s="3" t="s">
        <v>1999</v>
      </c>
      <c r="B5669" t="s">
        <v>8</v>
      </c>
      <c r="C5669" s="3" t="s">
        <v>2000</v>
      </c>
      <c r="D5669" s="3" t="s">
        <v>22</v>
      </c>
    </row>
    <row r="5670" spans="1:4" x14ac:dyDescent="0.2">
      <c r="A5670" s="3" t="s">
        <v>1999</v>
      </c>
      <c r="B5670" t="s">
        <v>8</v>
      </c>
      <c r="C5670" s="3" t="s">
        <v>2001</v>
      </c>
      <c r="D5670" s="3" t="s">
        <v>22</v>
      </c>
    </row>
    <row r="5671" spans="1:4" x14ac:dyDescent="0.2">
      <c r="A5671" s="3" t="s">
        <v>1999</v>
      </c>
      <c r="B5671" t="s">
        <v>8</v>
      </c>
      <c r="C5671" s="3" t="s">
        <v>2002</v>
      </c>
      <c r="D5671" s="3" t="s">
        <v>22</v>
      </c>
    </row>
    <row r="5672" spans="1:4" x14ac:dyDescent="0.2">
      <c r="A5672" s="3" t="s">
        <v>1999</v>
      </c>
      <c r="B5672" t="s">
        <v>8</v>
      </c>
      <c r="C5672" s="3" t="s">
        <v>2003</v>
      </c>
      <c r="D5672" s="3" t="s">
        <v>22</v>
      </c>
    </row>
    <row r="5673" spans="1:4" x14ac:dyDescent="0.2">
      <c r="A5673" s="3" t="s">
        <v>1999</v>
      </c>
      <c r="B5673" t="s">
        <v>8</v>
      </c>
      <c r="C5673" s="3" t="s">
        <v>2004</v>
      </c>
      <c r="D5673" s="3" t="s">
        <v>22</v>
      </c>
    </row>
    <row r="5674" spans="1:4" x14ac:dyDescent="0.2">
      <c r="A5674" s="3" t="s">
        <v>1999</v>
      </c>
      <c r="B5674" t="s">
        <v>8</v>
      </c>
      <c r="C5674" s="3" t="s">
        <v>2005</v>
      </c>
      <c r="D5674" s="3" t="s">
        <v>22</v>
      </c>
    </row>
    <row r="5675" spans="1:4" x14ac:dyDescent="0.2">
      <c r="A5675" s="3" t="s">
        <v>1999</v>
      </c>
      <c r="B5675" t="s">
        <v>8</v>
      </c>
      <c r="C5675" s="3" t="s">
        <v>2006</v>
      </c>
      <c r="D5675" s="3" t="s">
        <v>22</v>
      </c>
    </row>
    <row r="5676" spans="1:4" x14ac:dyDescent="0.2">
      <c r="A5676" s="3" t="s">
        <v>1999</v>
      </c>
      <c r="B5676" t="s">
        <v>8</v>
      </c>
      <c r="C5676" s="3" t="s">
        <v>2007</v>
      </c>
      <c r="D5676" s="3" t="s">
        <v>22</v>
      </c>
    </row>
    <row r="5677" spans="1:4" x14ac:dyDescent="0.2">
      <c r="A5677" s="3" t="s">
        <v>1999</v>
      </c>
      <c r="B5677" t="s">
        <v>8</v>
      </c>
      <c r="C5677" s="3" t="s">
        <v>2008</v>
      </c>
      <c r="D5677" s="3" t="s">
        <v>22</v>
      </c>
    </row>
    <row r="5678" spans="1:4" x14ac:dyDescent="0.2">
      <c r="A5678" s="3" t="s">
        <v>2009</v>
      </c>
      <c r="B5678" t="s">
        <v>8</v>
      </c>
      <c r="C5678" s="3" t="s">
        <v>2010</v>
      </c>
      <c r="D5678" s="3" t="s">
        <v>22</v>
      </c>
    </row>
    <row r="5679" spans="1:4" x14ac:dyDescent="0.2">
      <c r="A5679" s="3" t="s">
        <v>2009</v>
      </c>
      <c r="B5679" t="s">
        <v>8</v>
      </c>
      <c r="C5679" s="3" t="s">
        <v>2011</v>
      </c>
      <c r="D5679" s="3" t="s">
        <v>22</v>
      </c>
    </row>
    <row r="5680" spans="1:4" x14ac:dyDescent="0.2">
      <c r="A5680" s="3" t="s">
        <v>2009</v>
      </c>
      <c r="B5680" t="s">
        <v>8</v>
      </c>
      <c r="C5680" s="3" t="s">
        <v>2012</v>
      </c>
      <c r="D5680" s="3" t="s">
        <v>22</v>
      </c>
    </row>
    <row r="5681" spans="1:4" x14ac:dyDescent="0.2">
      <c r="A5681" s="3" t="s">
        <v>2009</v>
      </c>
      <c r="B5681" t="s">
        <v>8</v>
      </c>
      <c r="C5681" s="3" t="s">
        <v>2013</v>
      </c>
      <c r="D5681" s="3" t="s">
        <v>22</v>
      </c>
    </row>
    <row r="5682" spans="1:4" x14ac:dyDescent="0.2">
      <c r="A5682" s="3" t="s">
        <v>2009</v>
      </c>
      <c r="B5682" t="s">
        <v>8</v>
      </c>
      <c r="C5682" s="3" t="s">
        <v>2014</v>
      </c>
      <c r="D5682" s="3" t="s">
        <v>22</v>
      </c>
    </row>
    <row r="5683" spans="1:4" x14ac:dyDescent="0.2">
      <c r="A5683" s="3" t="s">
        <v>2009</v>
      </c>
      <c r="B5683" t="s">
        <v>8</v>
      </c>
      <c r="C5683" s="3" t="s">
        <v>2015</v>
      </c>
      <c r="D5683" s="3" t="s">
        <v>22</v>
      </c>
    </row>
    <row r="5684" spans="1:4" x14ac:dyDescent="0.2">
      <c r="A5684" s="3" t="s">
        <v>2009</v>
      </c>
      <c r="B5684" t="s">
        <v>8</v>
      </c>
      <c r="C5684" s="3" t="s">
        <v>2016</v>
      </c>
      <c r="D5684" s="3" t="s">
        <v>22</v>
      </c>
    </row>
    <row r="5685" spans="1:4" x14ac:dyDescent="0.2">
      <c r="A5685" s="3" t="s">
        <v>2009</v>
      </c>
      <c r="B5685" t="s">
        <v>8</v>
      </c>
      <c r="C5685" s="3" t="s">
        <v>2017</v>
      </c>
      <c r="D5685" s="3" t="s">
        <v>22</v>
      </c>
    </row>
    <row r="5686" spans="1:4" x14ac:dyDescent="0.2">
      <c r="A5686" s="3" t="s">
        <v>2009</v>
      </c>
      <c r="B5686" t="s">
        <v>8</v>
      </c>
      <c r="C5686" s="3" t="s">
        <v>2018</v>
      </c>
      <c r="D5686" s="3" t="s">
        <v>22</v>
      </c>
    </row>
    <row r="5687" spans="1:4" x14ac:dyDescent="0.2">
      <c r="A5687" s="3" t="s">
        <v>2009</v>
      </c>
      <c r="B5687" t="s">
        <v>8</v>
      </c>
      <c r="C5687" s="3" t="s">
        <v>2019</v>
      </c>
      <c r="D5687" s="3" t="s">
        <v>22</v>
      </c>
    </row>
    <row r="5688" spans="1:4" x14ac:dyDescent="0.2">
      <c r="A5688" s="3" t="s">
        <v>2020</v>
      </c>
      <c r="B5688" t="s">
        <v>8</v>
      </c>
      <c r="C5688" s="3" t="s">
        <v>2021</v>
      </c>
      <c r="D5688" s="3" t="s">
        <v>22</v>
      </c>
    </row>
    <row r="5689" spans="1:4" x14ac:dyDescent="0.2">
      <c r="A5689" s="3" t="s">
        <v>2020</v>
      </c>
      <c r="B5689" t="s">
        <v>8</v>
      </c>
      <c r="C5689" s="3" t="s">
        <v>2022</v>
      </c>
      <c r="D5689" s="3" t="s">
        <v>22</v>
      </c>
    </row>
    <row r="5690" spans="1:4" x14ac:dyDescent="0.2">
      <c r="A5690" s="3" t="s">
        <v>2020</v>
      </c>
      <c r="B5690" t="s">
        <v>8</v>
      </c>
      <c r="C5690" s="3" t="s">
        <v>2023</v>
      </c>
      <c r="D5690" s="3" t="s">
        <v>22</v>
      </c>
    </row>
    <row r="5691" spans="1:4" x14ac:dyDescent="0.2">
      <c r="A5691" s="3" t="s">
        <v>2020</v>
      </c>
      <c r="B5691" t="s">
        <v>8</v>
      </c>
      <c r="C5691" s="3" t="s">
        <v>2024</v>
      </c>
      <c r="D5691" s="3" t="s">
        <v>22</v>
      </c>
    </row>
    <row r="5692" spans="1:4" x14ac:dyDescent="0.2">
      <c r="A5692" s="3" t="s">
        <v>2020</v>
      </c>
      <c r="B5692" t="s">
        <v>8</v>
      </c>
      <c r="C5692" s="3" t="s">
        <v>2025</v>
      </c>
      <c r="D5692" s="3" t="s">
        <v>22</v>
      </c>
    </row>
    <row r="5693" spans="1:4" x14ac:dyDescent="0.2">
      <c r="A5693" s="3" t="s">
        <v>2020</v>
      </c>
      <c r="B5693" t="s">
        <v>8</v>
      </c>
      <c r="C5693" s="3" t="s">
        <v>2026</v>
      </c>
      <c r="D5693" s="3" t="s">
        <v>22</v>
      </c>
    </row>
    <row r="5694" spans="1:4" x14ac:dyDescent="0.2">
      <c r="A5694" s="3" t="s">
        <v>2020</v>
      </c>
      <c r="B5694" t="s">
        <v>8</v>
      </c>
      <c r="C5694" s="3" t="s">
        <v>2027</v>
      </c>
      <c r="D5694" s="3" t="s">
        <v>22</v>
      </c>
    </row>
    <row r="5695" spans="1:4" x14ac:dyDescent="0.2">
      <c r="A5695" s="3" t="s">
        <v>2020</v>
      </c>
      <c r="B5695" t="s">
        <v>8</v>
      </c>
      <c r="C5695" s="3" t="s">
        <v>2028</v>
      </c>
      <c r="D5695" s="3" t="s">
        <v>22</v>
      </c>
    </row>
    <row r="5696" spans="1:4" x14ac:dyDescent="0.2">
      <c r="A5696" s="3" t="s">
        <v>2020</v>
      </c>
      <c r="B5696" t="s">
        <v>8</v>
      </c>
      <c r="C5696" s="3" t="s">
        <v>2029</v>
      </c>
      <c r="D5696" s="3" t="s">
        <v>22</v>
      </c>
    </row>
    <row r="5697" spans="1:4" x14ac:dyDescent="0.2">
      <c r="A5697" s="3" t="s">
        <v>2020</v>
      </c>
      <c r="B5697" t="s">
        <v>8</v>
      </c>
      <c r="C5697" s="3" t="s">
        <v>2030</v>
      </c>
      <c r="D5697" s="3" t="s">
        <v>22</v>
      </c>
    </row>
    <row r="5698" spans="1:4" x14ac:dyDescent="0.2">
      <c r="A5698" s="3" t="s">
        <v>2020</v>
      </c>
      <c r="B5698" t="s">
        <v>8</v>
      </c>
      <c r="C5698" s="3" t="s">
        <v>2031</v>
      </c>
      <c r="D5698" s="3" t="s">
        <v>22</v>
      </c>
    </row>
    <row r="5699" spans="1:4" x14ac:dyDescent="0.2">
      <c r="A5699" s="3" t="s">
        <v>2020</v>
      </c>
      <c r="B5699" t="s">
        <v>8</v>
      </c>
      <c r="C5699" s="3" t="s">
        <v>2032</v>
      </c>
      <c r="D5699" s="3" t="s">
        <v>22</v>
      </c>
    </row>
    <row r="5700" spans="1:4" x14ac:dyDescent="0.2">
      <c r="A5700" s="3" t="s">
        <v>2020</v>
      </c>
      <c r="B5700" t="s">
        <v>8</v>
      </c>
      <c r="C5700" s="3" t="s">
        <v>2033</v>
      </c>
      <c r="D5700" s="3" t="s">
        <v>22</v>
      </c>
    </row>
    <row r="5701" spans="1:4" x14ac:dyDescent="0.2">
      <c r="A5701" s="3" t="s">
        <v>2020</v>
      </c>
      <c r="B5701" t="s">
        <v>8</v>
      </c>
      <c r="C5701" s="3" t="s">
        <v>2034</v>
      </c>
      <c r="D5701" s="3" t="s">
        <v>22</v>
      </c>
    </row>
    <row r="5702" spans="1:4" x14ac:dyDescent="0.2">
      <c r="A5702" s="3" t="s">
        <v>2020</v>
      </c>
      <c r="B5702" t="s">
        <v>8</v>
      </c>
      <c r="C5702" s="3" t="s">
        <v>2035</v>
      </c>
      <c r="D5702" s="3" t="s">
        <v>22</v>
      </c>
    </row>
    <row r="5703" spans="1:4" x14ac:dyDescent="0.2">
      <c r="A5703" s="3" t="s">
        <v>2020</v>
      </c>
      <c r="B5703" t="s">
        <v>8</v>
      </c>
      <c r="C5703" s="3" t="s">
        <v>2036</v>
      </c>
      <c r="D5703" s="3" t="s">
        <v>22</v>
      </c>
    </row>
    <row r="5704" spans="1:4" x14ac:dyDescent="0.2">
      <c r="A5704" s="3" t="s">
        <v>2020</v>
      </c>
      <c r="B5704" t="s">
        <v>8</v>
      </c>
      <c r="C5704" s="3" t="s">
        <v>2037</v>
      </c>
      <c r="D5704" s="3" t="s">
        <v>22</v>
      </c>
    </row>
    <row r="5705" spans="1:4" x14ac:dyDescent="0.2">
      <c r="A5705" s="3" t="s">
        <v>2020</v>
      </c>
      <c r="B5705" t="s">
        <v>8</v>
      </c>
      <c r="C5705" s="3" t="s">
        <v>2038</v>
      </c>
      <c r="D5705" s="3" t="s">
        <v>22</v>
      </c>
    </row>
    <row r="5706" spans="1:4" x14ac:dyDescent="0.2">
      <c r="A5706" s="3" t="s">
        <v>2020</v>
      </c>
      <c r="B5706" t="s">
        <v>8</v>
      </c>
      <c r="C5706" s="3" t="s">
        <v>2039</v>
      </c>
      <c r="D5706" s="3" t="s">
        <v>22</v>
      </c>
    </row>
    <row r="5707" spans="1:4" x14ac:dyDescent="0.2">
      <c r="A5707" s="3" t="s">
        <v>2020</v>
      </c>
      <c r="B5707" t="s">
        <v>8</v>
      </c>
      <c r="C5707" s="3" t="s">
        <v>2040</v>
      </c>
      <c r="D5707" s="3" t="s">
        <v>22</v>
      </c>
    </row>
    <row r="5708" spans="1:4" x14ac:dyDescent="0.2">
      <c r="A5708" s="3" t="s">
        <v>2020</v>
      </c>
      <c r="B5708" t="s">
        <v>8</v>
      </c>
      <c r="C5708" s="3" t="s">
        <v>2041</v>
      </c>
      <c r="D5708" s="3" t="s">
        <v>22</v>
      </c>
    </row>
    <row r="5709" spans="1:4" x14ac:dyDescent="0.2">
      <c r="A5709" s="3" t="s">
        <v>2020</v>
      </c>
      <c r="B5709" t="s">
        <v>8</v>
      </c>
      <c r="C5709" s="3" t="s">
        <v>2042</v>
      </c>
      <c r="D5709" s="3" t="s">
        <v>22</v>
      </c>
    </row>
    <row r="5710" spans="1:4" x14ac:dyDescent="0.2">
      <c r="A5710" s="3" t="s">
        <v>2020</v>
      </c>
      <c r="B5710" t="s">
        <v>8</v>
      </c>
      <c r="C5710" s="3" t="s">
        <v>2043</v>
      </c>
      <c r="D5710" s="3" t="s">
        <v>22</v>
      </c>
    </row>
    <row r="5711" spans="1:4" x14ac:dyDescent="0.2">
      <c r="A5711" s="3" t="s">
        <v>2020</v>
      </c>
      <c r="B5711" t="s">
        <v>8</v>
      </c>
      <c r="C5711" s="3" t="s">
        <v>2044</v>
      </c>
      <c r="D5711" s="3" t="s">
        <v>22</v>
      </c>
    </row>
    <row r="5712" spans="1:4" x14ac:dyDescent="0.2">
      <c r="A5712" s="3" t="s">
        <v>2020</v>
      </c>
      <c r="B5712" t="s">
        <v>8</v>
      </c>
      <c r="C5712" s="3" t="s">
        <v>2045</v>
      </c>
      <c r="D5712" s="3" t="s">
        <v>22</v>
      </c>
    </row>
    <row r="5713" spans="1:4" x14ac:dyDescent="0.2">
      <c r="A5713" s="3" t="s">
        <v>2046</v>
      </c>
      <c r="B5713" t="s">
        <v>8</v>
      </c>
      <c r="C5713" s="3" t="s">
        <v>2047</v>
      </c>
      <c r="D5713" s="3" t="s">
        <v>53</v>
      </c>
    </row>
    <row r="5714" spans="1:4" x14ac:dyDescent="0.2">
      <c r="A5714" s="3" t="s">
        <v>2046</v>
      </c>
      <c r="B5714" t="s">
        <v>8</v>
      </c>
      <c r="C5714" s="3" t="s">
        <v>2048</v>
      </c>
      <c r="D5714" s="3" t="s">
        <v>53</v>
      </c>
    </row>
    <row r="5715" spans="1:4" x14ac:dyDescent="0.2">
      <c r="A5715" s="3" t="s">
        <v>2046</v>
      </c>
      <c r="B5715" t="s">
        <v>8</v>
      </c>
      <c r="C5715" s="3" t="s">
        <v>970</v>
      </c>
      <c r="D5715" s="3" t="s">
        <v>53</v>
      </c>
    </row>
    <row r="5716" spans="1:4" x14ac:dyDescent="0.2">
      <c r="A5716" s="3" t="s">
        <v>2046</v>
      </c>
      <c r="B5716" t="s">
        <v>8</v>
      </c>
      <c r="C5716" s="3" t="s">
        <v>971</v>
      </c>
      <c r="D5716" s="3" t="s">
        <v>53</v>
      </c>
    </row>
    <row r="5717" spans="1:4" x14ac:dyDescent="0.2">
      <c r="A5717" s="3" t="s">
        <v>2046</v>
      </c>
      <c r="B5717" t="s">
        <v>8</v>
      </c>
      <c r="C5717" s="3" t="s">
        <v>2049</v>
      </c>
      <c r="D5717" s="3" t="s">
        <v>53</v>
      </c>
    </row>
    <row r="5718" spans="1:4" x14ac:dyDescent="0.2">
      <c r="A5718" s="3" t="s">
        <v>2046</v>
      </c>
      <c r="B5718" t="s">
        <v>8</v>
      </c>
      <c r="C5718" s="3" t="s">
        <v>983</v>
      </c>
      <c r="D5718" s="3" t="s">
        <v>53</v>
      </c>
    </row>
    <row r="5719" spans="1:4" x14ac:dyDescent="0.2">
      <c r="A5719" s="3" t="s">
        <v>2046</v>
      </c>
      <c r="B5719" t="s">
        <v>8</v>
      </c>
      <c r="C5719" s="3" t="s">
        <v>2050</v>
      </c>
      <c r="D5719" s="3" t="s">
        <v>53</v>
      </c>
    </row>
    <row r="5720" spans="1:4" x14ac:dyDescent="0.2">
      <c r="A5720" s="3" t="s">
        <v>2046</v>
      </c>
      <c r="B5720" t="s">
        <v>8</v>
      </c>
      <c r="C5720" s="3" t="s">
        <v>2051</v>
      </c>
      <c r="D5720" s="3" t="s">
        <v>53</v>
      </c>
    </row>
    <row r="5721" spans="1:4" x14ac:dyDescent="0.2">
      <c r="A5721" s="3" t="s">
        <v>2046</v>
      </c>
      <c r="B5721" t="s">
        <v>8</v>
      </c>
      <c r="C5721" s="3" t="s">
        <v>2052</v>
      </c>
      <c r="D5721" s="3" t="s">
        <v>53</v>
      </c>
    </row>
    <row r="5722" spans="1:4" x14ac:dyDescent="0.2">
      <c r="A5722" s="3" t="s">
        <v>2046</v>
      </c>
      <c r="B5722" t="s">
        <v>8</v>
      </c>
      <c r="C5722" s="3" t="s">
        <v>2053</v>
      </c>
      <c r="D5722" s="3" t="s">
        <v>53</v>
      </c>
    </row>
    <row r="5723" spans="1:4" x14ac:dyDescent="0.2">
      <c r="A5723" s="3" t="s">
        <v>2046</v>
      </c>
      <c r="B5723" t="s">
        <v>8</v>
      </c>
      <c r="C5723" s="3" t="s">
        <v>2054</v>
      </c>
      <c r="D5723" s="3" t="s">
        <v>53</v>
      </c>
    </row>
    <row r="5724" spans="1:4" x14ac:dyDescent="0.2">
      <c r="A5724" s="3" t="s">
        <v>2046</v>
      </c>
      <c r="B5724" t="s">
        <v>8</v>
      </c>
      <c r="C5724" s="3" t="s">
        <v>2055</v>
      </c>
      <c r="D5724" s="3" t="s">
        <v>53</v>
      </c>
    </row>
    <row r="5725" spans="1:4" x14ac:dyDescent="0.2">
      <c r="A5725" s="3" t="s">
        <v>2046</v>
      </c>
      <c r="B5725" t="s">
        <v>8</v>
      </c>
      <c r="C5725" s="3" t="s">
        <v>2056</v>
      </c>
      <c r="D5725" s="3" t="s">
        <v>53</v>
      </c>
    </row>
    <row r="5726" spans="1:4" x14ac:dyDescent="0.2">
      <c r="A5726" s="3" t="s">
        <v>2046</v>
      </c>
      <c r="B5726" t="s">
        <v>8</v>
      </c>
      <c r="C5726" s="3" t="s">
        <v>1030</v>
      </c>
      <c r="D5726" s="3" t="s">
        <v>53</v>
      </c>
    </row>
    <row r="5727" spans="1:4" x14ac:dyDescent="0.2">
      <c r="A5727" s="3" t="s">
        <v>2046</v>
      </c>
      <c r="B5727" t="s">
        <v>8</v>
      </c>
      <c r="C5727" s="3" t="s">
        <v>2057</v>
      </c>
      <c r="D5727" s="3" t="s">
        <v>53</v>
      </c>
    </row>
    <row r="5728" spans="1:4" x14ac:dyDescent="0.2">
      <c r="A5728" s="3" t="s">
        <v>2046</v>
      </c>
      <c r="B5728" t="s">
        <v>8</v>
      </c>
      <c r="C5728" s="3" t="s">
        <v>2058</v>
      </c>
      <c r="D5728" s="3" t="s">
        <v>53</v>
      </c>
    </row>
    <row r="5729" spans="1:4" x14ac:dyDescent="0.2">
      <c r="A5729" s="3" t="s">
        <v>2046</v>
      </c>
      <c r="B5729" t="s">
        <v>8</v>
      </c>
      <c r="C5729" s="3" t="s">
        <v>2059</v>
      </c>
      <c r="D5729" s="3" t="s">
        <v>53</v>
      </c>
    </row>
    <row r="5730" spans="1:4" x14ac:dyDescent="0.2">
      <c r="A5730" s="3" t="s">
        <v>2046</v>
      </c>
      <c r="B5730" t="s">
        <v>8</v>
      </c>
      <c r="C5730" s="3" t="s">
        <v>2060</v>
      </c>
      <c r="D5730" s="3" t="s">
        <v>54</v>
      </c>
    </row>
    <row r="5731" spans="1:4" x14ac:dyDescent="0.2">
      <c r="A5731" s="3" t="s">
        <v>2046</v>
      </c>
      <c r="B5731" t="s">
        <v>8</v>
      </c>
      <c r="C5731" s="3" t="s">
        <v>2048</v>
      </c>
      <c r="D5731" s="3" t="s">
        <v>54</v>
      </c>
    </row>
    <row r="5732" spans="1:4" x14ac:dyDescent="0.2">
      <c r="A5732" s="3" t="s">
        <v>2046</v>
      </c>
      <c r="B5732" t="s">
        <v>8</v>
      </c>
      <c r="C5732" s="3" t="s">
        <v>970</v>
      </c>
      <c r="D5732" s="3" t="s">
        <v>54</v>
      </c>
    </row>
    <row r="5733" spans="1:4" x14ac:dyDescent="0.2">
      <c r="A5733" s="3" t="s">
        <v>2046</v>
      </c>
      <c r="B5733" t="s">
        <v>8</v>
      </c>
      <c r="C5733" s="3" t="s">
        <v>971</v>
      </c>
      <c r="D5733" s="3" t="s">
        <v>54</v>
      </c>
    </row>
    <row r="5734" spans="1:4" x14ac:dyDescent="0.2">
      <c r="A5734" s="3" t="s">
        <v>2046</v>
      </c>
      <c r="B5734" t="s">
        <v>8</v>
      </c>
      <c r="C5734" s="3" t="s">
        <v>2049</v>
      </c>
      <c r="D5734" s="3" t="s">
        <v>54</v>
      </c>
    </row>
    <row r="5735" spans="1:4" x14ac:dyDescent="0.2">
      <c r="A5735" s="3" t="s">
        <v>2046</v>
      </c>
      <c r="B5735" t="s">
        <v>8</v>
      </c>
      <c r="C5735" s="3" t="s">
        <v>983</v>
      </c>
      <c r="D5735" s="3" t="s">
        <v>54</v>
      </c>
    </row>
    <row r="5736" spans="1:4" x14ac:dyDescent="0.2">
      <c r="A5736" s="3" t="s">
        <v>2046</v>
      </c>
      <c r="B5736" t="s">
        <v>8</v>
      </c>
      <c r="C5736" s="3" t="s">
        <v>2050</v>
      </c>
      <c r="D5736" s="3" t="s">
        <v>54</v>
      </c>
    </row>
    <row r="5737" spans="1:4" x14ac:dyDescent="0.2">
      <c r="A5737" s="3" t="s">
        <v>2046</v>
      </c>
      <c r="B5737" t="s">
        <v>8</v>
      </c>
      <c r="C5737" s="3" t="s">
        <v>2051</v>
      </c>
      <c r="D5737" s="3" t="s">
        <v>54</v>
      </c>
    </row>
    <row r="5738" spans="1:4" x14ac:dyDescent="0.2">
      <c r="A5738" s="3" t="s">
        <v>2046</v>
      </c>
      <c r="B5738" t="s">
        <v>8</v>
      </c>
      <c r="C5738" s="3" t="s">
        <v>2052</v>
      </c>
      <c r="D5738" s="3" t="s">
        <v>54</v>
      </c>
    </row>
    <row r="5739" spans="1:4" x14ac:dyDescent="0.2">
      <c r="A5739" s="3" t="s">
        <v>2046</v>
      </c>
      <c r="B5739" t="s">
        <v>8</v>
      </c>
      <c r="C5739" s="3" t="s">
        <v>2053</v>
      </c>
      <c r="D5739" s="3" t="s">
        <v>54</v>
      </c>
    </row>
    <row r="5740" spans="1:4" x14ac:dyDescent="0.2">
      <c r="A5740" s="3" t="s">
        <v>2046</v>
      </c>
      <c r="B5740" t="s">
        <v>8</v>
      </c>
      <c r="C5740" s="3" t="s">
        <v>2054</v>
      </c>
      <c r="D5740" s="3" t="s">
        <v>54</v>
      </c>
    </row>
    <row r="5741" spans="1:4" x14ac:dyDescent="0.2">
      <c r="A5741" s="3" t="s">
        <v>2046</v>
      </c>
      <c r="B5741" t="s">
        <v>8</v>
      </c>
      <c r="C5741" s="3" t="s">
        <v>2055</v>
      </c>
      <c r="D5741" s="3" t="s">
        <v>54</v>
      </c>
    </row>
    <row r="5742" spans="1:4" x14ac:dyDescent="0.2">
      <c r="A5742" s="3" t="s">
        <v>2046</v>
      </c>
      <c r="B5742" t="s">
        <v>8</v>
      </c>
      <c r="C5742" s="3" t="s">
        <v>2056</v>
      </c>
      <c r="D5742" s="3" t="s">
        <v>54</v>
      </c>
    </row>
    <row r="5743" spans="1:4" x14ac:dyDescent="0.2">
      <c r="A5743" s="3" t="s">
        <v>2046</v>
      </c>
      <c r="B5743" t="s">
        <v>8</v>
      </c>
      <c r="C5743" s="3" t="s">
        <v>1030</v>
      </c>
      <c r="D5743" s="3" t="s">
        <v>54</v>
      </c>
    </row>
    <row r="5744" spans="1:4" x14ac:dyDescent="0.2">
      <c r="A5744" s="3" t="s">
        <v>2046</v>
      </c>
      <c r="B5744" t="s">
        <v>8</v>
      </c>
      <c r="C5744" s="3" t="s">
        <v>2057</v>
      </c>
      <c r="D5744" s="3" t="s">
        <v>54</v>
      </c>
    </row>
    <row r="5745" spans="1:4" x14ac:dyDescent="0.2">
      <c r="A5745" s="3" t="s">
        <v>2046</v>
      </c>
      <c r="B5745" t="s">
        <v>8</v>
      </c>
      <c r="C5745" s="3" t="s">
        <v>2058</v>
      </c>
      <c r="D5745" s="3" t="s">
        <v>54</v>
      </c>
    </row>
    <row r="5746" spans="1:4" x14ac:dyDescent="0.2">
      <c r="A5746" s="3" t="s">
        <v>2046</v>
      </c>
      <c r="B5746" t="s">
        <v>8</v>
      </c>
      <c r="C5746" s="3" t="s">
        <v>2059</v>
      </c>
      <c r="D5746" s="3" t="s">
        <v>54</v>
      </c>
    </row>
    <row r="5747" spans="1:4" x14ac:dyDescent="0.2">
      <c r="A5747" s="3" t="s">
        <v>2046</v>
      </c>
      <c r="B5747" t="s">
        <v>8</v>
      </c>
      <c r="C5747" s="3" t="s">
        <v>2061</v>
      </c>
      <c r="D5747" s="3" t="s">
        <v>55</v>
      </c>
    </row>
    <row r="5748" spans="1:4" x14ac:dyDescent="0.2">
      <c r="A5748" s="3" t="s">
        <v>2046</v>
      </c>
      <c r="B5748" t="s">
        <v>8</v>
      </c>
      <c r="C5748" s="3" t="s">
        <v>2048</v>
      </c>
      <c r="D5748" s="3" t="s">
        <v>55</v>
      </c>
    </row>
    <row r="5749" spans="1:4" x14ac:dyDescent="0.2">
      <c r="A5749" s="3" t="s">
        <v>2046</v>
      </c>
      <c r="B5749" t="s">
        <v>8</v>
      </c>
      <c r="C5749" s="3" t="s">
        <v>970</v>
      </c>
      <c r="D5749" s="3" t="s">
        <v>55</v>
      </c>
    </row>
    <row r="5750" spans="1:4" x14ac:dyDescent="0.2">
      <c r="A5750" s="3" t="s">
        <v>2046</v>
      </c>
      <c r="B5750" t="s">
        <v>8</v>
      </c>
      <c r="C5750" s="3" t="s">
        <v>971</v>
      </c>
      <c r="D5750" s="3" t="s">
        <v>55</v>
      </c>
    </row>
    <row r="5751" spans="1:4" x14ac:dyDescent="0.2">
      <c r="A5751" s="3" t="s">
        <v>2046</v>
      </c>
      <c r="B5751" t="s">
        <v>8</v>
      </c>
      <c r="C5751" s="3" t="s">
        <v>2050</v>
      </c>
      <c r="D5751" s="3" t="s">
        <v>55</v>
      </c>
    </row>
    <row r="5752" spans="1:4" x14ac:dyDescent="0.2">
      <c r="A5752" s="3" t="s">
        <v>2046</v>
      </c>
      <c r="B5752" t="s">
        <v>8</v>
      </c>
      <c r="C5752" s="3" t="s">
        <v>2051</v>
      </c>
      <c r="D5752" s="3" t="s">
        <v>55</v>
      </c>
    </row>
    <row r="5753" spans="1:4" x14ac:dyDescent="0.2">
      <c r="A5753" s="3" t="s">
        <v>2046</v>
      </c>
      <c r="B5753" t="s">
        <v>8</v>
      </c>
      <c r="C5753" s="3" t="s">
        <v>2052</v>
      </c>
      <c r="D5753" s="3" t="s">
        <v>55</v>
      </c>
    </row>
    <row r="5754" spans="1:4" x14ac:dyDescent="0.2">
      <c r="A5754" s="3" t="s">
        <v>2046</v>
      </c>
      <c r="B5754" t="s">
        <v>8</v>
      </c>
      <c r="C5754" s="3" t="s">
        <v>2053</v>
      </c>
      <c r="D5754" s="3" t="s">
        <v>55</v>
      </c>
    </row>
    <row r="5755" spans="1:4" x14ac:dyDescent="0.2">
      <c r="A5755" s="3" t="s">
        <v>2046</v>
      </c>
      <c r="B5755" t="s">
        <v>8</v>
      </c>
      <c r="C5755" s="3" t="s">
        <v>2054</v>
      </c>
      <c r="D5755" s="3" t="s">
        <v>55</v>
      </c>
    </row>
    <row r="5756" spans="1:4" x14ac:dyDescent="0.2">
      <c r="A5756" s="3" t="s">
        <v>2046</v>
      </c>
      <c r="B5756" t="s">
        <v>8</v>
      </c>
      <c r="C5756" s="3" t="s">
        <v>2055</v>
      </c>
      <c r="D5756" s="3" t="s">
        <v>55</v>
      </c>
    </row>
    <row r="5757" spans="1:4" x14ac:dyDescent="0.2">
      <c r="A5757" s="3" t="s">
        <v>2046</v>
      </c>
      <c r="B5757" t="s">
        <v>8</v>
      </c>
      <c r="C5757" s="3" t="s">
        <v>2056</v>
      </c>
      <c r="D5757" s="3" t="s">
        <v>55</v>
      </c>
    </row>
    <row r="5758" spans="1:4" x14ac:dyDescent="0.2">
      <c r="A5758" s="3" t="s">
        <v>2046</v>
      </c>
      <c r="B5758" t="s">
        <v>8</v>
      </c>
      <c r="C5758" s="3" t="s">
        <v>1030</v>
      </c>
      <c r="D5758" s="3" t="s">
        <v>55</v>
      </c>
    </row>
    <row r="5759" spans="1:4" x14ac:dyDescent="0.2">
      <c r="A5759" s="3" t="s">
        <v>2046</v>
      </c>
      <c r="B5759" t="s">
        <v>8</v>
      </c>
      <c r="C5759" s="3" t="s">
        <v>2057</v>
      </c>
      <c r="D5759" s="3" t="s">
        <v>55</v>
      </c>
    </row>
    <row r="5760" spans="1:4" x14ac:dyDescent="0.2">
      <c r="A5760" s="3" t="s">
        <v>2046</v>
      </c>
      <c r="B5760" t="s">
        <v>8</v>
      </c>
      <c r="C5760" s="3" t="s">
        <v>2058</v>
      </c>
      <c r="D5760" s="3" t="s">
        <v>55</v>
      </c>
    </row>
    <row r="5761" spans="1:4" x14ac:dyDescent="0.2">
      <c r="A5761" s="3" t="s">
        <v>2046</v>
      </c>
      <c r="B5761" t="s">
        <v>8</v>
      </c>
      <c r="C5761" s="3" t="s">
        <v>2059</v>
      </c>
      <c r="D5761" s="3" t="s">
        <v>55</v>
      </c>
    </row>
    <row r="5762" spans="1:4" x14ac:dyDescent="0.2">
      <c r="A5762" s="3" t="s">
        <v>2046</v>
      </c>
      <c r="B5762" t="s">
        <v>8</v>
      </c>
      <c r="C5762" s="3" t="s">
        <v>2062</v>
      </c>
      <c r="D5762" s="3" t="s">
        <v>56</v>
      </c>
    </row>
    <row r="5763" spans="1:4" x14ac:dyDescent="0.2">
      <c r="A5763" s="3" t="s">
        <v>2046</v>
      </c>
      <c r="B5763" t="s">
        <v>8</v>
      </c>
      <c r="C5763" s="3" t="s">
        <v>2048</v>
      </c>
      <c r="D5763" s="3" t="s">
        <v>56</v>
      </c>
    </row>
    <row r="5764" spans="1:4" x14ac:dyDescent="0.2">
      <c r="A5764" s="3" t="s">
        <v>2046</v>
      </c>
      <c r="B5764" t="s">
        <v>8</v>
      </c>
      <c r="C5764" s="3" t="s">
        <v>970</v>
      </c>
      <c r="D5764" s="3" t="s">
        <v>56</v>
      </c>
    </row>
    <row r="5765" spans="1:4" x14ac:dyDescent="0.2">
      <c r="A5765" s="3" t="s">
        <v>2046</v>
      </c>
      <c r="B5765" t="s">
        <v>8</v>
      </c>
      <c r="C5765" s="3" t="s">
        <v>971</v>
      </c>
      <c r="D5765" s="3" t="s">
        <v>56</v>
      </c>
    </row>
    <row r="5766" spans="1:4" x14ac:dyDescent="0.2">
      <c r="A5766" s="3" t="s">
        <v>2046</v>
      </c>
      <c r="B5766" t="s">
        <v>8</v>
      </c>
      <c r="C5766" s="3" t="s">
        <v>2050</v>
      </c>
      <c r="D5766" s="3" t="s">
        <v>56</v>
      </c>
    </row>
    <row r="5767" spans="1:4" x14ac:dyDescent="0.2">
      <c r="A5767" s="3" t="s">
        <v>2046</v>
      </c>
      <c r="B5767" t="s">
        <v>8</v>
      </c>
      <c r="C5767" s="3" t="s">
        <v>2051</v>
      </c>
      <c r="D5767" s="3" t="s">
        <v>56</v>
      </c>
    </row>
    <row r="5768" spans="1:4" x14ac:dyDescent="0.2">
      <c r="A5768" s="3" t="s">
        <v>2046</v>
      </c>
      <c r="B5768" t="s">
        <v>8</v>
      </c>
      <c r="C5768" s="3" t="s">
        <v>2052</v>
      </c>
      <c r="D5768" s="3" t="s">
        <v>56</v>
      </c>
    </row>
    <row r="5769" spans="1:4" x14ac:dyDescent="0.2">
      <c r="A5769" s="3" t="s">
        <v>2046</v>
      </c>
      <c r="B5769" t="s">
        <v>8</v>
      </c>
      <c r="C5769" s="3" t="s">
        <v>2053</v>
      </c>
      <c r="D5769" s="3" t="s">
        <v>56</v>
      </c>
    </row>
    <row r="5770" spans="1:4" x14ac:dyDescent="0.2">
      <c r="A5770" s="3" t="s">
        <v>2046</v>
      </c>
      <c r="B5770" t="s">
        <v>8</v>
      </c>
      <c r="C5770" s="3" t="s">
        <v>2054</v>
      </c>
      <c r="D5770" s="3" t="s">
        <v>56</v>
      </c>
    </row>
    <row r="5771" spans="1:4" x14ac:dyDescent="0.2">
      <c r="A5771" s="3" t="s">
        <v>2046</v>
      </c>
      <c r="B5771" t="s">
        <v>8</v>
      </c>
      <c r="C5771" s="3" t="s">
        <v>2055</v>
      </c>
      <c r="D5771" s="3" t="s">
        <v>56</v>
      </c>
    </row>
    <row r="5772" spans="1:4" x14ac:dyDescent="0.2">
      <c r="A5772" s="3" t="s">
        <v>2046</v>
      </c>
      <c r="B5772" t="s">
        <v>8</v>
      </c>
      <c r="C5772" s="3" t="s">
        <v>2056</v>
      </c>
      <c r="D5772" s="3" t="s">
        <v>56</v>
      </c>
    </row>
    <row r="5773" spans="1:4" x14ac:dyDescent="0.2">
      <c r="A5773" s="3" t="s">
        <v>2046</v>
      </c>
      <c r="B5773" t="s">
        <v>8</v>
      </c>
      <c r="C5773" s="3" t="s">
        <v>1030</v>
      </c>
      <c r="D5773" s="3" t="s">
        <v>56</v>
      </c>
    </row>
    <row r="5774" spans="1:4" x14ac:dyDescent="0.2">
      <c r="A5774" s="3" t="s">
        <v>2046</v>
      </c>
      <c r="B5774" t="s">
        <v>8</v>
      </c>
      <c r="C5774" s="3" t="s">
        <v>2057</v>
      </c>
      <c r="D5774" s="3" t="s">
        <v>56</v>
      </c>
    </row>
    <row r="5775" spans="1:4" x14ac:dyDescent="0.2">
      <c r="A5775" s="3" t="s">
        <v>2046</v>
      </c>
      <c r="B5775" t="s">
        <v>8</v>
      </c>
      <c r="C5775" s="3" t="s">
        <v>2058</v>
      </c>
      <c r="D5775" s="3" t="s">
        <v>56</v>
      </c>
    </row>
    <row r="5776" spans="1:4" x14ac:dyDescent="0.2">
      <c r="A5776" s="3" t="s">
        <v>2046</v>
      </c>
      <c r="B5776" t="s">
        <v>8</v>
      </c>
      <c r="C5776" s="3" t="s">
        <v>2059</v>
      </c>
      <c r="D5776" s="3" t="s">
        <v>56</v>
      </c>
    </row>
    <row r="5777" spans="1:4" x14ac:dyDescent="0.2">
      <c r="A5777" s="3" t="s">
        <v>2046</v>
      </c>
      <c r="B5777" t="s">
        <v>8</v>
      </c>
      <c r="C5777" s="3" t="s">
        <v>2063</v>
      </c>
      <c r="D5777" s="3" t="s">
        <v>57</v>
      </c>
    </row>
    <row r="5778" spans="1:4" x14ac:dyDescent="0.2">
      <c r="A5778" s="3" t="s">
        <v>2046</v>
      </c>
      <c r="B5778" t="s">
        <v>8</v>
      </c>
      <c r="C5778" s="3" t="s">
        <v>2048</v>
      </c>
      <c r="D5778" s="3" t="s">
        <v>57</v>
      </c>
    </row>
    <row r="5779" spans="1:4" x14ac:dyDescent="0.2">
      <c r="A5779" s="3" t="s">
        <v>2046</v>
      </c>
      <c r="B5779" t="s">
        <v>8</v>
      </c>
      <c r="C5779" s="3" t="s">
        <v>970</v>
      </c>
      <c r="D5779" s="3" t="s">
        <v>57</v>
      </c>
    </row>
    <row r="5780" spans="1:4" x14ac:dyDescent="0.2">
      <c r="A5780" s="3" t="s">
        <v>2046</v>
      </c>
      <c r="B5780" t="s">
        <v>8</v>
      </c>
      <c r="C5780" s="3" t="s">
        <v>971</v>
      </c>
      <c r="D5780" s="3" t="s">
        <v>57</v>
      </c>
    </row>
    <row r="5781" spans="1:4" x14ac:dyDescent="0.2">
      <c r="A5781" s="3" t="s">
        <v>2046</v>
      </c>
      <c r="B5781" t="s">
        <v>8</v>
      </c>
      <c r="C5781" s="3" t="s">
        <v>2050</v>
      </c>
      <c r="D5781" s="3" t="s">
        <v>57</v>
      </c>
    </row>
    <row r="5782" spans="1:4" x14ac:dyDescent="0.2">
      <c r="A5782" s="3" t="s">
        <v>2046</v>
      </c>
      <c r="B5782" t="s">
        <v>8</v>
      </c>
      <c r="C5782" s="3" t="s">
        <v>2051</v>
      </c>
      <c r="D5782" s="3" t="s">
        <v>57</v>
      </c>
    </row>
    <row r="5783" spans="1:4" x14ac:dyDescent="0.2">
      <c r="A5783" s="3" t="s">
        <v>2046</v>
      </c>
      <c r="B5783" t="s">
        <v>8</v>
      </c>
      <c r="C5783" s="3" t="s">
        <v>2052</v>
      </c>
      <c r="D5783" s="3" t="s">
        <v>57</v>
      </c>
    </row>
    <row r="5784" spans="1:4" x14ac:dyDescent="0.2">
      <c r="A5784" s="3" t="s">
        <v>2046</v>
      </c>
      <c r="B5784" t="s">
        <v>8</v>
      </c>
      <c r="C5784" s="3" t="s">
        <v>2053</v>
      </c>
      <c r="D5784" s="3" t="s">
        <v>57</v>
      </c>
    </row>
    <row r="5785" spans="1:4" x14ac:dyDescent="0.2">
      <c r="A5785" s="3" t="s">
        <v>2046</v>
      </c>
      <c r="B5785" t="s">
        <v>8</v>
      </c>
      <c r="C5785" s="3" t="s">
        <v>2054</v>
      </c>
      <c r="D5785" s="3" t="s">
        <v>57</v>
      </c>
    </row>
    <row r="5786" spans="1:4" x14ac:dyDescent="0.2">
      <c r="A5786" s="3" t="s">
        <v>2046</v>
      </c>
      <c r="B5786" t="s">
        <v>8</v>
      </c>
      <c r="C5786" s="3" t="s">
        <v>2055</v>
      </c>
      <c r="D5786" s="3" t="s">
        <v>57</v>
      </c>
    </row>
    <row r="5787" spans="1:4" x14ac:dyDescent="0.2">
      <c r="A5787" s="3" t="s">
        <v>2046</v>
      </c>
      <c r="B5787" t="s">
        <v>8</v>
      </c>
      <c r="C5787" s="3" t="s">
        <v>2056</v>
      </c>
      <c r="D5787" s="3" t="s">
        <v>57</v>
      </c>
    </row>
    <row r="5788" spans="1:4" x14ac:dyDescent="0.2">
      <c r="A5788" s="3" t="s">
        <v>2046</v>
      </c>
      <c r="B5788" t="s">
        <v>8</v>
      </c>
      <c r="C5788" s="3" t="s">
        <v>1030</v>
      </c>
      <c r="D5788" s="3" t="s">
        <v>57</v>
      </c>
    </row>
    <row r="5789" spans="1:4" x14ac:dyDescent="0.2">
      <c r="A5789" s="3" t="s">
        <v>2046</v>
      </c>
      <c r="B5789" t="s">
        <v>8</v>
      </c>
      <c r="C5789" s="3" t="s">
        <v>2057</v>
      </c>
      <c r="D5789" s="3" t="s">
        <v>57</v>
      </c>
    </row>
    <row r="5790" spans="1:4" x14ac:dyDescent="0.2">
      <c r="A5790" s="3" t="s">
        <v>2046</v>
      </c>
      <c r="B5790" t="s">
        <v>8</v>
      </c>
      <c r="C5790" s="3" t="s">
        <v>2058</v>
      </c>
      <c r="D5790" s="3" t="s">
        <v>57</v>
      </c>
    </row>
    <row r="5791" spans="1:4" x14ac:dyDescent="0.2">
      <c r="A5791" s="3" t="s">
        <v>2046</v>
      </c>
      <c r="B5791" t="s">
        <v>8</v>
      </c>
      <c r="C5791" s="3" t="s">
        <v>2059</v>
      </c>
      <c r="D5791" s="3" t="s">
        <v>57</v>
      </c>
    </row>
    <row r="5792" spans="1:4" x14ac:dyDescent="0.2">
      <c r="A5792" s="3" t="s">
        <v>2046</v>
      </c>
      <c r="B5792" t="s">
        <v>8</v>
      </c>
      <c r="C5792" s="3" t="s">
        <v>2064</v>
      </c>
      <c r="D5792" s="3" t="s">
        <v>57</v>
      </c>
    </row>
    <row r="5793" spans="1:4" x14ac:dyDescent="0.2">
      <c r="A5793" s="3" t="s">
        <v>2046</v>
      </c>
      <c r="B5793" t="s">
        <v>8</v>
      </c>
      <c r="C5793" s="3" t="s">
        <v>2065</v>
      </c>
      <c r="D5793" s="3" t="s">
        <v>169</v>
      </c>
    </row>
    <row r="5794" spans="1:4" x14ac:dyDescent="0.2">
      <c r="A5794" s="3" t="s">
        <v>2046</v>
      </c>
      <c r="B5794" t="s">
        <v>8</v>
      </c>
      <c r="C5794" s="3" t="s">
        <v>2066</v>
      </c>
      <c r="D5794" s="3" t="s">
        <v>169</v>
      </c>
    </row>
    <row r="5795" spans="1:4" x14ac:dyDescent="0.2">
      <c r="A5795" s="3" t="s">
        <v>2046</v>
      </c>
      <c r="B5795" t="s">
        <v>8</v>
      </c>
      <c r="C5795" s="3" t="s">
        <v>2067</v>
      </c>
      <c r="D5795" s="3" t="s">
        <v>22</v>
      </c>
    </row>
    <row r="5796" spans="1:4" x14ac:dyDescent="0.2">
      <c r="A5796" s="3" t="s">
        <v>2046</v>
      </c>
      <c r="B5796" t="s">
        <v>8</v>
      </c>
      <c r="C5796" s="3" t="s">
        <v>2068</v>
      </c>
      <c r="D5796" s="3" t="s">
        <v>22</v>
      </c>
    </row>
    <row r="5797" spans="1:4" x14ac:dyDescent="0.2">
      <c r="A5797" s="3" t="s">
        <v>2046</v>
      </c>
      <c r="B5797" t="s">
        <v>8</v>
      </c>
      <c r="C5797" s="3" t="s">
        <v>2069</v>
      </c>
      <c r="D5797" s="3" t="s">
        <v>22</v>
      </c>
    </row>
    <row r="5798" spans="1:4" x14ac:dyDescent="0.2">
      <c r="A5798" s="3" t="s">
        <v>2070</v>
      </c>
      <c r="B5798" t="s">
        <v>8</v>
      </c>
      <c r="C5798" s="3" t="s">
        <v>2071</v>
      </c>
      <c r="D5798" s="3" t="s">
        <v>22</v>
      </c>
    </row>
    <row r="5799" spans="1:4" x14ac:dyDescent="0.2">
      <c r="A5799" s="3" t="s">
        <v>2072</v>
      </c>
      <c r="B5799" t="s">
        <v>8</v>
      </c>
      <c r="C5799" s="3" t="s">
        <v>2073</v>
      </c>
      <c r="D5799" s="3" t="s">
        <v>53</v>
      </c>
    </row>
    <row r="5800" spans="1:4" x14ac:dyDescent="0.2">
      <c r="A5800" s="3" t="s">
        <v>2072</v>
      </c>
      <c r="B5800" t="s">
        <v>8</v>
      </c>
      <c r="C5800" s="3" t="s">
        <v>2074</v>
      </c>
      <c r="D5800" s="3" t="s">
        <v>53</v>
      </c>
    </row>
    <row r="5801" spans="1:4" x14ac:dyDescent="0.2">
      <c r="A5801" s="3" t="s">
        <v>2072</v>
      </c>
      <c r="B5801" t="s">
        <v>8</v>
      </c>
      <c r="C5801" s="3" t="s">
        <v>2075</v>
      </c>
      <c r="D5801" s="3" t="s">
        <v>53</v>
      </c>
    </row>
    <row r="5802" spans="1:4" x14ac:dyDescent="0.2">
      <c r="A5802" s="3" t="s">
        <v>2072</v>
      </c>
      <c r="B5802" t="s">
        <v>8</v>
      </c>
      <c r="C5802" s="3" t="s">
        <v>2073</v>
      </c>
      <c r="D5802" s="3" t="s">
        <v>54</v>
      </c>
    </row>
    <row r="5803" spans="1:4" x14ac:dyDescent="0.2">
      <c r="A5803" s="3" t="s">
        <v>2072</v>
      </c>
      <c r="B5803" t="s">
        <v>8</v>
      </c>
      <c r="C5803" s="3" t="s">
        <v>2074</v>
      </c>
      <c r="D5803" s="3" t="s">
        <v>54</v>
      </c>
    </row>
    <row r="5804" spans="1:4" x14ac:dyDescent="0.2">
      <c r="A5804" s="3" t="s">
        <v>2072</v>
      </c>
      <c r="B5804" t="s">
        <v>8</v>
      </c>
      <c r="C5804" s="3" t="s">
        <v>2075</v>
      </c>
      <c r="D5804" s="3" t="s">
        <v>54</v>
      </c>
    </row>
    <row r="5805" spans="1:4" x14ac:dyDescent="0.2">
      <c r="A5805" s="3" t="s">
        <v>2072</v>
      </c>
      <c r="B5805" t="s">
        <v>8</v>
      </c>
      <c r="C5805" s="3" t="s">
        <v>2073</v>
      </c>
      <c r="D5805" s="3" t="s">
        <v>55</v>
      </c>
    </row>
    <row r="5806" spans="1:4" x14ac:dyDescent="0.2">
      <c r="A5806" s="3" t="s">
        <v>2072</v>
      </c>
      <c r="B5806" t="s">
        <v>8</v>
      </c>
      <c r="C5806" s="3" t="s">
        <v>2074</v>
      </c>
      <c r="D5806" s="3" t="s">
        <v>55</v>
      </c>
    </row>
    <row r="5807" spans="1:4" x14ac:dyDescent="0.2">
      <c r="A5807" s="3" t="s">
        <v>2072</v>
      </c>
      <c r="B5807" t="s">
        <v>8</v>
      </c>
      <c r="C5807" s="3" t="s">
        <v>2075</v>
      </c>
      <c r="D5807" s="3" t="s">
        <v>55</v>
      </c>
    </row>
    <row r="5808" spans="1:4" x14ac:dyDescent="0.2">
      <c r="A5808" s="3" t="s">
        <v>2072</v>
      </c>
      <c r="B5808" t="s">
        <v>8</v>
      </c>
      <c r="C5808" s="3" t="s">
        <v>2073</v>
      </c>
      <c r="D5808" s="3" t="s">
        <v>56</v>
      </c>
    </row>
    <row r="5809" spans="1:4" x14ac:dyDescent="0.2">
      <c r="A5809" s="3" t="s">
        <v>2072</v>
      </c>
      <c r="B5809" t="s">
        <v>8</v>
      </c>
      <c r="C5809" s="3" t="s">
        <v>2074</v>
      </c>
      <c r="D5809" s="3" t="s">
        <v>56</v>
      </c>
    </row>
    <row r="5810" spans="1:4" x14ac:dyDescent="0.2">
      <c r="A5810" s="3" t="s">
        <v>2072</v>
      </c>
      <c r="B5810" t="s">
        <v>8</v>
      </c>
      <c r="C5810" s="3" t="s">
        <v>2075</v>
      </c>
      <c r="D5810" s="3" t="s">
        <v>56</v>
      </c>
    </row>
    <row r="5811" spans="1:4" x14ac:dyDescent="0.2">
      <c r="A5811" s="3" t="s">
        <v>2072</v>
      </c>
      <c r="B5811" t="s">
        <v>8</v>
      </c>
      <c r="C5811" s="3" t="s">
        <v>2073</v>
      </c>
      <c r="D5811" s="3" t="s">
        <v>57</v>
      </c>
    </row>
    <row r="5812" spans="1:4" x14ac:dyDescent="0.2">
      <c r="A5812" s="3" t="s">
        <v>2072</v>
      </c>
      <c r="B5812" t="s">
        <v>8</v>
      </c>
      <c r="C5812" s="3" t="s">
        <v>2074</v>
      </c>
      <c r="D5812" s="3" t="s">
        <v>57</v>
      </c>
    </row>
    <row r="5813" spans="1:4" x14ac:dyDescent="0.2">
      <c r="A5813" s="3" t="s">
        <v>2072</v>
      </c>
      <c r="B5813" t="s">
        <v>8</v>
      </c>
      <c r="C5813" s="3" t="s">
        <v>2075</v>
      </c>
      <c r="D5813" s="3" t="s">
        <v>57</v>
      </c>
    </row>
    <row r="5814" spans="1:4" x14ac:dyDescent="0.2">
      <c r="A5814" s="3" t="s">
        <v>2076</v>
      </c>
      <c r="B5814" t="s">
        <v>8</v>
      </c>
      <c r="C5814" s="3" t="s">
        <v>2075</v>
      </c>
      <c r="D5814" s="3" t="s">
        <v>53</v>
      </c>
    </row>
    <row r="5815" spans="1:4" x14ac:dyDescent="0.2">
      <c r="A5815" s="3" t="s">
        <v>2076</v>
      </c>
      <c r="B5815" t="s">
        <v>8</v>
      </c>
      <c r="C5815" s="3" t="s">
        <v>2075</v>
      </c>
      <c r="D5815" s="3" t="s">
        <v>54</v>
      </c>
    </row>
    <row r="5816" spans="1:4" x14ac:dyDescent="0.2">
      <c r="A5816" s="3" t="s">
        <v>2076</v>
      </c>
      <c r="B5816" t="s">
        <v>8</v>
      </c>
      <c r="C5816" s="3" t="s">
        <v>2075</v>
      </c>
      <c r="D5816" s="3" t="s">
        <v>55</v>
      </c>
    </row>
    <row r="5817" spans="1:4" x14ac:dyDescent="0.2">
      <c r="A5817" s="3" t="s">
        <v>2076</v>
      </c>
      <c r="B5817" t="s">
        <v>8</v>
      </c>
      <c r="C5817" s="3" t="s">
        <v>2075</v>
      </c>
      <c r="D5817" s="3" t="s">
        <v>56</v>
      </c>
    </row>
    <row r="5818" spans="1:4" x14ac:dyDescent="0.2">
      <c r="A5818" s="3" t="s">
        <v>2076</v>
      </c>
      <c r="B5818" t="s">
        <v>8</v>
      </c>
      <c r="C5818" s="3" t="s">
        <v>2075</v>
      </c>
      <c r="D5818" s="3" t="s">
        <v>57</v>
      </c>
    </row>
    <row r="5819" spans="1:4" x14ac:dyDescent="0.2">
      <c r="A5819" s="3" t="s">
        <v>2077</v>
      </c>
      <c r="B5819" t="s">
        <v>8</v>
      </c>
      <c r="C5819" s="3" t="s">
        <v>1601</v>
      </c>
      <c r="D5819" s="3" t="s">
        <v>53</v>
      </c>
    </row>
    <row r="5820" spans="1:4" x14ac:dyDescent="0.2">
      <c r="A5820" s="3" t="s">
        <v>2077</v>
      </c>
      <c r="B5820" t="s">
        <v>8</v>
      </c>
      <c r="C5820" s="3" t="s">
        <v>1601</v>
      </c>
      <c r="D5820" s="3" t="s">
        <v>54</v>
      </c>
    </row>
    <row r="5821" spans="1:4" x14ac:dyDescent="0.2">
      <c r="A5821" s="3" t="s">
        <v>2077</v>
      </c>
      <c r="B5821" t="s">
        <v>8</v>
      </c>
      <c r="C5821" s="3" t="s">
        <v>1601</v>
      </c>
      <c r="D5821" s="3" t="s">
        <v>55</v>
      </c>
    </row>
    <row r="5822" spans="1:4" x14ac:dyDescent="0.2">
      <c r="A5822" s="3" t="s">
        <v>2077</v>
      </c>
      <c r="B5822" t="s">
        <v>8</v>
      </c>
      <c r="C5822" s="3" t="s">
        <v>1601</v>
      </c>
      <c r="D5822" s="3" t="s">
        <v>56</v>
      </c>
    </row>
    <row r="5823" spans="1:4" x14ac:dyDescent="0.2">
      <c r="A5823" s="3" t="s">
        <v>2077</v>
      </c>
      <c r="B5823" t="s">
        <v>8</v>
      </c>
      <c r="C5823" s="3" t="s">
        <v>1601</v>
      </c>
      <c r="D5823" s="3" t="s">
        <v>57</v>
      </c>
    </row>
    <row r="5824" spans="1:4" x14ac:dyDescent="0.2">
      <c r="A5824" s="3" t="s">
        <v>2078</v>
      </c>
      <c r="B5824" t="s">
        <v>8</v>
      </c>
      <c r="C5824" s="3" t="s">
        <v>1601</v>
      </c>
      <c r="D5824" s="3" t="s">
        <v>53</v>
      </c>
    </row>
    <row r="5825" spans="1:4" x14ac:dyDescent="0.2">
      <c r="A5825" s="3" t="s">
        <v>2078</v>
      </c>
      <c r="B5825" t="s">
        <v>8</v>
      </c>
      <c r="C5825" s="3" t="s">
        <v>1601</v>
      </c>
      <c r="D5825" s="3" t="s">
        <v>54</v>
      </c>
    </row>
    <row r="5826" spans="1:4" x14ac:dyDescent="0.2">
      <c r="A5826" s="3" t="s">
        <v>2078</v>
      </c>
      <c r="B5826" t="s">
        <v>8</v>
      </c>
      <c r="C5826" s="3" t="s">
        <v>1601</v>
      </c>
      <c r="D5826" s="3" t="s">
        <v>55</v>
      </c>
    </row>
    <row r="5827" spans="1:4" x14ac:dyDescent="0.2">
      <c r="A5827" s="3" t="s">
        <v>2078</v>
      </c>
      <c r="B5827" t="s">
        <v>8</v>
      </c>
      <c r="C5827" s="3" t="s">
        <v>1601</v>
      </c>
      <c r="D5827" s="3" t="s">
        <v>56</v>
      </c>
    </row>
    <row r="5828" spans="1:4" x14ac:dyDescent="0.2">
      <c r="A5828" s="3" t="s">
        <v>2078</v>
      </c>
      <c r="B5828" t="s">
        <v>8</v>
      </c>
      <c r="C5828" s="3" t="s">
        <v>1601</v>
      </c>
      <c r="D5828" s="3" t="s">
        <v>57</v>
      </c>
    </row>
    <row r="5829" spans="1:4" x14ac:dyDescent="0.2">
      <c r="A5829" s="3" t="s">
        <v>2079</v>
      </c>
      <c r="B5829" t="s">
        <v>8</v>
      </c>
      <c r="C5829" s="3" t="s">
        <v>2080</v>
      </c>
      <c r="D5829" s="3" t="s">
        <v>22</v>
      </c>
    </row>
    <row r="5830" spans="1:4" x14ac:dyDescent="0.2">
      <c r="A5830" s="3" t="s">
        <v>2079</v>
      </c>
      <c r="B5830" t="s">
        <v>8</v>
      </c>
      <c r="C5830" s="3" t="s">
        <v>2081</v>
      </c>
      <c r="D5830" s="3" t="s">
        <v>22</v>
      </c>
    </row>
    <row r="5831" spans="1:4" x14ac:dyDescent="0.2">
      <c r="A5831" s="3" t="s">
        <v>2079</v>
      </c>
      <c r="B5831" t="s">
        <v>8</v>
      </c>
      <c r="C5831" s="3" t="s">
        <v>2082</v>
      </c>
      <c r="D5831" s="3" t="s">
        <v>22</v>
      </c>
    </row>
    <row r="5832" spans="1:4" x14ac:dyDescent="0.2">
      <c r="A5832" s="3" t="s">
        <v>2079</v>
      </c>
      <c r="B5832" t="s">
        <v>8</v>
      </c>
      <c r="C5832" s="3" t="s">
        <v>2083</v>
      </c>
      <c r="D5832" s="3" t="s">
        <v>22</v>
      </c>
    </row>
    <row r="5833" spans="1:4" x14ac:dyDescent="0.2">
      <c r="A5833" s="3" t="s">
        <v>2079</v>
      </c>
      <c r="B5833" t="s">
        <v>8</v>
      </c>
      <c r="C5833" s="3" t="s">
        <v>2084</v>
      </c>
      <c r="D5833" s="3" t="s">
        <v>22</v>
      </c>
    </row>
    <row r="5834" spans="1:4" x14ac:dyDescent="0.2">
      <c r="A5834" s="3" t="s">
        <v>2079</v>
      </c>
      <c r="B5834" t="s">
        <v>8</v>
      </c>
      <c r="C5834" s="3" t="s">
        <v>2085</v>
      </c>
      <c r="D5834" s="3" t="s">
        <v>22</v>
      </c>
    </row>
    <row r="5835" spans="1:4" x14ac:dyDescent="0.2">
      <c r="A5835" s="3" t="s">
        <v>2079</v>
      </c>
      <c r="B5835" t="s">
        <v>8</v>
      </c>
      <c r="C5835" s="3" t="s">
        <v>2086</v>
      </c>
      <c r="D5835" s="3" t="s">
        <v>22</v>
      </c>
    </row>
    <row r="5836" spans="1:4" x14ac:dyDescent="0.2">
      <c r="A5836" s="3" t="s">
        <v>2079</v>
      </c>
      <c r="B5836" t="s">
        <v>8</v>
      </c>
      <c r="C5836" s="3" t="s">
        <v>2087</v>
      </c>
      <c r="D5836" s="3" t="s">
        <v>22</v>
      </c>
    </row>
    <row r="5837" spans="1:4" x14ac:dyDescent="0.2">
      <c r="A5837" s="3" t="s">
        <v>2079</v>
      </c>
      <c r="B5837" t="s">
        <v>8</v>
      </c>
      <c r="C5837" s="3" t="s">
        <v>2088</v>
      </c>
      <c r="D5837" s="3" t="s">
        <v>22</v>
      </c>
    </row>
    <row r="5838" spans="1:4" x14ac:dyDescent="0.2">
      <c r="A5838" s="3" t="s">
        <v>2079</v>
      </c>
      <c r="B5838" t="s">
        <v>8</v>
      </c>
      <c r="C5838" s="3" t="s">
        <v>2089</v>
      </c>
      <c r="D5838" s="3" t="s">
        <v>22</v>
      </c>
    </row>
    <row r="5839" spans="1:4" x14ac:dyDescent="0.2">
      <c r="A5839" s="3" t="s">
        <v>2079</v>
      </c>
      <c r="B5839" t="s">
        <v>8</v>
      </c>
      <c r="C5839" s="3" t="s">
        <v>2090</v>
      </c>
      <c r="D5839" s="3" t="s">
        <v>22</v>
      </c>
    </row>
    <row r="5840" spans="1:4" x14ac:dyDescent="0.2">
      <c r="A5840" s="3" t="s">
        <v>2079</v>
      </c>
      <c r="B5840" t="s">
        <v>8</v>
      </c>
      <c r="C5840" s="3" t="s">
        <v>2091</v>
      </c>
      <c r="D5840" s="3" t="s">
        <v>22</v>
      </c>
    </row>
    <row r="5841" spans="1:4" x14ac:dyDescent="0.2">
      <c r="A5841" s="3" t="s">
        <v>2079</v>
      </c>
      <c r="B5841" t="s">
        <v>8</v>
      </c>
      <c r="C5841" s="3" t="s">
        <v>2092</v>
      </c>
      <c r="D5841" s="3" t="s">
        <v>22</v>
      </c>
    </row>
    <row r="5842" spans="1:4" x14ac:dyDescent="0.2">
      <c r="A5842" s="3" t="s">
        <v>2079</v>
      </c>
      <c r="B5842" t="s">
        <v>8</v>
      </c>
      <c r="C5842" s="3" t="s">
        <v>2093</v>
      </c>
      <c r="D5842" s="3" t="s">
        <v>22</v>
      </c>
    </row>
    <row r="5843" spans="1:4" x14ac:dyDescent="0.2">
      <c r="A5843" s="3" t="s">
        <v>2079</v>
      </c>
      <c r="B5843" t="s">
        <v>8</v>
      </c>
      <c r="C5843" s="3" t="s">
        <v>2094</v>
      </c>
      <c r="D5843" s="3" t="s">
        <v>22</v>
      </c>
    </row>
    <row r="5844" spans="1:4" x14ac:dyDescent="0.2">
      <c r="A5844" s="3" t="s">
        <v>2079</v>
      </c>
      <c r="B5844" t="s">
        <v>8</v>
      </c>
      <c r="C5844" s="3" t="s">
        <v>2095</v>
      </c>
      <c r="D5844" s="3" t="s">
        <v>22</v>
      </c>
    </row>
    <row r="5845" spans="1:4" x14ac:dyDescent="0.2">
      <c r="A5845" s="3" t="s">
        <v>2079</v>
      </c>
      <c r="B5845" t="s">
        <v>8</v>
      </c>
      <c r="C5845" s="3" t="s">
        <v>2096</v>
      </c>
      <c r="D5845" s="3" t="s">
        <v>22</v>
      </c>
    </row>
    <row r="5846" spans="1:4" x14ac:dyDescent="0.2">
      <c r="A5846" s="3" t="s">
        <v>2097</v>
      </c>
      <c r="B5846" t="s">
        <v>8</v>
      </c>
      <c r="C5846" s="3" t="s">
        <v>1923</v>
      </c>
      <c r="D5846" s="3" t="s">
        <v>53</v>
      </c>
    </row>
    <row r="5847" spans="1:4" x14ac:dyDescent="0.2">
      <c r="A5847" s="3" t="s">
        <v>2097</v>
      </c>
      <c r="B5847" t="s">
        <v>8</v>
      </c>
      <c r="C5847" s="3" t="s">
        <v>1924</v>
      </c>
      <c r="D5847" s="3" t="s">
        <v>53</v>
      </c>
    </row>
    <row r="5848" spans="1:4" x14ac:dyDescent="0.2">
      <c r="A5848" s="3" t="s">
        <v>2097</v>
      </c>
      <c r="B5848" t="s">
        <v>8</v>
      </c>
      <c r="C5848" s="3" t="s">
        <v>1925</v>
      </c>
      <c r="D5848" s="3" t="s">
        <v>53</v>
      </c>
    </row>
    <row r="5849" spans="1:4" x14ac:dyDescent="0.2">
      <c r="A5849" s="3" t="s">
        <v>2097</v>
      </c>
      <c r="B5849" t="s">
        <v>8</v>
      </c>
      <c r="C5849" s="3" t="s">
        <v>1926</v>
      </c>
      <c r="D5849" s="3" t="s">
        <v>53</v>
      </c>
    </row>
    <row r="5850" spans="1:4" x14ac:dyDescent="0.2">
      <c r="A5850" s="3" t="s">
        <v>2097</v>
      </c>
      <c r="B5850" t="s">
        <v>8</v>
      </c>
      <c r="C5850" s="3" t="s">
        <v>1927</v>
      </c>
      <c r="D5850" s="3" t="s">
        <v>53</v>
      </c>
    </row>
    <row r="5851" spans="1:4" x14ac:dyDescent="0.2">
      <c r="A5851" s="3" t="s">
        <v>2097</v>
      </c>
      <c r="B5851" t="s">
        <v>8</v>
      </c>
      <c r="C5851" s="3" t="s">
        <v>1928</v>
      </c>
      <c r="D5851" s="3" t="s">
        <v>53</v>
      </c>
    </row>
    <row r="5852" spans="1:4" x14ac:dyDescent="0.2">
      <c r="A5852" s="3" t="s">
        <v>2097</v>
      </c>
      <c r="B5852" t="s">
        <v>8</v>
      </c>
      <c r="C5852" s="3" t="s">
        <v>1929</v>
      </c>
      <c r="D5852" s="3" t="s">
        <v>53</v>
      </c>
    </row>
    <row r="5853" spans="1:4" x14ac:dyDescent="0.2">
      <c r="A5853" s="3" t="s">
        <v>2097</v>
      </c>
      <c r="B5853" t="s">
        <v>8</v>
      </c>
      <c r="C5853" s="3" t="s">
        <v>1930</v>
      </c>
      <c r="D5853" s="3" t="s">
        <v>53</v>
      </c>
    </row>
    <row r="5854" spans="1:4" x14ac:dyDescent="0.2">
      <c r="A5854" s="3" t="s">
        <v>2097</v>
      </c>
      <c r="B5854" t="s">
        <v>8</v>
      </c>
      <c r="C5854" s="3" t="s">
        <v>1931</v>
      </c>
      <c r="D5854" s="3" t="s">
        <v>53</v>
      </c>
    </row>
    <row r="5855" spans="1:4" x14ac:dyDescent="0.2">
      <c r="A5855" s="3" t="s">
        <v>2097</v>
      </c>
      <c r="B5855" t="s">
        <v>8</v>
      </c>
      <c r="C5855" s="3" t="s">
        <v>1932</v>
      </c>
      <c r="D5855" s="3" t="s">
        <v>53</v>
      </c>
    </row>
    <row r="5856" spans="1:4" x14ac:dyDescent="0.2">
      <c r="A5856" s="3" t="s">
        <v>2097</v>
      </c>
      <c r="B5856" t="s">
        <v>8</v>
      </c>
      <c r="C5856" s="3" t="s">
        <v>1933</v>
      </c>
      <c r="D5856" s="3" t="s">
        <v>53</v>
      </c>
    </row>
    <row r="5857" spans="1:4" x14ac:dyDescent="0.2">
      <c r="A5857" s="3" t="s">
        <v>2097</v>
      </c>
      <c r="B5857" t="s">
        <v>8</v>
      </c>
      <c r="C5857" s="3" t="s">
        <v>1934</v>
      </c>
      <c r="D5857" s="3" t="s">
        <v>53</v>
      </c>
    </row>
    <row r="5858" spans="1:4" x14ac:dyDescent="0.2">
      <c r="A5858" s="3" t="s">
        <v>2097</v>
      </c>
      <c r="B5858" t="s">
        <v>8</v>
      </c>
      <c r="C5858" s="3" t="s">
        <v>1935</v>
      </c>
      <c r="D5858" s="3" t="s">
        <v>53</v>
      </c>
    </row>
    <row r="5859" spans="1:4" x14ac:dyDescent="0.2">
      <c r="A5859" s="3" t="s">
        <v>2097</v>
      </c>
      <c r="B5859" t="s">
        <v>8</v>
      </c>
      <c r="C5859" s="3" t="s">
        <v>1936</v>
      </c>
      <c r="D5859" s="3" t="s">
        <v>53</v>
      </c>
    </row>
    <row r="5860" spans="1:4" x14ac:dyDescent="0.2">
      <c r="A5860" s="3" t="s">
        <v>2097</v>
      </c>
      <c r="B5860" t="s">
        <v>8</v>
      </c>
      <c r="C5860" s="3" t="s">
        <v>1937</v>
      </c>
      <c r="D5860" s="3" t="s">
        <v>53</v>
      </c>
    </row>
    <row r="5861" spans="1:4" x14ac:dyDescent="0.2">
      <c r="A5861" s="3" t="s">
        <v>2097</v>
      </c>
      <c r="B5861" t="s">
        <v>8</v>
      </c>
      <c r="C5861" s="3" t="s">
        <v>1923</v>
      </c>
      <c r="D5861" s="3" t="s">
        <v>54</v>
      </c>
    </row>
    <row r="5862" spans="1:4" x14ac:dyDescent="0.2">
      <c r="A5862" s="3" t="s">
        <v>2097</v>
      </c>
      <c r="B5862" t="s">
        <v>8</v>
      </c>
      <c r="C5862" s="3" t="s">
        <v>1924</v>
      </c>
      <c r="D5862" s="3" t="s">
        <v>54</v>
      </c>
    </row>
    <row r="5863" spans="1:4" x14ac:dyDescent="0.2">
      <c r="A5863" s="3" t="s">
        <v>2097</v>
      </c>
      <c r="B5863" t="s">
        <v>8</v>
      </c>
      <c r="C5863" s="3" t="s">
        <v>1925</v>
      </c>
      <c r="D5863" s="3" t="s">
        <v>54</v>
      </c>
    </row>
    <row r="5864" spans="1:4" x14ac:dyDescent="0.2">
      <c r="A5864" s="3" t="s">
        <v>2097</v>
      </c>
      <c r="B5864" t="s">
        <v>8</v>
      </c>
      <c r="C5864" s="3" t="s">
        <v>1926</v>
      </c>
      <c r="D5864" s="3" t="s">
        <v>54</v>
      </c>
    </row>
    <row r="5865" spans="1:4" x14ac:dyDescent="0.2">
      <c r="A5865" s="3" t="s">
        <v>2097</v>
      </c>
      <c r="B5865" t="s">
        <v>8</v>
      </c>
      <c r="C5865" s="3" t="s">
        <v>1927</v>
      </c>
      <c r="D5865" s="3" t="s">
        <v>54</v>
      </c>
    </row>
    <row r="5866" spans="1:4" x14ac:dyDescent="0.2">
      <c r="A5866" s="3" t="s">
        <v>2097</v>
      </c>
      <c r="B5866" t="s">
        <v>8</v>
      </c>
      <c r="C5866" s="3" t="s">
        <v>1928</v>
      </c>
      <c r="D5866" s="3" t="s">
        <v>54</v>
      </c>
    </row>
    <row r="5867" spans="1:4" x14ac:dyDescent="0.2">
      <c r="A5867" s="3" t="s">
        <v>2097</v>
      </c>
      <c r="B5867" t="s">
        <v>8</v>
      </c>
      <c r="C5867" s="3" t="s">
        <v>1929</v>
      </c>
      <c r="D5867" s="3" t="s">
        <v>54</v>
      </c>
    </row>
    <row r="5868" spans="1:4" x14ac:dyDescent="0.2">
      <c r="A5868" s="3" t="s">
        <v>2097</v>
      </c>
      <c r="B5868" t="s">
        <v>8</v>
      </c>
      <c r="C5868" s="3" t="s">
        <v>1930</v>
      </c>
      <c r="D5868" s="3" t="s">
        <v>54</v>
      </c>
    </row>
    <row r="5869" spans="1:4" x14ac:dyDescent="0.2">
      <c r="A5869" s="3" t="s">
        <v>2097</v>
      </c>
      <c r="B5869" t="s">
        <v>8</v>
      </c>
      <c r="C5869" s="3" t="s">
        <v>1931</v>
      </c>
      <c r="D5869" s="3" t="s">
        <v>54</v>
      </c>
    </row>
    <row r="5870" spans="1:4" x14ac:dyDescent="0.2">
      <c r="A5870" s="3" t="s">
        <v>2097</v>
      </c>
      <c r="B5870" t="s">
        <v>8</v>
      </c>
      <c r="C5870" s="3" t="s">
        <v>1932</v>
      </c>
      <c r="D5870" s="3" t="s">
        <v>54</v>
      </c>
    </row>
    <row r="5871" spans="1:4" x14ac:dyDescent="0.2">
      <c r="A5871" s="3" t="s">
        <v>2097</v>
      </c>
      <c r="B5871" t="s">
        <v>8</v>
      </c>
      <c r="C5871" s="3" t="s">
        <v>1933</v>
      </c>
      <c r="D5871" s="3" t="s">
        <v>54</v>
      </c>
    </row>
    <row r="5872" spans="1:4" x14ac:dyDescent="0.2">
      <c r="A5872" s="3" t="s">
        <v>2097</v>
      </c>
      <c r="B5872" t="s">
        <v>8</v>
      </c>
      <c r="C5872" s="3" t="s">
        <v>1934</v>
      </c>
      <c r="D5872" s="3" t="s">
        <v>54</v>
      </c>
    </row>
    <row r="5873" spans="1:4" x14ac:dyDescent="0.2">
      <c r="A5873" s="3" t="s">
        <v>2097</v>
      </c>
      <c r="B5873" t="s">
        <v>8</v>
      </c>
      <c r="C5873" s="3" t="s">
        <v>1935</v>
      </c>
      <c r="D5873" s="3" t="s">
        <v>54</v>
      </c>
    </row>
    <row r="5874" spans="1:4" x14ac:dyDescent="0.2">
      <c r="A5874" s="3" t="s">
        <v>2097</v>
      </c>
      <c r="B5874" t="s">
        <v>8</v>
      </c>
      <c r="C5874" s="3" t="s">
        <v>1936</v>
      </c>
      <c r="D5874" s="3" t="s">
        <v>54</v>
      </c>
    </row>
    <row r="5875" spans="1:4" x14ac:dyDescent="0.2">
      <c r="A5875" s="3" t="s">
        <v>2097</v>
      </c>
      <c r="B5875" t="s">
        <v>8</v>
      </c>
      <c r="C5875" s="3" t="s">
        <v>1937</v>
      </c>
      <c r="D5875" s="3" t="s">
        <v>54</v>
      </c>
    </row>
    <row r="5876" spans="1:4" x14ac:dyDescent="0.2">
      <c r="A5876" s="3" t="s">
        <v>2097</v>
      </c>
      <c r="B5876" t="s">
        <v>8</v>
      </c>
      <c r="C5876" s="3" t="s">
        <v>1923</v>
      </c>
      <c r="D5876" s="3" t="s">
        <v>55</v>
      </c>
    </row>
    <row r="5877" spans="1:4" x14ac:dyDescent="0.2">
      <c r="A5877" s="3" t="s">
        <v>2097</v>
      </c>
      <c r="B5877" t="s">
        <v>8</v>
      </c>
      <c r="C5877" s="3" t="s">
        <v>1924</v>
      </c>
      <c r="D5877" s="3" t="s">
        <v>55</v>
      </c>
    </row>
    <row r="5878" spans="1:4" x14ac:dyDescent="0.2">
      <c r="A5878" s="3" t="s">
        <v>2097</v>
      </c>
      <c r="B5878" t="s">
        <v>8</v>
      </c>
      <c r="C5878" s="3" t="s">
        <v>1925</v>
      </c>
      <c r="D5878" s="3" t="s">
        <v>55</v>
      </c>
    </row>
    <row r="5879" spans="1:4" x14ac:dyDescent="0.2">
      <c r="A5879" s="3" t="s">
        <v>2097</v>
      </c>
      <c r="B5879" t="s">
        <v>8</v>
      </c>
      <c r="C5879" s="3" t="s">
        <v>1926</v>
      </c>
      <c r="D5879" s="3" t="s">
        <v>55</v>
      </c>
    </row>
    <row r="5880" spans="1:4" x14ac:dyDescent="0.2">
      <c r="A5880" s="3" t="s">
        <v>2097</v>
      </c>
      <c r="B5880" t="s">
        <v>8</v>
      </c>
      <c r="C5880" s="3" t="s">
        <v>1927</v>
      </c>
      <c r="D5880" s="3" t="s">
        <v>55</v>
      </c>
    </row>
    <row r="5881" spans="1:4" x14ac:dyDescent="0.2">
      <c r="A5881" s="3" t="s">
        <v>2097</v>
      </c>
      <c r="B5881" t="s">
        <v>8</v>
      </c>
      <c r="C5881" s="3" t="s">
        <v>1928</v>
      </c>
      <c r="D5881" s="3" t="s">
        <v>55</v>
      </c>
    </row>
    <row r="5882" spans="1:4" x14ac:dyDescent="0.2">
      <c r="A5882" s="3" t="s">
        <v>2097</v>
      </c>
      <c r="B5882" t="s">
        <v>8</v>
      </c>
      <c r="C5882" s="3" t="s">
        <v>1929</v>
      </c>
      <c r="D5882" s="3" t="s">
        <v>55</v>
      </c>
    </row>
    <row r="5883" spans="1:4" x14ac:dyDescent="0.2">
      <c r="A5883" s="3" t="s">
        <v>2097</v>
      </c>
      <c r="B5883" t="s">
        <v>8</v>
      </c>
      <c r="C5883" s="3" t="s">
        <v>1930</v>
      </c>
      <c r="D5883" s="3" t="s">
        <v>55</v>
      </c>
    </row>
    <row r="5884" spans="1:4" x14ac:dyDescent="0.2">
      <c r="A5884" s="3" t="s">
        <v>2097</v>
      </c>
      <c r="B5884" t="s">
        <v>8</v>
      </c>
      <c r="C5884" s="3" t="s">
        <v>1931</v>
      </c>
      <c r="D5884" s="3" t="s">
        <v>55</v>
      </c>
    </row>
    <row r="5885" spans="1:4" x14ac:dyDescent="0.2">
      <c r="A5885" s="3" t="s">
        <v>2097</v>
      </c>
      <c r="B5885" t="s">
        <v>8</v>
      </c>
      <c r="C5885" s="3" t="s">
        <v>1932</v>
      </c>
      <c r="D5885" s="3" t="s">
        <v>55</v>
      </c>
    </row>
    <row r="5886" spans="1:4" x14ac:dyDescent="0.2">
      <c r="A5886" s="3" t="s">
        <v>2097</v>
      </c>
      <c r="B5886" t="s">
        <v>8</v>
      </c>
      <c r="C5886" s="3" t="s">
        <v>1933</v>
      </c>
      <c r="D5886" s="3" t="s">
        <v>55</v>
      </c>
    </row>
    <row r="5887" spans="1:4" x14ac:dyDescent="0.2">
      <c r="A5887" s="3" t="s">
        <v>2097</v>
      </c>
      <c r="B5887" t="s">
        <v>8</v>
      </c>
      <c r="C5887" s="3" t="s">
        <v>1934</v>
      </c>
      <c r="D5887" s="3" t="s">
        <v>55</v>
      </c>
    </row>
    <row r="5888" spans="1:4" x14ac:dyDescent="0.2">
      <c r="A5888" s="3" t="s">
        <v>2097</v>
      </c>
      <c r="B5888" t="s">
        <v>8</v>
      </c>
      <c r="C5888" s="3" t="s">
        <v>1935</v>
      </c>
      <c r="D5888" s="3" t="s">
        <v>55</v>
      </c>
    </row>
    <row r="5889" spans="1:4" x14ac:dyDescent="0.2">
      <c r="A5889" s="3" t="s">
        <v>2097</v>
      </c>
      <c r="B5889" t="s">
        <v>8</v>
      </c>
      <c r="C5889" s="3" t="s">
        <v>1936</v>
      </c>
      <c r="D5889" s="3" t="s">
        <v>55</v>
      </c>
    </row>
    <row r="5890" spans="1:4" x14ac:dyDescent="0.2">
      <c r="A5890" s="3" t="s">
        <v>2097</v>
      </c>
      <c r="B5890" t="s">
        <v>8</v>
      </c>
      <c r="C5890" s="3" t="s">
        <v>1937</v>
      </c>
      <c r="D5890" s="3" t="s">
        <v>55</v>
      </c>
    </row>
    <row r="5891" spans="1:4" x14ac:dyDescent="0.2">
      <c r="A5891" s="3" t="s">
        <v>2097</v>
      </c>
      <c r="B5891" t="s">
        <v>8</v>
      </c>
      <c r="C5891" s="3" t="s">
        <v>1923</v>
      </c>
      <c r="D5891" s="3" t="s">
        <v>56</v>
      </c>
    </row>
    <row r="5892" spans="1:4" x14ac:dyDescent="0.2">
      <c r="A5892" s="3" t="s">
        <v>2097</v>
      </c>
      <c r="B5892" t="s">
        <v>8</v>
      </c>
      <c r="C5892" s="3" t="s">
        <v>1924</v>
      </c>
      <c r="D5892" s="3" t="s">
        <v>56</v>
      </c>
    </row>
    <row r="5893" spans="1:4" x14ac:dyDescent="0.2">
      <c r="A5893" s="3" t="s">
        <v>2097</v>
      </c>
      <c r="B5893" t="s">
        <v>8</v>
      </c>
      <c r="C5893" s="3" t="s">
        <v>1925</v>
      </c>
      <c r="D5893" s="3" t="s">
        <v>56</v>
      </c>
    </row>
    <row r="5894" spans="1:4" x14ac:dyDescent="0.2">
      <c r="A5894" s="3" t="s">
        <v>2097</v>
      </c>
      <c r="B5894" t="s">
        <v>8</v>
      </c>
      <c r="C5894" s="3" t="s">
        <v>1926</v>
      </c>
      <c r="D5894" s="3" t="s">
        <v>56</v>
      </c>
    </row>
    <row r="5895" spans="1:4" x14ac:dyDescent="0.2">
      <c r="A5895" s="3" t="s">
        <v>2097</v>
      </c>
      <c r="B5895" t="s">
        <v>8</v>
      </c>
      <c r="C5895" s="3" t="s">
        <v>1927</v>
      </c>
      <c r="D5895" s="3" t="s">
        <v>56</v>
      </c>
    </row>
    <row r="5896" spans="1:4" x14ac:dyDescent="0.2">
      <c r="A5896" s="3" t="s">
        <v>2097</v>
      </c>
      <c r="B5896" t="s">
        <v>8</v>
      </c>
      <c r="C5896" s="3" t="s">
        <v>1928</v>
      </c>
      <c r="D5896" s="3" t="s">
        <v>56</v>
      </c>
    </row>
    <row r="5897" spans="1:4" x14ac:dyDescent="0.2">
      <c r="A5897" s="3" t="s">
        <v>2097</v>
      </c>
      <c r="B5897" t="s">
        <v>8</v>
      </c>
      <c r="C5897" s="3" t="s">
        <v>1929</v>
      </c>
      <c r="D5897" s="3" t="s">
        <v>56</v>
      </c>
    </row>
    <row r="5898" spans="1:4" x14ac:dyDescent="0.2">
      <c r="A5898" s="3" t="s">
        <v>2097</v>
      </c>
      <c r="B5898" t="s">
        <v>8</v>
      </c>
      <c r="C5898" s="3" t="s">
        <v>1930</v>
      </c>
      <c r="D5898" s="3" t="s">
        <v>56</v>
      </c>
    </row>
    <row r="5899" spans="1:4" x14ac:dyDescent="0.2">
      <c r="A5899" s="3" t="s">
        <v>2097</v>
      </c>
      <c r="B5899" t="s">
        <v>8</v>
      </c>
      <c r="C5899" s="3" t="s">
        <v>1931</v>
      </c>
      <c r="D5899" s="3" t="s">
        <v>56</v>
      </c>
    </row>
    <row r="5900" spans="1:4" x14ac:dyDescent="0.2">
      <c r="A5900" s="3" t="s">
        <v>2097</v>
      </c>
      <c r="B5900" t="s">
        <v>8</v>
      </c>
      <c r="C5900" s="3" t="s">
        <v>1932</v>
      </c>
      <c r="D5900" s="3" t="s">
        <v>56</v>
      </c>
    </row>
    <row r="5901" spans="1:4" x14ac:dyDescent="0.2">
      <c r="A5901" s="3" t="s">
        <v>2097</v>
      </c>
      <c r="B5901" t="s">
        <v>8</v>
      </c>
      <c r="C5901" s="3" t="s">
        <v>1933</v>
      </c>
      <c r="D5901" s="3" t="s">
        <v>56</v>
      </c>
    </row>
    <row r="5902" spans="1:4" x14ac:dyDescent="0.2">
      <c r="A5902" s="3" t="s">
        <v>2097</v>
      </c>
      <c r="B5902" t="s">
        <v>8</v>
      </c>
      <c r="C5902" s="3" t="s">
        <v>1934</v>
      </c>
      <c r="D5902" s="3" t="s">
        <v>56</v>
      </c>
    </row>
    <row r="5903" spans="1:4" x14ac:dyDescent="0.2">
      <c r="A5903" s="3" t="s">
        <v>2097</v>
      </c>
      <c r="B5903" t="s">
        <v>8</v>
      </c>
      <c r="C5903" s="3" t="s">
        <v>1935</v>
      </c>
      <c r="D5903" s="3" t="s">
        <v>56</v>
      </c>
    </row>
    <row r="5904" spans="1:4" x14ac:dyDescent="0.2">
      <c r="A5904" s="3" t="s">
        <v>2097</v>
      </c>
      <c r="B5904" t="s">
        <v>8</v>
      </c>
      <c r="C5904" s="3" t="s">
        <v>1936</v>
      </c>
      <c r="D5904" s="3" t="s">
        <v>56</v>
      </c>
    </row>
    <row r="5905" spans="1:4" x14ac:dyDescent="0.2">
      <c r="A5905" s="3" t="s">
        <v>2097</v>
      </c>
      <c r="B5905" t="s">
        <v>8</v>
      </c>
      <c r="C5905" s="3" t="s">
        <v>1937</v>
      </c>
      <c r="D5905" s="3" t="s">
        <v>56</v>
      </c>
    </row>
    <row r="5906" spans="1:4" x14ac:dyDescent="0.2">
      <c r="A5906" s="3" t="s">
        <v>2097</v>
      </c>
      <c r="B5906" t="s">
        <v>8</v>
      </c>
      <c r="C5906" s="3" t="s">
        <v>1923</v>
      </c>
      <c r="D5906" s="3" t="s">
        <v>57</v>
      </c>
    </row>
    <row r="5907" spans="1:4" x14ac:dyDescent="0.2">
      <c r="A5907" s="3" t="s">
        <v>2097</v>
      </c>
      <c r="B5907" t="s">
        <v>8</v>
      </c>
      <c r="C5907" s="3" t="s">
        <v>1924</v>
      </c>
      <c r="D5907" s="3" t="s">
        <v>57</v>
      </c>
    </row>
    <row r="5908" spans="1:4" x14ac:dyDescent="0.2">
      <c r="A5908" s="3" t="s">
        <v>2097</v>
      </c>
      <c r="B5908" t="s">
        <v>8</v>
      </c>
      <c r="C5908" s="3" t="s">
        <v>1925</v>
      </c>
      <c r="D5908" s="3" t="s">
        <v>57</v>
      </c>
    </row>
    <row r="5909" spans="1:4" x14ac:dyDescent="0.2">
      <c r="A5909" s="3" t="s">
        <v>2097</v>
      </c>
      <c r="B5909" t="s">
        <v>8</v>
      </c>
      <c r="C5909" s="3" t="s">
        <v>1926</v>
      </c>
      <c r="D5909" s="3" t="s">
        <v>57</v>
      </c>
    </row>
    <row r="5910" spans="1:4" x14ac:dyDescent="0.2">
      <c r="A5910" s="3" t="s">
        <v>2097</v>
      </c>
      <c r="B5910" t="s">
        <v>8</v>
      </c>
      <c r="C5910" s="3" t="s">
        <v>1927</v>
      </c>
      <c r="D5910" s="3" t="s">
        <v>57</v>
      </c>
    </row>
    <row r="5911" spans="1:4" x14ac:dyDescent="0.2">
      <c r="A5911" s="3" t="s">
        <v>2097</v>
      </c>
      <c r="B5911" t="s">
        <v>8</v>
      </c>
      <c r="C5911" s="3" t="s">
        <v>1928</v>
      </c>
      <c r="D5911" s="3" t="s">
        <v>57</v>
      </c>
    </row>
    <row r="5912" spans="1:4" x14ac:dyDescent="0.2">
      <c r="A5912" s="3" t="s">
        <v>2097</v>
      </c>
      <c r="B5912" t="s">
        <v>8</v>
      </c>
      <c r="C5912" s="3" t="s">
        <v>1929</v>
      </c>
      <c r="D5912" s="3" t="s">
        <v>57</v>
      </c>
    </row>
    <row r="5913" spans="1:4" x14ac:dyDescent="0.2">
      <c r="A5913" s="3" t="s">
        <v>2097</v>
      </c>
      <c r="B5913" t="s">
        <v>8</v>
      </c>
      <c r="C5913" s="3" t="s">
        <v>1930</v>
      </c>
      <c r="D5913" s="3" t="s">
        <v>57</v>
      </c>
    </row>
    <row r="5914" spans="1:4" x14ac:dyDescent="0.2">
      <c r="A5914" s="3" t="s">
        <v>2097</v>
      </c>
      <c r="B5914" t="s">
        <v>8</v>
      </c>
      <c r="C5914" s="3" t="s">
        <v>1931</v>
      </c>
      <c r="D5914" s="3" t="s">
        <v>57</v>
      </c>
    </row>
    <row r="5915" spans="1:4" x14ac:dyDescent="0.2">
      <c r="A5915" s="3" t="s">
        <v>2097</v>
      </c>
      <c r="B5915" t="s">
        <v>8</v>
      </c>
      <c r="C5915" s="3" t="s">
        <v>1932</v>
      </c>
      <c r="D5915" s="3" t="s">
        <v>57</v>
      </c>
    </row>
    <row r="5916" spans="1:4" x14ac:dyDescent="0.2">
      <c r="A5916" s="3" t="s">
        <v>2097</v>
      </c>
      <c r="B5916" t="s">
        <v>8</v>
      </c>
      <c r="C5916" s="3" t="s">
        <v>1933</v>
      </c>
      <c r="D5916" s="3" t="s">
        <v>57</v>
      </c>
    </row>
    <row r="5917" spans="1:4" x14ac:dyDescent="0.2">
      <c r="A5917" s="3" t="s">
        <v>2097</v>
      </c>
      <c r="B5917" t="s">
        <v>8</v>
      </c>
      <c r="C5917" s="3" t="s">
        <v>1934</v>
      </c>
      <c r="D5917" s="3" t="s">
        <v>57</v>
      </c>
    </row>
    <row r="5918" spans="1:4" x14ac:dyDescent="0.2">
      <c r="A5918" s="3" t="s">
        <v>2097</v>
      </c>
      <c r="B5918" t="s">
        <v>8</v>
      </c>
      <c r="C5918" s="3" t="s">
        <v>1935</v>
      </c>
      <c r="D5918" s="3" t="s">
        <v>57</v>
      </c>
    </row>
    <row r="5919" spans="1:4" x14ac:dyDescent="0.2">
      <c r="A5919" s="3" t="s">
        <v>2097</v>
      </c>
      <c r="B5919" t="s">
        <v>8</v>
      </c>
      <c r="C5919" s="3" t="s">
        <v>1936</v>
      </c>
      <c r="D5919" s="3" t="s">
        <v>57</v>
      </c>
    </row>
    <row r="5920" spans="1:4" x14ac:dyDescent="0.2">
      <c r="A5920" s="3" t="s">
        <v>2097</v>
      </c>
      <c r="B5920" t="s">
        <v>8</v>
      </c>
      <c r="C5920" s="3" t="s">
        <v>1937</v>
      </c>
      <c r="D5920" s="3" t="s">
        <v>57</v>
      </c>
    </row>
    <row r="5921" spans="1:4" x14ac:dyDescent="0.2">
      <c r="A5921" s="3" t="s">
        <v>2098</v>
      </c>
      <c r="B5921" t="s">
        <v>8</v>
      </c>
      <c r="C5921" s="3" t="s">
        <v>1929</v>
      </c>
      <c r="D5921" s="3" t="s">
        <v>53</v>
      </c>
    </row>
    <row r="5922" spans="1:4" x14ac:dyDescent="0.2">
      <c r="A5922" s="3" t="s">
        <v>2098</v>
      </c>
      <c r="B5922" t="s">
        <v>8</v>
      </c>
      <c r="C5922" s="3" t="s">
        <v>1930</v>
      </c>
      <c r="D5922" s="3" t="s">
        <v>53</v>
      </c>
    </row>
    <row r="5923" spans="1:4" x14ac:dyDescent="0.2">
      <c r="A5923" s="3" t="s">
        <v>2098</v>
      </c>
      <c r="B5923" t="s">
        <v>8</v>
      </c>
      <c r="C5923" s="3" t="s">
        <v>1929</v>
      </c>
      <c r="D5923" s="3" t="s">
        <v>54</v>
      </c>
    </row>
    <row r="5924" spans="1:4" x14ac:dyDescent="0.2">
      <c r="A5924" s="3" t="s">
        <v>2098</v>
      </c>
      <c r="B5924" t="s">
        <v>8</v>
      </c>
      <c r="C5924" s="3" t="s">
        <v>1930</v>
      </c>
      <c r="D5924" s="3" t="s">
        <v>54</v>
      </c>
    </row>
    <row r="5925" spans="1:4" x14ac:dyDescent="0.2">
      <c r="A5925" s="3" t="s">
        <v>2098</v>
      </c>
      <c r="B5925" t="s">
        <v>8</v>
      </c>
      <c r="C5925" s="3" t="s">
        <v>1929</v>
      </c>
      <c r="D5925" s="3" t="s">
        <v>55</v>
      </c>
    </row>
    <row r="5926" spans="1:4" x14ac:dyDescent="0.2">
      <c r="A5926" s="3" t="s">
        <v>2098</v>
      </c>
      <c r="B5926" t="s">
        <v>8</v>
      </c>
      <c r="C5926" s="3" t="s">
        <v>1930</v>
      </c>
      <c r="D5926" s="3" t="s">
        <v>55</v>
      </c>
    </row>
    <row r="5927" spans="1:4" x14ac:dyDescent="0.2">
      <c r="A5927" s="3" t="s">
        <v>2098</v>
      </c>
      <c r="B5927" t="s">
        <v>8</v>
      </c>
      <c r="C5927" s="3" t="s">
        <v>1929</v>
      </c>
      <c r="D5927" s="3" t="s">
        <v>56</v>
      </c>
    </row>
    <row r="5928" spans="1:4" x14ac:dyDescent="0.2">
      <c r="A5928" s="3" t="s">
        <v>2098</v>
      </c>
      <c r="B5928" t="s">
        <v>8</v>
      </c>
      <c r="C5928" s="3" t="s">
        <v>1930</v>
      </c>
      <c r="D5928" s="3" t="s">
        <v>56</v>
      </c>
    </row>
    <row r="5929" spans="1:4" x14ac:dyDescent="0.2">
      <c r="A5929" s="3" t="s">
        <v>2098</v>
      </c>
      <c r="B5929" t="s">
        <v>8</v>
      </c>
      <c r="C5929" s="3" t="s">
        <v>1929</v>
      </c>
      <c r="D5929" s="3" t="s">
        <v>57</v>
      </c>
    </row>
    <row r="5930" spans="1:4" x14ac:dyDescent="0.2">
      <c r="A5930" s="3" t="s">
        <v>2098</v>
      </c>
      <c r="B5930" t="s">
        <v>8</v>
      </c>
      <c r="C5930" s="3" t="s">
        <v>1930</v>
      </c>
      <c r="D5930" s="3" t="s">
        <v>57</v>
      </c>
    </row>
    <row r="5931" spans="1:4" x14ac:dyDescent="0.2">
      <c r="A5931" s="3" t="s">
        <v>2099</v>
      </c>
      <c r="B5931" t="s">
        <v>8</v>
      </c>
      <c r="C5931" s="3" t="s">
        <v>2100</v>
      </c>
      <c r="D5931" s="3" t="s">
        <v>22</v>
      </c>
    </row>
    <row r="5932" spans="1:4" x14ac:dyDescent="0.2">
      <c r="A5932" s="3" t="s">
        <v>2099</v>
      </c>
      <c r="B5932" t="s">
        <v>8</v>
      </c>
      <c r="C5932" s="3" t="s">
        <v>2101</v>
      </c>
      <c r="D5932" s="3" t="s">
        <v>22</v>
      </c>
    </row>
    <row r="5933" spans="1:4" x14ac:dyDescent="0.2">
      <c r="A5933" s="3" t="s">
        <v>2099</v>
      </c>
      <c r="B5933" t="s">
        <v>8</v>
      </c>
      <c r="C5933" s="3" t="s">
        <v>2102</v>
      </c>
      <c r="D5933" s="3" t="s">
        <v>22</v>
      </c>
    </row>
    <row r="5934" spans="1:4" x14ac:dyDescent="0.2">
      <c r="A5934" s="3" t="s">
        <v>2099</v>
      </c>
      <c r="B5934" t="s">
        <v>8</v>
      </c>
      <c r="C5934" s="3" t="s">
        <v>2103</v>
      </c>
      <c r="D5934" s="3" t="s">
        <v>22</v>
      </c>
    </row>
    <row r="5935" spans="1:4" x14ac:dyDescent="0.2">
      <c r="A5935" s="3" t="s">
        <v>2099</v>
      </c>
      <c r="B5935" t="s">
        <v>8</v>
      </c>
      <c r="C5935" s="3" t="s">
        <v>2104</v>
      </c>
      <c r="D5935" s="3" t="s">
        <v>22</v>
      </c>
    </row>
    <row r="5936" spans="1:4" x14ac:dyDescent="0.2">
      <c r="A5936" s="3" t="s">
        <v>2099</v>
      </c>
      <c r="B5936" t="s">
        <v>8</v>
      </c>
      <c r="C5936" s="3" t="s">
        <v>2105</v>
      </c>
      <c r="D5936" s="3" t="s">
        <v>22</v>
      </c>
    </row>
    <row r="5937" spans="1:4" x14ac:dyDescent="0.2">
      <c r="A5937" s="3" t="s">
        <v>2099</v>
      </c>
      <c r="B5937" t="s">
        <v>8</v>
      </c>
      <c r="C5937" s="3" t="s">
        <v>2106</v>
      </c>
      <c r="D5937" s="3" t="s">
        <v>22</v>
      </c>
    </row>
    <row r="5938" spans="1:4" x14ac:dyDescent="0.2">
      <c r="A5938" s="3" t="s">
        <v>2099</v>
      </c>
      <c r="B5938" t="s">
        <v>8</v>
      </c>
      <c r="C5938" s="3" t="s">
        <v>2107</v>
      </c>
      <c r="D5938" s="3" t="s">
        <v>22</v>
      </c>
    </row>
    <row r="5939" spans="1:4" x14ac:dyDescent="0.2">
      <c r="A5939" s="3" t="s">
        <v>2099</v>
      </c>
      <c r="B5939" t="s">
        <v>8</v>
      </c>
      <c r="C5939" s="3" t="s">
        <v>2108</v>
      </c>
      <c r="D5939" s="3" t="s">
        <v>22</v>
      </c>
    </row>
    <row r="5940" spans="1:4" x14ac:dyDescent="0.2">
      <c r="A5940" s="3" t="s">
        <v>2099</v>
      </c>
      <c r="B5940" t="s">
        <v>8</v>
      </c>
      <c r="C5940" s="3" t="s">
        <v>2109</v>
      </c>
      <c r="D5940" s="3" t="s">
        <v>22</v>
      </c>
    </row>
    <row r="5941" spans="1:4" x14ac:dyDescent="0.2">
      <c r="A5941" s="3" t="s">
        <v>2099</v>
      </c>
      <c r="B5941" t="s">
        <v>8</v>
      </c>
      <c r="C5941" s="3" t="s">
        <v>2110</v>
      </c>
      <c r="D5941" s="3" t="s">
        <v>22</v>
      </c>
    </row>
    <row r="5942" spans="1:4" x14ac:dyDescent="0.2">
      <c r="A5942" s="3" t="s">
        <v>2099</v>
      </c>
      <c r="B5942" t="s">
        <v>8</v>
      </c>
      <c r="C5942" s="3" t="s">
        <v>2111</v>
      </c>
      <c r="D5942" s="3" t="s">
        <v>22</v>
      </c>
    </row>
    <row r="5943" spans="1:4" x14ac:dyDescent="0.2">
      <c r="A5943" s="3" t="s">
        <v>2112</v>
      </c>
      <c r="B5943" t="s">
        <v>8</v>
      </c>
      <c r="C5943" s="3" t="s">
        <v>1601</v>
      </c>
      <c r="D5943" s="3" t="s">
        <v>53</v>
      </c>
    </row>
    <row r="5944" spans="1:4" x14ac:dyDescent="0.2">
      <c r="A5944" s="3" t="s">
        <v>2112</v>
      </c>
      <c r="B5944" t="s">
        <v>8</v>
      </c>
      <c r="C5944" s="3" t="s">
        <v>1024</v>
      </c>
      <c r="D5944" s="3" t="s">
        <v>53</v>
      </c>
    </row>
    <row r="5945" spans="1:4" x14ac:dyDescent="0.2">
      <c r="A5945" s="3" t="s">
        <v>2112</v>
      </c>
      <c r="B5945" t="s">
        <v>8</v>
      </c>
      <c r="C5945" s="3" t="s">
        <v>1025</v>
      </c>
      <c r="D5945" s="3" t="s">
        <v>53</v>
      </c>
    </row>
    <row r="5946" spans="1:4" x14ac:dyDescent="0.2">
      <c r="A5946" s="3" t="s">
        <v>2112</v>
      </c>
      <c r="B5946" t="s">
        <v>8</v>
      </c>
      <c r="C5946" s="3" t="s">
        <v>1026</v>
      </c>
      <c r="D5946" s="3" t="s">
        <v>53</v>
      </c>
    </row>
    <row r="5947" spans="1:4" x14ac:dyDescent="0.2">
      <c r="A5947" s="3" t="s">
        <v>2112</v>
      </c>
      <c r="B5947" t="s">
        <v>8</v>
      </c>
      <c r="C5947" s="3" t="s">
        <v>1028</v>
      </c>
      <c r="D5947" s="3" t="s">
        <v>53</v>
      </c>
    </row>
    <row r="5948" spans="1:4" x14ac:dyDescent="0.2">
      <c r="A5948" s="3" t="s">
        <v>2112</v>
      </c>
      <c r="B5948" t="s">
        <v>8</v>
      </c>
      <c r="C5948" s="3" t="s">
        <v>1029</v>
      </c>
      <c r="D5948" s="3" t="s">
        <v>53</v>
      </c>
    </row>
    <row r="5949" spans="1:4" x14ac:dyDescent="0.2">
      <c r="A5949" s="3" t="s">
        <v>2112</v>
      </c>
      <c r="B5949" t="s">
        <v>8</v>
      </c>
      <c r="C5949" s="3" t="s">
        <v>1030</v>
      </c>
      <c r="D5949" s="3" t="s">
        <v>53</v>
      </c>
    </row>
    <row r="5950" spans="1:4" x14ac:dyDescent="0.2">
      <c r="A5950" s="3" t="s">
        <v>2112</v>
      </c>
      <c r="B5950" t="s">
        <v>8</v>
      </c>
      <c r="C5950" s="3" t="s">
        <v>1601</v>
      </c>
      <c r="D5950" s="3" t="s">
        <v>54</v>
      </c>
    </row>
    <row r="5951" spans="1:4" x14ac:dyDescent="0.2">
      <c r="A5951" s="3" t="s">
        <v>2112</v>
      </c>
      <c r="B5951" t="s">
        <v>8</v>
      </c>
      <c r="C5951" s="3" t="s">
        <v>1024</v>
      </c>
      <c r="D5951" s="3" t="s">
        <v>54</v>
      </c>
    </row>
    <row r="5952" spans="1:4" x14ac:dyDescent="0.2">
      <c r="A5952" s="3" t="s">
        <v>2112</v>
      </c>
      <c r="B5952" t="s">
        <v>8</v>
      </c>
      <c r="C5952" s="3" t="s">
        <v>1025</v>
      </c>
      <c r="D5952" s="3" t="s">
        <v>54</v>
      </c>
    </row>
    <row r="5953" spans="1:4" x14ac:dyDescent="0.2">
      <c r="A5953" s="3" t="s">
        <v>2112</v>
      </c>
      <c r="B5953" t="s">
        <v>8</v>
      </c>
      <c r="C5953" s="3" t="s">
        <v>1026</v>
      </c>
      <c r="D5953" s="3" t="s">
        <v>54</v>
      </c>
    </row>
    <row r="5954" spans="1:4" x14ac:dyDescent="0.2">
      <c r="A5954" s="3" t="s">
        <v>2112</v>
      </c>
      <c r="B5954" t="s">
        <v>8</v>
      </c>
      <c r="C5954" s="3" t="s">
        <v>1028</v>
      </c>
      <c r="D5954" s="3" t="s">
        <v>54</v>
      </c>
    </row>
    <row r="5955" spans="1:4" x14ac:dyDescent="0.2">
      <c r="A5955" s="3" t="s">
        <v>2112</v>
      </c>
      <c r="B5955" t="s">
        <v>8</v>
      </c>
      <c r="C5955" s="3" t="s">
        <v>1029</v>
      </c>
      <c r="D5955" s="3" t="s">
        <v>54</v>
      </c>
    </row>
    <row r="5956" spans="1:4" x14ac:dyDescent="0.2">
      <c r="A5956" s="3" t="s">
        <v>2112</v>
      </c>
      <c r="B5956" t="s">
        <v>8</v>
      </c>
      <c r="C5956" s="3" t="s">
        <v>1030</v>
      </c>
      <c r="D5956" s="3" t="s">
        <v>54</v>
      </c>
    </row>
    <row r="5957" spans="1:4" x14ac:dyDescent="0.2">
      <c r="A5957" s="3" t="s">
        <v>2112</v>
      </c>
      <c r="B5957" t="s">
        <v>8</v>
      </c>
      <c r="C5957" s="3" t="s">
        <v>1601</v>
      </c>
      <c r="D5957" s="3" t="s">
        <v>55</v>
      </c>
    </row>
    <row r="5958" spans="1:4" x14ac:dyDescent="0.2">
      <c r="A5958" s="3" t="s">
        <v>2112</v>
      </c>
      <c r="B5958" t="s">
        <v>8</v>
      </c>
      <c r="C5958" s="3" t="s">
        <v>1030</v>
      </c>
      <c r="D5958" s="3" t="s">
        <v>55</v>
      </c>
    </row>
    <row r="5959" spans="1:4" x14ac:dyDescent="0.2">
      <c r="A5959" s="3" t="s">
        <v>2112</v>
      </c>
      <c r="B5959" t="s">
        <v>8</v>
      </c>
      <c r="C5959" s="3" t="s">
        <v>1601</v>
      </c>
      <c r="D5959" s="3" t="s">
        <v>56</v>
      </c>
    </row>
    <row r="5960" spans="1:4" x14ac:dyDescent="0.2">
      <c r="A5960" s="3" t="s">
        <v>2112</v>
      </c>
      <c r="B5960" t="s">
        <v>8</v>
      </c>
      <c r="C5960" s="3" t="s">
        <v>1030</v>
      </c>
      <c r="D5960" s="3" t="s">
        <v>56</v>
      </c>
    </row>
    <row r="5961" spans="1:4" x14ac:dyDescent="0.2">
      <c r="A5961" s="3" t="s">
        <v>2112</v>
      </c>
      <c r="B5961" t="s">
        <v>8</v>
      </c>
      <c r="C5961" s="3" t="s">
        <v>1601</v>
      </c>
      <c r="D5961" s="3" t="s">
        <v>57</v>
      </c>
    </row>
    <row r="5962" spans="1:4" x14ac:dyDescent="0.2">
      <c r="A5962" s="3" t="s">
        <v>2112</v>
      </c>
      <c r="B5962" t="s">
        <v>8</v>
      </c>
      <c r="C5962" s="3" t="s">
        <v>1029</v>
      </c>
      <c r="D5962" s="3" t="s">
        <v>57</v>
      </c>
    </row>
    <row r="5963" spans="1:4" x14ac:dyDescent="0.2">
      <c r="A5963" s="3" t="s">
        <v>2112</v>
      </c>
      <c r="B5963" t="s">
        <v>8</v>
      </c>
      <c r="C5963" s="3" t="s">
        <v>1030</v>
      </c>
      <c r="D5963" s="3" t="s">
        <v>57</v>
      </c>
    </row>
    <row r="5964" spans="1:4" x14ac:dyDescent="0.2">
      <c r="A5964" s="3" t="s">
        <v>2113</v>
      </c>
      <c r="B5964" t="s">
        <v>8</v>
      </c>
      <c r="C5964" s="3" t="s">
        <v>1311</v>
      </c>
      <c r="D5964" s="3" t="s">
        <v>10</v>
      </c>
    </row>
    <row r="5965" spans="1:4" x14ac:dyDescent="0.2">
      <c r="A5965" s="3" t="s">
        <v>2113</v>
      </c>
      <c r="B5965" t="s">
        <v>8</v>
      </c>
      <c r="C5965" s="3" t="s">
        <v>1311</v>
      </c>
      <c r="D5965" s="3" t="s">
        <v>11</v>
      </c>
    </row>
    <row r="5966" spans="1:4" x14ac:dyDescent="0.2">
      <c r="A5966" s="3" t="s">
        <v>2114</v>
      </c>
      <c r="B5966" t="s">
        <v>8</v>
      </c>
      <c r="C5966" s="3" t="s">
        <v>2115</v>
      </c>
      <c r="D5966" s="3" t="s">
        <v>22</v>
      </c>
    </row>
    <row r="5967" spans="1:4" x14ac:dyDescent="0.2">
      <c r="A5967" s="3" t="s">
        <v>2114</v>
      </c>
      <c r="B5967" t="s">
        <v>8</v>
      </c>
      <c r="C5967" s="3" t="s">
        <v>2116</v>
      </c>
      <c r="D5967" s="3" t="s">
        <v>22</v>
      </c>
    </row>
    <row r="5968" spans="1:4" x14ac:dyDescent="0.2">
      <c r="A5968" s="3" t="s">
        <v>2114</v>
      </c>
      <c r="B5968" t="s">
        <v>8</v>
      </c>
      <c r="C5968" s="3" t="s">
        <v>2117</v>
      </c>
      <c r="D5968" s="3" t="s">
        <v>22</v>
      </c>
    </row>
    <row r="5969" spans="1:4" x14ac:dyDescent="0.2">
      <c r="A5969" s="3" t="s">
        <v>2118</v>
      </c>
      <c r="B5969" t="s">
        <v>8</v>
      </c>
      <c r="C5969" s="3" t="s">
        <v>1315</v>
      </c>
      <c r="D5969" s="3" t="s">
        <v>53</v>
      </c>
    </row>
    <row r="5970" spans="1:4" x14ac:dyDescent="0.2">
      <c r="A5970" s="3" t="s">
        <v>2118</v>
      </c>
      <c r="B5970" t="s">
        <v>8</v>
      </c>
      <c r="C5970" s="3" t="s">
        <v>1315</v>
      </c>
      <c r="D5970" s="3" t="s">
        <v>54</v>
      </c>
    </row>
    <row r="5971" spans="1:4" x14ac:dyDescent="0.2">
      <c r="A5971" s="3" t="s">
        <v>2118</v>
      </c>
      <c r="B5971" t="s">
        <v>8</v>
      </c>
      <c r="C5971" s="3" t="s">
        <v>1315</v>
      </c>
      <c r="D5971" s="3" t="s">
        <v>55</v>
      </c>
    </row>
    <row r="5972" spans="1:4" x14ac:dyDescent="0.2">
      <c r="A5972" s="3" t="s">
        <v>2118</v>
      </c>
      <c r="B5972" t="s">
        <v>8</v>
      </c>
      <c r="C5972" s="3" t="s">
        <v>1315</v>
      </c>
      <c r="D5972" s="3" t="s">
        <v>56</v>
      </c>
    </row>
    <row r="5973" spans="1:4" x14ac:dyDescent="0.2">
      <c r="A5973" s="3" t="s">
        <v>2118</v>
      </c>
      <c r="B5973" t="s">
        <v>8</v>
      </c>
      <c r="C5973" s="3" t="s">
        <v>1315</v>
      </c>
      <c r="D5973" s="3" t="s">
        <v>57</v>
      </c>
    </row>
    <row r="5974" spans="1:4" x14ac:dyDescent="0.2">
      <c r="A5974" s="3" t="s">
        <v>2119</v>
      </c>
      <c r="B5974" t="s">
        <v>8</v>
      </c>
      <c r="C5974" s="3" t="s">
        <v>1323</v>
      </c>
      <c r="D5974" s="3" t="s">
        <v>53</v>
      </c>
    </row>
    <row r="5975" spans="1:4" x14ac:dyDescent="0.2">
      <c r="A5975" s="3" t="s">
        <v>2119</v>
      </c>
      <c r="B5975" t="s">
        <v>8</v>
      </c>
      <c r="C5975" s="3" t="s">
        <v>1323</v>
      </c>
      <c r="D5975" s="3" t="s">
        <v>54</v>
      </c>
    </row>
    <row r="5976" spans="1:4" x14ac:dyDescent="0.2">
      <c r="A5976" s="3" t="s">
        <v>2119</v>
      </c>
      <c r="B5976" t="s">
        <v>8</v>
      </c>
      <c r="C5976" s="3" t="s">
        <v>1323</v>
      </c>
      <c r="D5976" s="3" t="s">
        <v>55</v>
      </c>
    </row>
    <row r="5977" spans="1:4" x14ac:dyDescent="0.2">
      <c r="A5977" s="3" t="s">
        <v>2119</v>
      </c>
      <c r="B5977" t="s">
        <v>8</v>
      </c>
      <c r="C5977" s="3" t="s">
        <v>1323</v>
      </c>
      <c r="D5977" s="3" t="s">
        <v>56</v>
      </c>
    </row>
    <row r="5978" spans="1:4" x14ac:dyDescent="0.2">
      <c r="A5978" s="3" t="s">
        <v>2119</v>
      </c>
      <c r="B5978" t="s">
        <v>8</v>
      </c>
      <c r="C5978" s="3" t="s">
        <v>1323</v>
      </c>
      <c r="D5978" s="3" t="s">
        <v>57</v>
      </c>
    </row>
    <row r="5979" spans="1:4" x14ac:dyDescent="0.2">
      <c r="A5979" s="3" t="s">
        <v>2119</v>
      </c>
      <c r="B5979" t="s">
        <v>8</v>
      </c>
      <c r="C5979" s="3" t="s">
        <v>1323</v>
      </c>
      <c r="D5979" s="3" t="s">
        <v>10</v>
      </c>
    </row>
    <row r="5980" spans="1:4" x14ac:dyDescent="0.2">
      <c r="A5980" s="3" t="s">
        <v>2119</v>
      </c>
      <c r="B5980" t="s">
        <v>8</v>
      </c>
      <c r="C5980" s="3" t="s">
        <v>1323</v>
      </c>
      <c r="D5980" s="3" t="s">
        <v>11</v>
      </c>
    </row>
    <row r="5981" spans="1:4" x14ac:dyDescent="0.2">
      <c r="A5981" s="3" t="s">
        <v>2120</v>
      </c>
      <c r="B5981" t="s">
        <v>8</v>
      </c>
      <c r="C5981" s="3" t="s">
        <v>2121</v>
      </c>
      <c r="D5981" s="3" t="s">
        <v>22</v>
      </c>
    </row>
    <row r="5982" spans="1:4" x14ac:dyDescent="0.2">
      <c r="A5982" s="3" t="s">
        <v>2120</v>
      </c>
      <c r="B5982" t="s">
        <v>8</v>
      </c>
      <c r="C5982" s="3" t="s">
        <v>2122</v>
      </c>
      <c r="D5982" s="3" t="s">
        <v>22</v>
      </c>
    </row>
    <row r="5983" spans="1:4" x14ac:dyDescent="0.2">
      <c r="A5983" s="3" t="s">
        <v>2120</v>
      </c>
      <c r="B5983" t="s">
        <v>8</v>
      </c>
      <c r="C5983" s="3" t="s">
        <v>2123</v>
      </c>
      <c r="D5983" s="3" t="s">
        <v>22</v>
      </c>
    </row>
    <row r="5984" spans="1:4" x14ac:dyDescent="0.2">
      <c r="A5984" s="3" t="s">
        <v>2120</v>
      </c>
      <c r="B5984" t="s">
        <v>8</v>
      </c>
      <c r="C5984" s="3" t="s">
        <v>2124</v>
      </c>
      <c r="D5984" s="3" t="s">
        <v>22</v>
      </c>
    </row>
    <row r="5985" spans="1:4" x14ac:dyDescent="0.2">
      <c r="A5985" s="3" t="s">
        <v>2120</v>
      </c>
      <c r="B5985" t="s">
        <v>8</v>
      </c>
      <c r="C5985" s="3" t="s">
        <v>2125</v>
      </c>
      <c r="D5985" s="3" t="s">
        <v>22</v>
      </c>
    </row>
    <row r="5986" spans="1:4" x14ac:dyDescent="0.2">
      <c r="A5986" s="3" t="s">
        <v>2120</v>
      </c>
      <c r="B5986" t="s">
        <v>8</v>
      </c>
      <c r="C5986" s="3" t="s">
        <v>2126</v>
      </c>
      <c r="D5986" s="3" t="s">
        <v>22</v>
      </c>
    </row>
    <row r="5987" spans="1:4" x14ac:dyDescent="0.2">
      <c r="A5987" s="3" t="s">
        <v>2120</v>
      </c>
      <c r="B5987" t="s">
        <v>8</v>
      </c>
      <c r="C5987" s="3" t="s">
        <v>2127</v>
      </c>
      <c r="D5987" s="3" t="s">
        <v>22</v>
      </c>
    </row>
    <row r="5988" spans="1:4" x14ac:dyDescent="0.2">
      <c r="A5988" s="3" t="s">
        <v>2120</v>
      </c>
      <c r="B5988" t="s">
        <v>8</v>
      </c>
      <c r="C5988" s="3" t="s">
        <v>2128</v>
      </c>
      <c r="D5988" s="3" t="s">
        <v>22</v>
      </c>
    </row>
    <row r="5989" spans="1:4" x14ac:dyDescent="0.2">
      <c r="A5989" s="3" t="s">
        <v>2120</v>
      </c>
      <c r="B5989" t="s">
        <v>8</v>
      </c>
      <c r="C5989" s="3" t="s">
        <v>2129</v>
      </c>
      <c r="D5989" s="3" t="s">
        <v>22</v>
      </c>
    </row>
    <row r="5990" spans="1:4" x14ac:dyDescent="0.2">
      <c r="A5990" s="3" t="s">
        <v>2120</v>
      </c>
      <c r="B5990" t="s">
        <v>8</v>
      </c>
      <c r="C5990" s="3" t="s">
        <v>2130</v>
      </c>
      <c r="D5990" s="3" t="s">
        <v>22</v>
      </c>
    </row>
    <row r="5991" spans="1:4" x14ac:dyDescent="0.2">
      <c r="A5991" s="3" t="s">
        <v>2120</v>
      </c>
      <c r="B5991" t="s">
        <v>8</v>
      </c>
      <c r="C5991" s="3" t="s">
        <v>2131</v>
      </c>
      <c r="D5991" s="3" t="s">
        <v>22</v>
      </c>
    </row>
    <row r="5992" spans="1:4" x14ac:dyDescent="0.2">
      <c r="A5992" s="3" t="s">
        <v>2120</v>
      </c>
      <c r="B5992" t="s">
        <v>8</v>
      </c>
      <c r="C5992" s="3" t="s">
        <v>2132</v>
      </c>
      <c r="D5992" s="3" t="s">
        <v>22</v>
      </c>
    </row>
    <row r="5993" spans="1:4" x14ac:dyDescent="0.2">
      <c r="A5993" s="3" t="s">
        <v>2120</v>
      </c>
      <c r="B5993" t="s">
        <v>8</v>
      </c>
      <c r="C5993" s="3" t="s">
        <v>2133</v>
      </c>
      <c r="D5993" s="3" t="s">
        <v>22</v>
      </c>
    </row>
    <row r="5994" spans="1:4" x14ac:dyDescent="0.2">
      <c r="A5994" s="3" t="s">
        <v>2120</v>
      </c>
      <c r="B5994" t="s">
        <v>8</v>
      </c>
      <c r="C5994" s="3" t="s">
        <v>2134</v>
      </c>
      <c r="D5994" s="3" t="s">
        <v>22</v>
      </c>
    </row>
    <row r="5995" spans="1:4" x14ac:dyDescent="0.2">
      <c r="A5995" s="3" t="s">
        <v>2120</v>
      </c>
      <c r="B5995" t="s">
        <v>8</v>
      </c>
      <c r="C5995" s="3" t="s">
        <v>2135</v>
      </c>
      <c r="D5995" s="3" t="s">
        <v>22</v>
      </c>
    </row>
    <row r="5996" spans="1:4" x14ac:dyDescent="0.2">
      <c r="A5996" s="3" t="s">
        <v>2120</v>
      </c>
      <c r="B5996" t="s">
        <v>8</v>
      </c>
      <c r="C5996" s="3" t="s">
        <v>2136</v>
      </c>
      <c r="D5996" s="3" t="s">
        <v>22</v>
      </c>
    </row>
    <row r="5997" spans="1:4" x14ac:dyDescent="0.2">
      <c r="A5997" s="3" t="s">
        <v>2137</v>
      </c>
      <c r="B5997" t="s">
        <v>8</v>
      </c>
      <c r="C5997" s="3" t="s">
        <v>2138</v>
      </c>
      <c r="D5997" s="3" t="s">
        <v>169</v>
      </c>
    </row>
    <row r="5998" spans="1:4" x14ac:dyDescent="0.2">
      <c r="A5998" s="3" t="s">
        <v>2137</v>
      </c>
      <c r="B5998" t="s">
        <v>8</v>
      </c>
      <c r="C5998" s="3" t="s">
        <v>2139</v>
      </c>
      <c r="D5998" s="3" t="s">
        <v>169</v>
      </c>
    </row>
    <row r="5999" spans="1:4" x14ac:dyDescent="0.2">
      <c r="A5999" s="3" t="s">
        <v>2137</v>
      </c>
      <c r="B5999" t="s">
        <v>8</v>
      </c>
      <c r="C5999" s="3" t="s">
        <v>2140</v>
      </c>
      <c r="D5999" s="3" t="s">
        <v>169</v>
      </c>
    </row>
    <row r="6000" spans="1:4" x14ac:dyDescent="0.2">
      <c r="A6000" s="3" t="s">
        <v>2137</v>
      </c>
      <c r="B6000" t="s">
        <v>8</v>
      </c>
      <c r="C6000" s="3" t="s">
        <v>2141</v>
      </c>
      <c r="D6000" s="3" t="s">
        <v>169</v>
      </c>
    </row>
    <row r="6001" spans="1:4" x14ac:dyDescent="0.2">
      <c r="A6001" s="3" t="s">
        <v>2142</v>
      </c>
      <c r="B6001" t="s">
        <v>8</v>
      </c>
      <c r="C6001" s="3" t="s">
        <v>2143</v>
      </c>
      <c r="D6001" s="3" t="s">
        <v>169</v>
      </c>
    </row>
    <row r="6002" spans="1:4" x14ac:dyDescent="0.2">
      <c r="A6002" s="3" t="s">
        <v>2142</v>
      </c>
      <c r="B6002" t="s">
        <v>8</v>
      </c>
      <c r="C6002" s="3" t="s">
        <v>2144</v>
      </c>
      <c r="D6002" s="3" t="s">
        <v>169</v>
      </c>
    </row>
    <row r="6003" spans="1:4" x14ac:dyDescent="0.2">
      <c r="A6003" s="3" t="s">
        <v>2142</v>
      </c>
      <c r="B6003" t="s">
        <v>8</v>
      </c>
      <c r="C6003" s="3" t="s">
        <v>2145</v>
      </c>
      <c r="D6003" s="3" t="s">
        <v>169</v>
      </c>
    </row>
    <row r="6004" spans="1:4" x14ac:dyDescent="0.2">
      <c r="A6004" s="3" t="s">
        <v>2142</v>
      </c>
      <c r="B6004" t="s">
        <v>8</v>
      </c>
      <c r="C6004" s="3" t="s">
        <v>2146</v>
      </c>
      <c r="D6004" s="3" t="s">
        <v>169</v>
      </c>
    </row>
    <row r="6005" spans="1:4" x14ac:dyDescent="0.2">
      <c r="A6005" s="3" t="s">
        <v>2147</v>
      </c>
      <c r="B6005" t="s">
        <v>8</v>
      </c>
      <c r="C6005" s="3" t="s">
        <v>2148</v>
      </c>
      <c r="D6005" s="3" t="s">
        <v>22</v>
      </c>
    </row>
    <row r="6006" spans="1:4" x14ac:dyDescent="0.2">
      <c r="A6006" s="3" t="s">
        <v>2147</v>
      </c>
      <c r="B6006" t="s">
        <v>8</v>
      </c>
      <c r="C6006" s="3" t="s">
        <v>2149</v>
      </c>
      <c r="D6006" s="3" t="s">
        <v>22</v>
      </c>
    </row>
    <row r="6007" spans="1:4" x14ac:dyDescent="0.2">
      <c r="A6007" s="3" t="s">
        <v>2147</v>
      </c>
      <c r="B6007" t="s">
        <v>8</v>
      </c>
      <c r="C6007" s="3" t="s">
        <v>2150</v>
      </c>
      <c r="D6007" s="3" t="s">
        <v>22</v>
      </c>
    </row>
    <row r="6008" spans="1:4" x14ac:dyDescent="0.2">
      <c r="A6008" s="3" t="s">
        <v>2147</v>
      </c>
      <c r="B6008" t="s">
        <v>8</v>
      </c>
      <c r="C6008" s="3" t="s">
        <v>2151</v>
      </c>
      <c r="D6008" s="3" t="s">
        <v>22</v>
      </c>
    </row>
    <row r="6009" spans="1:4" x14ac:dyDescent="0.2">
      <c r="A6009" s="3" t="s">
        <v>2147</v>
      </c>
      <c r="B6009" t="s">
        <v>8</v>
      </c>
      <c r="C6009" s="3" t="s">
        <v>2152</v>
      </c>
      <c r="D6009" s="3" t="s">
        <v>22</v>
      </c>
    </row>
    <row r="6010" spans="1:4" x14ac:dyDescent="0.2">
      <c r="A6010" s="3" t="s">
        <v>2147</v>
      </c>
      <c r="B6010" t="s">
        <v>8</v>
      </c>
      <c r="C6010" s="3" t="s">
        <v>2153</v>
      </c>
      <c r="D6010" s="3" t="s">
        <v>22</v>
      </c>
    </row>
    <row r="6011" spans="1:4" x14ac:dyDescent="0.2">
      <c r="A6011" s="3" t="s">
        <v>2147</v>
      </c>
      <c r="B6011" t="s">
        <v>8</v>
      </c>
      <c r="C6011" s="3" t="s">
        <v>2154</v>
      </c>
      <c r="D6011" s="3" t="s">
        <v>22</v>
      </c>
    </row>
    <row r="6012" spans="1:4" x14ac:dyDescent="0.2">
      <c r="A6012" s="3" t="s">
        <v>2155</v>
      </c>
      <c r="B6012" t="s">
        <v>8</v>
      </c>
      <c r="C6012" s="3" t="s">
        <v>2156</v>
      </c>
      <c r="D6012" s="3" t="s">
        <v>169</v>
      </c>
    </row>
    <row r="6013" spans="1:4" x14ac:dyDescent="0.2">
      <c r="A6013" s="3" t="s">
        <v>2155</v>
      </c>
      <c r="B6013" t="s">
        <v>8</v>
      </c>
      <c r="C6013" s="3" t="s">
        <v>2157</v>
      </c>
      <c r="D6013" s="3" t="s">
        <v>169</v>
      </c>
    </row>
    <row r="6014" spans="1:4" x14ac:dyDescent="0.2">
      <c r="A6014" s="3" t="s">
        <v>2155</v>
      </c>
      <c r="B6014" t="s">
        <v>8</v>
      </c>
      <c r="C6014" s="3" t="s">
        <v>2158</v>
      </c>
      <c r="D6014" s="3" t="s">
        <v>169</v>
      </c>
    </row>
    <row r="6015" spans="1:4" x14ac:dyDescent="0.2">
      <c r="A6015" s="3" t="s">
        <v>2155</v>
      </c>
      <c r="B6015" t="s">
        <v>8</v>
      </c>
      <c r="C6015" s="3" t="s">
        <v>2159</v>
      </c>
      <c r="D6015" s="3" t="s">
        <v>169</v>
      </c>
    </row>
    <row r="6016" spans="1:4" x14ac:dyDescent="0.2">
      <c r="A6016" s="3" t="s">
        <v>2155</v>
      </c>
      <c r="B6016" t="s">
        <v>8</v>
      </c>
      <c r="C6016" s="3" t="s">
        <v>2160</v>
      </c>
      <c r="D6016" s="3" t="s">
        <v>169</v>
      </c>
    </row>
    <row r="6017" spans="1:4" x14ac:dyDescent="0.2">
      <c r="A6017" s="3" t="s">
        <v>2155</v>
      </c>
      <c r="B6017" t="s">
        <v>8</v>
      </c>
      <c r="C6017" s="3" t="s">
        <v>2161</v>
      </c>
      <c r="D6017" s="3" t="s">
        <v>169</v>
      </c>
    </row>
    <row r="6018" spans="1:4" x14ac:dyDescent="0.2">
      <c r="A6018" s="3" t="s">
        <v>2155</v>
      </c>
      <c r="B6018" t="s">
        <v>8</v>
      </c>
      <c r="C6018" s="3" t="s">
        <v>2162</v>
      </c>
      <c r="D6018" s="3" t="s">
        <v>169</v>
      </c>
    </row>
    <row r="6019" spans="1:4" x14ac:dyDescent="0.2">
      <c r="A6019" s="3" t="s">
        <v>2155</v>
      </c>
      <c r="B6019" t="s">
        <v>8</v>
      </c>
      <c r="C6019" s="3" t="s">
        <v>2163</v>
      </c>
      <c r="D6019" s="3" t="s">
        <v>169</v>
      </c>
    </row>
    <row r="6020" spans="1:4" x14ac:dyDescent="0.2">
      <c r="A6020" s="3" t="s">
        <v>2155</v>
      </c>
      <c r="B6020" t="s">
        <v>8</v>
      </c>
      <c r="C6020" s="3" t="s">
        <v>2164</v>
      </c>
      <c r="D6020" s="3" t="s">
        <v>169</v>
      </c>
    </row>
    <row r="6021" spans="1:4" x14ac:dyDescent="0.2">
      <c r="A6021" s="3" t="s">
        <v>2155</v>
      </c>
      <c r="B6021" t="s">
        <v>8</v>
      </c>
      <c r="C6021" s="3" t="s">
        <v>2165</v>
      </c>
      <c r="D6021" s="3" t="s">
        <v>169</v>
      </c>
    </row>
    <row r="6022" spans="1:4" x14ac:dyDescent="0.2">
      <c r="A6022" s="3" t="s">
        <v>2155</v>
      </c>
      <c r="B6022" t="s">
        <v>8</v>
      </c>
      <c r="C6022" s="3" t="s">
        <v>2166</v>
      </c>
      <c r="D6022" s="3" t="s">
        <v>169</v>
      </c>
    </row>
    <row r="6023" spans="1:4" x14ac:dyDescent="0.2">
      <c r="A6023" s="3" t="s">
        <v>2155</v>
      </c>
      <c r="B6023" t="s">
        <v>8</v>
      </c>
      <c r="C6023" s="3" t="s">
        <v>2167</v>
      </c>
      <c r="D6023" s="3" t="s">
        <v>169</v>
      </c>
    </row>
    <row r="6024" spans="1:4" x14ac:dyDescent="0.2">
      <c r="A6024" s="3" t="s">
        <v>2155</v>
      </c>
      <c r="B6024" t="s">
        <v>8</v>
      </c>
      <c r="C6024" s="3" t="s">
        <v>2168</v>
      </c>
      <c r="D6024" s="3" t="s">
        <v>169</v>
      </c>
    </row>
    <row r="6025" spans="1:4" x14ac:dyDescent="0.2">
      <c r="A6025" s="3" t="s">
        <v>2155</v>
      </c>
      <c r="B6025" t="s">
        <v>8</v>
      </c>
      <c r="C6025" s="3" t="s">
        <v>2169</v>
      </c>
      <c r="D6025" s="3" t="s">
        <v>169</v>
      </c>
    </row>
    <row r="6026" spans="1:4" x14ac:dyDescent="0.2">
      <c r="A6026" s="3" t="s">
        <v>2155</v>
      </c>
      <c r="B6026" t="s">
        <v>8</v>
      </c>
      <c r="C6026" s="3" t="s">
        <v>2170</v>
      </c>
      <c r="D6026" s="3" t="s">
        <v>169</v>
      </c>
    </row>
    <row r="6027" spans="1:4" x14ac:dyDescent="0.2">
      <c r="A6027" s="3" t="s">
        <v>2155</v>
      </c>
      <c r="B6027" t="s">
        <v>8</v>
      </c>
      <c r="C6027" s="3" t="s">
        <v>2171</v>
      </c>
      <c r="D6027" s="3" t="s">
        <v>169</v>
      </c>
    </row>
    <row r="6028" spans="1:4" x14ac:dyDescent="0.2">
      <c r="A6028" s="3" t="s">
        <v>2155</v>
      </c>
      <c r="B6028" t="s">
        <v>8</v>
      </c>
      <c r="C6028" s="3" t="s">
        <v>2172</v>
      </c>
      <c r="D6028" s="3" t="s">
        <v>169</v>
      </c>
    </row>
    <row r="6029" spans="1:4" x14ac:dyDescent="0.2">
      <c r="A6029" s="3" t="s">
        <v>2155</v>
      </c>
      <c r="B6029" t="s">
        <v>8</v>
      </c>
      <c r="C6029" s="3" t="s">
        <v>2173</v>
      </c>
      <c r="D6029" s="3" t="s">
        <v>169</v>
      </c>
    </row>
    <row r="6030" spans="1:4" x14ac:dyDescent="0.2">
      <c r="A6030" s="3" t="s">
        <v>2155</v>
      </c>
      <c r="B6030" t="s">
        <v>8</v>
      </c>
      <c r="C6030" s="3" t="s">
        <v>2174</v>
      </c>
      <c r="D6030" s="3" t="s">
        <v>169</v>
      </c>
    </row>
    <row r="6031" spans="1:4" x14ac:dyDescent="0.2">
      <c r="A6031" s="3" t="s">
        <v>2155</v>
      </c>
      <c r="B6031" t="s">
        <v>8</v>
      </c>
      <c r="C6031" s="3" t="s">
        <v>2175</v>
      </c>
      <c r="D6031" s="3" t="s">
        <v>169</v>
      </c>
    </row>
    <row r="6032" spans="1:4" x14ac:dyDescent="0.2">
      <c r="A6032" s="3" t="s">
        <v>2155</v>
      </c>
      <c r="B6032" t="s">
        <v>8</v>
      </c>
      <c r="C6032" s="3" t="s">
        <v>2176</v>
      </c>
      <c r="D6032" s="3" t="s">
        <v>169</v>
      </c>
    </row>
    <row r="6033" spans="1:4" x14ac:dyDescent="0.2">
      <c r="A6033" s="3" t="s">
        <v>2155</v>
      </c>
      <c r="B6033" t="s">
        <v>8</v>
      </c>
      <c r="C6033" s="3" t="s">
        <v>2177</v>
      </c>
      <c r="D6033" s="3" t="s">
        <v>169</v>
      </c>
    </row>
    <row r="6034" spans="1:4" x14ac:dyDescent="0.2">
      <c r="A6034" s="3" t="s">
        <v>2155</v>
      </c>
      <c r="B6034" t="s">
        <v>8</v>
      </c>
      <c r="C6034" s="3" t="s">
        <v>2178</v>
      </c>
      <c r="D6034" s="3" t="s">
        <v>169</v>
      </c>
    </row>
    <row r="6035" spans="1:4" x14ac:dyDescent="0.2">
      <c r="A6035" s="3" t="s">
        <v>2155</v>
      </c>
      <c r="B6035" t="s">
        <v>8</v>
      </c>
      <c r="C6035" s="3" t="s">
        <v>2179</v>
      </c>
      <c r="D6035" s="3" t="s">
        <v>169</v>
      </c>
    </row>
    <row r="6036" spans="1:4" x14ac:dyDescent="0.2">
      <c r="A6036" s="3" t="s">
        <v>2155</v>
      </c>
      <c r="B6036" t="s">
        <v>8</v>
      </c>
      <c r="C6036" s="3" t="s">
        <v>2180</v>
      </c>
      <c r="D6036" s="3" t="s">
        <v>169</v>
      </c>
    </row>
    <row r="6037" spans="1:4" x14ac:dyDescent="0.2">
      <c r="A6037" s="3" t="s">
        <v>2181</v>
      </c>
      <c r="B6037" t="s">
        <v>8</v>
      </c>
      <c r="C6037" s="3" t="s">
        <v>1311</v>
      </c>
      <c r="D6037" s="3" t="s">
        <v>10</v>
      </c>
    </row>
    <row r="6038" spans="1:4" x14ac:dyDescent="0.2">
      <c r="A6038" s="3" t="s">
        <v>2181</v>
      </c>
      <c r="B6038" t="s">
        <v>8</v>
      </c>
      <c r="C6038" s="3" t="s">
        <v>1311</v>
      </c>
      <c r="D6038" s="3" t="s">
        <v>11</v>
      </c>
    </row>
    <row r="6039" spans="1:4" x14ac:dyDescent="0.2">
      <c r="A6039" s="3" t="s">
        <v>2182</v>
      </c>
      <c r="B6039" t="s">
        <v>8</v>
      </c>
      <c r="C6039" s="3" t="s">
        <v>1835</v>
      </c>
      <c r="D6039" s="3" t="s">
        <v>169</v>
      </c>
    </row>
    <row r="6040" spans="1:4" x14ac:dyDescent="0.2">
      <c r="A6040" s="3" t="s">
        <v>2182</v>
      </c>
      <c r="B6040" t="s">
        <v>8</v>
      </c>
      <c r="C6040" s="3" t="s">
        <v>1836</v>
      </c>
      <c r="D6040" s="3" t="s">
        <v>169</v>
      </c>
    </row>
    <row r="6041" spans="1:4" x14ac:dyDescent="0.2">
      <c r="A6041" s="3" t="s">
        <v>2182</v>
      </c>
      <c r="B6041" t="s">
        <v>8</v>
      </c>
      <c r="C6041" s="3" t="s">
        <v>1838</v>
      </c>
      <c r="D6041" s="3" t="s">
        <v>169</v>
      </c>
    </row>
    <row r="6042" spans="1:4" x14ac:dyDescent="0.2">
      <c r="A6042" s="3" t="s">
        <v>2494</v>
      </c>
      <c r="B6042" t="s">
        <v>8</v>
      </c>
      <c r="C6042" s="3" t="s">
        <v>26</v>
      </c>
      <c r="D6042" s="3" t="s">
        <v>11</v>
      </c>
    </row>
    <row r="6043" spans="1:4" x14ac:dyDescent="0.2">
      <c r="A6043" s="3" t="s">
        <v>2496</v>
      </c>
      <c r="B6043" t="s">
        <v>8</v>
      </c>
      <c r="C6043" s="3" t="s">
        <v>91</v>
      </c>
      <c r="D6043" s="3" t="s">
        <v>11</v>
      </c>
    </row>
    <row r="6044" spans="1:4" x14ac:dyDescent="0.2">
      <c r="A6044" s="3" t="s">
        <v>2497</v>
      </c>
      <c r="B6044" t="s">
        <v>8</v>
      </c>
      <c r="C6044" s="3" t="s">
        <v>144</v>
      </c>
      <c r="D6044" s="3" t="s">
        <v>11</v>
      </c>
    </row>
    <row r="6045" spans="1:4" x14ac:dyDescent="0.2">
      <c r="A6045" s="3" t="s">
        <v>2498</v>
      </c>
      <c r="B6045" t="s">
        <v>8</v>
      </c>
      <c r="C6045" s="3" t="s">
        <v>144</v>
      </c>
      <c r="D6045" s="3" t="s">
        <v>11</v>
      </c>
    </row>
    <row r="6046" spans="1:4" x14ac:dyDescent="0.2">
      <c r="A6046" s="3" t="s">
        <v>2499</v>
      </c>
      <c r="B6046" t="s">
        <v>8</v>
      </c>
      <c r="C6046" s="3" t="s">
        <v>2563</v>
      </c>
      <c r="D6046" s="3" t="s">
        <v>11</v>
      </c>
    </row>
    <row r="6047" spans="1:4" x14ac:dyDescent="0.2">
      <c r="A6047" s="3" t="s">
        <v>2500</v>
      </c>
      <c r="B6047" t="s">
        <v>8</v>
      </c>
      <c r="C6047" s="3" t="s">
        <v>1382</v>
      </c>
      <c r="D6047" s="3" t="s">
        <v>11</v>
      </c>
    </row>
    <row r="6048" spans="1:4" x14ac:dyDescent="0.2">
      <c r="A6048" s="3" t="s">
        <v>2501</v>
      </c>
      <c r="B6048" t="s">
        <v>8</v>
      </c>
      <c r="C6048" s="3" t="s">
        <v>2501</v>
      </c>
      <c r="D6048" s="3" t="s">
        <v>57</v>
      </c>
    </row>
    <row r="6049" spans="1:4" x14ac:dyDescent="0.2">
      <c r="A6049" s="3" t="s">
        <v>2501</v>
      </c>
      <c r="B6049" t="s">
        <v>8</v>
      </c>
      <c r="C6049" s="3" t="s">
        <v>2501</v>
      </c>
      <c r="D6049" s="3" t="s">
        <v>56</v>
      </c>
    </row>
    <row r="6050" spans="1:4" x14ac:dyDescent="0.2">
      <c r="A6050" s="3" t="s">
        <v>2501</v>
      </c>
      <c r="B6050" t="s">
        <v>8</v>
      </c>
      <c r="C6050" s="3" t="s">
        <v>2501</v>
      </c>
      <c r="D6050" s="3" t="s">
        <v>55</v>
      </c>
    </row>
    <row r="6051" spans="1:4" x14ac:dyDescent="0.2">
      <c r="A6051" s="3" t="s">
        <v>2501</v>
      </c>
      <c r="B6051" t="s">
        <v>8</v>
      </c>
      <c r="C6051" s="3" t="s">
        <v>2501</v>
      </c>
      <c r="D6051" s="3" t="s">
        <v>54</v>
      </c>
    </row>
    <row r="6052" spans="1:4" x14ac:dyDescent="0.2">
      <c r="A6052" s="3" t="s">
        <v>2501</v>
      </c>
      <c r="B6052" t="s">
        <v>8</v>
      </c>
      <c r="C6052" s="3" t="s">
        <v>2501</v>
      </c>
      <c r="D6052" s="3" t="s">
        <v>53</v>
      </c>
    </row>
    <row r="6053" spans="1:4" x14ac:dyDescent="0.2">
      <c r="A6053" s="3" t="s">
        <v>2502</v>
      </c>
      <c r="B6053" t="s">
        <v>8</v>
      </c>
      <c r="C6053" s="3" t="s">
        <v>824</v>
      </c>
      <c r="D6053" s="3" t="s">
        <v>57</v>
      </c>
    </row>
    <row r="6054" spans="1:4" x14ac:dyDescent="0.2">
      <c r="A6054" s="3" t="s">
        <v>2502</v>
      </c>
      <c r="B6054" t="s">
        <v>8</v>
      </c>
      <c r="C6054" s="3" t="s">
        <v>824</v>
      </c>
      <c r="D6054" s="3" t="s">
        <v>56</v>
      </c>
    </row>
    <row r="6055" spans="1:4" x14ac:dyDescent="0.2">
      <c r="A6055" s="3" t="s">
        <v>2502</v>
      </c>
      <c r="B6055" t="s">
        <v>8</v>
      </c>
      <c r="C6055" s="3" t="s">
        <v>824</v>
      </c>
      <c r="D6055" s="3" t="s">
        <v>55</v>
      </c>
    </row>
    <row r="6056" spans="1:4" x14ac:dyDescent="0.2">
      <c r="A6056" s="3" t="s">
        <v>2502</v>
      </c>
      <c r="B6056" t="s">
        <v>8</v>
      </c>
      <c r="C6056" s="3" t="s">
        <v>824</v>
      </c>
      <c r="D6056" s="3" t="s">
        <v>54</v>
      </c>
    </row>
    <row r="6057" spans="1:4" x14ac:dyDescent="0.2">
      <c r="A6057" s="3" t="s">
        <v>2502</v>
      </c>
      <c r="B6057" t="s">
        <v>8</v>
      </c>
      <c r="C6057" s="3" t="s">
        <v>824</v>
      </c>
      <c r="D6057" s="3" t="s">
        <v>53</v>
      </c>
    </row>
    <row r="6058" spans="1:4" x14ac:dyDescent="0.2">
      <c r="A6058" s="3" t="s">
        <v>2503</v>
      </c>
      <c r="B6058" t="s">
        <v>8</v>
      </c>
      <c r="C6058" s="3" t="s">
        <v>902</v>
      </c>
      <c r="D6058" s="3" t="s">
        <v>57</v>
      </c>
    </row>
    <row r="6059" spans="1:4" x14ac:dyDescent="0.2">
      <c r="A6059" s="3" t="s">
        <v>2503</v>
      </c>
      <c r="B6059" t="s">
        <v>8</v>
      </c>
      <c r="C6059" s="3" t="s">
        <v>902</v>
      </c>
      <c r="D6059" s="3" t="s">
        <v>56</v>
      </c>
    </row>
    <row r="6060" spans="1:4" x14ac:dyDescent="0.2">
      <c r="A6060" s="3" t="s">
        <v>2503</v>
      </c>
      <c r="B6060" t="s">
        <v>8</v>
      </c>
      <c r="C6060" s="3" t="s">
        <v>902</v>
      </c>
      <c r="D6060" s="3" t="s">
        <v>55</v>
      </c>
    </row>
    <row r="6061" spans="1:4" x14ac:dyDescent="0.2">
      <c r="A6061" s="3" t="s">
        <v>2503</v>
      </c>
      <c r="B6061" t="s">
        <v>8</v>
      </c>
      <c r="C6061" s="3" t="s">
        <v>902</v>
      </c>
      <c r="D6061" s="3" t="s">
        <v>54</v>
      </c>
    </row>
    <row r="6062" spans="1:4" x14ac:dyDescent="0.2">
      <c r="A6062" s="3" t="s">
        <v>2503</v>
      </c>
      <c r="B6062" t="s">
        <v>8</v>
      </c>
      <c r="C6062" s="3" t="s">
        <v>902</v>
      </c>
      <c r="D6062" s="3" t="s">
        <v>53</v>
      </c>
    </row>
    <row r="6063" spans="1:4" x14ac:dyDescent="0.2">
      <c r="A6063" s="3" t="s">
        <v>2504</v>
      </c>
      <c r="B6063" t="s">
        <v>8</v>
      </c>
      <c r="C6063" s="3" t="s">
        <v>934</v>
      </c>
      <c r="D6063" s="3" t="s">
        <v>11</v>
      </c>
    </row>
    <row r="6064" spans="1:4" x14ac:dyDescent="0.2">
      <c r="A6064" s="3" t="s">
        <v>2505</v>
      </c>
      <c r="B6064" t="s">
        <v>8</v>
      </c>
      <c r="C6064" s="3" t="s">
        <v>1369</v>
      </c>
      <c r="D6064" s="3" t="s">
        <v>11</v>
      </c>
    </row>
    <row r="6065" spans="1:4" x14ac:dyDescent="0.2">
      <c r="A6065" s="3" t="s">
        <v>2506</v>
      </c>
      <c r="B6065" t="s">
        <v>8</v>
      </c>
      <c r="C6065" s="3" t="s">
        <v>2141</v>
      </c>
      <c r="D6065" s="3" t="s">
        <v>169</v>
      </c>
    </row>
    <row r="6066" spans="1:4" x14ac:dyDescent="0.2">
      <c r="A6066" s="3" t="s">
        <v>2507</v>
      </c>
      <c r="B6066" t="s">
        <v>8</v>
      </c>
      <c r="C6066" s="3" t="s">
        <v>2507</v>
      </c>
      <c r="D6066" s="3" t="s">
        <v>57</v>
      </c>
    </row>
    <row r="6067" spans="1:4" x14ac:dyDescent="0.2">
      <c r="A6067" s="3" t="s">
        <v>2507</v>
      </c>
      <c r="B6067" t="s">
        <v>8</v>
      </c>
      <c r="C6067" s="3" t="s">
        <v>2507</v>
      </c>
      <c r="D6067" s="3" t="s">
        <v>56</v>
      </c>
    </row>
    <row r="6068" spans="1:4" x14ac:dyDescent="0.2">
      <c r="A6068" s="3" t="s">
        <v>2507</v>
      </c>
      <c r="B6068" t="s">
        <v>8</v>
      </c>
      <c r="C6068" s="3" t="s">
        <v>2507</v>
      </c>
      <c r="D6068" s="3" t="s">
        <v>55</v>
      </c>
    </row>
    <row r="6069" spans="1:4" x14ac:dyDescent="0.2">
      <c r="A6069" s="3" t="s">
        <v>2507</v>
      </c>
      <c r="B6069" t="s">
        <v>8</v>
      </c>
      <c r="C6069" s="3" t="s">
        <v>2507</v>
      </c>
      <c r="D6069" s="3" t="s">
        <v>54</v>
      </c>
    </row>
    <row r="6070" spans="1:4" x14ac:dyDescent="0.2">
      <c r="A6070" s="3" t="s">
        <v>2507</v>
      </c>
      <c r="B6070" t="s">
        <v>8</v>
      </c>
      <c r="C6070" s="3" t="s">
        <v>2507</v>
      </c>
      <c r="D6070" s="3" t="s">
        <v>53</v>
      </c>
    </row>
    <row r="6071" spans="1:4" x14ac:dyDescent="0.2">
      <c r="A6071" s="3" t="s">
        <v>2508</v>
      </c>
      <c r="B6071" t="s">
        <v>8</v>
      </c>
      <c r="C6071" s="3" t="s">
        <v>951</v>
      </c>
      <c r="D6071" s="3" t="s">
        <v>169</v>
      </c>
    </row>
    <row r="6072" spans="1:4" x14ac:dyDescent="0.2">
      <c r="A6072" s="3" t="s">
        <v>2509</v>
      </c>
      <c r="B6072" t="s">
        <v>8</v>
      </c>
      <c r="C6072" s="3" t="s">
        <v>951</v>
      </c>
      <c r="D6072" s="3" t="s">
        <v>169</v>
      </c>
    </row>
    <row r="6073" spans="1:4" x14ac:dyDescent="0.2">
      <c r="A6073" s="3" t="s">
        <v>2510</v>
      </c>
      <c r="B6073" t="s">
        <v>8</v>
      </c>
      <c r="C6073" s="3" t="s">
        <v>951</v>
      </c>
      <c r="D6073" s="3" t="s">
        <v>169</v>
      </c>
    </row>
    <row r="6074" spans="1:4" x14ac:dyDescent="0.2">
      <c r="A6074" s="3" t="s">
        <v>2511</v>
      </c>
      <c r="B6074" t="s">
        <v>8</v>
      </c>
      <c r="C6074" s="3" t="s">
        <v>934</v>
      </c>
      <c r="D6074" s="3" t="s">
        <v>11</v>
      </c>
    </row>
    <row r="6075" spans="1:4" x14ac:dyDescent="0.2">
      <c r="A6075" s="3" t="s">
        <v>2507</v>
      </c>
      <c r="B6075" t="s">
        <v>8</v>
      </c>
      <c r="C6075" s="3" t="s">
        <v>2507</v>
      </c>
      <c r="D6075" s="3" t="s">
        <v>57</v>
      </c>
    </row>
    <row r="6076" spans="1:4" x14ac:dyDescent="0.2">
      <c r="A6076" s="3" t="s">
        <v>2507</v>
      </c>
      <c r="B6076" t="s">
        <v>8</v>
      </c>
      <c r="C6076" s="3" t="s">
        <v>2507</v>
      </c>
      <c r="D6076" s="3" t="s">
        <v>56</v>
      </c>
    </row>
    <row r="6077" spans="1:4" x14ac:dyDescent="0.2">
      <c r="A6077" s="3" t="s">
        <v>2507</v>
      </c>
      <c r="B6077" t="s">
        <v>8</v>
      </c>
      <c r="C6077" s="3" t="s">
        <v>2507</v>
      </c>
      <c r="D6077" s="3" t="s">
        <v>55</v>
      </c>
    </row>
    <row r="6078" spans="1:4" x14ac:dyDescent="0.2">
      <c r="A6078" s="3" t="s">
        <v>2507</v>
      </c>
      <c r="B6078" t="s">
        <v>8</v>
      </c>
      <c r="C6078" s="3" t="s">
        <v>2507</v>
      </c>
      <c r="D6078" s="3" t="s">
        <v>54</v>
      </c>
    </row>
    <row r="6079" spans="1:4" x14ac:dyDescent="0.2">
      <c r="A6079" s="3" t="s">
        <v>2507</v>
      </c>
      <c r="B6079" t="s">
        <v>8</v>
      </c>
      <c r="C6079" s="3" t="s">
        <v>2507</v>
      </c>
      <c r="D6079" s="3" t="s">
        <v>53</v>
      </c>
    </row>
    <row r="6080" spans="1:4" x14ac:dyDescent="0.2">
      <c r="A6080" s="3" t="s">
        <v>2508</v>
      </c>
      <c r="B6080" t="s">
        <v>8</v>
      </c>
      <c r="C6080" s="3" t="s">
        <v>951</v>
      </c>
      <c r="D6080" s="3" t="s">
        <v>169</v>
      </c>
    </row>
    <row r="6081" spans="1:4" x14ac:dyDescent="0.2">
      <c r="A6081" s="3" t="s">
        <v>2509</v>
      </c>
      <c r="B6081" t="s">
        <v>8</v>
      </c>
      <c r="C6081" s="3" t="s">
        <v>951</v>
      </c>
      <c r="D6081" s="3" t="s">
        <v>169</v>
      </c>
    </row>
    <row r="6082" spans="1:4" x14ac:dyDescent="0.2">
      <c r="A6082" s="3" t="s">
        <v>2510</v>
      </c>
      <c r="B6082" t="s">
        <v>8</v>
      </c>
      <c r="C6082" s="3" t="s">
        <v>951</v>
      </c>
      <c r="D6082" s="3" t="s">
        <v>169</v>
      </c>
    </row>
    <row r="6083" spans="1:4" x14ac:dyDescent="0.2">
      <c r="A6083" s="3" t="s">
        <v>2511</v>
      </c>
      <c r="B6083" t="s">
        <v>8</v>
      </c>
      <c r="C6083" s="3" t="s">
        <v>934</v>
      </c>
      <c r="D6083" s="3" t="s">
        <v>11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B04A-9C50-4162-A7BC-B3B83CA6F820}">
  <sheetPr codeName="Sheet8">
    <tabColor rgb="FFFFC000"/>
  </sheetPr>
  <dimension ref="A1:C6187"/>
  <sheetViews>
    <sheetView topLeftCell="A5551" workbookViewId="0">
      <selection activeCell="A5575" sqref="A5575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s="3" t="s">
        <v>2285</v>
      </c>
      <c r="B2" s="3" t="s">
        <v>2287</v>
      </c>
      <c r="C2" s="3" t="s">
        <v>10</v>
      </c>
    </row>
    <row r="3" spans="1:3" x14ac:dyDescent="0.2">
      <c r="A3" s="3" t="s">
        <v>2288</v>
      </c>
      <c r="B3" s="3" t="s">
        <v>16</v>
      </c>
      <c r="C3" s="3" t="s">
        <v>10</v>
      </c>
    </row>
    <row r="4" spans="1:3" x14ac:dyDescent="0.2">
      <c r="A4" s="3" t="s">
        <v>2288</v>
      </c>
      <c r="B4" s="3" t="s">
        <v>16</v>
      </c>
      <c r="C4" s="3" t="s">
        <v>11</v>
      </c>
    </row>
    <row r="5" spans="1:3" x14ac:dyDescent="0.2">
      <c r="A5" s="3" t="s">
        <v>2289</v>
      </c>
      <c r="B5" s="3" t="s">
        <v>2290</v>
      </c>
      <c r="C5" s="3" t="s">
        <v>10</v>
      </c>
    </row>
    <row r="6" spans="1:3" x14ac:dyDescent="0.2">
      <c r="A6" s="3" t="s">
        <v>18</v>
      </c>
      <c r="B6" s="3" t="s">
        <v>19</v>
      </c>
      <c r="C6" s="3" t="s">
        <v>10</v>
      </c>
    </row>
    <row r="7" spans="1:3" x14ac:dyDescent="0.2">
      <c r="A7" s="3" t="s">
        <v>18</v>
      </c>
      <c r="B7" s="3" t="s">
        <v>20</v>
      </c>
      <c r="C7" s="3" t="s">
        <v>10</v>
      </c>
    </row>
    <row r="8" spans="1:3" x14ac:dyDescent="0.2">
      <c r="A8" s="3" t="s">
        <v>18</v>
      </c>
      <c r="B8" s="3" t="s">
        <v>19</v>
      </c>
      <c r="C8" s="3" t="s">
        <v>11</v>
      </c>
    </row>
    <row r="9" spans="1:3" x14ac:dyDescent="0.2">
      <c r="A9" s="3" t="s">
        <v>18</v>
      </c>
      <c r="B9" s="3" t="s">
        <v>21</v>
      </c>
      <c r="C9" s="3" t="s">
        <v>22</v>
      </c>
    </row>
    <row r="10" spans="1:3" x14ac:dyDescent="0.2">
      <c r="A10" s="3" t="s">
        <v>18</v>
      </c>
      <c r="B10" s="3" t="s">
        <v>23</v>
      </c>
      <c r="C10" s="3" t="s">
        <v>22</v>
      </c>
    </row>
    <row r="11" spans="1:3" x14ac:dyDescent="0.2">
      <c r="A11" s="3" t="s">
        <v>24</v>
      </c>
      <c r="B11" s="3" t="s">
        <v>19</v>
      </c>
      <c r="C11" s="3" t="s">
        <v>10</v>
      </c>
    </row>
    <row r="12" spans="1:3" x14ac:dyDescent="0.2">
      <c r="A12" s="3" t="s">
        <v>24</v>
      </c>
      <c r="B12" s="3" t="s">
        <v>20</v>
      </c>
      <c r="C12" s="3" t="s">
        <v>10</v>
      </c>
    </row>
    <row r="13" spans="1:3" x14ac:dyDescent="0.2">
      <c r="A13" s="3" t="s">
        <v>24</v>
      </c>
      <c r="B13" s="3" t="s">
        <v>19</v>
      </c>
      <c r="C13" s="3" t="s">
        <v>11</v>
      </c>
    </row>
    <row r="14" spans="1:3" x14ac:dyDescent="0.2">
      <c r="A14" s="3" t="s">
        <v>25</v>
      </c>
      <c r="B14" s="3" t="s">
        <v>26</v>
      </c>
      <c r="C14" s="3" t="s">
        <v>10</v>
      </c>
    </row>
    <row r="15" spans="1:3" x14ac:dyDescent="0.2">
      <c r="A15" s="3" t="s">
        <v>25</v>
      </c>
      <c r="B15" s="3" t="s">
        <v>27</v>
      </c>
      <c r="C15" s="3" t="s">
        <v>10</v>
      </c>
    </row>
    <row r="16" spans="1:3" x14ac:dyDescent="0.2">
      <c r="A16" s="3" t="s">
        <v>25</v>
      </c>
      <c r="B16" s="3" t="s">
        <v>26</v>
      </c>
      <c r="C16" s="3" t="s">
        <v>11</v>
      </c>
    </row>
    <row r="17" spans="1:3" x14ac:dyDescent="0.2">
      <c r="A17" s="3" t="s">
        <v>28</v>
      </c>
      <c r="B17" s="3" t="s">
        <v>29</v>
      </c>
      <c r="C17" s="3" t="s">
        <v>10</v>
      </c>
    </row>
    <row r="18" spans="1:3" x14ac:dyDescent="0.2">
      <c r="A18" s="3" t="s">
        <v>28</v>
      </c>
      <c r="B18" s="3" t="s">
        <v>29</v>
      </c>
      <c r="C18" s="3" t="s">
        <v>11</v>
      </c>
    </row>
    <row r="19" spans="1:3" x14ac:dyDescent="0.2">
      <c r="A19" s="3" t="s">
        <v>2291</v>
      </c>
      <c r="B19" s="3" t="s">
        <v>2292</v>
      </c>
      <c r="C19" s="3" t="s">
        <v>10</v>
      </c>
    </row>
    <row r="20" spans="1:3" x14ac:dyDescent="0.2">
      <c r="A20" s="3" t="s">
        <v>2291</v>
      </c>
      <c r="B20" s="3" t="s">
        <v>2293</v>
      </c>
      <c r="C20" s="3" t="s">
        <v>10</v>
      </c>
    </row>
    <row r="21" spans="1:3" x14ac:dyDescent="0.2">
      <c r="A21" s="3" t="s">
        <v>2294</v>
      </c>
      <c r="B21" s="3" t="s">
        <v>2295</v>
      </c>
      <c r="C21" s="3" t="s">
        <v>10</v>
      </c>
    </row>
    <row r="22" spans="1:3" x14ac:dyDescent="0.2">
      <c r="A22" s="3" t="s">
        <v>2294</v>
      </c>
      <c r="B22" s="3" t="s">
        <v>2296</v>
      </c>
      <c r="C22" s="3" t="s">
        <v>10</v>
      </c>
    </row>
    <row r="23" spans="1:3" x14ac:dyDescent="0.2">
      <c r="A23" s="3" t="s">
        <v>2294</v>
      </c>
      <c r="B23" s="3" t="s">
        <v>2297</v>
      </c>
      <c r="C23" s="3" t="s">
        <v>10</v>
      </c>
    </row>
    <row r="24" spans="1:3" x14ac:dyDescent="0.2">
      <c r="A24" s="3" t="s">
        <v>2294</v>
      </c>
      <c r="B24" s="3" t="s">
        <v>2298</v>
      </c>
      <c r="C24" s="3" t="s">
        <v>10</v>
      </c>
    </row>
    <row r="25" spans="1:3" x14ac:dyDescent="0.2">
      <c r="A25" s="3" t="s">
        <v>2294</v>
      </c>
      <c r="B25" s="3" t="s">
        <v>2299</v>
      </c>
      <c r="C25" s="3" t="s">
        <v>10</v>
      </c>
    </row>
    <row r="26" spans="1:3" x14ac:dyDescent="0.2">
      <c r="A26" s="3" t="s">
        <v>2294</v>
      </c>
      <c r="B26" s="3" t="s">
        <v>1268</v>
      </c>
      <c r="C26" s="3" t="s">
        <v>10</v>
      </c>
    </row>
    <row r="27" spans="1:3" x14ac:dyDescent="0.2">
      <c r="A27" s="3" t="s">
        <v>2294</v>
      </c>
      <c r="B27" s="3" t="s">
        <v>2300</v>
      </c>
      <c r="C27" s="3" t="s">
        <v>10</v>
      </c>
    </row>
    <row r="28" spans="1:3" x14ac:dyDescent="0.2">
      <c r="A28" s="3" t="s">
        <v>2294</v>
      </c>
      <c r="B28" s="3" t="s">
        <v>2301</v>
      </c>
      <c r="C28" s="3" t="s">
        <v>10</v>
      </c>
    </row>
    <row r="29" spans="1:3" x14ac:dyDescent="0.2">
      <c r="A29" s="3" t="s">
        <v>2294</v>
      </c>
      <c r="B29" s="3" t="s">
        <v>2302</v>
      </c>
      <c r="C29" s="3" t="s">
        <v>10</v>
      </c>
    </row>
    <row r="30" spans="1:3" x14ac:dyDescent="0.2">
      <c r="A30" s="3" t="s">
        <v>2294</v>
      </c>
      <c r="B30" s="3" t="s">
        <v>2303</v>
      </c>
      <c r="C30" s="3" t="s">
        <v>10</v>
      </c>
    </row>
    <row r="31" spans="1:3" x14ac:dyDescent="0.2">
      <c r="A31" s="3" t="s">
        <v>2294</v>
      </c>
      <c r="B31" s="3" t="s">
        <v>2304</v>
      </c>
      <c r="C31" s="3" t="s">
        <v>10</v>
      </c>
    </row>
    <row r="32" spans="1:3" x14ac:dyDescent="0.2">
      <c r="A32" s="3" t="s">
        <v>2294</v>
      </c>
      <c r="B32" s="3" t="s">
        <v>1276</v>
      </c>
      <c r="C32" s="3" t="s">
        <v>10</v>
      </c>
    </row>
    <row r="33" spans="1:3" x14ac:dyDescent="0.2">
      <c r="A33" s="3" t="s">
        <v>2294</v>
      </c>
      <c r="B33" s="3" t="s">
        <v>2305</v>
      </c>
      <c r="C33" s="3" t="s">
        <v>10</v>
      </c>
    </row>
    <row r="34" spans="1:3" x14ac:dyDescent="0.2">
      <c r="A34" s="3" t="s">
        <v>2306</v>
      </c>
      <c r="B34" s="3" t="s">
        <v>2307</v>
      </c>
      <c r="C34" s="3" t="s">
        <v>10</v>
      </c>
    </row>
    <row r="35" spans="1:3" x14ac:dyDescent="0.2">
      <c r="A35" s="3" t="s">
        <v>2306</v>
      </c>
      <c r="B35" s="3" t="s">
        <v>2308</v>
      </c>
      <c r="C35" s="3" t="s">
        <v>10</v>
      </c>
    </row>
    <row r="36" spans="1:3" x14ac:dyDescent="0.2">
      <c r="A36" s="3" t="s">
        <v>2306</v>
      </c>
      <c r="B36" s="3" t="s">
        <v>2309</v>
      </c>
      <c r="C36" s="3" t="s">
        <v>10</v>
      </c>
    </row>
    <row r="37" spans="1:3" x14ac:dyDescent="0.2">
      <c r="A37" s="3" t="s">
        <v>2306</v>
      </c>
      <c r="B37" s="3" t="s">
        <v>2310</v>
      </c>
      <c r="C37" s="3" t="s">
        <v>10</v>
      </c>
    </row>
    <row r="38" spans="1:3" x14ac:dyDescent="0.2">
      <c r="A38" s="3" t="s">
        <v>2306</v>
      </c>
      <c r="B38" s="3" t="s">
        <v>1275</v>
      </c>
      <c r="C38" s="3" t="s">
        <v>10</v>
      </c>
    </row>
    <row r="39" spans="1:3" x14ac:dyDescent="0.2">
      <c r="A39" s="3" t="s">
        <v>2306</v>
      </c>
      <c r="B39" s="3" t="s">
        <v>2311</v>
      </c>
      <c r="C39" s="3" t="s">
        <v>10</v>
      </c>
    </row>
    <row r="40" spans="1:3" x14ac:dyDescent="0.2">
      <c r="A40" s="3" t="s">
        <v>2306</v>
      </c>
      <c r="B40" s="3" t="s">
        <v>2312</v>
      </c>
      <c r="C40" s="3" t="s">
        <v>10</v>
      </c>
    </row>
    <row r="41" spans="1:3" x14ac:dyDescent="0.2">
      <c r="A41" s="3" t="s">
        <v>2306</v>
      </c>
      <c r="B41" s="3" t="s">
        <v>2313</v>
      </c>
      <c r="C41" s="3" t="s">
        <v>10</v>
      </c>
    </row>
    <row r="42" spans="1:3" x14ac:dyDescent="0.2">
      <c r="A42" s="3" t="s">
        <v>2306</v>
      </c>
      <c r="B42" s="3" t="s">
        <v>1277</v>
      </c>
      <c r="C42" s="3" t="s">
        <v>10</v>
      </c>
    </row>
    <row r="43" spans="1:3" x14ac:dyDescent="0.2">
      <c r="A43" s="3" t="s">
        <v>2306</v>
      </c>
      <c r="B43" s="3" t="s">
        <v>2314</v>
      </c>
      <c r="C43" s="3" t="s">
        <v>10</v>
      </c>
    </row>
    <row r="44" spans="1:3" x14ac:dyDescent="0.2">
      <c r="A44" s="3" t="s">
        <v>2306</v>
      </c>
      <c r="B44" s="3" t="s">
        <v>2315</v>
      </c>
      <c r="C44" s="3" t="s">
        <v>10</v>
      </c>
    </row>
    <row r="45" spans="1:3" x14ac:dyDescent="0.2">
      <c r="A45" s="3" t="s">
        <v>2316</v>
      </c>
      <c r="B45" s="3" t="s">
        <v>2317</v>
      </c>
      <c r="C45" s="3" t="s">
        <v>10</v>
      </c>
    </row>
    <row r="46" spans="1:3" x14ac:dyDescent="0.2">
      <c r="A46" s="3" t="s">
        <v>2318</v>
      </c>
      <c r="B46" s="3" t="s">
        <v>2317</v>
      </c>
      <c r="C46" s="3" t="s">
        <v>10</v>
      </c>
    </row>
    <row r="47" spans="1:3" x14ac:dyDescent="0.2">
      <c r="A47" s="3" t="s">
        <v>2319</v>
      </c>
      <c r="B47" s="3" t="s">
        <v>1246</v>
      </c>
      <c r="C47" s="3" t="s">
        <v>10</v>
      </c>
    </row>
    <row r="48" spans="1:3" x14ac:dyDescent="0.2">
      <c r="A48" s="3" t="s">
        <v>2319</v>
      </c>
      <c r="B48" s="3" t="s">
        <v>2320</v>
      </c>
      <c r="C48" s="3" t="s">
        <v>10</v>
      </c>
    </row>
    <row r="49" spans="1:3" x14ac:dyDescent="0.2">
      <c r="A49" s="3" t="s">
        <v>2319</v>
      </c>
      <c r="B49" s="3" t="s">
        <v>33</v>
      </c>
      <c r="C49" s="3" t="s">
        <v>10</v>
      </c>
    </row>
    <row r="50" spans="1:3" x14ac:dyDescent="0.2">
      <c r="A50" s="3" t="s">
        <v>2319</v>
      </c>
      <c r="B50" s="3" t="s">
        <v>33</v>
      </c>
      <c r="C50" s="3" t="s">
        <v>11</v>
      </c>
    </row>
    <row r="51" spans="1:3" x14ac:dyDescent="0.2">
      <c r="A51" s="3" t="s">
        <v>2321</v>
      </c>
      <c r="B51" s="3" t="s">
        <v>2322</v>
      </c>
      <c r="C51" s="3" t="s">
        <v>10</v>
      </c>
    </row>
    <row r="52" spans="1:3" x14ac:dyDescent="0.2">
      <c r="A52" s="3" t="s">
        <v>2323</v>
      </c>
      <c r="B52" s="3" t="s">
        <v>2324</v>
      </c>
      <c r="C52" s="3" t="s">
        <v>10</v>
      </c>
    </row>
    <row r="53" spans="1:3" x14ac:dyDescent="0.2">
      <c r="A53" s="3" t="s">
        <v>32</v>
      </c>
      <c r="B53" s="3" t="s">
        <v>33</v>
      </c>
      <c r="C53" s="3" t="s">
        <v>10</v>
      </c>
    </row>
    <row r="54" spans="1:3" x14ac:dyDescent="0.2">
      <c r="A54" s="3" t="s">
        <v>32</v>
      </c>
      <c r="B54" s="3" t="s">
        <v>33</v>
      </c>
      <c r="C54" s="3" t="s">
        <v>11</v>
      </c>
    </row>
    <row r="55" spans="1:3" x14ac:dyDescent="0.2">
      <c r="A55" s="3" t="s">
        <v>34</v>
      </c>
      <c r="B55" s="3" t="s">
        <v>35</v>
      </c>
      <c r="C55" s="3" t="s">
        <v>10</v>
      </c>
    </row>
    <row r="56" spans="1:3" x14ac:dyDescent="0.2">
      <c r="A56" s="3" t="s">
        <v>34</v>
      </c>
      <c r="B56" s="3" t="s">
        <v>36</v>
      </c>
      <c r="C56" s="3" t="s">
        <v>10</v>
      </c>
    </row>
    <row r="57" spans="1:3" x14ac:dyDescent="0.2">
      <c r="A57" s="3" t="s">
        <v>34</v>
      </c>
      <c r="B57" s="3" t="s">
        <v>37</v>
      </c>
      <c r="C57" s="3" t="s">
        <v>10</v>
      </c>
    </row>
    <row r="58" spans="1:3" x14ac:dyDescent="0.2">
      <c r="A58" s="3" t="s">
        <v>34</v>
      </c>
      <c r="B58" s="3" t="s">
        <v>38</v>
      </c>
      <c r="C58" s="3" t="s">
        <v>10</v>
      </c>
    </row>
    <row r="59" spans="1:3" x14ac:dyDescent="0.2">
      <c r="A59" s="3" t="s">
        <v>34</v>
      </c>
      <c r="B59" s="3" t="s">
        <v>35</v>
      </c>
      <c r="C59" s="3" t="s">
        <v>11</v>
      </c>
    </row>
    <row r="60" spans="1:3" x14ac:dyDescent="0.2">
      <c r="A60" s="3" t="s">
        <v>34</v>
      </c>
      <c r="B60" s="3" t="s">
        <v>37</v>
      </c>
      <c r="C60" s="3" t="s">
        <v>11</v>
      </c>
    </row>
    <row r="61" spans="1:3" x14ac:dyDescent="0.2">
      <c r="A61" s="3" t="s">
        <v>2325</v>
      </c>
      <c r="B61" s="3" t="s">
        <v>2322</v>
      </c>
      <c r="C61" s="3" t="s">
        <v>10</v>
      </c>
    </row>
    <row r="62" spans="1:3" x14ac:dyDescent="0.2">
      <c r="A62" s="3" t="s">
        <v>2325</v>
      </c>
      <c r="B62" s="3" t="s">
        <v>2326</v>
      </c>
      <c r="C62" s="3" t="s">
        <v>10</v>
      </c>
    </row>
    <row r="63" spans="1:3" x14ac:dyDescent="0.2">
      <c r="A63" s="3" t="s">
        <v>2327</v>
      </c>
      <c r="B63" s="3" t="s">
        <v>2328</v>
      </c>
      <c r="C63" s="3" t="s">
        <v>10</v>
      </c>
    </row>
    <row r="64" spans="1:3" x14ac:dyDescent="0.2">
      <c r="A64" s="3" t="s">
        <v>2327</v>
      </c>
      <c r="B64" s="3" t="s">
        <v>42</v>
      </c>
      <c r="C64" s="3" t="s">
        <v>10</v>
      </c>
    </row>
    <row r="65" spans="1:3" x14ac:dyDescent="0.2">
      <c r="A65" s="3" t="s">
        <v>2327</v>
      </c>
      <c r="B65" s="3" t="s">
        <v>2329</v>
      </c>
      <c r="C65" s="3" t="s">
        <v>10</v>
      </c>
    </row>
    <row r="66" spans="1:3" x14ac:dyDescent="0.2">
      <c r="A66" s="3" t="s">
        <v>2327</v>
      </c>
      <c r="B66" s="3" t="s">
        <v>43</v>
      </c>
      <c r="C66" s="3" t="s">
        <v>10</v>
      </c>
    </row>
    <row r="67" spans="1:3" x14ac:dyDescent="0.2">
      <c r="A67" s="3" t="s">
        <v>2327</v>
      </c>
      <c r="B67" s="3" t="s">
        <v>42</v>
      </c>
      <c r="C67" s="3" t="s">
        <v>11</v>
      </c>
    </row>
    <row r="68" spans="1:3" x14ac:dyDescent="0.2">
      <c r="A68" s="3" t="s">
        <v>2327</v>
      </c>
      <c r="B68" s="3" t="s">
        <v>45</v>
      </c>
      <c r="C68" s="3" t="s">
        <v>11</v>
      </c>
    </row>
    <row r="69" spans="1:3" x14ac:dyDescent="0.2">
      <c r="A69" s="3" t="s">
        <v>51</v>
      </c>
      <c r="B69" s="3" t="s">
        <v>52</v>
      </c>
      <c r="C69" s="3" t="s">
        <v>53</v>
      </c>
    </row>
    <row r="70" spans="1:3" x14ac:dyDescent="0.2">
      <c r="A70" s="3" t="s">
        <v>51</v>
      </c>
      <c r="B70" s="3" t="s">
        <v>52</v>
      </c>
      <c r="C70" s="3" t="s">
        <v>54</v>
      </c>
    </row>
    <row r="71" spans="1:3" x14ac:dyDescent="0.2">
      <c r="A71" s="3" t="s">
        <v>51</v>
      </c>
      <c r="B71" s="3" t="s">
        <v>52</v>
      </c>
      <c r="C71" s="3" t="s">
        <v>55</v>
      </c>
    </row>
    <row r="72" spans="1:3" x14ac:dyDescent="0.2">
      <c r="A72" s="3" t="s">
        <v>51</v>
      </c>
      <c r="B72" s="3" t="s">
        <v>52</v>
      </c>
      <c r="C72" s="3" t="s">
        <v>56</v>
      </c>
    </row>
    <row r="73" spans="1:3" x14ac:dyDescent="0.2">
      <c r="A73" s="3" t="s">
        <v>51</v>
      </c>
      <c r="B73" s="3" t="s">
        <v>52</v>
      </c>
      <c r="C73" s="3" t="s">
        <v>57</v>
      </c>
    </row>
    <row r="74" spans="1:3" x14ac:dyDescent="0.2">
      <c r="A74" s="3" t="s">
        <v>51</v>
      </c>
      <c r="B74" s="3" t="s">
        <v>58</v>
      </c>
      <c r="C74" s="3" t="s">
        <v>10</v>
      </c>
    </row>
    <row r="75" spans="1:3" x14ac:dyDescent="0.2">
      <c r="A75" s="3" t="s">
        <v>51</v>
      </c>
      <c r="B75" s="3" t="s">
        <v>59</v>
      </c>
      <c r="C75" s="3" t="s">
        <v>10</v>
      </c>
    </row>
    <row r="76" spans="1:3" x14ac:dyDescent="0.2">
      <c r="A76" s="3" t="s">
        <v>51</v>
      </c>
      <c r="B76" s="3" t="s">
        <v>60</v>
      </c>
      <c r="C76" s="3" t="s">
        <v>10</v>
      </c>
    </row>
    <row r="77" spans="1:3" x14ac:dyDescent="0.2">
      <c r="A77" s="3" t="s">
        <v>51</v>
      </c>
      <c r="B77" s="3" t="s">
        <v>61</v>
      </c>
      <c r="C77" s="3" t="s">
        <v>10</v>
      </c>
    </row>
    <row r="78" spans="1:3" x14ac:dyDescent="0.2">
      <c r="A78" s="3" t="s">
        <v>51</v>
      </c>
      <c r="B78" s="3" t="s">
        <v>62</v>
      </c>
      <c r="C78" s="3" t="s">
        <v>10</v>
      </c>
    </row>
    <row r="79" spans="1:3" x14ac:dyDescent="0.2">
      <c r="A79" s="3" t="s">
        <v>51</v>
      </c>
      <c r="B79" s="3" t="s">
        <v>63</v>
      </c>
      <c r="C79" s="3" t="s">
        <v>10</v>
      </c>
    </row>
    <row r="80" spans="1:3" x14ac:dyDescent="0.2">
      <c r="A80" s="3" t="s">
        <v>51</v>
      </c>
      <c r="B80" s="3" t="s">
        <v>58</v>
      </c>
      <c r="C80" s="3" t="s">
        <v>11</v>
      </c>
    </row>
    <row r="81" spans="1:3" x14ac:dyDescent="0.2">
      <c r="A81" s="3" t="s">
        <v>51</v>
      </c>
      <c r="B81" s="3" t="s">
        <v>59</v>
      </c>
      <c r="C81" s="3" t="s">
        <v>11</v>
      </c>
    </row>
    <row r="82" spans="1:3" x14ac:dyDescent="0.2">
      <c r="A82" s="3" t="s">
        <v>51</v>
      </c>
      <c r="B82" s="3" t="s">
        <v>64</v>
      </c>
      <c r="C82" s="3" t="s">
        <v>11</v>
      </c>
    </row>
    <row r="83" spans="1:3" x14ac:dyDescent="0.2">
      <c r="A83" s="3" t="s">
        <v>51</v>
      </c>
      <c r="B83" s="3" t="s">
        <v>65</v>
      </c>
      <c r="C83" s="3" t="s">
        <v>11</v>
      </c>
    </row>
    <row r="84" spans="1:3" x14ac:dyDescent="0.2">
      <c r="A84" s="3" t="s">
        <v>2330</v>
      </c>
      <c r="B84" s="3" t="s">
        <v>60</v>
      </c>
      <c r="C84" s="3" t="s">
        <v>10</v>
      </c>
    </row>
    <row r="85" spans="1:3" x14ac:dyDescent="0.2">
      <c r="A85" s="3" t="s">
        <v>2330</v>
      </c>
      <c r="B85" s="3" t="s">
        <v>63</v>
      </c>
      <c r="C85" s="3" t="s">
        <v>10</v>
      </c>
    </row>
    <row r="86" spans="1:3" x14ac:dyDescent="0.2">
      <c r="A86" s="3" t="s">
        <v>67</v>
      </c>
      <c r="B86" s="3" t="s">
        <v>60</v>
      </c>
      <c r="C86" s="3" t="s">
        <v>10</v>
      </c>
    </row>
    <row r="87" spans="1:3" x14ac:dyDescent="0.2">
      <c r="A87" s="3" t="s">
        <v>67</v>
      </c>
      <c r="B87" s="3" t="s">
        <v>68</v>
      </c>
      <c r="C87" s="3" t="s">
        <v>10</v>
      </c>
    </row>
    <row r="88" spans="1:3" x14ac:dyDescent="0.2">
      <c r="A88" s="3" t="s">
        <v>67</v>
      </c>
      <c r="B88" s="3" t="s">
        <v>63</v>
      </c>
      <c r="C88" s="3" t="s">
        <v>10</v>
      </c>
    </row>
    <row r="89" spans="1:3" x14ac:dyDescent="0.2">
      <c r="A89" s="3" t="s">
        <v>2331</v>
      </c>
      <c r="B89" s="3" t="s">
        <v>100</v>
      </c>
      <c r="C89" s="3" t="s">
        <v>10</v>
      </c>
    </row>
    <row r="90" spans="1:3" x14ac:dyDescent="0.2">
      <c r="A90" s="3" t="s">
        <v>2331</v>
      </c>
      <c r="B90" s="3" t="s">
        <v>101</v>
      </c>
      <c r="C90" s="3" t="s">
        <v>10</v>
      </c>
    </row>
    <row r="91" spans="1:3" x14ac:dyDescent="0.2">
      <c r="A91" s="3" t="s">
        <v>2331</v>
      </c>
      <c r="B91" s="3" t="s">
        <v>102</v>
      </c>
      <c r="C91" s="3" t="s">
        <v>10</v>
      </c>
    </row>
    <row r="92" spans="1:3" x14ac:dyDescent="0.2">
      <c r="A92" s="3" t="s">
        <v>2331</v>
      </c>
      <c r="B92" s="3" t="s">
        <v>103</v>
      </c>
      <c r="C92" s="3" t="s">
        <v>10</v>
      </c>
    </row>
    <row r="93" spans="1:3" x14ac:dyDescent="0.2">
      <c r="A93" s="3" t="s">
        <v>2331</v>
      </c>
      <c r="B93" s="3" t="s">
        <v>108</v>
      </c>
      <c r="C93" s="3" t="s">
        <v>10</v>
      </c>
    </row>
    <row r="94" spans="1:3" x14ac:dyDescent="0.2">
      <c r="A94" s="3" t="s">
        <v>2331</v>
      </c>
      <c r="B94" s="3" t="s">
        <v>109</v>
      </c>
      <c r="C94" s="3" t="s">
        <v>10</v>
      </c>
    </row>
    <row r="95" spans="1:3" x14ac:dyDescent="0.2">
      <c r="A95" s="3" t="s">
        <v>2331</v>
      </c>
      <c r="B95" s="3" t="s">
        <v>110</v>
      </c>
      <c r="C95" s="3" t="s">
        <v>10</v>
      </c>
    </row>
    <row r="96" spans="1:3" x14ac:dyDescent="0.2">
      <c r="A96" s="3" t="s">
        <v>2331</v>
      </c>
      <c r="B96" s="3" t="s">
        <v>111</v>
      </c>
      <c r="C96" s="3" t="s">
        <v>10</v>
      </c>
    </row>
    <row r="97" spans="1:3" x14ac:dyDescent="0.2">
      <c r="A97" s="3" t="s">
        <v>69</v>
      </c>
      <c r="B97" s="3" t="s">
        <v>70</v>
      </c>
      <c r="C97" s="3" t="s">
        <v>10</v>
      </c>
    </row>
    <row r="98" spans="1:3" x14ac:dyDescent="0.2">
      <c r="A98" s="3" t="s">
        <v>69</v>
      </c>
      <c r="B98" s="3" t="s">
        <v>71</v>
      </c>
      <c r="C98" s="3" t="s">
        <v>10</v>
      </c>
    </row>
    <row r="99" spans="1:3" x14ac:dyDescent="0.2">
      <c r="A99" s="3" t="s">
        <v>69</v>
      </c>
      <c r="B99" s="3" t="s">
        <v>72</v>
      </c>
      <c r="C99" s="3" t="s">
        <v>10</v>
      </c>
    </row>
    <row r="100" spans="1:3" x14ac:dyDescent="0.2">
      <c r="A100" s="3" t="s">
        <v>69</v>
      </c>
      <c r="B100" s="3" t="s">
        <v>73</v>
      </c>
      <c r="C100" s="3" t="s">
        <v>10</v>
      </c>
    </row>
    <row r="101" spans="1:3" x14ac:dyDescent="0.2">
      <c r="A101" s="3" t="s">
        <v>74</v>
      </c>
      <c r="B101" s="3" t="s">
        <v>75</v>
      </c>
      <c r="C101" s="3" t="s">
        <v>10</v>
      </c>
    </row>
    <row r="102" spans="1:3" x14ac:dyDescent="0.2">
      <c r="A102" s="3" t="s">
        <v>74</v>
      </c>
      <c r="B102" s="3" t="s">
        <v>76</v>
      </c>
      <c r="C102" s="3" t="s">
        <v>10</v>
      </c>
    </row>
    <row r="103" spans="1:3" x14ac:dyDescent="0.2">
      <c r="A103" s="3" t="s">
        <v>77</v>
      </c>
      <c r="B103" s="3" t="s">
        <v>78</v>
      </c>
      <c r="C103" s="3" t="s">
        <v>10</v>
      </c>
    </row>
    <row r="104" spans="1:3" x14ac:dyDescent="0.2">
      <c r="A104" s="3" t="s">
        <v>77</v>
      </c>
      <c r="B104" s="3" t="s">
        <v>9</v>
      </c>
      <c r="C104" s="3" t="s">
        <v>10</v>
      </c>
    </row>
    <row r="105" spans="1:3" x14ac:dyDescent="0.2">
      <c r="A105" s="3" t="s">
        <v>77</v>
      </c>
      <c r="B105" s="3" t="s">
        <v>79</v>
      </c>
      <c r="C105" s="3" t="s">
        <v>10</v>
      </c>
    </row>
    <row r="106" spans="1:3" x14ac:dyDescent="0.2">
      <c r="A106" s="3" t="s">
        <v>77</v>
      </c>
      <c r="B106" s="3" t="s">
        <v>80</v>
      </c>
      <c r="C106" s="3" t="s">
        <v>10</v>
      </c>
    </row>
    <row r="107" spans="1:3" x14ac:dyDescent="0.2">
      <c r="A107" s="3" t="s">
        <v>77</v>
      </c>
      <c r="B107" s="3" t="s">
        <v>78</v>
      </c>
      <c r="C107" s="3" t="s">
        <v>11</v>
      </c>
    </row>
    <row r="108" spans="1:3" x14ac:dyDescent="0.2">
      <c r="A108" s="3" t="s">
        <v>77</v>
      </c>
      <c r="B108" s="3" t="s">
        <v>9</v>
      </c>
      <c r="C108" s="3" t="s">
        <v>11</v>
      </c>
    </row>
    <row r="109" spans="1:3" x14ac:dyDescent="0.2">
      <c r="A109" s="3" t="s">
        <v>81</v>
      </c>
      <c r="B109" s="3" t="s">
        <v>82</v>
      </c>
      <c r="C109" s="3" t="s">
        <v>10</v>
      </c>
    </row>
    <row r="110" spans="1:3" x14ac:dyDescent="0.2">
      <c r="A110" s="3" t="s">
        <v>81</v>
      </c>
      <c r="B110" s="3" t="s">
        <v>83</v>
      </c>
      <c r="C110" s="3" t="s">
        <v>10</v>
      </c>
    </row>
    <row r="111" spans="1:3" x14ac:dyDescent="0.2">
      <c r="A111" s="3" t="s">
        <v>81</v>
      </c>
      <c r="B111" s="3" t="s">
        <v>84</v>
      </c>
      <c r="C111" s="3" t="s">
        <v>10</v>
      </c>
    </row>
    <row r="112" spans="1:3" x14ac:dyDescent="0.2">
      <c r="A112" s="3" t="s">
        <v>81</v>
      </c>
      <c r="B112" s="3" t="s">
        <v>85</v>
      </c>
      <c r="C112" s="3" t="s">
        <v>10</v>
      </c>
    </row>
    <row r="113" spans="1:3" x14ac:dyDescent="0.2">
      <c r="A113" s="3" t="s">
        <v>81</v>
      </c>
      <c r="B113" s="3" t="s">
        <v>82</v>
      </c>
      <c r="C113" s="3" t="s">
        <v>11</v>
      </c>
    </row>
    <row r="114" spans="1:3" x14ac:dyDescent="0.2">
      <c r="A114" s="3" t="s">
        <v>81</v>
      </c>
      <c r="B114" s="3" t="s">
        <v>83</v>
      </c>
      <c r="C114" s="3" t="s">
        <v>11</v>
      </c>
    </row>
    <row r="115" spans="1:3" x14ac:dyDescent="0.2">
      <c r="A115" s="3" t="s">
        <v>81</v>
      </c>
      <c r="B115" s="3" t="s">
        <v>86</v>
      </c>
      <c r="C115" s="3" t="s">
        <v>11</v>
      </c>
    </row>
    <row r="116" spans="1:3" x14ac:dyDescent="0.2">
      <c r="A116" s="3" t="s">
        <v>87</v>
      </c>
      <c r="B116" s="3" t="s">
        <v>88</v>
      </c>
      <c r="C116" s="3" t="s">
        <v>10</v>
      </c>
    </row>
    <row r="117" spans="1:3" x14ac:dyDescent="0.2">
      <c r="A117" s="3" t="s">
        <v>87</v>
      </c>
      <c r="B117" s="3" t="s">
        <v>89</v>
      </c>
      <c r="C117" s="3" t="s">
        <v>10</v>
      </c>
    </row>
    <row r="118" spans="1:3" x14ac:dyDescent="0.2">
      <c r="A118" s="3" t="s">
        <v>87</v>
      </c>
      <c r="B118" s="3" t="s">
        <v>90</v>
      </c>
      <c r="C118" s="3" t="s">
        <v>10</v>
      </c>
    </row>
    <row r="119" spans="1:3" x14ac:dyDescent="0.2">
      <c r="A119" s="3" t="s">
        <v>87</v>
      </c>
      <c r="B119" s="3" t="s">
        <v>91</v>
      </c>
      <c r="C119" s="3" t="s">
        <v>10</v>
      </c>
    </row>
    <row r="120" spans="1:3" x14ac:dyDescent="0.2">
      <c r="A120" s="3" t="s">
        <v>87</v>
      </c>
      <c r="B120" s="3" t="s">
        <v>92</v>
      </c>
      <c r="C120" s="3" t="s">
        <v>10</v>
      </c>
    </row>
    <row r="121" spans="1:3" x14ac:dyDescent="0.2">
      <c r="A121" s="3" t="s">
        <v>87</v>
      </c>
      <c r="B121" s="3" t="s">
        <v>93</v>
      </c>
      <c r="C121" s="3" t="s">
        <v>10</v>
      </c>
    </row>
    <row r="122" spans="1:3" x14ac:dyDescent="0.2">
      <c r="A122" s="3" t="s">
        <v>87</v>
      </c>
      <c r="B122" s="3" t="s">
        <v>94</v>
      </c>
      <c r="C122" s="3" t="s">
        <v>10</v>
      </c>
    </row>
    <row r="123" spans="1:3" x14ac:dyDescent="0.2">
      <c r="A123" s="3" t="s">
        <v>87</v>
      </c>
      <c r="B123" s="3" t="s">
        <v>95</v>
      </c>
      <c r="C123" s="3" t="s">
        <v>10</v>
      </c>
    </row>
    <row r="124" spans="1:3" x14ac:dyDescent="0.2">
      <c r="A124" s="3" t="s">
        <v>87</v>
      </c>
      <c r="B124" s="3" t="s">
        <v>90</v>
      </c>
      <c r="C124" s="3" t="s">
        <v>11</v>
      </c>
    </row>
    <row r="125" spans="1:3" x14ac:dyDescent="0.2">
      <c r="A125" s="3" t="s">
        <v>87</v>
      </c>
      <c r="B125" s="3" t="s">
        <v>91</v>
      </c>
      <c r="C125" s="3" t="s">
        <v>11</v>
      </c>
    </row>
    <row r="126" spans="1:3" x14ac:dyDescent="0.2">
      <c r="A126" s="3" t="s">
        <v>87</v>
      </c>
      <c r="B126" s="3" t="s">
        <v>96</v>
      </c>
      <c r="C126" s="3" t="s">
        <v>11</v>
      </c>
    </row>
    <row r="127" spans="1:3" x14ac:dyDescent="0.2">
      <c r="A127" s="3" t="s">
        <v>87</v>
      </c>
      <c r="B127" s="3" t="s">
        <v>97</v>
      </c>
      <c r="C127" s="3" t="s">
        <v>11</v>
      </c>
    </row>
    <row r="128" spans="1:3" x14ac:dyDescent="0.2">
      <c r="A128" s="3" t="s">
        <v>87</v>
      </c>
      <c r="B128" s="3" t="s">
        <v>98</v>
      </c>
      <c r="C128" s="3" t="s">
        <v>11</v>
      </c>
    </row>
    <row r="129" spans="1:3" x14ac:dyDescent="0.2">
      <c r="A129" s="3" t="s">
        <v>99</v>
      </c>
      <c r="B129" s="3" t="s">
        <v>100</v>
      </c>
      <c r="C129" s="3" t="s">
        <v>10</v>
      </c>
    </row>
    <row r="130" spans="1:3" x14ac:dyDescent="0.2">
      <c r="A130" s="3" t="s">
        <v>99</v>
      </c>
      <c r="B130" s="3" t="s">
        <v>101</v>
      </c>
      <c r="C130" s="3" t="s">
        <v>10</v>
      </c>
    </row>
    <row r="131" spans="1:3" x14ac:dyDescent="0.2">
      <c r="A131" s="3" t="s">
        <v>99</v>
      </c>
      <c r="B131" s="3" t="s">
        <v>102</v>
      </c>
      <c r="C131" s="3" t="s">
        <v>10</v>
      </c>
    </row>
    <row r="132" spans="1:3" x14ac:dyDescent="0.2">
      <c r="A132" s="3" t="s">
        <v>99</v>
      </c>
      <c r="B132" s="3" t="s">
        <v>103</v>
      </c>
      <c r="C132" s="3" t="s">
        <v>10</v>
      </c>
    </row>
    <row r="133" spans="1:3" x14ac:dyDescent="0.2">
      <c r="A133" s="3" t="s">
        <v>99</v>
      </c>
      <c r="B133" s="3" t="s">
        <v>104</v>
      </c>
      <c r="C133" s="3" t="s">
        <v>10</v>
      </c>
    </row>
    <row r="134" spans="1:3" x14ac:dyDescent="0.2">
      <c r="A134" s="3" t="s">
        <v>99</v>
      </c>
      <c r="B134" s="3" t="s">
        <v>105</v>
      </c>
      <c r="C134" s="3" t="s">
        <v>10</v>
      </c>
    </row>
    <row r="135" spans="1:3" x14ac:dyDescent="0.2">
      <c r="A135" s="3" t="s">
        <v>99</v>
      </c>
      <c r="B135" s="3" t="s">
        <v>106</v>
      </c>
      <c r="C135" s="3" t="s">
        <v>10</v>
      </c>
    </row>
    <row r="136" spans="1:3" x14ac:dyDescent="0.2">
      <c r="A136" s="3" t="s">
        <v>99</v>
      </c>
      <c r="B136" s="3" t="s">
        <v>107</v>
      </c>
      <c r="C136" s="3" t="s">
        <v>10</v>
      </c>
    </row>
    <row r="137" spans="1:3" x14ac:dyDescent="0.2">
      <c r="A137" s="3" t="s">
        <v>99</v>
      </c>
      <c r="B137" s="3" t="s">
        <v>108</v>
      </c>
      <c r="C137" s="3" t="s">
        <v>10</v>
      </c>
    </row>
    <row r="138" spans="1:3" x14ac:dyDescent="0.2">
      <c r="A138" s="3" t="s">
        <v>99</v>
      </c>
      <c r="B138" s="3" t="s">
        <v>109</v>
      </c>
      <c r="C138" s="3" t="s">
        <v>10</v>
      </c>
    </row>
    <row r="139" spans="1:3" x14ac:dyDescent="0.2">
      <c r="A139" s="3" t="s">
        <v>99</v>
      </c>
      <c r="B139" s="3" t="s">
        <v>110</v>
      </c>
      <c r="C139" s="3" t="s">
        <v>10</v>
      </c>
    </row>
    <row r="140" spans="1:3" x14ac:dyDescent="0.2">
      <c r="A140" s="3" t="s">
        <v>99</v>
      </c>
      <c r="B140" s="3" t="s">
        <v>111</v>
      </c>
      <c r="C140" s="3" t="s">
        <v>10</v>
      </c>
    </row>
    <row r="141" spans="1:3" x14ac:dyDescent="0.2">
      <c r="A141" s="3" t="s">
        <v>99</v>
      </c>
      <c r="B141" s="3" t="s">
        <v>112</v>
      </c>
      <c r="C141" s="3" t="s">
        <v>10</v>
      </c>
    </row>
    <row r="142" spans="1:3" x14ac:dyDescent="0.2">
      <c r="A142" s="3" t="s">
        <v>99</v>
      </c>
      <c r="B142" s="3" t="s">
        <v>113</v>
      </c>
      <c r="C142" s="3" t="s">
        <v>10</v>
      </c>
    </row>
    <row r="143" spans="1:3" x14ac:dyDescent="0.2">
      <c r="A143" s="3" t="s">
        <v>99</v>
      </c>
      <c r="B143" s="3" t="s">
        <v>114</v>
      </c>
      <c r="C143" s="3" t="s">
        <v>10</v>
      </c>
    </row>
    <row r="144" spans="1:3" x14ac:dyDescent="0.2">
      <c r="A144" s="3" t="s">
        <v>99</v>
      </c>
      <c r="B144" s="3" t="s">
        <v>115</v>
      </c>
      <c r="C144" s="3" t="s">
        <v>10</v>
      </c>
    </row>
    <row r="145" spans="1:3" x14ac:dyDescent="0.2">
      <c r="A145" s="3" t="s">
        <v>99</v>
      </c>
      <c r="B145" s="3" t="s">
        <v>104</v>
      </c>
      <c r="C145" s="3" t="s">
        <v>11</v>
      </c>
    </row>
    <row r="146" spans="1:3" x14ac:dyDescent="0.2">
      <c r="A146" s="3" t="s">
        <v>99</v>
      </c>
      <c r="B146" s="3" t="s">
        <v>105</v>
      </c>
      <c r="C146" s="3" t="s">
        <v>11</v>
      </c>
    </row>
    <row r="147" spans="1:3" x14ac:dyDescent="0.2">
      <c r="A147" s="3" t="s">
        <v>116</v>
      </c>
      <c r="B147" s="3" t="s">
        <v>117</v>
      </c>
      <c r="C147" s="3" t="s">
        <v>10</v>
      </c>
    </row>
    <row r="148" spans="1:3" x14ac:dyDescent="0.2">
      <c r="A148" s="3" t="s">
        <v>116</v>
      </c>
      <c r="B148" s="3" t="s">
        <v>118</v>
      </c>
      <c r="C148" s="3" t="s">
        <v>10</v>
      </c>
    </row>
    <row r="149" spans="1:3" x14ac:dyDescent="0.2">
      <c r="A149" s="3" t="s">
        <v>116</v>
      </c>
      <c r="B149" s="3" t="s">
        <v>119</v>
      </c>
      <c r="C149" s="3" t="s">
        <v>10</v>
      </c>
    </row>
    <row r="150" spans="1:3" x14ac:dyDescent="0.2">
      <c r="A150" s="3" t="s">
        <v>116</v>
      </c>
      <c r="B150" s="3" t="s">
        <v>120</v>
      </c>
      <c r="C150" s="3" t="s">
        <v>10</v>
      </c>
    </row>
    <row r="151" spans="1:3" x14ac:dyDescent="0.2">
      <c r="A151" s="3" t="s">
        <v>116</v>
      </c>
      <c r="B151" s="3" t="s">
        <v>118</v>
      </c>
      <c r="C151" s="3" t="s">
        <v>11</v>
      </c>
    </row>
    <row r="152" spans="1:3" x14ac:dyDescent="0.2">
      <c r="A152" s="3" t="s">
        <v>116</v>
      </c>
      <c r="B152" s="3" t="s">
        <v>121</v>
      </c>
      <c r="C152" s="3" t="s">
        <v>11</v>
      </c>
    </row>
    <row r="153" spans="1:3" x14ac:dyDescent="0.2">
      <c r="A153" s="3" t="s">
        <v>116</v>
      </c>
      <c r="B153" s="3" t="s">
        <v>122</v>
      </c>
      <c r="C153" s="3" t="s">
        <v>11</v>
      </c>
    </row>
    <row r="154" spans="1:3" x14ac:dyDescent="0.2">
      <c r="A154" s="3" t="s">
        <v>123</v>
      </c>
      <c r="B154" s="3" t="s">
        <v>124</v>
      </c>
      <c r="C154" s="3" t="s">
        <v>10</v>
      </c>
    </row>
    <row r="155" spans="1:3" x14ac:dyDescent="0.2">
      <c r="A155" s="3" t="s">
        <v>123</v>
      </c>
      <c r="B155" s="3" t="s">
        <v>125</v>
      </c>
      <c r="C155" s="3" t="s">
        <v>10</v>
      </c>
    </row>
    <row r="156" spans="1:3" x14ac:dyDescent="0.2">
      <c r="A156" s="3" t="s">
        <v>123</v>
      </c>
      <c r="B156" s="3" t="s">
        <v>124</v>
      </c>
      <c r="C156" s="3" t="s">
        <v>11</v>
      </c>
    </row>
    <row r="157" spans="1:3" x14ac:dyDescent="0.2">
      <c r="A157" s="3" t="s">
        <v>123</v>
      </c>
      <c r="B157" s="3" t="s">
        <v>126</v>
      </c>
      <c r="C157" s="3" t="s">
        <v>11</v>
      </c>
    </row>
    <row r="158" spans="1:3" x14ac:dyDescent="0.2">
      <c r="A158" s="3" t="s">
        <v>123</v>
      </c>
      <c r="B158" s="3" t="s">
        <v>127</v>
      </c>
      <c r="C158" s="3" t="s">
        <v>11</v>
      </c>
    </row>
    <row r="159" spans="1:3" x14ac:dyDescent="0.2">
      <c r="A159" s="3" t="s">
        <v>128</v>
      </c>
      <c r="B159" s="3" t="s">
        <v>117</v>
      </c>
      <c r="C159" s="3" t="s">
        <v>10</v>
      </c>
    </row>
    <row r="160" spans="1:3" x14ac:dyDescent="0.2">
      <c r="A160" s="3" t="s">
        <v>128</v>
      </c>
      <c r="B160" s="3" t="s">
        <v>118</v>
      </c>
      <c r="C160" s="3" t="s">
        <v>10</v>
      </c>
    </row>
    <row r="161" spans="1:3" x14ac:dyDescent="0.2">
      <c r="A161" s="3" t="s">
        <v>128</v>
      </c>
      <c r="B161" s="3" t="s">
        <v>119</v>
      </c>
      <c r="C161" s="3" t="s">
        <v>10</v>
      </c>
    </row>
    <row r="162" spans="1:3" x14ac:dyDescent="0.2">
      <c r="A162" s="3" t="s">
        <v>128</v>
      </c>
      <c r="B162" s="3" t="s">
        <v>120</v>
      </c>
      <c r="C162" s="3" t="s">
        <v>10</v>
      </c>
    </row>
    <row r="163" spans="1:3" x14ac:dyDescent="0.2">
      <c r="A163" s="3" t="s">
        <v>128</v>
      </c>
      <c r="B163" s="3" t="s">
        <v>118</v>
      </c>
      <c r="C163" s="3" t="s">
        <v>11</v>
      </c>
    </row>
    <row r="164" spans="1:3" x14ac:dyDescent="0.2">
      <c r="A164" s="3" t="s">
        <v>128</v>
      </c>
      <c r="B164" s="3" t="s">
        <v>122</v>
      </c>
      <c r="C164" s="3" t="s">
        <v>11</v>
      </c>
    </row>
    <row r="165" spans="1:3" x14ac:dyDescent="0.2">
      <c r="A165" s="3" t="s">
        <v>2332</v>
      </c>
      <c r="B165" s="3" t="s">
        <v>2333</v>
      </c>
      <c r="C165" s="3" t="s">
        <v>10</v>
      </c>
    </row>
    <row r="166" spans="1:3" x14ac:dyDescent="0.2">
      <c r="A166" s="3" t="s">
        <v>131</v>
      </c>
      <c r="B166" s="3" t="s">
        <v>132</v>
      </c>
      <c r="C166" s="3" t="s">
        <v>10</v>
      </c>
    </row>
    <row r="167" spans="1:3" x14ac:dyDescent="0.2">
      <c r="A167" s="3" t="s">
        <v>133</v>
      </c>
      <c r="B167" s="3" t="s">
        <v>134</v>
      </c>
      <c r="C167" s="3" t="s">
        <v>10</v>
      </c>
    </row>
    <row r="168" spans="1:3" x14ac:dyDescent="0.2">
      <c r="A168" s="3" t="s">
        <v>133</v>
      </c>
      <c r="B168" s="3" t="s">
        <v>135</v>
      </c>
      <c r="C168" s="3" t="s">
        <v>10</v>
      </c>
    </row>
    <row r="169" spans="1:3" x14ac:dyDescent="0.2">
      <c r="A169" s="3" t="s">
        <v>133</v>
      </c>
      <c r="B169" s="3" t="s">
        <v>136</v>
      </c>
      <c r="C169" s="3" t="s">
        <v>10</v>
      </c>
    </row>
    <row r="170" spans="1:3" x14ac:dyDescent="0.2">
      <c r="A170" s="3" t="s">
        <v>2334</v>
      </c>
      <c r="B170" s="3" t="s">
        <v>2335</v>
      </c>
      <c r="C170" s="3" t="s">
        <v>10</v>
      </c>
    </row>
    <row r="171" spans="1:3" x14ac:dyDescent="0.2">
      <c r="A171" s="3" t="s">
        <v>2336</v>
      </c>
      <c r="B171" s="3" t="s">
        <v>2337</v>
      </c>
      <c r="C171" s="3" t="s">
        <v>10</v>
      </c>
    </row>
    <row r="172" spans="1:3" x14ac:dyDescent="0.2">
      <c r="A172" s="3" t="s">
        <v>140</v>
      </c>
      <c r="B172" s="3" t="s">
        <v>141</v>
      </c>
      <c r="C172" s="3" t="s">
        <v>10</v>
      </c>
    </row>
    <row r="173" spans="1:3" x14ac:dyDescent="0.2">
      <c r="A173" s="3" t="s">
        <v>140</v>
      </c>
      <c r="B173" s="3" t="s">
        <v>142</v>
      </c>
      <c r="C173" s="3" t="s">
        <v>11</v>
      </c>
    </row>
    <row r="174" spans="1:3" x14ac:dyDescent="0.2">
      <c r="A174" s="3" t="s">
        <v>140</v>
      </c>
      <c r="B174" s="3" t="s">
        <v>141</v>
      </c>
      <c r="C174" s="3" t="s">
        <v>11</v>
      </c>
    </row>
    <row r="175" spans="1:3" x14ac:dyDescent="0.2">
      <c r="A175" s="3" t="s">
        <v>2338</v>
      </c>
      <c r="B175" s="3" t="s">
        <v>2339</v>
      </c>
      <c r="C175" s="3" t="s">
        <v>10</v>
      </c>
    </row>
    <row r="176" spans="1:3" x14ac:dyDescent="0.2">
      <c r="A176" s="3" t="s">
        <v>2338</v>
      </c>
      <c r="B176" s="3" t="s">
        <v>2340</v>
      </c>
      <c r="C176" s="3" t="s">
        <v>10</v>
      </c>
    </row>
    <row r="177" spans="1:3" x14ac:dyDescent="0.2">
      <c r="A177" s="3" t="s">
        <v>2338</v>
      </c>
      <c r="B177" s="3" t="s">
        <v>2341</v>
      </c>
      <c r="C177" s="3" t="s">
        <v>11</v>
      </c>
    </row>
    <row r="178" spans="1:3" x14ac:dyDescent="0.2">
      <c r="A178" s="3" t="s">
        <v>2342</v>
      </c>
      <c r="B178" s="3" t="s">
        <v>2343</v>
      </c>
      <c r="C178" s="3" t="s">
        <v>10</v>
      </c>
    </row>
    <row r="179" spans="1:3" x14ac:dyDescent="0.2">
      <c r="A179" s="3" t="s">
        <v>145</v>
      </c>
      <c r="B179" s="3" t="s">
        <v>146</v>
      </c>
      <c r="C179" s="3" t="s">
        <v>10</v>
      </c>
    </row>
    <row r="180" spans="1:3" x14ac:dyDescent="0.2">
      <c r="A180" s="3" t="s">
        <v>145</v>
      </c>
      <c r="B180" s="3" t="s">
        <v>147</v>
      </c>
      <c r="C180" s="3" t="s">
        <v>10</v>
      </c>
    </row>
    <row r="181" spans="1:3" x14ac:dyDescent="0.2">
      <c r="A181" s="3" t="s">
        <v>148</v>
      </c>
      <c r="B181" s="3" t="s">
        <v>149</v>
      </c>
      <c r="C181" s="3" t="s">
        <v>53</v>
      </c>
    </row>
    <row r="182" spans="1:3" x14ac:dyDescent="0.2">
      <c r="A182" s="3" t="s">
        <v>148</v>
      </c>
      <c r="B182" s="3" t="s">
        <v>149</v>
      </c>
      <c r="C182" s="3" t="s">
        <v>54</v>
      </c>
    </row>
    <row r="183" spans="1:3" x14ac:dyDescent="0.2">
      <c r="A183" s="3" t="s">
        <v>148</v>
      </c>
      <c r="B183" s="3" t="s">
        <v>149</v>
      </c>
      <c r="C183" s="3" t="s">
        <v>55</v>
      </c>
    </row>
    <row r="184" spans="1:3" x14ac:dyDescent="0.2">
      <c r="A184" s="3" t="s">
        <v>148</v>
      </c>
      <c r="B184" s="3" t="s">
        <v>149</v>
      </c>
      <c r="C184" s="3" t="s">
        <v>56</v>
      </c>
    </row>
    <row r="185" spans="1:3" x14ac:dyDescent="0.2">
      <c r="A185" s="3" t="s">
        <v>148</v>
      </c>
      <c r="B185" s="3" t="s">
        <v>149</v>
      </c>
      <c r="C185" s="3" t="s">
        <v>57</v>
      </c>
    </row>
    <row r="186" spans="1:3" x14ac:dyDescent="0.2">
      <c r="A186" s="3" t="s">
        <v>148</v>
      </c>
      <c r="B186" s="3" t="s">
        <v>150</v>
      </c>
      <c r="C186" s="3" t="s">
        <v>10</v>
      </c>
    </row>
    <row r="187" spans="1:3" x14ac:dyDescent="0.2">
      <c r="A187" s="3" t="s">
        <v>148</v>
      </c>
      <c r="B187" s="3" t="s">
        <v>150</v>
      </c>
      <c r="C187" s="3" t="s">
        <v>11</v>
      </c>
    </row>
    <row r="188" spans="1:3" x14ac:dyDescent="0.2">
      <c r="A188" s="3" t="s">
        <v>151</v>
      </c>
      <c r="B188" s="3" t="s">
        <v>150</v>
      </c>
      <c r="C188" s="3" t="s">
        <v>10</v>
      </c>
    </row>
    <row r="189" spans="1:3" x14ac:dyDescent="0.2">
      <c r="A189" s="3" t="s">
        <v>151</v>
      </c>
      <c r="B189" s="3" t="s">
        <v>150</v>
      </c>
      <c r="C189" s="3" t="s">
        <v>11</v>
      </c>
    </row>
    <row r="190" spans="1:3" x14ac:dyDescent="0.2">
      <c r="A190" s="3" t="s">
        <v>2344</v>
      </c>
      <c r="B190" s="3" t="s">
        <v>2345</v>
      </c>
      <c r="C190" s="3" t="s">
        <v>10</v>
      </c>
    </row>
    <row r="191" spans="1:3" x14ac:dyDescent="0.2">
      <c r="A191" s="3" t="s">
        <v>2344</v>
      </c>
      <c r="B191" s="3" t="s">
        <v>2346</v>
      </c>
      <c r="C191" s="3" t="s">
        <v>10</v>
      </c>
    </row>
    <row r="192" spans="1:3" x14ac:dyDescent="0.2">
      <c r="A192" s="3" t="s">
        <v>2344</v>
      </c>
      <c r="B192" s="3" t="s">
        <v>2347</v>
      </c>
      <c r="C192" s="3" t="s">
        <v>10</v>
      </c>
    </row>
    <row r="193" spans="1:3" x14ac:dyDescent="0.2">
      <c r="A193" s="3" t="s">
        <v>2348</v>
      </c>
      <c r="B193" s="3" t="s">
        <v>2349</v>
      </c>
      <c r="C193" s="3" t="s">
        <v>53</v>
      </c>
    </row>
    <row r="194" spans="1:3" x14ac:dyDescent="0.2">
      <c r="A194" s="3" t="s">
        <v>2348</v>
      </c>
      <c r="B194" s="3" t="s">
        <v>2349</v>
      </c>
      <c r="C194" s="3" t="s">
        <v>54</v>
      </c>
    </row>
    <row r="195" spans="1:3" x14ac:dyDescent="0.2">
      <c r="A195" s="3" t="s">
        <v>2348</v>
      </c>
      <c r="B195" s="3" t="s">
        <v>2349</v>
      </c>
      <c r="C195" s="3" t="s">
        <v>55</v>
      </c>
    </row>
    <row r="196" spans="1:3" x14ac:dyDescent="0.2">
      <c r="A196" s="3" t="s">
        <v>2348</v>
      </c>
      <c r="B196" s="3" t="s">
        <v>2349</v>
      </c>
      <c r="C196" s="3" t="s">
        <v>56</v>
      </c>
    </row>
    <row r="197" spans="1:3" x14ac:dyDescent="0.2">
      <c r="A197" s="3" t="s">
        <v>2348</v>
      </c>
      <c r="B197" s="3" t="s">
        <v>2349</v>
      </c>
      <c r="C197" s="3" t="s">
        <v>57</v>
      </c>
    </row>
    <row r="198" spans="1:3" x14ac:dyDescent="0.2">
      <c r="A198" s="3" t="s">
        <v>2348</v>
      </c>
      <c r="B198" s="3" t="s">
        <v>2347</v>
      </c>
      <c r="C198" s="3" t="s">
        <v>10</v>
      </c>
    </row>
    <row r="199" spans="1:3" x14ac:dyDescent="0.2">
      <c r="A199" s="3" t="s">
        <v>2350</v>
      </c>
      <c r="B199" s="3" t="s">
        <v>2345</v>
      </c>
      <c r="C199" s="3" t="s">
        <v>10</v>
      </c>
    </row>
    <row r="200" spans="1:3" x14ac:dyDescent="0.2">
      <c r="A200" s="3" t="s">
        <v>2350</v>
      </c>
      <c r="B200" s="3" t="s">
        <v>2346</v>
      </c>
      <c r="C200" s="3" t="s">
        <v>10</v>
      </c>
    </row>
    <row r="201" spans="1:3" x14ac:dyDescent="0.2">
      <c r="A201" s="3" t="s">
        <v>2351</v>
      </c>
      <c r="B201" s="3" t="s">
        <v>617</v>
      </c>
      <c r="C201" s="3" t="s">
        <v>10</v>
      </c>
    </row>
    <row r="202" spans="1:3" x14ac:dyDescent="0.2">
      <c r="A202" s="3" t="s">
        <v>2351</v>
      </c>
      <c r="B202" s="3" t="s">
        <v>1239</v>
      </c>
      <c r="C202" s="3" t="s">
        <v>10</v>
      </c>
    </row>
    <row r="203" spans="1:3" x14ac:dyDescent="0.2">
      <c r="A203" s="3" t="s">
        <v>2351</v>
      </c>
      <c r="B203" s="3" t="s">
        <v>1240</v>
      </c>
      <c r="C203" s="3" t="s">
        <v>10</v>
      </c>
    </row>
    <row r="204" spans="1:3" x14ac:dyDescent="0.2">
      <c r="A204" s="3" t="s">
        <v>2351</v>
      </c>
      <c r="B204" s="3" t="s">
        <v>1241</v>
      </c>
      <c r="C204" s="3" t="s">
        <v>10</v>
      </c>
    </row>
    <row r="205" spans="1:3" x14ac:dyDescent="0.2">
      <c r="A205" s="3" t="s">
        <v>2351</v>
      </c>
      <c r="B205" s="3" t="s">
        <v>617</v>
      </c>
      <c r="C205" s="3" t="s">
        <v>11</v>
      </c>
    </row>
    <row r="206" spans="1:3" x14ac:dyDescent="0.2">
      <c r="A206" s="3" t="s">
        <v>2351</v>
      </c>
      <c r="B206" s="3" t="s">
        <v>1239</v>
      </c>
      <c r="C206" s="3" t="s">
        <v>11</v>
      </c>
    </row>
    <row r="207" spans="1:3" x14ac:dyDescent="0.2">
      <c r="A207" s="3" t="s">
        <v>2351</v>
      </c>
      <c r="B207" s="3" t="s">
        <v>1240</v>
      </c>
      <c r="C207" s="3" t="s">
        <v>11</v>
      </c>
    </row>
    <row r="208" spans="1:3" x14ac:dyDescent="0.2">
      <c r="A208" s="3" t="s">
        <v>152</v>
      </c>
      <c r="B208" s="3" t="s">
        <v>153</v>
      </c>
      <c r="C208" s="3" t="s">
        <v>11</v>
      </c>
    </row>
    <row r="209" spans="1:3" x14ac:dyDescent="0.2">
      <c r="A209" s="3" t="s">
        <v>152</v>
      </c>
      <c r="B209" s="3" t="s">
        <v>154</v>
      </c>
      <c r="C209" s="3" t="s">
        <v>11</v>
      </c>
    </row>
    <row r="210" spans="1:3" x14ac:dyDescent="0.2">
      <c r="A210" s="3" t="s">
        <v>155</v>
      </c>
      <c r="B210" s="3" t="s">
        <v>156</v>
      </c>
      <c r="C210" s="3" t="s">
        <v>10</v>
      </c>
    </row>
    <row r="211" spans="1:3" x14ac:dyDescent="0.2">
      <c r="A211" s="3" t="s">
        <v>155</v>
      </c>
      <c r="B211" s="3" t="s">
        <v>157</v>
      </c>
      <c r="C211" s="3" t="s">
        <v>11</v>
      </c>
    </row>
    <row r="212" spans="1:3" x14ac:dyDescent="0.2">
      <c r="A212" s="3" t="s">
        <v>155</v>
      </c>
      <c r="B212" s="3" t="s">
        <v>158</v>
      </c>
      <c r="C212" s="3" t="s">
        <v>11</v>
      </c>
    </row>
    <row r="213" spans="1:3" x14ac:dyDescent="0.2">
      <c r="A213" s="3" t="s">
        <v>155</v>
      </c>
      <c r="B213" s="3" t="s">
        <v>159</v>
      </c>
      <c r="C213" s="3" t="s">
        <v>11</v>
      </c>
    </row>
    <row r="214" spans="1:3" x14ac:dyDescent="0.2">
      <c r="A214" s="3" t="s">
        <v>155</v>
      </c>
      <c r="B214" s="3" t="s">
        <v>160</v>
      </c>
      <c r="C214" s="3" t="s">
        <v>11</v>
      </c>
    </row>
    <row r="215" spans="1:3" x14ac:dyDescent="0.2">
      <c r="A215" s="3" t="s">
        <v>155</v>
      </c>
      <c r="B215" s="3" t="s">
        <v>161</v>
      </c>
      <c r="C215" s="3" t="s">
        <v>11</v>
      </c>
    </row>
    <row r="216" spans="1:3" x14ac:dyDescent="0.2">
      <c r="A216" s="3" t="s">
        <v>162</v>
      </c>
      <c r="B216" s="3" t="s">
        <v>163</v>
      </c>
      <c r="C216" s="3" t="s">
        <v>11</v>
      </c>
    </row>
    <row r="217" spans="1:3" x14ac:dyDescent="0.2">
      <c r="A217" s="3" t="s">
        <v>162</v>
      </c>
      <c r="B217" s="3" t="s">
        <v>164</v>
      </c>
      <c r="C217" s="3" t="s">
        <v>11</v>
      </c>
    </row>
    <row r="218" spans="1:3" x14ac:dyDescent="0.2">
      <c r="A218" s="3" t="s">
        <v>2352</v>
      </c>
      <c r="B218" s="3" t="s">
        <v>1342</v>
      </c>
      <c r="C218" s="3" t="s">
        <v>10</v>
      </c>
    </row>
    <row r="219" spans="1:3" x14ac:dyDescent="0.2">
      <c r="A219" s="3" t="s">
        <v>2352</v>
      </c>
      <c r="B219" s="3" t="s">
        <v>1342</v>
      </c>
      <c r="C219" s="3" t="s">
        <v>11</v>
      </c>
    </row>
    <row r="220" spans="1:3" x14ac:dyDescent="0.2">
      <c r="A220" s="3" t="s">
        <v>2353</v>
      </c>
      <c r="B220" s="3" t="s">
        <v>1342</v>
      </c>
      <c r="C220" s="3" t="s">
        <v>10</v>
      </c>
    </row>
    <row r="221" spans="1:3" x14ac:dyDescent="0.2">
      <c r="A221" s="3" t="s">
        <v>2353</v>
      </c>
      <c r="B221" s="3" t="s">
        <v>1342</v>
      </c>
      <c r="C221" s="3" t="s">
        <v>11</v>
      </c>
    </row>
    <row r="222" spans="1:3" x14ac:dyDescent="0.2">
      <c r="A222" s="3" t="s">
        <v>2354</v>
      </c>
      <c r="B222" s="3" t="s">
        <v>1342</v>
      </c>
      <c r="C222" s="3" t="s">
        <v>10</v>
      </c>
    </row>
    <row r="223" spans="1:3" x14ac:dyDescent="0.2">
      <c r="A223" s="3" t="s">
        <v>2354</v>
      </c>
      <c r="B223" s="3" t="s">
        <v>1342</v>
      </c>
      <c r="C223" s="3" t="s">
        <v>11</v>
      </c>
    </row>
    <row r="224" spans="1:3" x14ac:dyDescent="0.2">
      <c r="A224" s="3" t="s">
        <v>2355</v>
      </c>
      <c r="B224" s="3" t="s">
        <v>1342</v>
      </c>
      <c r="C224" s="3" t="s">
        <v>10</v>
      </c>
    </row>
    <row r="225" spans="1:3" x14ac:dyDescent="0.2">
      <c r="A225" s="3" t="s">
        <v>2355</v>
      </c>
      <c r="B225" s="3" t="s">
        <v>1342</v>
      </c>
      <c r="C225" s="3" t="s">
        <v>11</v>
      </c>
    </row>
    <row r="226" spans="1:3" x14ac:dyDescent="0.2">
      <c r="A226" s="3" t="s">
        <v>2356</v>
      </c>
      <c r="B226" s="3" t="s">
        <v>1342</v>
      </c>
      <c r="C226" s="3" t="s">
        <v>10</v>
      </c>
    </row>
    <row r="227" spans="1:3" x14ac:dyDescent="0.2">
      <c r="A227" s="3" t="s">
        <v>2356</v>
      </c>
      <c r="B227" s="3" t="s">
        <v>1342</v>
      </c>
      <c r="C227" s="3" t="s">
        <v>11</v>
      </c>
    </row>
    <row r="228" spans="1:3" x14ac:dyDescent="0.2">
      <c r="A228" s="3" t="s">
        <v>2357</v>
      </c>
      <c r="B228" s="3" t="s">
        <v>1342</v>
      </c>
      <c r="C228" s="3" t="s">
        <v>10</v>
      </c>
    </row>
    <row r="229" spans="1:3" x14ac:dyDescent="0.2">
      <c r="A229" s="3" t="s">
        <v>2357</v>
      </c>
      <c r="B229" s="3" t="s">
        <v>1342</v>
      </c>
      <c r="C229" s="3" t="s">
        <v>11</v>
      </c>
    </row>
    <row r="230" spans="1:3" x14ac:dyDescent="0.2">
      <c r="A230" s="3" t="s">
        <v>2358</v>
      </c>
      <c r="B230" s="3" t="s">
        <v>1342</v>
      </c>
      <c r="C230" s="3" t="s">
        <v>10</v>
      </c>
    </row>
    <row r="231" spans="1:3" x14ac:dyDescent="0.2">
      <c r="A231" s="3" t="s">
        <v>2358</v>
      </c>
      <c r="B231" s="3" t="s">
        <v>1342</v>
      </c>
      <c r="C231" s="3" t="s">
        <v>11</v>
      </c>
    </row>
    <row r="232" spans="1:3" x14ac:dyDescent="0.2">
      <c r="A232" s="3" t="s">
        <v>165</v>
      </c>
      <c r="B232" s="3" t="s">
        <v>166</v>
      </c>
      <c r="C232" s="3" t="s">
        <v>53</v>
      </c>
    </row>
    <row r="233" spans="1:3" x14ac:dyDescent="0.2">
      <c r="A233" s="3" t="s">
        <v>165</v>
      </c>
      <c r="B233" s="3" t="s">
        <v>167</v>
      </c>
      <c r="C233" s="3" t="s">
        <v>53</v>
      </c>
    </row>
    <row r="234" spans="1:3" x14ac:dyDescent="0.2">
      <c r="A234" s="3" t="s">
        <v>165</v>
      </c>
      <c r="B234" s="3" t="s">
        <v>166</v>
      </c>
      <c r="C234" s="3" t="s">
        <v>54</v>
      </c>
    </row>
    <row r="235" spans="1:3" x14ac:dyDescent="0.2">
      <c r="A235" s="3" t="s">
        <v>165</v>
      </c>
      <c r="B235" s="3" t="s">
        <v>167</v>
      </c>
      <c r="C235" s="3" t="s">
        <v>54</v>
      </c>
    </row>
    <row r="236" spans="1:3" x14ac:dyDescent="0.2">
      <c r="A236" s="3" t="s">
        <v>165</v>
      </c>
      <c r="B236" s="3" t="s">
        <v>166</v>
      </c>
      <c r="C236" s="3" t="s">
        <v>55</v>
      </c>
    </row>
    <row r="237" spans="1:3" x14ac:dyDescent="0.2">
      <c r="A237" s="3" t="s">
        <v>165</v>
      </c>
      <c r="B237" s="3" t="s">
        <v>167</v>
      </c>
      <c r="C237" s="3" t="s">
        <v>55</v>
      </c>
    </row>
    <row r="238" spans="1:3" x14ac:dyDescent="0.2">
      <c r="A238" s="3" t="s">
        <v>165</v>
      </c>
      <c r="B238" s="3" t="s">
        <v>166</v>
      </c>
      <c r="C238" s="3" t="s">
        <v>56</v>
      </c>
    </row>
    <row r="239" spans="1:3" x14ac:dyDescent="0.2">
      <c r="A239" s="3" t="s">
        <v>165</v>
      </c>
      <c r="B239" s="3" t="s">
        <v>167</v>
      </c>
      <c r="C239" s="3" t="s">
        <v>56</v>
      </c>
    </row>
    <row r="240" spans="1:3" x14ac:dyDescent="0.2">
      <c r="A240" s="3" t="s">
        <v>165</v>
      </c>
      <c r="B240" s="3" t="s">
        <v>166</v>
      </c>
      <c r="C240" s="3" t="s">
        <v>57</v>
      </c>
    </row>
    <row r="241" spans="1:3" x14ac:dyDescent="0.2">
      <c r="A241" s="3" t="s">
        <v>165</v>
      </c>
      <c r="B241" s="3" t="s">
        <v>167</v>
      </c>
      <c r="C241" s="3" t="s">
        <v>57</v>
      </c>
    </row>
    <row r="242" spans="1:3" x14ac:dyDescent="0.2">
      <c r="A242" s="3" t="s">
        <v>165</v>
      </c>
      <c r="B242" s="3" t="s">
        <v>168</v>
      </c>
      <c r="C242" s="3" t="s">
        <v>169</v>
      </c>
    </row>
    <row r="243" spans="1:3" x14ac:dyDescent="0.2">
      <c r="A243" s="3" t="s">
        <v>170</v>
      </c>
      <c r="B243" s="3" t="s">
        <v>171</v>
      </c>
      <c r="C243" s="3" t="s">
        <v>53</v>
      </c>
    </row>
    <row r="244" spans="1:3" x14ac:dyDescent="0.2">
      <c r="A244" s="3" t="s">
        <v>170</v>
      </c>
      <c r="B244" s="3" t="s">
        <v>171</v>
      </c>
      <c r="C244" s="3" t="s">
        <v>54</v>
      </c>
    </row>
    <row r="245" spans="1:3" x14ac:dyDescent="0.2">
      <c r="A245" s="3" t="s">
        <v>170</v>
      </c>
      <c r="B245" s="3" t="s">
        <v>171</v>
      </c>
      <c r="C245" s="3" t="s">
        <v>55</v>
      </c>
    </row>
    <row r="246" spans="1:3" x14ac:dyDescent="0.2">
      <c r="A246" s="3" t="s">
        <v>170</v>
      </c>
      <c r="B246" s="3" t="s">
        <v>171</v>
      </c>
      <c r="C246" s="3" t="s">
        <v>56</v>
      </c>
    </row>
    <row r="247" spans="1:3" x14ac:dyDescent="0.2">
      <c r="A247" s="3" t="s">
        <v>170</v>
      </c>
      <c r="B247" s="3" t="s">
        <v>171</v>
      </c>
      <c r="C247" s="3" t="s">
        <v>57</v>
      </c>
    </row>
    <row r="248" spans="1:3" x14ac:dyDescent="0.2">
      <c r="A248" s="3" t="s">
        <v>170</v>
      </c>
      <c r="B248" s="3" t="s">
        <v>168</v>
      </c>
      <c r="C248" s="3" t="s">
        <v>169</v>
      </c>
    </row>
    <row r="249" spans="1:3" x14ac:dyDescent="0.2">
      <c r="A249" s="3" t="s">
        <v>170</v>
      </c>
      <c r="B249" s="3" t="s">
        <v>172</v>
      </c>
      <c r="C249" s="3" t="s">
        <v>169</v>
      </c>
    </row>
    <row r="250" spans="1:3" x14ac:dyDescent="0.2">
      <c r="A250" s="3" t="s">
        <v>170</v>
      </c>
      <c r="B250" s="3" t="s">
        <v>173</v>
      </c>
      <c r="C250" s="3" t="s">
        <v>169</v>
      </c>
    </row>
    <row r="251" spans="1:3" x14ac:dyDescent="0.2">
      <c r="A251" s="3" t="s">
        <v>170</v>
      </c>
      <c r="B251" s="3" t="s">
        <v>174</v>
      </c>
      <c r="C251" s="3" t="s">
        <v>169</v>
      </c>
    </row>
    <row r="252" spans="1:3" x14ac:dyDescent="0.2">
      <c r="A252" s="3" t="s">
        <v>170</v>
      </c>
      <c r="B252" s="3" t="s">
        <v>175</v>
      </c>
      <c r="C252" s="3" t="s">
        <v>169</v>
      </c>
    </row>
    <row r="253" spans="1:3" x14ac:dyDescent="0.2">
      <c r="A253" s="3" t="s">
        <v>170</v>
      </c>
      <c r="B253" s="3" t="s">
        <v>176</v>
      </c>
      <c r="C253" s="3" t="s">
        <v>169</v>
      </c>
    </row>
    <row r="254" spans="1:3" x14ac:dyDescent="0.2">
      <c r="A254" s="3" t="s">
        <v>170</v>
      </c>
      <c r="B254" s="3" t="s">
        <v>177</v>
      </c>
      <c r="C254" s="3" t="s">
        <v>169</v>
      </c>
    </row>
    <row r="255" spans="1:3" x14ac:dyDescent="0.2">
      <c r="A255" s="3" t="s">
        <v>170</v>
      </c>
      <c r="B255" s="3" t="s">
        <v>178</v>
      </c>
      <c r="C255" s="3" t="s">
        <v>169</v>
      </c>
    </row>
    <row r="256" spans="1:3" x14ac:dyDescent="0.2">
      <c r="A256" s="3" t="s">
        <v>179</v>
      </c>
      <c r="B256" s="3" t="s">
        <v>166</v>
      </c>
      <c r="C256" s="3" t="s">
        <v>53</v>
      </c>
    </row>
    <row r="257" spans="1:3" x14ac:dyDescent="0.2">
      <c r="A257" s="3" t="s">
        <v>179</v>
      </c>
      <c r="B257" s="3" t="s">
        <v>167</v>
      </c>
      <c r="C257" s="3" t="s">
        <v>53</v>
      </c>
    </row>
    <row r="258" spans="1:3" x14ac:dyDescent="0.2">
      <c r="A258" s="3" t="s">
        <v>179</v>
      </c>
      <c r="B258" s="3" t="s">
        <v>180</v>
      </c>
      <c r="C258" s="3" t="s">
        <v>53</v>
      </c>
    </row>
    <row r="259" spans="1:3" x14ac:dyDescent="0.2">
      <c r="A259" s="3" t="s">
        <v>179</v>
      </c>
      <c r="B259" s="3" t="s">
        <v>166</v>
      </c>
      <c r="C259" s="3" t="s">
        <v>54</v>
      </c>
    </row>
    <row r="260" spans="1:3" x14ac:dyDescent="0.2">
      <c r="A260" s="3" t="s">
        <v>179</v>
      </c>
      <c r="B260" s="3" t="s">
        <v>167</v>
      </c>
      <c r="C260" s="3" t="s">
        <v>54</v>
      </c>
    </row>
    <row r="261" spans="1:3" x14ac:dyDescent="0.2">
      <c r="A261" s="3" t="s">
        <v>179</v>
      </c>
      <c r="B261" s="3" t="s">
        <v>180</v>
      </c>
      <c r="C261" s="3" t="s">
        <v>54</v>
      </c>
    </row>
    <row r="262" spans="1:3" x14ac:dyDescent="0.2">
      <c r="A262" s="3" t="s">
        <v>179</v>
      </c>
      <c r="B262" s="3" t="s">
        <v>166</v>
      </c>
      <c r="C262" s="3" t="s">
        <v>55</v>
      </c>
    </row>
    <row r="263" spans="1:3" x14ac:dyDescent="0.2">
      <c r="A263" s="3" t="s">
        <v>179</v>
      </c>
      <c r="B263" s="3" t="s">
        <v>167</v>
      </c>
      <c r="C263" s="3" t="s">
        <v>55</v>
      </c>
    </row>
    <row r="264" spans="1:3" x14ac:dyDescent="0.2">
      <c r="A264" s="3" t="s">
        <v>179</v>
      </c>
      <c r="B264" s="3" t="s">
        <v>180</v>
      </c>
      <c r="C264" s="3" t="s">
        <v>55</v>
      </c>
    </row>
    <row r="265" spans="1:3" x14ac:dyDescent="0.2">
      <c r="A265" s="3" t="s">
        <v>179</v>
      </c>
      <c r="B265" s="3" t="s">
        <v>166</v>
      </c>
      <c r="C265" s="3" t="s">
        <v>56</v>
      </c>
    </row>
    <row r="266" spans="1:3" x14ac:dyDescent="0.2">
      <c r="A266" s="3" t="s">
        <v>179</v>
      </c>
      <c r="B266" s="3" t="s">
        <v>167</v>
      </c>
      <c r="C266" s="3" t="s">
        <v>56</v>
      </c>
    </row>
    <row r="267" spans="1:3" x14ac:dyDescent="0.2">
      <c r="A267" s="3" t="s">
        <v>179</v>
      </c>
      <c r="B267" s="3" t="s">
        <v>180</v>
      </c>
      <c r="C267" s="3" t="s">
        <v>56</v>
      </c>
    </row>
    <row r="268" spans="1:3" x14ac:dyDescent="0.2">
      <c r="A268" s="3" t="s">
        <v>179</v>
      </c>
      <c r="B268" s="3" t="s">
        <v>166</v>
      </c>
      <c r="C268" s="3" t="s">
        <v>57</v>
      </c>
    </row>
    <row r="269" spans="1:3" x14ac:dyDescent="0.2">
      <c r="A269" s="3" t="s">
        <v>179</v>
      </c>
      <c r="B269" s="3" t="s">
        <v>167</v>
      </c>
      <c r="C269" s="3" t="s">
        <v>57</v>
      </c>
    </row>
    <row r="270" spans="1:3" x14ac:dyDescent="0.2">
      <c r="A270" s="3" t="s">
        <v>179</v>
      </c>
      <c r="B270" s="3" t="s">
        <v>180</v>
      </c>
      <c r="C270" s="3" t="s">
        <v>57</v>
      </c>
    </row>
    <row r="271" spans="1:3" x14ac:dyDescent="0.2">
      <c r="A271" s="3" t="s">
        <v>179</v>
      </c>
      <c r="B271" s="3" t="s">
        <v>168</v>
      </c>
      <c r="C271" s="3" t="s">
        <v>169</v>
      </c>
    </row>
    <row r="272" spans="1:3" x14ac:dyDescent="0.2">
      <c r="A272" s="3" t="s">
        <v>179</v>
      </c>
      <c r="B272" s="3" t="s">
        <v>172</v>
      </c>
      <c r="C272" s="3" t="s">
        <v>169</v>
      </c>
    </row>
    <row r="273" spans="1:3" x14ac:dyDescent="0.2">
      <c r="A273" s="3" t="s">
        <v>179</v>
      </c>
      <c r="B273" s="3" t="s">
        <v>173</v>
      </c>
      <c r="C273" s="3" t="s">
        <v>169</v>
      </c>
    </row>
    <row r="274" spans="1:3" x14ac:dyDescent="0.2">
      <c r="A274" s="3" t="s">
        <v>179</v>
      </c>
      <c r="B274" s="3" t="s">
        <v>174</v>
      </c>
      <c r="C274" s="3" t="s">
        <v>169</v>
      </c>
    </row>
    <row r="275" spans="1:3" x14ac:dyDescent="0.2">
      <c r="A275" s="3" t="s">
        <v>179</v>
      </c>
      <c r="B275" s="3" t="s">
        <v>175</v>
      </c>
      <c r="C275" s="3" t="s">
        <v>169</v>
      </c>
    </row>
    <row r="276" spans="1:3" x14ac:dyDescent="0.2">
      <c r="A276" s="3" t="s">
        <v>181</v>
      </c>
      <c r="B276" s="3" t="s">
        <v>182</v>
      </c>
      <c r="C276" s="3" t="s">
        <v>53</v>
      </c>
    </row>
    <row r="277" spans="1:3" x14ac:dyDescent="0.2">
      <c r="A277" s="3" t="s">
        <v>181</v>
      </c>
      <c r="B277" s="3" t="s">
        <v>183</v>
      </c>
      <c r="C277" s="3" t="s">
        <v>53</v>
      </c>
    </row>
    <row r="278" spans="1:3" x14ac:dyDescent="0.2">
      <c r="A278" s="3" t="s">
        <v>181</v>
      </c>
      <c r="B278" s="3" t="s">
        <v>182</v>
      </c>
      <c r="C278" s="3" t="s">
        <v>54</v>
      </c>
    </row>
    <row r="279" spans="1:3" x14ac:dyDescent="0.2">
      <c r="A279" s="3" t="s">
        <v>181</v>
      </c>
      <c r="B279" s="3" t="s">
        <v>183</v>
      </c>
      <c r="C279" s="3" t="s">
        <v>54</v>
      </c>
    </row>
    <row r="280" spans="1:3" x14ac:dyDescent="0.2">
      <c r="A280" s="3" t="s">
        <v>181</v>
      </c>
      <c r="B280" s="3" t="s">
        <v>182</v>
      </c>
      <c r="C280" s="3" t="s">
        <v>55</v>
      </c>
    </row>
    <row r="281" spans="1:3" x14ac:dyDescent="0.2">
      <c r="A281" s="3" t="s">
        <v>181</v>
      </c>
      <c r="B281" s="3" t="s">
        <v>183</v>
      </c>
      <c r="C281" s="3" t="s">
        <v>55</v>
      </c>
    </row>
    <row r="282" spans="1:3" x14ac:dyDescent="0.2">
      <c r="A282" s="3" t="s">
        <v>181</v>
      </c>
      <c r="B282" s="3" t="s">
        <v>182</v>
      </c>
      <c r="C282" s="3" t="s">
        <v>56</v>
      </c>
    </row>
    <row r="283" spans="1:3" x14ac:dyDescent="0.2">
      <c r="A283" s="3" t="s">
        <v>181</v>
      </c>
      <c r="B283" s="3" t="s">
        <v>183</v>
      </c>
      <c r="C283" s="3" t="s">
        <v>56</v>
      </c>
    </row>
    <row r="284" spans="1:3" x14ac:dyDescent="0.2">
      <c r="A284" s="3" t="s">
        <v>181</v>
      </c>
      <c r="B284" s="3" t="s">
        <v>182</v>
      </c>
      <c r="C284" s="3" t="s">
        <v>57</v>
      </c>
    </row>
    <row r="285" spans="1:3" x14ac:dyDescent="0.2">
      <c r="A285" s="3" t="s">
        <v>181</v>
      </c>
      <c r="B285" s="3" t="s">
        <v>183</v>
      </c>
      <c r="C285" s="3" t="s">
        <v>57</v>
      </c>
    </row>
    <row r="286" spans="1:3" x14ac:dyDescent="0.2">
      <c r="A286" s="3" t="s">
        <v>181</v>
      </c>
      <c r="B286" s="3" t="s">
        <v>184</v>
      </c>
      <c r="C286" s="3" t="s">
        <v>169</v>
      </c>
    </row>
    <row r="287" spans="1:3" x14ac:dyDescent="0.2">
      <c r="A287" s="3" t="s">
        <v>181</v>
      </c>
      <c r="B287" s="3" t="s">
        <v>185</v>
      </c>
      <c r="C287" s="3" t="s">
        <v>169</v>
      </c>
    </row>
    <row r="288" spans="1:3" x14ac:dyDescent="0.2">
      <c r="A288" s="3" t="s">
        <v>181</v>
      </c>
      <c r="B288" s="3" t="s">
        <v>186</v>
      </c>
      <c r="C288" s="3" t="s">
        <v>10</v>
      </c>
    </row>
    <row r="289" spans="1:3" x14ac:dyDescent="0.2">
      <c r="A289" s="3" t="s">
        <v>181</v>
      </c>
      <c r="B289" s="3" t="s">
        <v>187</v>
      </c>
      <c r="C289" s="3" t="s">
        <v>10</v>
      </c>
    </row>
    <row r="290" spans="1:3" x14ac:dyDescent="0.2">
      <c r="A290" s="3" t="s">
        <v>181</v>
      </c>
      <c r="B290" s="3" t="s">
        <v>186</v>
      </c>
      <c r="C290" s="3" t="s">
        <v>11</v>
      </c>
    </row>
    <row r="291" spans="1:3" x14ac:dyDescent="0.2">
      <c r="A291" s="3" t="s">
        <v>188</v>
      </c>
      <c r="B291" s="3" t="s">
        <v>182</v>
      </c>
      <c r="C291" s="3" t="s">
        <v>53</v>
      </c>
    </row>
    <row r="292" spans="1:3" x14ac:dyDescent="0.2">
      <c r="A292" s="3" t="s">
        <v>188</v>
      </c>
      <c r="B292" s="3" t="s">
        <v>182</v>
      </c>
      <c r="C292" s="3" t="s">
        <v>54</v>
      </c>
    </row>
    <row r="293" spans="1:3" x14ac:dyDescent="0.2">
      <c r="A293" s="3" t="s">
        <v>188</v>
      </c>
      <c r="B293" s="3" t="s">
        <v>182</v>
      </c>
      <c r="C293" s="3" t="s">
        <v>55</v>
      </c>
    </row>
    <row r="294" spans="1:3" x14ac:dyDescent="0.2">
      <c r="A294" s="3" t="s">
        <v>188</v>
      </c>
      <c r="B294" s="3" t="s">
        <v>182</v>
      </c>
      <c r="C294" s="3" t="s">
        <v>56</v>
      </c>
    </row>
    <row r="295" spans="1:3" x14ac:dyDescent="0.2">
      <c r="A295" s="3" t="s">
        <v>188</v>
      </c>
      <c r="B295" s="3" t="s">
        <v>182</v>
      </c>
      <c r="C295" s="3" t="s">
        <v>57</v>
      </c>
    </row>
    <row r="296" spans="1:3" x14ac:dyDescent="0.2">
      <c r="A296" s="3" t="s">
        <v>188</v>
      </c>
      <c r="B296" s="3" t="s">
        <v>186</v>
      </c>
      <c r="C296" s="3" t="s">
        <v>10</v>
      </c>
    </row>
    <row r="297" spans="1:3" x14ac:dyDescent="0.2">
      <c r="A297" s="3" t="s">
        <v>188</v>
      </c>
      <c r="B297" s="3" t="s">
        <v>187</v>
      </c>
      <c r="C297" s="3" t="s">
        <v>10</v>
      </c>
    </row>
    <row r="298" spans="1:3" x14ac:dyDescent="0.2">
      <c r="A298" s="3" t="s">
        <v>188</v>
      </c>
      <c r="B298" s="3" t="s">
        <v>186</v>
      </c>
      <c r="C298" s="3" t="s">
        <v>11</v>
      </c>
    </row>
    <row r="299" spans="1:3" x14ac:dyDescent="0.2">
      <c r="A299" s="3" t="s">
        <v>189</v>
      </c>
      <c r="B299" s="3" t="s">
        <v>190</v>
      </c>
      <c r="C299" s="3" t="s">
        <v>53</v>
      </c>
    </row>
    <row r="300" spans="1:3" x14ac:dyDescent="0.2">
      <c r="A300" s="3" t="s">
        <v>189</v>
      </c>
      <c r="B300" s="3" t="s">
        <v>191</v>
      </c>
      <c r="C300" s="3" t="s">
        <v>53</v>
      </c>
    </row>
    <row r="301" spans="1:3" x14ac:dyDescent="0.2">
      <c r="A301" s="3" t="s">
        <v>189</v>
      </c>
      <c r="B301" s="3" t="s">
        <v>192</v>
      </c>
      <c r="C301" s="3" t="s">
        <v>53</v>
      </c>
    </row>
    <row r="302" spans="1:3" x14ac:dyDescent="0.2">
      <c r="A302" s="3" t="s">
        <v>189</v>
      </c>
      <c r="B302" s="3" t="s">
        <v>193</v>
      </c>
      <c r="C302" s="3" t="s">
        <v>53</v>
      </c>
    </row>
    <row r="303" spans="1:3" x14ac:dyDescent="0.2">
      <c r="A303" s="3" t="s">
        <v>189</v>
      </c>
      <c r="B303" s="3" t="s">
        <v>190</v>
      </c>
      <c r="C303" s="3" t="s">
        <v>54</v>
      </c>
    </row>
    <row r="304" spans="1:3" x14ac:dyDescent="0.2">
      <c r="A304" s="3" t="s">
        <v>189</v>
      </c>
      <c r="B304" s="3" t="s">
        <v>191</v>
      </c>
      <c r="C304" s="3" t="s">
        <v>54</v>
      </c>
    </row>
    <row r="305" spans="1:3" x14ac:dyDescent="0.2">
      <c r="A305" s="3" t="s">
        <v>189</v>
      </c>
      <c r="B305" s="3" t="s">
        <v>192</v>
      </c>
      <c r="C305" s="3" t="s">
        <v>54</v>
      </c>
    </row>
    <row r="306" spans="1:3" x14ac:dyDescent="0.2">
      <c r="A306" s="3" t="s">
        <v>189</v>
      </c>
      <c r="B306" s="3" t="s">
        <v>190</v>
      </c>
      <c r="C306" s="3" t="s">
        <v>55</v>
      </c>
    </row>
    <row r="307" spans="1:3" x14ac:dyDescent="0.2">
      <c r="A307" s="3" t="s">
        <v>189</v>
      </c>
      <c r="B307" s="3" t="s">
        <v>191</v>
      </c>
      <c r="C307" s="3" t="s">
        <v>55</v>
      </c>
    </row>
    <row r="308" spans="1:3" x14ac:dyDescent="0.2">
      <c r="A308" s="3" t="s">
        <v>189</v>
      </c>
      <c r="B308" s="3" t="s">
        <v>192</v>
      </c>
      <c r="C308" s="3" t="s">
        <v>55</v>
      </c>
    </row>
    <row r="309" spans="1:3" x14ac:dyDescent="0.2">
      <c r="A309" s="3" t="s">
        <v>189</v>
      </c>
      <c r="B309" s="3" t="s">
        <v>190</v>
      </c>
      <c r="C309" s="3" t="s">
        <v>56</v>
      </c>
    </row>
    <row r="310" spans="1:3" x14ac:dyDescent="0.2">
      <c r="A310" s="3" t="s">
        <v>189</v>
      </c>
      <c r="B310" s="3" t="s">
        <v>191</v>
      </c>
      <c r="C310" s="3" t="s">
        <v>56</v>
      </c>
    </row>
    <row r="311" spans="1:3" x14ac:dyDescent="0.2">
      <c r="A311" s="3" t="s">
        <v>189</v>
      </c>
      <c r="B311" s="3" t="s">
        <v>192</v>
      </c>
      <c r="C311" s="3" t="s">
        <v>56</v>
      </c>
    </row>
    <row r="312" spans="1:3" x14ac:dyDescent="0.2">
      <c r="A312" s="3" t="s">
        <v>189</v>
      </c>
      <c r="B312" s="3" t="s">
        <v>190</v>
      </c>
      <c r="C312" s="3" t="s">
        <v>57</v>
      </c>
    </row>
    <row r="313" spans="1:3" x14ac:dyDescent="0.2">
      <c r="A313" s="3" t="s">
        <v>189</v>
      </c>
      <c r="B313" s="3" t="s">
        <v>191</v>
      </c>
      <c r="C313" s="3" t="s">
        <v>57</v>
      </c>
    </row>
    <row r="314" spans="1:3" x14ac:dyDescent="0.2">
      <c r="A314" s="3" t="s">
        <v>189</v>
      </c>
      <c r="B314" s="3" t="s">
        <v>192</v>
      </c>
      <c r="C314" s="3" t="s">
        <v>57</v>
      </c>
    </row>
    <row r="315" spans="1:3" x14ac:dyDescent="0.2">
      <c r="A315" s="3" t="s">
        <v>189</v>
      </c>
      <c r="B315" s="3" t="s">
        <v>194</v>
      </c>
      <c r="C315" s="3" t="s">
        <v>169</v>
      </c>
    </row>
    <row r="316" spans="1:3" x14ac:dyDescent="0.2">
      <c r="A316" s="3" t="s">
        <v>189</v>
      </c>
      <c r="B316" s="3" t="s">
        <v>195</v>
      </c>
      <c r="C316" s="3" t="s">
        <v>169</v>
      </c>
    </row>
    <row r="317" spans="1:3" x14ac:dyDescent="0.2">
      <c r="A317" s="3" t="s">
        <v>196</v>
      </c>
      <c r="B317" s="3" t="s">
        <v>197</v>
      </c>
      <c r="C317" s="3" t="s">
        <v>53</v>
      </c>
    </row>
    <row r="318" spans="1:3" x14ac:dyDescent="0.2">
      <c r="A318" s="3" t="s">
        <v>196</v>
      </c>
      <c r="B318" s="3" t="s">
        <v>198</v>
      </c>
      <c r="C318" s="3" t="s">
        <v>53</v>
      </c>
    </row>
    <row r="319" spans="1:3" x14ac:dyDescent="0.2">
      <c r="A319" s="3" t="s">
        <v>196</v>
      </c>
      <c r="B319" s="3" t="s">
        <v>199</v>
      </c>
      <c r="C319" s="3" t="s">
        <v>53</v>
      </c>
    </row>
    <row r="320" spans="1:3" x14ac:dyDescent="0.2">
      <c r="A320" s="3" t="s">
        <v>196</v>
      </c>
      <c r="B320" s="3" t="s">
        <v>200</v>
      </c>
      <c r="C320" s="3" t="s">
        <v>53</v>
      </c>
    </row>
    <row r="321" spans="1:3" x14ac:dyDescent="0.2">
      <c r="A321" s="3" t="s">
        <v>196</v>
      </c>
      <c r="B321" s="3" t="s">
        <v>201</v>
      </c>
      <c r="C321" s="3" t="s">
        <v>53</v>
      </c>
    </row>
    <row r="322" spans="1:3" x14ac:dyDescent="0.2">
      <c r="A322" s="3" t="s">
        <v>196</v>
      </c>
      <c r="B322" s="3" t="s">
        <v>202</v>
      </c>
      <c r="C322" s="3" t="s">
        <v>53</v>
      </c>
    </row>
    <row r="323" spans="1:3" x14ac:dyDescent="0.2">
      <c r="A323" s="3" t="s">
        <v>196</v>
      </c>
      <c r="B323" s="3" t="s">
        <v>203</v>
      </c>
      <c r="C323" s="3" t="s">
        <v>53</v>
      </c>
    </row>
    <row r="324" spans="1:3" x14ac:dyDescent="0.2">
      <c r="A324" s="3" t="s">
        <v>196</v>
      </c>
      <c r="B324" s="3" t="s">
        <v>204</v>
      </c>
      <c r="C324" s="3" t="s">
        <v>53</v>
      </c>
    </row>
    <row r="325" spans="1:3" x14ac:dyDescent="0.2">
      <c r="A325" s="3" t="s">
        <v>196</v>
      </c>
      <c r="B325" s="3" t="s">
        <v>205</v>
      </c>
      <c r="C325" s="3" t="s">
        <v>53</v>
      </c>
    </row>
    <row r="326" spans="1:3" x14ac:dyDescent="0.2">
      <c r="A326" s="3" t="s">
        <v>196</v>
      </c>
      <c r="B326" s="3" t="s">
        <v>206</v>
      </c>
      <c r="C326" s="3" t="s">
        <v>53</v>
      </c>
    </row>
    <row r="327" spans="1:3" x14ac:dyDescent="0.2">
      <c r="A327" s="3" t="s">
        <v>196</v>
      </c>
      <c r="B327" s="3" t="s">
        <v>207</v>
      </c>
      <c r="C327" s="3" t="s">
        <v>53</v>
      </c>
    </row>
    <row r="328" spans="1:3" x14ac:dyDescent="0.2">
      <c r="A328" s="3" t="s">
        <v>196</v>
      </c>
      <c r="B328" s="3" t="s">
        <v>208</v>
      </c>
      <c r="C328" s="3" t="s">
        <v>53</v>
      </c>
    </row>
    <row r="329" spans="1:3" x14ac:dyDescent="0.2">
      <c r="A329" s="3" t="s">
        <v>196</v>
      </c>
      <c r="B329" s="3" t="s">
        <v>209</v>
      </c>
      <c r="C329" s="3" t="s">
        <v>53</v>
      </c>
    </row>
    <row r="330" spans="1:3" x14ac:dyDescent="0.2">
      <c r="A330" s="3" t="s">
        <v>196</v>
      </c>
      <c r="B330" s="3" t="s">
        <v>210</v>
      </c>
      <c r="C330" s="3" t="s">
        <v>53</v>
      </c>
    </row>
    <row r="331" spans="1:3" x14ac:dyDescent="0.2">
      <c r="A331" s="3" t="s">
        <v>196</v>
      </c>
      <c r="B331" s="3" t="s">
        <v>211</v>
      </c>
      <c r="C331" s="3" t="s">
        <v>53</v>
      </c>
    </row>
    <row r="332" spans="1:3" x14ac:dyDescent="0.2">
      <c r="A332" s="3" t="s">
        <v>196</v>
      </c>
      <c r="B332" s="3" t="s">
        <v>212</v>
      </c>
      <c r="C332" s="3" t="s">
        <v>53</v>
      </c>
    </row>
    <row r="333" spans="1:3" x14ac:dyDescent="0.2">
      <c r="A333" s="3" t="s">
        <v>196</v>
      </c>
      <c r="B333" s="3" t="s">
        <v>213</v>
      </c>
      <c r="C333" s="3" t="s">
        <v>53</v>
      </c>
    </row>
    <row r="334" spans="1:3" x14ac:dyDescent="0.2">
      <c r="A334" s="3" t="s">
        <v>196</v>
      </c>
      <c r="B334" s="3" t="s">
        <v>214</v>
      </c>
      <c r="C334" s="3" t="s">
        <v>53</v>
      </c>
    </row>
    <row r="335" spans="1:3" x14ac:dyDescent="0.2">
      <c r="A335" s="3" t="s">
        <v>196</v>
      </c>
      <c r="B335" s="3" t="s">
        <v>215</v>
      </c>
      <c r="C335" s="3" t="s">
        <v>53</v>
      </c>
    </row>
    <row r="336" spans="1:3" x14ac:dyDescent="0.2">
      <c r="A336" s="3" t="s">
        <v>196</v>
      </c>
      <c r="B336" s="3" t="s">
        <v>216</v>
      </c>
      <c r="C336" s="3" t="s">
        <v>53</v>
      </c>
    </row>
    <row r="337" spans="1:3" x14ac:dyDescent="0.2">
      <c r="A337" s="3" t="s">
        <v>196</v>
      </c>
      <c r="B337" s="3" t="s">
        <v>217</v>
      </c>
      <c r="C337" s="3" t="s">
        <v>53</v>
      </c>
    </row>
    <row r="338" spans="1:3" x14ac:dyDescent="0.2">
      <c r="A338" s="3" t="s">
        <v>196</v>
      </c>
      <c r="B338" s="3" t="s">
        <v>218</v>
      </c>
      <c r="C338" s="3" t="s">
        <v>53</v>
      </c>
    </row>
    <row r="339" spans="1:3" x14ac:dyDescent="0.2">
      <c r="A339" s="3" t="s">
        <v>196</v>
      </c>
      <c r="B339" s="3" t="s">
        <v>219</v>
      </c>
      <c r="C339" s="3" t="s">
        <v>54</v>
      </c>
    </row>
    <row r="340" spans="1:3" x14ac:dyDescent="0.2">
      <c r="A340" s="3" t="s">
        <v>196</v>
      </c>
      <c r="B340" s="3" t="s">
        <v>220</v>
      </c>
      <c r="C340" s="3" t="s">
        <v>54</v>
      </c>
    </row>
    <row r="341" spans="1:3" x14ac:dyDescent="0.2">
      <c r="A341" s="3" t="s">
        <v>196</v>
      </c>
      <c r="B341" s="3" t="s">
        <v>197</v>
      </c>
      <c r="C341" s="3" t="s">
        <v>54</v>
      </c>
    </row>
    <row r="342" spans="1:3" x14ac:dyDescent="0.2">
      <c r="A342" s="3" t="s">
        <v>196</v>
      </c>
      <c r="B342" s="3" t="s">
        <v>198</v>
      </c>
      <c r="C342" s="3" t="s">
        <v>54</v>
      </c>
    </row>
    <row r="343" spans="1:3" x14ac:dyDescent="0.2">
      <c r="A343" s="3" t="s">
        <v>196</v>
      </c>
      <c r="B343" s="3" t="s">
        <v>221</v>
      </c>
      <c r="C343" s="3" t="s">
        <v>54</v>
      </c>
    </row>
    <row r="344" spans="1:3" x14ac:dyDescent="0.2">
      <c r="A344" s="3" t="s">
        <v>196</v>
      </c>
      <c r="B344" s="3" t="s">
        <v>222</v>
      </c>
      <c r="C344" s="3" t="s">
        <v>54</v>
      </c>
    </row>
    <row r="345" spans="1:3" x14ac:dyDescent="0.2">
      <c r="A345" s="3" t="s">
        <v>196</v>
      </c>
      <c r="B345" s="3" t="s">
        <v>199</v>
      </c>
      <c r="C345" s="3" t="s">
        <v>54</v>
      </c>
    </row>
    <row r="346" spans="1:3" x14ac:dyDescent="0.2">
      <c r="A346" s="3" t="s">
        <v>196</v>
      </c>
      <c r="B346" s="3" t="s">
        <v>200</v>
      </c>
      <c r="C346" s="3" t="s">
        <v>54</v>
      </c>
    </row>
    <row r="347" spans="1:3" x14ac:dyDescent="0.2">
      <c r="A347" s="3" t="s">
        <v>196</v>
      </c>
      <c r="B347" s="3" t="s">
        <v>201</v>
      </c>
      <c r="C347" s="3" t="s">
        <v>54</v>
      </c>
    </row>
    <row r="348" spans="1:3" x14ac:dyDescent="0.2">
      <c r="A348" s="3" t="s">
        <v>196</v>
      </c>
      <c r="B348" s="3" t="s">
        <v>202</v>
      </c>
      <c r="C348" s="3" t="s">
        <v>54</v>
      </c>
    </row>
    <row r="349" spans="1:3" x14ac:dyDescent="0.2">
      <c r="A349" s="3" t="s">
        <v>196</v>
      </c>
      <c r="B349" s="3" t="s">
        <v>203</v>
      </c>
      <c r="C349" s="3" t="s">
        <v>54</v>
      </c>
    </row>
    <row r="350" spans="1:3" x14ac:dyDescent="0.2">
      <c r="A350" s="3" t="s">
        <v>196</v>
      </c>
      <c r="B350" s="3" t="s">
        <v>204</v>
      </c>
      <c r="C350" s="3" t="s">
        <v>54</v>
      </c>
    </row>
    <row r="351" spans="1:3" x14ac:dyDescent="0.2">
      <c r="A351" s="3" t="s">
        <v>196</v>
      </c>
      <c r="B351" s="3" t="s">
        <v>205</v>
      </c>
      <c r="C351" s="3" t="s">
        <v>54</v>
      </c>
    </row>
    <row r="352" spans="1:3" x14ac:dyDescent="0.2">
      <c r="A352" s="3" t="s">
        <v>196</v>
      </c>
      <c r="B352" s="3" t="s">
        <v>206</v>
      </c>
      <c r="C352" s="3" t="s">
        <v>54</v>
      </c>
    </row>
    <row r="353" spans="1:3" x14ac:dyDescent="0.2">
      <c r="A353" s="3" t="s">
        <v>196</v>
      </c>
      <c r="B353" s="3" t="s">
        <v>223</v>
      </c>
      <c r="C353" s="3" t="s">
        <v>54</v>
      </c>
    </row>
    <row r="354" spans="1:3" x14ac:dyDescent="0.2">
      <c r="A354" s="3" t="s">
        <v>196</v>
      </c>
      <c r="B354" s="3" t="s">
        <v>224</v>
      </c>
      <c r="C354" s="3" t="s">
        <v>54</v>
      </c>
    </row>
    <row r="355" spans="1:3" x14ac:dyDescent="0.2">
      <c r="A355" s="3" t="s">
        <v>196</v>
      </c>
      <c r="B355" s="3" t="s">
        <v>225</v>
      </c>
      <c r="C355" s="3" t="s">
        <v>54</v>
      </c>
    </row>
    <row r="356" spans="1:3" x14ac:dyDescent="0.2">
      <c r="A356" s="3" t="s">
        <v>196</v>
      </c>
      <c r="B356" s="3" t="s">
        <v>226</v>
      </c>
      <c r="C356" s="3" t="s">
        <v>54</v>
      </c>
    </row>
    <row r="357" spans="1:3" x14ac:dyDescent="0.2">
      <c r="A357" s="3" t="s">
        <v>196</v>
      </c>
      <c r="B357" s="3" t="s">
        <v>227</v>
      </c>
      <c r="C357" s="3" t="s">
        <v>54</v>
      </c>
    </row>
    <row r="358" spans="1:3" x14ac:dyDescent="0.2">
      <c r="A358" s="3" t="s">
        <v>196</v>
      </c>
      <c r="B358" s="3" t="s">
        <v>228</v>
      </c>
      <c r="C358" s="3" t="s">
        <v>54</v>
      </c>
    </row>
    <row r="359" spans="1:3" x14ac:dyDescent="0.2">
      <c r="A359" s="3" t="s">
        <v>196</v>
      </c>
      <c r="B359" s="3" t="s">
        <v>207</v>
      </c>
      <c r="C359" s="3" t="s">
        <v>54</v>
      </c>
    </row>
    <row r="360" spans="1:3" x14ac:dyDescent="0.2">
      <c r="A360" s="3" t="s">
        <v>196</v>
      </c>
      <c r="B360" s="3" t="s">
        <v>208</v>
      </c>
      <c r="C360" s="3" t="s">
        <v>54</v>
      </c>
    </row>
    <row r="361" spans="1:3" x14ac:dyDescent="0.2">
      <c r="A361" s="3" t="s">
        <v>196</v>
      </c>
      <c r="B361" s="3" t="s">
        <v>229</v>
      </c>
      <c r="C361" s="3" t="s">
        <v>54</v>
      </c>
    </row>
    <row r="362" spans="1:3" x14ac:dyDescent="0.2">
      <c r="A362" s="3" t="s">
        <v>196</v>
      </c>
      <c r="B362" s="3" t="s">
        <v>230</v>
      </c>
      <c r="C362" s="3" t="s">
        <v>54</v>
      </c>
    </row>
    <row r="363" spans="1:3" x14ac:dyDescent="0.2">
      <c r="A363" s="3" t="s">
        <v>196</v>
      </c>
      <c r="B363" s="3" t="s">
        <v>209</v>
      </c>
      <c r="C363" s="3" t="s">
        <v>54</v>
      </c>
    </row>
    <row r="364" spans="1:3" x14ac:dyDescent="0.2">
      <c r="A364" s="3" t="s">
        <v>196</v>
      </c>
      <c r="B364" s="3" t="s">
        <v>210</v>
      </c>
      <c r="C364" s="3" t="s">
        <v>54</v>
      </c>
    </row>
    <row r="365" spans="1:3" x14ac:dyDescent="0.2">
      <c r="A365" s="3" t="s">
        <v>196</v>
      </c>
      <c r="B365" s="3" t="s">
        <v>211</v>
      </c>
      <c r="C365" s="3" t="s">
        <v>54</v>
      </c>
    </row>
    <row r="366" spans="1:3" x14ac:dyDescent="0.2">
      <c r="A366" s="3" t="s">
        <v>196</v>
      </c>
      <c r="B366" s="3" t="s">
        <v>212</v>
      </c>
      <c r="C366" s="3" t="s">
        <v>54</v>
      </c>
    </row>
    <row r="367" spans="1:3" x14ac:dyDescent="0.2">
      <c r="A367" s="3" t="s">
        <v>196</v>
      </c>
      <c r="B367" s="3" t="s">
        <v>231</v>
      </c>
      <c r="C367" s="3" t="s">
        <v>54</v>
      </c>
    </row>
    <row r="368" spans="1:3" x14ac:dyDescent="0.2">
      <c r="A368" s="3" t="s">
        <v>196</v>
      </c>
      <c r="B368" s="3" t="s">
        <v>213</v>
      </c>
      <c r="C368" s="3" t="s">
        <v>54</v>
      </c>
    </row>
    <row r="369" spans="1:3" x14ac:dyDescent="0.2">
      <c r="A369" s="3" t="s">
        <v>196</v>
      </c>
      <c r="B369" s="3" t="s">
        <v>214</v>
      </c>
      <c r="C369" s="3" t="s">
        <v>54</v>
      </c>
    </row>
    <row r="370" spans="1:3" x14ac:dyDescent="0.2">
      <c r="A370" s="3" t="s">
        <v>196</v>
      </c>
      <c r="B370" s="3" t="s">
        <v>215</v>
      </c>
      <c r="C370" s="3" t="s">
        <v>54</v>
      </c>
    </row>
    <row r="371" spans="1:3" x14ac:dyDescent="0.2">
      <c r="A371" s="3" t="s">
        <v>196</v>
      </c>
      <c r="B371" s="3" t="s">
        <v>216</v>
      </c>
      <c r="C371" s="3" t="s">
        <v>54</v>
      </c>
    </row>
    <row r="372" spans="1:3" x14ac:dyDescent="0.2">
      <c r="A372" s="3" t="s">
        <v>196</v>
      </c>
      <c r="B372" s="3" t="s">
        <v>217</v>
      </c>
      <c r="C372" s="3" t="s">
        <v>54</v>
      </c>
    </row>
    <row r="373" spans="1:3" x14ac:dyDescent="0.2">
      <c r="A373" s="3" t="s">
        <v>196</v>
      </c>
      <c r="B373" s="3" t="s">
        <v>218</v>
      </c>
      <c r="C373" s="3" t="s">
        <v>54</v>
      </c>
    </row>
    <row r="374" spans="1:3" x14ac:dyDescent="0.2">
      <c r="A374" s="3" t="s">
        <v>196</v>
      </c>
      <c r="B374" s="3" t="s">
        <v>219</v>
      </c>
      <c r="C374" s="3" t="s">
        <v>55</v>
      </c>
    </row>
    <row r="375" spans="1:3" x14ac:dyDescent="0.2">
      <c r="A375" s="3" t="s">
        <v>196</v>
      </c>
      <c r="B375" s="3" t="s">
        <v>220</v>
      </c>
      <c r="C375" s="3" t="s">
        <v>55</v>
      </c>
    </row>
    <row r="376" spans="1:3" x14ac:dyDescent="0.2">
      <c r="A376" s="3" t="s">
        <v>196</v>
      </c>
      <c r="B376" s="3" t="s">
        <v>197</v>
      </c>
      <c r="C376" s="3" t="s">
        <v>55</v>
      </c>
    </row>
    <row r="377" spans="1:3" x14ac:dyDescent="0.2">
      <c r="A377" s="3" t="s">
        <v>196</v>
      </c>
      <c r="B377" s="3" t="s">
        <v>198</v>
      </c>
      <c r="C377" s="3" t="s">
        <v>55</v>
      </c>
    </row>
    <row r="378" spans="1:3" x14ac:dyDescent="0.2">
      <c r="A378" s="3" t="s">
        <v>196</v>
      </c>
      <c r="B378" s="3" t="s">
        <v>221</v>
      </c>
      <c r="C378" s="3" t="s">
        <v>55</v>
      </c>
    </row>
    <row r="379" spans="1:3" x14ac:dyDescent="0.2">
      <c r="A379" s="3" t="s">
        <v>196</v>
      </c>
      <c r="B379" s="3" t="s">
        <v>222</v>
      </c>
      <c r="C379" s="3" t="s">
        <v>55</v>
      </c>
    </row>
    <row r="380" spans="1:3" x14ac:dyDescent="0.2">
      <c r="A380" s="3" t="s">
        <v>196</v>
      </c>
      <c r="B380" s="3" t="s">
        <v>201</v>
      </c>
      <c r="C380" s="3" t="s">
        <v>55</v>
      </c>
    </row>
    <row r="381" spans="1:3" x14ac:dyDescent="0.2">
      <c r="A381" s="3" t="s">
        <v>196</v>
      </c>
      <c r="B381" s="3" t="s">
        <v>202</v>
      </c>
      <c r="C381" s="3" t="s">
        <v>55</v>
      </c>
    </row>
    <row r="382" spans="1:3" x14ac:dyDescent="0.2">
      <c r="A382" s="3" t="s">
        <v>196</v>
      </c>
      <c r="B382" s="3" t="s">
        <v>203</v>
      </c>
      <c r="C382" s="3" t="s">
        <v>55</v>
      </c>
    </row>
    <row r="383" spans="1:3" x14ac:dyDescent="0.2">
      <c r="A383" s="3" t="s">
        <v>196</v>
      </c>
      <c r="B383" s="3" t="s">
        <v>204</v>
      </c>
      <c r="C383" s="3" t="s">
        <v>55</v>
      </c>
    </row>
    <row r="384" spans="1:3" x14ac:dyDescent="0.2">
      <c r="A384" s="3" t="s">
        <v>196</v>
      </c>
      <c r="B384" s="3" t="s">
        <v>205</v>
      </c>
      <c r="C384" s="3" t="s">
        <v>55</v>
      </c>
    </row>
    <row r="385" spans="1:3" x14ac:dyDescent="0.2">
      <c r="A385" s="3" t="s">
        <v>196</v>
      </c>
      <c r="B385" s="3" t="s">
        <v>206</v>
      </c>
      <c r="C385" s="3" t="s">
        <v>55</v>
      </c>
    </row>
    <row r="386" spans="1:3" x14ac:dyDescent="0.2">
      <c r="A386" s="3" t="s">
        <v>196</v>
      </c>
      <c r="B386" s="3" t="s">
        <v>223</v>
      </c>
      <c r="C386" s="3" t="s">
        <v>55</v>
      </c>
    </row>
    <row r="387" spans="1:3" x14ac:dyDescent="0.2">
      <c r="A387" s="3" t="s">
        <v>196</v>
      </c>
      <c r="B387" s="3" t="s">
        <v>224</v>
      </c>
      <c r="C387" s="3" t="s">
        <v>55</v>
      </c>
    </row>
    <row r="388" spans="1:3" x14ac:dyDescent="0.2">
      <c r="A388" s="3" t="s">
        <v>196</v>
      </c>
      <c r="B388" s="3" t="s">
        <v>225</v>
      </c>
      <c r="C388" s="3" t="s">
        <v>55</v>
      </c>
    </row>
    <row r="389" spans="1:3" x14ac:dyDescent="0.2">
      <c r="A389" s="3" t="s">
        <v>196</v>
      </c>
      <c r="B389" s="3" t="s">
        <v>226</v>
      </c>
      <c r="C389" s="3" t="s">
        <v>55</v>
      </c>
    </row>
    <row r="390" spans="1:3" x14ac:dyDescent="0.2">
      <c r="A390" s="3" t="s">
        <v>196</v>
      </c>
      <c r="B390" s="3" t="s">
        <v>227</v>
      </c>
      <c r="C390" s="3" t="s">
        <v>55</v>
      </c>
    </row>
    <row r="391" spans="1:3" x14ac:dyDescent="0.2">
      <c r="A391" s="3" t="s">
        <v>196</v>
      </c>
      <c r="B391" s="3" t="s">
        <v>228</v>
      </c>
      <c r="C391" s="3" t="s">
        <v>55</v>
      </c>
    </row>
    <row r="392" spans="1:3" x14ac:dyDescent="0.2">
      <c r="A392" s="3" t="s">
        <v>196</v>
      </c>
      <c r="B392" s="3" t="s">
        <v>207</v>
      </c>
      <c r="C392" s="3" t="s">
        <v>55</v>
      </c>
    </row>
    <row r="393" spans="1:3" x14ac:dyDescent="0.2">
      <c r="A393" s="3" t="s">
        <v>196</v>
      </c>
      <c r="B393" s="3" t="s">
        <v>208</v>
      </c>
      <c r="C393" s="3" t="s">
        <v>55</v>
      </c>
    </row>
    <row r="394" spans="1:3" x14ac:dyDescent="0.2">
      <c r="A394" s="3" t="s">
        <v>196</v>
      </c>
      <c r="B394" s="3" t="s">
        <v>229</v>
      </c>
      <c r="C394" s="3" t="s">
        <v>55</v>
      </c>
    </row>
    <row r="395" spans="1:3" x14ac:dyDescent="0.2">
      <c r="A395" s="3" t="s">
        <v>196</v>
      </c>
      <c r="B395" s="3" t="s">
        <v>230</v>
      </c>
      <c r="C395" s="3" t="s">
        <v>55</v>
      </c>
    </row>
    <row r="396" spans="1:3" x14ac:dyDescent="0.2">
      <c r="A396" s="3" t="s">
        <v>196</v>
      </c>
      <c r="B396" s="3" t="s">
        <v>209</v>
      </c>
      <c r="C396" s="3" t="s">
        <v>55</v>
      </c>
    </row>
    <row r="397" spans="1:3" x14ac:dyDescent="0.2">
      <c r="A397" s="3" t="s">
        <v>196</v>
      </c>
      <c r="B397" s="3" t="s">
        <v>210</v>
      </c>
      <c r="C397" s="3" t="s">
        <v>55</v>
      </c>
    </row>
    <row r="398" spans="1:3" x14ac:dyDescent="0.2">
      <c r="A398" s="3" t="s">
        <v>196</v>
      </c>
      <c r="B398" s="3" t="s">
        <v>211</v>
      </c>
      <c r="C398" s="3" t="s">
        <v>55</v>
      </c>
    </row>
    <row r="399" spans="1:3" x14ac:dyDescent="0.2">
      <c r="A399" s="3" t="s">
        <v>196</v>
      </c>
      <c r="B399" s="3" t="s">
        <v>212</v>
      </c>
      <c r="C399" s="3" t="s">
        <v>55</v>
      </c>
    </row>
    <row r="400" spans="1:3" x14ac:dyDescent="0.2">
      <c r="A400" s="3" t="s">
        <v>196</v>
      </c>
      <c r="B400" s="3" t="s">
        <v>231</v>
      </c>
      <c r="C400" s="3" t="s">
        <v>55</v>
      </c>
    </row>
    <row r="401" spans="1:3" x14ac:dyDescent="0.2">
      <c r="A401" s="3" t="s">
        <v>196</v>
      </c>
      <c r="B401" s="3" t="s">
        <v>213</v>
      </c>
      <c r="C401" s="3" t="s">
        <v>55</v>
      </c>
    </row>
    <row r="402" spans="1:3" x14ac:dyDescent="0.2">
      <c r="A402" s="3" t="s">
        <v>196</v>
      </c>
      <c r="B402" s="3" t="s">
        <v>214</v>
      </c>
      <c r="C402" s="3" t="s">
        <v>55</v>
      </c>
    </row>
    <row r="403" spans="1:3" x14ac:dyDescent="0.2">
      <c r="A403" s="3" t="s">
        <v>196</v>
      </c>
      <c r="B403" s="3" t="s">
        <v>215</v>
      </c>
      <c r="C403" s="3" t="s">
        <v>55</v>
      </c>
    </row>
    <row r="404" spans="1:3" x14ac:dyDescent="0.2">
      <c r="A404" s="3" t="s">
        <v>196</v>
      </c>
      <c r="B404" s="3" t="s">
        <v>217</v>
      </c>
      <c r="C404" s="3" t="s">
        <v>55</v>
      </c>
    </row>
    <row r="405" spans="1:3" x14ac:dyDescent="0.2">
      <c r="A405" s="3" t="s">
        <v>196</v>
      </c>
      <c r="B405" s="3" t="s">
        <v>218</v>
      </c>
      <c r="C405" s="3" t="s">
        <v>55</v>
      </c>
    </row>
    <row r="406" spans="1:3" x14ac:dyDescent="0.2">
      <c r="A406" s="3" t="s">
        <v>196</v>
      </c>
      <c r="B406" s="3" t="s">
        <v>219</v>
      </c>
      <c r="C406" s="3" t="s">
        <v>56</v>
      </c>
    </row>
    <row r="407" spans="1:3" x14ac:dyDescent="0.2">
      <c r="A407" s="3" t="s">
        <v>196</v>
      </c>
      <c r="B407" s="3" t="s">
        <v>220</v>
      </c>
      <c r="C407" s="3" t="s">
        <v>56</v>
      </c>
    </row>
    <row r="408" spans="1:3" x14ac:dyDescent="0.2">
      <c r="A408" s="3" t="s">
        <v>196</v>
      </c>
      <c r="B408" s="3" t="s">
        <v>197</v>
      </c>
      <c r="C408" s="3" t="s">
        <v>56</v>
      </c>
    </row>
    <row r="409" spans="1:3" x14ac:dyDescent="0.2">
      <c r="A409" s="3" t="s">
        <v>196</v>
      </c>
      <c r="B409" s="3" t="s">
        <v>198</v>
      </c>
      <c r="C409" s="3" t="s">
        <v>56</v>
      </c>
    </row>
    <row r="410" spans="1:3" x14ac:dyDescent="0.2">
      <c r="A410" s="3" t="s">
        <v>196</v>
      </c>
      <c r="B410" s="3" t="s">
        <v>221</v>
      </c>
      <c r="C410" s="3" t="s">
        <v>56</v>
      </c>
    </row>
    <row r="411" spans="1:3" x14ac:dyDescent="0.2">
      <c r="A411" s="3" t="s">
        <v>196</v>
      </c>
      <c r="B411" s="3" t="s">
        <v>222</v>
      </c>
      <c r="C411" s="3" t="s">
        <v>56</v>
      </c>
    </row>
    <row r="412" spans="1:3" x14ac:dyDescent="0.2">
      <c r="A412" s="3" t="s">
        <v>196</v>
      </c>
      <c r="B412" s="3" t="s">
        <v>199</v>
      </c>
      <c r="C412" s="3" t="s">
        <v>56</v>
      </c>
    </row>
    <row r="413" spans="1:3" x14ac:dyDescent="0.2">
      <c r="A413" s="3" t="s">
        <v>196</v>
      </c>
      <c r="B413" s="3" t="s">
        <v>200</v>
      </c>
      <c r="C413" s="3" t="s">
        <v>56</v>
      </c>
    </row>
    <row r="414" spans="1:3" x14ac:dyDescent="0.2">
      <c r="A414" s="3" t="s">
        <v>196</v>
      </c>
      <c r="B414" s="3" t="s">
        <v>201</v>
      </c>
      <c r="C414" s="3" t="s">
        <v>56</v>
      </c>
    </row>
    <row r="415" spans="1:3" x14ac:dyDescent="0.2">
      <c r="A415" s="3" t="s">
        <v>196</v>
      </c>
      <c r="B415" s="3" t="s">
        <v>202</v>
      </c>
      <c r="C415" s="3" t="s">
        <v>56</v>
      </c>
    </row>
    <row r="416" spans="1:3" x14ac:dyDescent="0.2">
      <c r="A416" s="3" t="s">
        <v>196</v>
      </c>
      <c r="B416" s="3" t="s">
        <v>203</v>
      </c>
      <c r="C416" s="3" t="s">
        <v>56</v>
      </c>
    </row>
    <row r="417" spans="1:3" x14ac:dyDescent="0.2">
      <c r="A417" s="3" t="s">
        <v>196</v>
      </c>
      <c r="B417" s="3" t="s">
        <v>204</v>
      </c>
      <c r="C417" s="3" t="s">
        <v>56</v>
      </c>
    </row>
    <row r="418" spans="1:3" x14ac:dyDescent="0.2">
      <c r="A418" s="3" t="s">
        <v>196</v>
      </c>
      <c r="B418" s="3" t="s">
        <v>205</v>
      </c>
      <c r="C418" s="3" t="s">
        <v>56</v>
      </c>
    </row>
    <row r="419" spans="1:3" x14ac:dyDescent="0.2">
      <c r="A419" s="3" t="s">
        <v>196</v>
      </c>
      <c r="B419" s="3" t="s">
        <v>206</v>
      </c>
      <c r="C419" s="3" t="s">
        <v>56</v>
      </c>
    </row>
    <row r="420" spans="1:3" x14ac:dyDescent="0.2">
      <c r="A420" s="3" t="s">
        <v>196</v>
      </c>
      <c r="B420" s="3" t="s">
        <v>223</v>
      </c>
      <c r="C420" s="3" t="s">
        <v>56</v>
      </c>
    </row>
    <row r="421" spans="1:3" x14ac:dyDescent="0.2">
      <c r="A421" s="3" t="s">
        <v>196</v>
      </c>
      <c r="B421" s="3" t="s">
        <v>224</v>
      </c>
      <c r="C421" s="3" t="s">
        <v>56</v>
      </c>
    </row>
    <row r="422" spans="1:3" x14ac:dyDescent="0.2">
      <c r="A422" s="3" t="s">
        <v>196</v>
      </c>
      <c r="B422" s="3" t="s">
        <v>225</v>
      </c>
      <c r="C422" s="3" t="s">
        <v>56</v>
      </c>
    </row>
    <row r="423" spans="1:3" x14ac:dyDescent="0.2">
      <c r="A423" s="3" t="s">
        <v>196</v>
      </c>
      <c r="B423" s="3" t="s">
        <v>226</v>
      </c>
      <c r="C423" s="3" t="s">
        <v>56</v>
      </c>
    </row>
    <row r="424" spans="1:3" x14ac:dyDescent="0.2">
      <c r="A424" s="3" t="s">
        <v>196</v>
      </c>
      <c r="B424" s="3" t="s">
        <v>227</v>
      </c>
      <c r="C424" s="3" t="s">
        <v>56</v>
      </c>
    </row>
    <row r="425" spans="1:3" x14ac:dyDescent="0.2">
      <c r="A425" s="3" t="s">
        <v>196</v>
      </c>
      <c r="B425" s="3" t="s">
        <v>228</v>
      </c>
      <c r="C425" s="3" t="s">
        <v>56</v>
      </c>
    </row>
    <row r="426" spans="1:3" x14ac:dyDescent="0.2">
      <c r="A426" s="3" t="s">
        <v>196</v>
      </c>
      <c r="B426" s="3" t="s">
        <v>207</v>
      </c>
      <c r="C426" s="3" t="s">
        <v>56</v>
      </c>
    </row>
    <row r="427" spans="1:3" x14ac:dyDescent="0.2">
      <c r="A427" s="3" t="s">
        <v>196</v>
      </c>
      <c r="B427" s="3" t="s">
        <v>208</v>
      </c>
      <c r="C427" s="3" t="s">
        <v>56</v>
      </c>
    </row>
    <row r="428" spans="1:3" x14ac:dyDescent="0.2">
      <c r="A428" s="3" t="s">
        <v>196</v>
      </c>
      <c r="B428" s="3" t="s">
        <v>229</v>
      </c>
      <c r="C428" s="3" t="s">
        <v>56</v>
      </c>
    </row>
    <row r="429" spans="1:3" x14ac:dyDescent="0.2">
      <c r="A429" s="3" t="s">
        <v>196</v>
      </c>
      <c r="B429" s="3" t="s">
        <v>230</v>
      </c>
      <c r="C429" s="3" t="s">
        <v>56</v>
      </c>
    </row>
    <row r="430" spans="1:3" x14ac:dyDescent="0.2">
      <c r="A430" s="3" t="s">
        <v>196</v>
      </c>
      <c r="B430" s="3" t="s">
        <v>209</v>
      </c>
      <c r="C430" s="3" t="s">
        <v>56</v>
      </c>
    </row>
    <row r="431" spans="1:3" x14ac:dyDescent="0.2">
      <c r="A431" s="3" t="s">
        <v>196</v>
      </c>
      <c r="B431" s="3" t="s">
        <v>210</v>
      </c>
      <c r="C431" s="3" t="s">
        <v>56</v>
      </c>
    </row>
    <row r="432" spans="1:3" x14ac:dyDescent="0.2">
      <c r="A432" s="3" t="s">
        <v>196</v>
      </c>
      <c r="B432" s="3" t="s">
        <v>211</v>
      </c>
      <c r="C432" s="3" t="s">
        <v>56</v>
      </c>
    </row>
    <row r="433" spans="1:3" x14ac:dyDescent="0.2">
      <c r="A433" s="3" t="s">
        <v>196</v>
      </c>
      <c r="B433" s="3" t="s">
        <v>212</v>
      </c>
      <c r="C433" s="3" t="s">
        <v>56</v>
      </c>
    </row>
    <row r="434" spans="1:3" x14ac:dyDescent="0.2">
      <c r="A434" s="3" t="s">
        <v>196</v>
      </c>
      <c r="B434" s="3" t="s">
        <v>231</v>
      </c>
      <c r="C434" s="3" t="s">
        <v>56</v>
      </c>
    </row>
    <row r="435" spans="1:3" x14ac:dyDescent="0.2">
      <c r="A435" s="3" t="s">
        <v>196</v>
      </c>
      <c r="B435" s="3" t="s">
        <v>213</v>
      </c>
      <c r="C435" s="3" t="s">
        <v>56</v>
      </c>
    </row>
    <row r="436" spans="1:3" x14ac:dyDescent="0.2">
      <c r="A436" s="3" t="s">
        <v>196</v>
      </c>
      <c r="B436" s="3" t="s">
        <v>214</v>
      </c>
      <c r="C436" s="3" t="s">
        <v>56</v>
      </c>
    </row>
    <row r="437" spans="1:3" x14ac:dyDescent="0.2">
      <c r="A437" s="3" t="s">
        <v>196</v>
      </c>
      <c r="B437" s="3" t="s">
        <v>215</v>
      </c>
      <c r="C437" s="3" t="s">
        <v>56</v>
      </c>
    </row>
    <row r="438" spans="1:3" x14ac:dyDescent="0.2">
      <c r="A438" s="3" t="s">
        <v>196</v>
      </c>
      <c r="B438" s="3" t="s">
        <v>217</v>
      </c>
      <c r="C438" s="3" t="s">
        <v>56</v>
      </c>
    </row>
    <row r="439" spans="1:3" x14ac:dyDescent="0.2">
      <c r="A439" s="3" t="s">
        <v>196</v>
      </c>
      <c r="B439" s="3" t="s">
        <v>218</v>
      </c>
      <c r="C439" s="3" t="s">
        <v>56</v>
      </c>
    </row>
    <row r="440" spans="1:3" x14ac:dyDescent="0.2">
      <c r="A440" s="3" t="s">
        <v>196</v>
      </c>
      <c r="B440" s="3" t="s">
        <v>219</v>
      </c>
      <c r="C440" s="3" t="s">
        <v>57</v>
      </c>
    </row>
    <row r="441" spans="1:3" x14ac:dyDescent="0.2">
      <c r="A441" s="3" t="s">
        <v>196</v>
      </c>
      <c r="B441" s="3" t="s">
        <v>220</v>
      </c>
      <c r="C441" s="3" t="s">
        <v>57</v>
      </c>
    </row>
    <row r="442" spans="1:3" x14ac:dyDescent="0.2">
      <c r="A442" s="3" t="s">
        <v>196</v>
      </c>
      <c r="B442" s="3" t="s">
        <v>197</v>
      </c>
      <c r="C442" s="3" t="s">
        <v>57</v>
      </c>
    </row>
    <row r="443" spans="1:3" x14ac:dyDescent="0.2">
      <c r="A443" s="3" t="s">
        <v>196</v>
      </c>
      <c r="B443" s="3" t="s">
        <v>198</v>
      </c>
      <c r="C443" s="3" t="s">
        <v>57</v>
      </c>
    </row>
    <row r="444" spans="1:3" x14ac:dyDescent="0.2">
      <c r="A444" s="3" t="s">
        <v>196</v>
      </c>
      <c r="B444" s="3" t="s">
        <v>221</v>
      </c>
      <c r="C444" s="3" t="s">
        <v>57</v>
      </c>
    </row>
    <row r="445" spans="1:3" x14ac:dyDescent="0.2">
      <c r="A445" s="3" t="s">
        <v>196</v>
      </c>
      <c r="B445" s="3" t="s">
        <v>222</v>
      </c>
      <c r="C445" s="3" t="s">
        <v>57</v>
      </c>
    </row>
    <row r="446" spans="1:3" x14ac:dyDescent="0.2">
      <c r="A446" s="3" t="s">
        <v>196</v>
      </c>
      <c r="B446" s="3" t="s">
        <v>199</v>
      </c>
      <c r="C446" s="3" t="s">
        <v>57</v>
      </c>
    </row>
    <row r="447" spans="1:3" x14ac:dyDescent="0.2">
      <c r="A447" s="3" t="s">
        <v>196</v>
      </c>
      <c r="B447" s="3" t="s">
        <v>200</v>
      </c>
      <c r="C447" s="3" t="s">
        <v>57</v>
      </c>
    </row>
    <row r="448" spans="1:3" x14ac:dyDescent="0.2">
      <c r="A448" s="3" t="s">
        <v>196</v>
      </c>
      <c r="B448" s="3" t="s">
        <v>201</v>
      </c>
      <c r="C448" s="3" t="s">
        <v>57</v>
      </c>
    </row>
    <row r="449" spans="1:3" x14ac:dyDescent="0.2">
      <c r="A449" s="3" t="s">
        <v>196</v>
      </c>
      <c r="B449" s="3" t="s">
        <v>202</v>
      </c>
      <c r="C449" s="3" t="s">
        <v>57</v>
      </c>
    </row>
    <row r="450" spans="1:3" x14ac:dyDescent="0.2">
      <c r="A450" s="3" t="s">
        <v>196</v>
      </c>
      <c r="B450" s="3" t="s">
        <v>203</v>
      </c>
      <c r="C450" s="3" t="s">
        <v>57</v>
      </c>
    </row>
    <row r="451" spans="1:3" x14ac:dyDescent="0.2">
      <c r="A451" s="3" t="s">
        <v>196</v>
      </c>
      <c r="B451" s="3" t="s">
        <v>204</v>
      </c>
      <c r="C451" s="3" t="s">
        <v>57</v>
      </c>
    </row>
    <row r="452" spans="1:3" x14ac:dyDescent="0.2">
      <c r="A452" s="3" t="s">
        <v>196</v>
      </c>
      <c r="B452" s="3" t="s">
        <v>205</v>
      </c>
      <c r="C452" s="3" t="s">
        <v>57</v>
      </c>
    </row>
    <row r="453" spans="1:3" x14ac:dyDescent="0.2">
      <c r="A453" s="3" t="s">
        <v>196</v>
      </c>
      <c r="B453" s="3" t="s">
        <v>206</v>
      </c>
      <c r="C453" s="3" t="s">
        <v>57</v>
      </c>
    </row>
    <row r="454" spans="1:3" x14ac:dyDescent="0.2">
      <c r="A454" s="3" t="s">
        <v>196</v>
      </c>
      <c r="B454" s="3" t="s">
        <v>223</v>
      </c>
      <c r="C454" s="3" t="s">
        <v>57</v>
      </c>
    </row>
    <row r="455" spans="1:3" x14ac:dyDescent="0.2">
      <c r="A455" s="3" t="s">
        <v>196</v>
      </c>
      <c r="B455" s="3" t="s">
        <v>224</v>
      </c>
      <c r="C455" s="3" t="s">
        <v>57</v>
      </c>
    </row>
    <row r="456" spans="1:3" x14ac:dyDescent="0.2">
      <c r="A456" s="3" t="s">
        <v>196</v>
      </c>
      <c r="B456" s="3" t="s">
        <v>225</v>
      </c>
      <c r="C456" s="3" t="s">
        <v>57</v>
      </c>
    </row>
    <row r="457" spans="1:3" x14ac:dyDescent="0.2">
      <c r="A457" s="3" t="s">
        <v>196</v>
      </c>
      <c r="B457" s="3" t="s">
        <v>226</v>
      </c>
      <c r="C457" s="3" t="s">
        <v>57</v>
      </c>
    </row>
    <row r="458" spans="1:3" x14ac:dyDescent="0.2">
      <c r="A458" s="3" t="s">
        <v>196</v>
      </c>
      <c r="B458" s="3" t="s">
        <v>227</v>
      </c>
      <c r="C458" s="3" t="s">
        <v>57</v>
      </c>
    </row>
    <row r="459" spans="1:3" x14ac:dyDescent="0.2">
      <c r="A459" s="3" t="s">
        <v>196</v>
      </c>
      <c r="B459" s="3" t="s">
        <v>228</v>
      </c>
      <c r="C459" s="3" t="s">
        <v>57</v>
      </c>
    </row>
    <row r="460" spans="1:3" x14ac:dyDescent="0.2">
      <c r="A460" s="3" t="s">
        <v>196</v>
      </c>
      <c r="B460" s="3" t="s">
        <v>207</v>
      </c>
      <c r="C460" s="3" t="s">
        <v>57</v>
      </c>
    </row>
    <row r="461" spans="1:3" x14ac:dyDescent="0.2">
      <c r="A461" s="3" t="s">
        <v>196</v>
      </c>
      <c r="B461" s="3" t="s">
        <v>208</v>
      </c>
      <c r="C461" s="3" t="s">
        <v>57</v>
      </c>
    </row>
    <row r="462" spans="1:3" x14ac:dyDescent="0.2">
      <c r="A462" s="3" t="s">
        <v>196</v>
      </c>
      <c r="B462" s="3" t="s">
        <v>229</v>
      </c>
      <c r="C462" s="3" t="s">
        <v>57</v>
      </c>
    </row>
    <row r="463" spans="1:3" x14ac:dyDescent="0.2">
      <c r="A463" s="3" t="s">
        <v>196</v>
      </c>
      <c r="B463" s="3" t="s">
        <v>230</v>
      </c>
      <c r="C463" s="3" t="s">
        <v>57</v>
      </c>
    </row>
    <row r="464" spans="1:3" x14ac:dyDescent="0.2">
      <c r="A464" s="3" t="s">
        <v>196</v>
      </c>
      <c r="B464" s="3" t="s">
        <v>209</v>
      </c>
      <c r="C464" s="3" t="s">
        <v>57</v>
      </c>
    </row>
    <row r="465" spans="1:3" x14ac:dyDescent="0.2">
      <c r="A465" s="3" t="s">
        <v>196</v>
      </c>
      <c r="B465" s="3" t="s">
        <v>210</v>
      </c>
      <c r="C465" s="3" t="s">
        <v>57</v>
      </c>
    </row>
    <row r="466" spans="1:3" x14ac:dyDescent="0.2">
      <c r="A466" s="3" t="s">
        <v>196</v>
      </c>
      <c r="B466" s="3" t="s">
        <v>211</v>
      </c>
      <c r="C466" s="3" t="s">
        <v>57</v>
      </c>
    </row>
    <row r="467" spans="1:3" x14ac:dyDescent="0.2">
      <c r="A467" s="3" t="s">
        <v>196</v>
      </c>
      <c r="B467" s="3" t="s">
        <v>212</v>
      </c>
      <c r="C467" s="3" t="s">
        <v>57</v>
      </c>
    </row>
    <row r="468" spans="1:3" x14ac:dyDescent="0.2">
      <c r="A468" s="3" t="s">
        <v>196</v>
      </c>
      <c r="B468" s="3" t="s">
        <v>231</v>
      </c>
      <c r="C468" s="3" t="s">
        <v>57</v>
      </c>
    </row>
    <row r="469" spans="1:3" x14ac:dyDescent="0.2">
      <c r="A469" s="3" t="s">
        <v>196</v>
      </c>
      <c r="B469" s="3" t="s">
        <v>213</v>
      </c>
      <c r="C469" s="3" t="s">
        <v>57</v>
      </c>
    </row>
    <row r="470" spans="1:3" x14ac:dyDescent="0.2">
      <c r="A470" s="3" t="s">
        <v>196</v>
      </c>
      <c r="B470" s="3" t="s">
        <v>214</v>
      </c>
      <c r="C470" s="3" t="s">
        <v>57</v>
      </c>
    </row>
    <row r="471" spans="1:3" x14ac:dyDescent="0.2">
      <c r="A471" s="3" t="s">
        <v>196</v>
      </c>
      <c r="B471" s="3" t="s">
        <v>215</v>
      </c>
      <c r="C471" s="3" t="s">
        <v>57</v>
      </c>
    </row>
    <row r="472" spans="1:3" x14ac:dyDescent="0.2">
      <c r="A472" s="3" t="s">
        <v>196</v>
      </c>
      <c r="B472" s="3" t="s">
        <v>217</v>
      </c>
      <c r="C472" s="3" t="s">
        <v>57</v>
      </c>
    </row>
    <row r="473" spans="1:3" x14ac:dyDescent="0.2">
      <c r="A473" s="3" t="s">
        <v>196</v>
      </c>
      <c r="B473" s="3" t="s">
        <v>218</v>
      </c>
      <c r="C473" s="3" t="s">
        <v>57</v>
      </c>
    </row>
    <row r="474" spans="1:3" x14ac:dyDescent="0.2">
      <c r="A474" s="3" t="s">
        <v>196</v>
      </c>
      <c r="B474" s="3" t="s">
        <v>232</v>
      </c>
      <c r="C474" s="3" t="s">
        <v>169</v>
      </c>
    </row>
    <row r="475" spans="1:3" x14ac:dyDescent="0.2">
      <c r="A475" s="3" t="s">
        <v>196</v>
      </c>
      <c r="B475" s="3" t="s">
        <v>233</v>
      </c>
      <c r="C475" s="3" t="s">
        <v>169</v>
      </c>
    </row>
    <row r="476" spans="1:3" x14ac:dyDescent="0.2">
      <c r="A476" s="3" t="s">
        <v>196</v>
      </c>
      <c r="B476" s="3" t="s">
        <v>234</v>
      </c>
      <c r="C476" s="3" t="s">
        <v>169</v>
      </c>
    </row>
    <row r="477" spans="1:3" x14ac:dyDescent="0.2">
      <c r="A477" s="3" t="s">
        <v>196</v>
      </c>
      <c r="B477" s="3" t="s">
        <v>235</v>
      </c>
      <c r="C477" s="3" t="s">
        <v>169</v>
      </c>
    </row>
    <row r="478" spans="1:3" x14ac:dyDescent="0.2">
      <c r="A478" s="3" t="s">
        <v>196</v>
      </c>
      <c r="B478" s="3" t="s">
        <v>236</v>
      </c>
      <c r="C478" s="3" t="s">
        <v>169</v>
      </c>
    </row>
    <row r="479" spans="1:3" x14ac:dyDescent="0.2">
      <c r="A479" s="3" t="s">
        <v>196</v>
      </c>
      <c r="B479" s="3" t="s">
        <v>237</v>
      </c>
      <c r="C479" s="3" t="s">
        <v>169</v>
      </c>
    </row>
    <row r="480" spans="1:3" x14ac:dyDescent="0.2">
      <c r="A480" s="3" t="s">
        <v>196</v>
      </c>
      <c r="B480" s="3" t="s">
        <v>238</v>
      </c>
      <c r="C480" s="3" t="s">
        <v>169</v>
      </c>
    </row>
    <row r="481" spans="1:3" x14ac:dyDescent="0.2">
      <c r="A481" s="3" t="s">
        <v>196</v>
      </c>
      <c r="B481" s="3" t="s">
        <v>239</v>
      </c>
      <c r="C481" s="3" t="s">
        <v>169</v>
      </c>
    </row>
    <row r="482" spans="1:3" x14ac:dyDescent="0.2">
      <c r="A482" s="3" t="s">
        <v>196</v>
      </c>
      <c r="B482" s="3" t="s">
        <v>240</v>
      </c>
      <c r="C482" s="3" t="s">
        <v>169</v>
      </c>
    </row>
    <row r="483" spans="1:3" x14ac:dyDescent="0.2">
      <c r="A483" s="3" t="s">
        <v>196</v>
      </c>
      <c r="B483" s="3" t="s">
        <v>241</v>
      </c>
      <c r="C483" s="3" t="s">
        <v>169</v>
      </c>
    </row>
    <row r="484" spans="1:3" x14ac:dyDescent="0.2">
      <c r="A484" s="3" t="s">
        <v>196</v>
      </c>
      <c r="B484" s="3" t="s">
        <v>242</v>
      </c>
      <c r="C484" s="3" t="s">
        <v>169</v>
      </c>
    </row>
    <row r="485" spans="1:3" x14ac:dyDescent="0.2">
      <c r="A485" s="3" t="s">
        <v>196</v>
      </c>
      <c r="B485" s="3" t="s">
        <v>243</v>
      </c>
      <c r="C485" s="3" t="s">
        <v>169</v>
      </c>
    </row>
    <row r="486" spans="1:3" x14ac:dyDescent="0.2">
      <c r="A486" s="3" t="s">
        <v>196</v>
      </c>
      <c r="B486" s="3" t="s">
        <v>244</v>
      </c>
      <c r="C486" s="3" t="s">
        <v>169</v>
      </c>
    </row>
    <row r="487" spans="1:3" x14ac:dyDescent="0.2">
      <c r="A487" s="3" t="s">
        <v>196</v>
      </c>
      <c r="B487" s="3" t="s">
        <v>245</v>
      </c>
      <c r="C487" s="3" t="s">
        <v>169</v>
      </c>
    </row>
    <row r="488" spans="1:3" x14ac:dyDescent="0.2">
      <c r="A488" s="3" t="s">
        <v>196</v>
      </c>
      <c r="B488" s="3" t="s">
        <v>246</v>
      </c>
      <c r="C488" s="3" t="s">
        <v>169</v>
      </c>
    </row>
    <row r="489" spans="1:3" x14ac:dyDescent="0.2">
      <c r="A489" s="3" t="s">
        <v>196</v>
      </c>
      <c r="B489" s="3" t="s">
        <v>247</v>
      </c>
      <c r="C489" s="3" t="s">
        <v>169</v>
      </c>
    </row>
    <row r="490" spans="1:3" x14ac:dyDescent="0.2">
      <c r="A490" s="3" t="s">
        <v>196</v>
      </c>
      <c r="B490" s="3" t="s">
        <v>248</v>
      </c>
      <c r="C490" s="3" t="s">
        <v>169</v>
      </c>
    </row>
    <row r="491" spans="1:3" x14ac:dyDescent="0.2">
      <c r="A491" s="3" t="s">
        <v>196</v>
      </c>
      <c r="B491" s="3" t="s">
        <v>249</v>
      </c>
      <c r="C491" s="3" t="s">
        <v>169</v>
      </c>
    </row>
    <row r="492" spans="1:3" x14ac:dyDescent="0.2">
      <c r="A492" s="3" t="s">
        <v>196</v>
      </c>
      <c r="B492" s="3" t="s">
        <v>250</v>
      </c>
      <c r="C492" s="3" t="s">
        <v>169</v>
      </c>
    </row>
    <row r="493" spans="1:3" x14ac:dyDescent="0.2">
      <c r="A493" s="3" t="s">
        <v>196</v>
      </c>
      <c r="B493" s="3" t="s">
        <v>251</v>
      </c>
      <c r="C493" s="3" t="s">
        <v>169</v>
      </c>
    </row>
    <row r="494" spans="1:3" x14ac:dyDescent="0.2">
      <c r="A494" s="3" t="s">
        <v>196</v>
      </c>
      <c r="B494" s="3" t="s">
        <v>252</v>
      </c>
      <c r="C494" s="3" t="s">
        <v>169</v>
      </c>
    </row>
    <row r="495" spans="1:3" x14ac:dyDescent="0.2">
      <c r="A495" s="3" t="s">
        <v>2207</v>
      </c>
      <c r="B495" s="3" t="s">
        <v>183</v>
      </c>
      <c r="C495" s="3" t="s">
        <v>53</v>
      </c>
    </row>
    <row r="496" spans="1:3" x14ac:dyDescent="0.2">
      <c r="A496" s="3" t="s">
        <v>2207</v>
      </c>
      <c r="B496" s="3" t="s">
        <v>197</v>
      </c>
      <c r="C496" s="3" t="s">
        <v>53</v>
      </c>
    </row>
    <row r="497" spans="1:3" x14ac:dyDescent="0.2">
      <c r="A497" s="3" t="s">
        <v>2207</v>
      </c>
      <c r="B497" s="3" t="s">
        <v>198</v>
      </c>
      <c r="C497" s="3" t="s">
        <v>53</v>
      </c>
    </row>
    <row r="498" spans="1:3" x14ac:dyDescent="0.2">
      <c r="A498" s="3" t="s">
        <v>2207</v>
      </c>
      <c r="B498" s="3" t="s">
        <v>183</v>
      </c>
      <c r="C498" s="3" t="s">
        <v>54</v>
      </c>
    </row>
    <row r="499" spans="1:3" x14ac:dyDescent="0.2">
      <c r="A499" s="3" t="s">
        <v>2207</v>
      </c>
      <c r="B499" s="3" t="s">
        <v>197</v>
      </c>
      <c r="C499" s="3" t="s">
        <v>54</v>
      </c>
    </row>
    <row r="500" spans="1:3" x14ac:dyDescent="0.2">
      <c r="A500" s="3" t="s">
        <v>2207</v>
      </c>
      <c r="B500" s="3" t="s">
        <v>198</v>
      </c>
      <c r="C500" s="3" t="s">
        <v>54</v>
      </c>
    </row>
    <row r="501" spans="1:3" x14ac:dyDescent="0.2">
      <c r="A501" s="3" t="s">
        <v>2207</v>
      </c>
      <c r="B501" s="3" t="s">
        <v>183</v>
      </c>
      <c r="C501" s="3" t="s">
        <v>55</v>
      </c>
    </row>
    <row r="502" spans="1:3" x14ac:dyDescent="0.2">
      <c r="A502" s="3" t="s">
        <v>2207</v>
      </c>
      <c r="B502" s="3" t="s">
        <v>197</v>
      </c>
      <c r="C502" s="3" t="s">
        <v>55</v>
      </c>
    </row>
    <row r="503" spans="1:3" x14ac:dyDescent="0.2">
      <c r="A503" s="3" t="s">
        <v>2207</v>
      </c>
      <c r="B503" s="3" t="s">
        <v>198</v>
      </c>
      <c r="C503" s="3" t="s">
        <v>55</v>
      </c>
    </row>
    <row r="504" spans="1:3" x14ac:dyDescent="0.2">
      <c r="A504" s="3" t="s">
        <v>2207</v>
      </c>
      <c r="B504" s="3" t="s">
        <v>183</v>
      </c>
      <c r="C504" s="3" t="s">
        <v>56</v>
      </c>
    </row>
    <row r="505" spans="1:3" x14ac:dyDescent="0.2">
      <c r="A505" s="3" t="s">
        <v>2207</v>
      </c>
      <c r="B505" s="3" t="s">
        <v>197</v>
      </c>
      <c r="C505" s="3" t="s">
        <v>56</v>
      </c>
    </row>
    <row r="506" spans="1:3" x14ac:dyDescent="0.2">
      <c r="A506" s="3" t="s">
        <v>2207</v>
      </c>
      <c r="B506" s="3" t="s">
        <v>198</v>
      </c>
      <c r="C506" s="3" t="s">
        <v>56</v>
      </c>
    </row>
    <row r="507" spans="1:3" x14ac:dyDescent="0.2">
      <c r="A507" s="3" t="s">
        <v>2207</v>
      </c>
      <c r="B507" s="3" t="s">
        <v>183</v>
      </c>
      <c r="C507" s="3" t="s">
        <v>57</v>
      </c>
    </row>
    <row r="508" spans="1:3" x14ac:dyDescent="0.2">
      <c r="A508" s="3" t="s">
        <v>2207</v>
      </c>
      <c r="B508" s="3" t="s">
        <v>197</v>
      </c>
      <c r="C508" s="3" t="s">
        <v>57</v>
      </c>
    </row>
    <row r="509" spans="1:3" x14ac:dyDescent="0.2">
      <c r="A509" s="3" t="s">
        <v>2207</v>
      </c>
      <c r="B509" s="3" t="s">
        <v>198</v>
      </c>
      <c r="C509" s="3" t="s">
        <v>57</v>
      </c>
    </row>
    <row r="510" spans="1:3" x14ac:dyDescent="0.2">
      <c r="A510" s="3" t="s">
        <v>2207</v>
      </c>
      <c r="B510" s="3" t="s">
        <v>1709</v>
      </c>
      <c r="C510" s="3" t="s">
        <v>169</v>
      </c>
    </row>
    <row r="511" spans="1:3" x14ac:dyDescent="0.2">
      <c r="A511" s="3" t="s">
        <v>2207</v>
      </c>
      <c r="B511" s="3" t="s">
        <v>239</v>
      </c>
      <c r="C511" s="3" t="s">
        <v>169</v>
      </c>
    </row>
    <row r="512" spans="1:3" x14ac:dyDescent="0.2">
      <c r="A512" s="3" t="s">
        <v>2207</v>
      </c>
      <c r="B512" s="3" t="s">
        <v>240</v>
      </c>
      <c r="C512" s="3" t="s">
        <v>169</v>
      </c>
    </row>
    <row r="513" spans="1:3" x14ac:dyDescent="0.2">
      <c r="A513" s="3" t="s">
        <v>2207</v>
      </c>
      <c r="B513" s="3" t="s">
        <v>241</v>
      </c>
      <c r="C513" s="3" t="s">
        <v>169</v>
      </c>
    </row>
    <row r="514" spans="1:3" x14ac:dyDescent="0.2">
      <c r="A514" s="3" t="s">
        <v>2207</v>
      </c>
      <c r="B514" s="3" t="s">
        <v>1710</v>
      </c>
      <c r="C514" s="3" t="s">
        <v>169</v>
      </c>
    </row>
    <row r="515" spans="1:3" x14ac:dyDescent="0.2">
      <c r="A515" s="3" t="s">
        <v>2207</v>
      </c>
      <c r="B515" s="3" t="s">
        <v>242</v>
      </c>
      <c r="C515" s="3" t="s">
        <v>169</v>
      </c>
    </row>
    <row r="516" spans="1:3" x14ac:dyDescent="0.2">
      <c r="A516" s="3" t="s">
        <v>2207</v>
      </c>
      <c r="B516" s="3" t="s">
        <v>244</v>
      </c>
      <c r="C516" s="3" t="s">
        <v>169</v>
      </c>
    </row>
    <row r="517" spans="1:3" x14ac:dyDescent="0.2">
      <c r="A517" s="3" t="s">
        <v>2207</v>
      </c>
      <c r="B517" s="3" t="s">
        <v>247</v>
      </c>
      <c r="C517" s="3" t="s">
        <v>169</v>
      </c>
    </row>
    <row r="518" spans="1:3" x14ac:dyDescent="0.2">
      <c r="A518" s="3" t="s">
        <v>2207</v>
      </c>
      <c r="B518" s="3" t="s">
        <v>295</v>
      </c>
      <c r="C518" s="3" t="s">
        <v>10</v>
      </c>
    </row>
    <row r="519" spans="1:3" x14ac:dyDescent="0.2">
      <c r="A519" s="3" t="s">
        <v>2207</v>
      </c>
      <c r="B519" s="3" t="s">
        <v>296</v>
      </c>
      <c r="C519" s="3" t="s">
        <v>10</v>
      </c>
    </row>
    <row r="520" spans="1:3" x14ac:dyDescent="0.2">
      <c r="A520" s="3" t="s">
        <v>2207</v>
      </c>
      <c r="B520" s="3" t="s">
        <v>297</v>
      </c>
      <c r="C520" s="3" t="s">
        <v>10</v>
      </c>
    </row>
    <row r="521" spans="1:3" x14ac:dyDescent="0.2">
      <c r="A521" s="3" t="s">
        <v>253</v>
      </c>
      <c r="B521" s="3" t="s">
        <v>254</v>
      </c>
      <c r="C521" s="3" t="s">
        <v>53</v>
      </c>
    </row>
    <row r="522" spans="1:3" x14ac:dyDescent="0.2">
      <c r="A522" s="3" t="s">
        <v>253</v>
      </c>
      <c r="B522" s="3" t="s">
        <v>255</v>
      </c>
      <c r="C522" s="3" t="s">
        <v>53</v>
      </c>
    </row>
    <row r="523" spans="1:3" x14ac:dyDescent="0.2">
      <c r="A523" s="3" t="s">
        <v>253</v>
      </c>
      <c r="B523" s="3" t="s">
        <v>199</v>
      </c>
      <c r="C523" s="3" t="s">
        <v>53</v>
      </c>
    </row>
    <row r="524" spans="1:3" x14ac:dyDescent="0.2">
      <c r="A524" s="3" t="s">
        <v>253</v>
      </c>
      <c r="B524" s="3" t="s">
        <v>221</v>
      </c>
      <c r="C524" s="3" t="s">
        <v>54</v>
      </c>
    </row>
    <row r="525" spans="1:3" x14ac:dyDescent="0.2">
      <c r="A525" s="3" t="s">
        <v>253</v>
      </c>
      <c r="B525" s="3" t="s">
        <v>254</v>
      </c>
      <c r="C525" s="3" t="s">
        <v>54</v>
      </c>
    </row>
    <row r="526" spans="1:3" x14ac:dyDescent="0.2">
      <c r="A526" s="3" t="s">
        <v>253</v>
      </c>
      <c r="B526" s="3" t="s">
        <v>255</v>
      </c>
      <c r="C526" s="3" t="s">
        <v>54</v>
      </c>
    </row>
    <row r="527" spans="1:3" x14ac:dyDescent="0.2">
      <c r="A527" s="3" t="s">
        <v>253</v>
      </c>
      <c r="B527" s="3" t="s">
        <v>199</v>
      </c>
      <c r="C527" s="3" t="s">
        <v>54</v>
      </c>
    </row>
    <row r="528" spans="1:3" x14ac:dyDescent="0.2">
      <c r="A528" s="3" t="s">
        <v>253</v>
      </c>
      <c r="B528" s="3" t="s">
        <v>221</v>
      </c>
      <c r="C528" s="3" t="s">
        <v>55</v>
      </c>
    </row>
    <row r="529" spans="1:3" x14ac:dyDescent="0.2">
      <c r="A529" s="3" t="s">
        <v>253</v>
      </c>
      <c r="B529" s="3" t="s">
        <v>254</v>
      </c>
      <c r="C529" s="3" t="s">
        <v>55</v>
      </c>
    </row>
    <row r="530" spans="1:3" x14ac:dyDescent="0.2">
      <c r="A530" s="3" t="s">
        <v>253</v>
      </c>
      <c r="B530" s="3" t="s">
        <v>256</v>
      </c>
      <c r="C530" s="3" t="s">
        <v>55</v>
      </c>
    </row>
    <row r="531" spans="1:3" x14ac:dyDescent="0.2">
      <c r="A531" s="3" t="s">
        <v>253</v>
      </c>
      <c r="B531" s="3" t="s">
        <v>221</v>
      </c>
      <c r="C531" s="3" t="s">
        <v>56</v>
      </c>
    </row>
    <row r="532" spans="1:3" x14ac:dyDescent="0.2">
      <c r="A532" s="3" t="s">
        <v>253</v>
      </c>
      <c r="B532" s="3" t="s">
        <v>254</v>
      </c>
      <c r="C532" s="3" t="s">
        <v>56</v>
      </c>
    </row>
    <row r="533" spans="1:3" x14ac:dyDescent="0.2">
      <c r="A533" s="3" t="s">
        <v>253</v>
      </c>
      <c r="B533" s="3" t="s">
        <v>199</v>
      </c>
      <c r="C533" s="3" t="s">
        <v>56</v>
      </c>
    </row>
    <row r="534" spans="1:3" x14ac:dyDescent="0.2">
      <c r="A534" s="3" t="s">
        <v>253</v>
      </c>
      <c r="B534" s="3" t="s">
        <v>221</v>
      </c>
      <c r="C534" s="3" t="s">
        <v>57</v>
      </c>
    </row>
    <row r="535" spans="1:3" x14ac:dyDescent="0.2">
      <c r="A535" s="3" t="s">
        <v>253</v>
      </c>
      <c r="B535" s="3" t="s">
        <v>254</v>
      </c>
      <c r="C535" s="3" t="s">
        <v>57</v>
      </c>
    </row>
    <row r="536" spans="1:3" x14ac:dyDescent="0.2">
      <c r="A536" s="3" t="s">
        <v>253</v>
      </c>
      <c r="B536" s="3" t="s">
        <v>255</v>
      </c>
      <c r="C536" s="3" t="s">
        <v>57</v>
      </c>
    </row>
    <row r="537" spans="1:3" x14ac:dyDescent="0.2">
      <c r="A537" s="3" t="s">
        <v>253</v>
      </c>
      <c r="B537" s="3" t="s">
        <v>199</v>
      </c>
      <c r="C537" s="3" t="s">
        <v>57</v>
      </c>
    </row>
    <row r="538" spans="1:3" x14ac:dyDescent="0.2">
      <c r="A538" s="3" t="s">
        <v>253</v>
      </c>
      <c r="B538" s="3" t="s">
        <v>237</v>
      </c>
      <c r="C538" s="3" t="s">
        <v>169</v>
      </c>
    </row>
    <row r="539" spans="1:3" x14ac:dyDescent="0.2">
      <c r="A539" s="3" t="s">
        <v>258</v>
      </c>
      <c r="B539" s="3" t="s">
        <v>259</v>
      </c>
      <c r="C539" s="3" t="s">
        <v>53</v>
      </c>
    </row>
    <row r="540" spans="1:3" x14ac:dyDescent="0.2">
      <c r="A540" s="3" t="s">
        <v>258</v>
      </c>
      <c r="B540" s="3" t="s">
        <v>260</v>
      </c>
      <c r="C540" s="3" t="s">
        <v>53</v>
      </c>
    </row>
    <row r="541" spans="1:3" x14ac:dyDescent="0.2">
      <c r="A541" s="3" t="s">
        <v>258</v>
      </c>
      <c r="B541" s="3" t="s">
        <v>261</v>
      </c>
      <c r="C541" s="3" t="s">
        <v>53</v>
      </c>
    </row>
    <row r="542" spans="1:3" x14ac:dyDescent="0.2">
      <c r="A542" s="3" t="s">
        <v>258</v>
      </c>
      <c r="B542" s="3" t="s">
        <v>262</v>
      </c>
      <c r="C542" s="3" t="s">
        <v>53</v>
      </c>
    </row>
    <row r="543" spans="1:3" x14ac:dyDescent="0.2">
      <c r="A543" s="3" t="s">
        <v>258</v>
      </c>
      <c r="B543" s="3" t="s">
        <v>263</v>
      </c>
      <c r="C543" s="3" t="s">
        <v>53</v>
      </c>
    </row>
    <row r="544" spans="1:3" x14ac:dyDescent="0.2">
      <c r="A544" s="3" t="s">
        <v>258</v>
      </c>
      <c r="B544" s="3" t="s">
        <v>264</v>
      </c>
      <c r="C544" s="3" t="s">
        <v>53</v>
      </c>
    </row>
    <row r="545" spans="1:3" x14ac:dyDescent="0.2">
      <c r="A545" s="3" t="s">
        <v>258</v>
      </c>
      <c r="B545" s="3" t="s">
        <v>259</v>
      </c>
      <c r="C545" s="3" t="s">
        <v>54</v>
      </c>
    </row>
    <row r="546" spans="1:3" x14ac:dyDescent="0.2">
      <c r="A546" s="3" t="s">
        <v>258</v>
      </c>
      <c r="B546" s="3" t="s">
        <v>260</v>
      </c>
      <c r="C546" s="3" t="s">
        <v>54</v>
      </c>
    </row>
    <row r="547" spans="1:3" x14ac:dyDescent="0.2">
      <c r="A547" s="3" t="s">
        <v>258</v>
      </c>
      <c r="B547" s="3" t="s">
        <v>261</v>
      </c>
      <c r="C547" s="3" t="s">
        <v>54</v>
      </c>
    </row>
    <row r="548" spans="1:3" x14ac:dyDescent="0.2">
      <c r="A548" s="3" t="s">
        <v>258</v>
      </c>
      <c r="B548" s="3" t="s">
        <v>262</v>
      </c>
      <c r="C548" s="3" t="s">
        <v>54</v>
      </c>
    </row>
    <row r="549" spans="1:3" x14ac:dyDescent="0.2">
      <c r="A549" s="3" t="s">
        <v>258</v>
      </c>
      <c r="B549" s="3" t="s">
        <v>263</v>
      </c>
      <c r="C549" s="3" t="s">
        <v>54</v>
      </c>
    </row>
    <row r="550" spans="1:3" x14ac:dyDescent="0.2">
      <c r="A550" s="3" t="s">
        <v>258</v>
      </c>
      <c r="B550" s="3" t="s">
        <v>264</v>
      </c>
      <c r="C550" s="3" t="s">
        <v>54</v>
      </c>
    </row>
    <row r="551" spans="1:3" x14ac:dyDescent="0.2">
      <c r="A551" s="3" t="s">
        <v>258</v>
      </c>
      <c r="B551" s="3" t="s">
        <v>259</v>
      </c>
      <c r="C551" s="3" t="s">
        <v>55</v>
      </c>
    </row>
    <row r="552" spans="1:3" x14ac:dyDescent="0.2">
      <c r="A552" s="3" t="s">
        <v>258</v>
      </c>
      <c r="B552" s="3" t="s">
        <v>260</v>
      </c>
      <c r="C552" s="3" t="s">
        <v>55</v>
      </c>
    </row>
    <row r="553" spans="1:3" x14ac:dyDescent="0.2">
      <c r="A553" s="3" t="s">
        <v>258</v>
      </c>
      <c r="B553" s="3" t="s">
        <v>261</v>
      </c>
      <c r="C553" s="3" t="s">
        <v>55</v>
      </c>
    </row>
    <row r="554" spans="1:3" x14ac:dyDescent="0.2">
      <c r="A554" s="3" t="s">
        <v>258</v>
      </c>
      <c r="B554" s="3" t="s">
        <v>262</v>
      </c>
      <c r="C554" s="3" t="s">
        <v>55</v>
      </c>
    </row>
    <row r="555" spans="1:3" x14ac:dyDescent="0.2">
      <c r="A555" s="3" t="s">
        <v>258</v>
      </c>
      <c r="B555" s="3" t="s">
        <v>263</v>
      </c>
      <c r="C555" s="3" t="s">
        <v>55</v>
      </c>
    </row>
    <row r="556" spans="1:3" x14ac:dyDescent="0.2">
      <c r="A556" s="3" t="s">
        <v>258</v>
      </c>
      <c r="B556" s="3" t="s">
        <v>264</v>
      </c>
      <c r="C556" s="3" t="s">
        <v>55</v>
      </c>
    </row>
    <row r="557" spans="1:3" x14ac:dyDescent="0.2">
      <c r="A557" s="3" t="s">
        <v>258</v>
      </c>
      <c r="B557" s="3" t="s">
        <v>259</v>
      </c>
      <c r="C557" s="3" t="s">
        <v>56</v>
      </c>
    </row>
    <row r="558" spans="1:3" x14ac:dyDescent="0.2">
      <c r="A558" s="3" t="s">
        <v>258</v>
      </c>
      <c r="B558" s="3" t="s">
        <v>260</v>
      </c>
      <c r="C558" s="3" t="s">
        <v>56</v>
      </c>
    </row>
    <row r="559" spans="1:3" x14ac:dyDescent="0.2">
      <c r="A559" s="3" t="s">
        <v>258</v>
      </c>
      <c r="B559" s="3" t="s">
        <v>261</v>
      </c>
      <c r="C559" s="3" t="s">
        <v>56</v>
      </c>
    </row>
    <row r="560" spans="1:3" x14ac:dyDescent="0.2">
      <c r="A560" s="3" t="s">
        <v>258</v>
      </c>
      <c r="B560" s="3" t="s">
        <v>262</v>
      </c>
      <c r="C560" s="3" t="s">
        <v>56</v>
      </c>
    </row>
    <row r="561" spans="1:3" x14ac:dyDescent="0.2">
      <c r="A561" s="3" t="s">
        <v>258</v>
      </c>
      <c r="B561" s="3" t="s">
        <v>263</v>
      </c>
      <c r="C561" s="3" t="s">
        <v>56</v>
      </c>
    </row>
    <row r="562" spans="1:3" x14ac:dyDescent="0.2">
      <c r="A562" s="3" t="s">
        <v>258</v>
      </c>
      <c r="B562" s="3" t="s">
        <v>264</v>
      </c>
      <c r="C562" s="3" t="s">
        <v>56</v>
      </c>
    </row>
    <row r="563" spans="1:3" x14ac:dyDescent="0.2">
      <c r="A563" s="3" t="s">
        <v>258</v>
      </c>
      <c r="B563" s="3" t="s">
        <v>259</v>
      </c>
      <c r="C563" s="3" t="s">
        <v>57</v>
      </c>
    </row>
    <row r="564" spans="1:3" x14ac:dyDescent="0.2">
      <c r="A564" s="3" t="s">
        <v>258</v>
      </c>
      <c r="B564" s="3" t="s">
        <v>260</v>
      </c>
      <c r="C564" s="3" t="s">
        <v>57</v>
      </c>
    </row>
    <row r="565" spans="1:3" x14ac:dyDescent="0.2">
      <c r="A565" s="3" t="s">
        <v>258</v>
      </c>
      <c r="B565" s="3" t="s">
        <v>261</v>
      </c>
      <c r="C565" s="3" t="s">
        <v>57</v>
      </c>
    </row>
    <row r="566" spans="1:3" x14ac:dyDescent="0.2">
      <c r="A566" s="3" t="s">
        <v>258</v>
      </c>
      <c r="B566" s="3" t="s">
        <v>262</v>
      </c>
      <c r="C566" s="3" t="s">
        <v>57</v>
      </c>
    </row>
    <row r="567" spans="1:3" x14ac:dyDescent="0.2">
      <c r="A567" s="3" t="s">
        <v>258</v>
      </c>
      <c r="B567" s="3" t="s">
        <v>263</v>
      </c>
      <c r="C567" s="3" t="s">
        <v>57</v>
      </c>
    </row>
    <row r="568" spans="1:3" x14ac:dyDescent="0.2">
      <c r="A568" s="3" t="s">
        <v>258</v>
      </c>
      <c r="B568" s="3" t="s">
        <v>264</v>
      </c>
      <c r="C568" s="3" t="s">
        <v>57</v>
      </c>
    </row>
    <row r="569" spans="1:3" x14ac:dyDescent="0.2">
      <c r="A569" s="3" t="s">
        <v>258</v>
      </c>
      <c r="B569" s="3" t="s">
        <v>265</v>
      </c>
      <c r="C569" s="3" t="s">
        <v>22</v>
      </c>
    </row>
    <row r="570" spans="1:3" x14ac:dyDescent="0.2">
      <c r="A570" s="3" t="s">
        <v>258</v>
      </c>
      <c r="B570" s="3" t="s">
        <v>266</v>
      </c>
      <c r="C570" s="3" t="s">
        <v>22</v>
      </c>
    </row>
    <row r="571" spans="1:3" x14ac:dyDescent="0.2">
      <c r="A571" s="3" t="s">
        <v>258</v>
      </c>
      <c r="B571" s="3" t="s">
        <v>267</v>
      </c>
      <c r="C571" s="3" t="s">
        <v>22</v>
      </c>
    </row>
    <row r="572" spans="1:3" x14ac:dyDescent="0.2">
      <c r="A572" s="3" t="s">
        <v>258</v>
      </c>
      <c r="B572" s="3" t="s">
        <v>268</v>
      </c>
      <c r="C572" s="3" t="s">
        <v>22</v>
      </c>
    </row>
    <row r="573" spans="1:3" x14ac:dyDescent="0.2">
      <c r="A573" s="3" t="s">
        <v>258</v>
      </c>
      <c r="B573" s="3" t="s">
        <v>269</v>
      </c>
      <c r="C573" s="3" t="s">
        <v>22</v>
      </c>
    </row>
    <row r="574" spans="1:3" x14ac:dyDescent="0.2">
      <c r="A574" s="3" t="s">
        <v>258</v>
      </c>
      <c r="B574" s="3" t="s">
        <v>270</v>
      </c>
      <c r="C574" s="3" t="s">
        <v>22</v>
      </c>
    </row>
    <row r="575" spans="1:3" x14ac:dyDescent="0.2">
      <c r="A575" s="3" t="s">
        <v>258</v>
      </c>
      <c r="B575" s="3" t="s">
        <v>271</v>
      </c>
      <c r="C575" s="3" t="s">
        <v>22</v>
      </c>
    </row>
    <row r="576" spans="1:3" x14ac:dyDescent="0.2">
      <c r="A576" s="3" t="s">
        <v>258</v>
      </c>
      <c r="B576" s="3" t="s">
        <v>272</v>
      </c>
      <c r="C576" s="3" t="s">
        <v>22</v>
      </c>
    </row>
    <row r="577" spans="1:3" x14ac:dyDescent="0.2">
      <c r="A577" s="3" t="s">
        <v>258</v>
      </c>
      <c r="B577" s="3" t="s">
        <v>273</v>
      </c>
      <c r="C577" s="3" t="s">
        <v>22</v>
      </c>
    </row>
    <row r="578" spans="1:3" x14ac:dyDescent="0.2">
      <c r="A578" s="3" t="s">
        <v>258</v>
      </c>
      <c r="B578" s="3" t="s">
        <v>274</v>
      </c>
      <c r="C578" s="3" t="s">
        <v>22</v>
      </c>
    </row>
    <row r="579" spans="1:3" x14ac:dyDescent="0.2">
      <c r="A579" s="3" t="s">
        <v>258</v>
      </c>
      <c r="B579" s="3" t="s">
        <v>275</v>
      </c>
      <c r="C579" s="3" t="s">
        <v>22</v>
      </c>
    </row>
    <row r="580" spans="1:3" x14ac:dyDescent="0.2">
      <c r="A580" s="3" t="s">
        <v>258</v>
      </c>
      <c r="B580" s="3" t="s">
        <v>276</v>
      </c>
      <c r="C580" s="3" t="s">
        <v>22</v>
      </c>
    </row>
    <row r="581" spans="1:3" x14ac:dyDescent="0.2">
      <c r="A581" s="3" t="s">
        <v>258</v>
      </c>
      <c r="B581" s="3" t="s">
        <v>277</v>
      </c>
      <c r="C581" s="3" t="s">
        <v>22</v>
      </c>
    </row>
    <row r="582" spans="1:3" x14ac:dyDescent="0.2">
      <c r="A582" s="3" t="s">
        <v>258</v>
      </c>
      <c r="B582" s="3" t="s">
        <v>278</v>
      </c>
      <c r="C582" s="3" t="s">
        <v>22</v>
      </c>
    </row>
    <row r="583" spans="1:3" x14ac:dyDescent="0.2">
      <c r="A583" s="3" t="s">
        <v>258</v>
      </c>
      <c r="B583" s="3" t="s">
        <v>279</v>
      </c>
      <c r="C583" s="3" t="s">
        <v>22</v>
      </c>
    </row>
    <row r="584" spans="1:3" x14ac:dyDescent="0.2">
      <c r="A584" s="3" t="s">
        <v>258</v>
      </c>
      <c r="B584" s="3" t="s">
        <v>280</v>
      </c>
      <c r="C584" s="3" t="s">
        <v>22</v>
      </c>
    </row>
    <row r="585" spans="1:3" x14ac:dyDescent="0.2">
      <c r="A585" s="3" t="s">
        <v>258</v>
      </c>
      <c r="B585" s="3" t="s">
        <v>281</v>
      </c>
      <c r="C585" s="3" t="s">
        <v>22</v>
      </c>
    </row>
    <row r="586" spans="1:3" x14ac:dyDescent="0.2">
      <c r="A586" s="3" t="s">
        <v>258</v>
      </c>
      <c r="B586" s="3" t="s">
        <v>282</v>
      </c>
      <c r="C586" s="3" t="s">
        <v>22</v>
      </c>
    </row>
    <row r="587" spans="1:3" x14ac:dyDescent="0.2">
      <c r="A587" s="3" t="s">
        <v>258</v>
      </c>
      <c r="B587" s="3" t="s">
        <v>283</v>
      </c>
      <c r="C587" s="3" t="s">
        <v>22</v>
      </c>
    </row>
    <row r="588" spans="1:3" x14ac:dyDescent="0.2">
      <c r="A588" s="3" t="s">
        <v>284</v>
      </c>
      <c r="B588" s="3" t="s">
        <v>259</v>
      </c>
      <c r="C588" s="3" t="s">
        <v>53</v>
      </c>
    </row>
    <row r="589" spans="1:3" x14ac:dyDescent="0.2">
      <c r="A589" s="3" t="s">
        <v>284</v>
      </c>
      <c r="B589" s="3" t="s">
        <v>260</v>
      </c>
      <c r="C589" s="3" t="s">
        <v>53</v>
      </c>
    </row>
    <row r="590" spans="1:3" x14ac:dyDescent="0.2">
      <c r="A590" s="3" t="s">
        <v>284</v>
      </c>
      <c r="B590" s="3" t="s">
        <v>262</v>
      </c>
      <c r="C590" s="3" t="s">
        <v>53</v>
      </c>
    </row>
    <row r="591" spans="1:3" x14ac:dyDescent="0.2">
      <c r="A591" s="3" t="s">
        <v>284</v>
      </c>
      <c r="B591" s="3" t="s">
        <v>263</v>
      </c>
      <c r="C591" s="3" t="s">
        <v>53</v>
      </c>
    </row>
    <row r="592" spans="1:3" x14ac:dyDescent="0.2">
      <c r="A592" s="3" t="s">
        <v>284</v>
      </c>
      <c r="B592" s="3" t="s">
        <v>285</v>
      </c>
      <c r="C592" s="3" t="s">
        <v>53</v>
      </c>
    </row>
    <row r="593" spans="1:3" x14ac:dyDescent="0.2">
      <c r="A593" s="3" t="s">
        <v>284</v>
      </c>
      <c r="B593" s="3" t="s">
        <v>286</v>
      </c>
      <c r="C593" s="3" t="s">
        <v>53</v>
      </c>
    </row>
    <row r="594" spans="1:3" x14ac:dyDescent="0.2">
      <c r="A594" s="3" t="s">
        <v>284</v>
      </c>
      <c r="B594" s="3" t="s">
        <v>259</v>
      </c>
      <c r="C594" s="3" t="s">
        <v>54</v>
      </c>
    </row>
    <row r="595" spans="1:3" x14ac:dyDescent="0.2">
      <c r="A595" s="3" t="s">
        <v>284</v>
      </c>
      <c r="B595" s="3" t="s">
        <v>260</v>
      </c>
      <c r="C595" s="3" t="s">
        <v>54</v>
      </c>
    </row>
    <row r="596" spans="1:3" x14ac:dyDescent="0.2">
      <c r="A596" s="3" t="s">
        <v>284</v>
      </c>
      <c r="B596" s="3" t="s">
        <v>262</v>
      </c>
      <c r="C596" s="3" t="s">
        <v>54</v>
      </c>
    </row>
    <row r="597" spans="1:3" x14ac:dyDescent="0.2">
      <c r="A597" s="3" t="s">
        <v>284</v>
      </c>
      <c r="B597" s="3" t="s">
        <v>263</v>
      </c>
      <c r="C597" s="3" t="s">
        <v>54</v>
      </c>
    </row>
    <row r="598" spans="1:3" x14ac:dyDescent="0.2">
      <c r="A598" s="3" t="s">
        <v>284</v>
      </c>
      <c r="B598" s="3" t="s">
        <v>285</v>
      </c>
      <c r="C598" s="3" t="s">
        <v>54</v>
      </c>
    </row>
    <row r="599" spans="1:3" x14ac:dyDescent="0.2">
      <c r="A599" s="3" t="s">
        <v>284</v>
      </c>
      <c r="B599" s="3" t="s">
        <v>286</v>
      </c>
      <c r="C599" s="3" t="s">
        <v>54</v>
      </c>
    </row>
    <row r="600" spans="1:3" x14ac:dyDescent="0.2">
      <c r="A600" s="3" t="s">
        <v>284</v>
      </c>
      <c r="B600" s="3" t="s">
        <v>259</v>
      </c>
      <c r="C600" s="3" t="s">
        <v>55</v>
      </c>
    </row>
    <row r="601" spans="1:3" x14ac:dyDescent="0.2">
      <c r="A601" s="3" t="s">
        <v>284</v>
      </c>
      <c r="B601" s="3" t="s">
        <v>260</v>
      </c>
      <c r="C601" s="3" t="s">
        <v>55</v>
      </c>
    </row>
    <row r="602" spans="1:3" x14ac:dyDescent="0.2">
      <c r="A602" s="3" t="s">
        <v>284</v>
      </c>
      <c r="B602" s="3" t="s">
        <v>262</v>
      </c>
      <c r="C602" s="3" t="s">
        <v>55</v>
      </c>
    </row>
    <row r="603" spans="1:3" x14ac:dyDescent="0.2">
      <c r="A603" s="3" t="s">
        <v>284</v>
      </c>
      <c r="B603" s="3" t="s">
        <v>263</v>
      </c>
      <c r="C603" s="3" t="s">
        <v>55</v>
      </c>
    </row>
    <row r="604" spans="1:3" x14ac:dyDescent="0.2">
      <c r="A604" s="3" t="s">
        <v>284</v>
      </c>
      <c r="B604" s="3" t="s">
        <v>285</v>
      </c>
      <c r="C604" s="3" t="s">
        <v>55</v>
      </c>
    </row>
    <row r="605" spans="1:3" x14ac:dyDescent="0.2">
      <c r="A605" s="3" t="s">
        <v>284</v>
      </c>
      <c r="B605" s="3" t="s">
        <v>286</v>
      </c>
      <c r="C605" s="3" t="s">
        <v>55</v>
      </c>
    </row>
    <row r="606" spans="1:3" x14ac:dyDescent="0.2">
      <c r="A606" s="3" t="s">
        <v>284</v>
      </c>
      <c r="B606" s="3" t="s">
        <v>259</v>
      </c>
      <c r="C606" s="3" t="s">
        <v>56</v>
      </c>
    </row>
    <row r="607" spans="1:3" x14ac:dyDescent="0.2">
      <c r="A607" s="3" t="s">
        <v>284</v>
      </c>
      <c r="B607" s="3" t="s">
        <v>260</v>
      </c>
      <c r="C607" s="3" t="s">
        <v>56</v>
      </c>
    </row>
    <row r="608" spans="1:3" x14ac:dyDescent="0.2">
      <c r="A608" s="3" t="s">
        <v>284</v>
      </c>
      <c r="B608" s="3" t="s">
        <v>262</v>
      </c>
      <c r="C608" s="3" t="s">
        <v>56</v>
      </c>
    </row>
    <row r="609" spans="1:3" x14ac:dyDescent="0.2">
      <c r="A609" s="3" t="s">
        <v>284</v>
      </c>
      <c r="B609" s="3" t="s">
        <v>263</v>
      </c>
      <c r="C609" s="3" t="s">
        <v>56</v>
      </c>
    </row>
    <row r="610" spans="1:3" x14ac:dyDescent="0.2">
      <c r="A610" s="3" t="s">
        <v>284</v>
      </c>
      <c r="B610" s="3" t="s">
        <v>285</v>
      </c>
      <c r="C610" s="3" t="s">
        <v>56</v>
      </c>
    </row>
    <row r="611" spans="1:3" x14ac:dyDescent="0.2">
      <c r="A611" s="3" t="s">
        <v>284</v>
      </c>
      <c r="B611" s="3" t="s">
        <v>286</v>
      </c>
      <c r="C611" s="3" t="s">
        <v>56</v>
      </c>
    </row>
    <row r="612" spans="1:3" x14ac:dyDescent="0.2">
      <c r="A612" s="3" t="s">
        <v>284</v>
      </c>
      <c r="B612" s="3" t="s">
        <v>259</v>
      </c>
      <c r="C612" s="3" t="s">
        <v>57</v>
      </c>
    </row>
    <row r="613" spans="1:3" x14ac:dyDescent="0.2">
      <c r="A613" s="3" t="s">
        <v>284</v>
      </c>
      <c r="B613" s="3" t="s">
        <v>260</v>
      </c>
      <c r="C613" s="3" t="s">
        <v>57</v>
      </c>
    </row>
    <row r="614" spans="1:3" x14ac:dyDescent="0.2">
      <c r="A614" s="3" t="s">
        <v>284</v>
      </c>
      <c r="B614" s="3" t="s">
        <v>262</v>
      </c>
      <c r="C614" s="3" t="s">
        <v>57</v>
      </c>
    </row>
    <row r="615" spans="1:3" x14ac:dyDescent="0.2">
      <c r="A615" s="3" t="s">
        <v>284</v>
      </c>
      <c r="B615" s="3" t="s">
        <v>263</v>
      </c>
      <c r="C615" s="3" t="s">
        <v>57</v>
      </c>
    </row>
    <row r="616" spans="1:3" x14ac:dyDescent="0.2">
      <c r="A616" s="3" t="s">
        <v>284</v>
      </c>
      <c r="B616" s="3" t="s">
        <v>285</v>
      </c>
      <c r="C616" s="3" t="s">
        <v>57</v>
      </c>
    </row>
    <row r="617" spans="1:3" x14ac:dyDescent="0.2">
      <c r="A617" s="3" t="s">
        <v>284</v>
      </c>
      <c r="B617" s="3" t="s">
        <v>286</v>
      </c>
      <c r="C617" s="3" t="s">
        <v>57</v>
      </c>
    </row>
    <row r="618" spans="1:3" x14ac:dyDescent="0.2">
      <c r="A618" s="3" t="s">
        <v>287</v>
      </c>
      <c r="B618" s="3" t="s">
        <v>288</v>
      </c>
      <c r="C618" s="3" t="s">
        <v>53</v>
      </c>
    </row>
    <row r="619" spans="1:3" x14ac:dyDescent="0.2">
      <c r="A619" s="3" t="s">
        <v>287</v>
      </c>
      <c r="B619" s="3" t="s">
        <v>289</v>
      </c>
      <c r="C619" s="3" t="s">
        <v>53</v>
      </c>
    </row>
    <row r="620" spans="1:3" x14ac:dyDescent="0.2">
      <c r="A620" s="3" t="s">
        <v>287</v>
      </c>
      <c r="B620" s="3" t="s">
        <v>290</v>
      </c>
      <c r="C620" s="3" t="s">
        <v>53</v>
      </c>
    </row>
    <row r="621" spans="1:3" x14ac:dyDescent="0.2">
      <c r="A621" s="3" t="s">
        <v>287</v>
      </c>
      <c r="B621" s="3" t="s">
        <v>291</v>
      </c>
      <c r="C621" s="3" t="s">
        <v>53</v>
      </c>
    </row>
    <row r="622" spans="1:3" x14ac:dyDescent="0.2">
      <c r="A622" s="3" t="s">
        <v>287</v>
      </c>
      <c r="B622" s="3" t="s">
        <v>285</v>
      </c>
      <c r="C622" s="3" t="s">
        <v>53</v>
      </c>
    </row>
    <row r="623" spans="1:3" x14ac:dyDescent="0.2">
      <c r="A623" s="3" t="s">
        <v>287</v>
      </c>
      <c r="B623" s="3" t="s">
        <v>286</v>
      </c>
      <c r="C623" s="3" t="s">
        <v>53</v>
      </c>
    </row>
    <row r="624" spans="1:3" x14ac:dyDescent="0.2">
      <c r="A624" s="3" t="s">
        <v>287</v>
      </c>
      <c r="B624" s="3" t="s">
        <v>288</v>
      </c>
      <c r="C624" s="3" t="s">
        <v>54</v>
      </c>
    </row>
    <row r="625" spans="1:3" x14ac:dyDescent="0.2">
      <c r="A625" s="3" t="s">
        <v>287</v>
      </c>
      <c r="B625" s="3" t="s">
        <v>289</v>
      </c>
      <c r="C625" s="3" t="s">
        <v>54</v>
      </c>
    </row>
    <row r="626" spans="1:3" x14ac:dyDescent="0.2">
      <c r="A626" s="3" t="s">
        <v>287</v>
      </c>
      <c r="B626" s="3" t="s">
        <v>290</v>
      </c>
      <c r="C626" s="3" t="s">
        <v>54</v>
      </c>
    </row>
    <row r="627" spans="1:3" x14ac:dyDescent="0.2">
      <c r="A627" s="3" t="s">
        <v>287</v>
      </c>
      <c r="B627" s="3" t="s">
        <v>291</v>
      </c>
      <c r="C627" s="3" t="s">
        <v>54</v>
      </c>
    </row>
    <row r="628" spans="1:3" x14ac:dyDescent="0.2">
      <c r="A628" s="3" t="s">
        <v>287</v>
      </c>
      <c r="B628" s="3" t="s">
        <v>285</v>
      </c>
      <c r="C628" s="3" t="s">
        <v>54</v>
      </c>
    </row>
    <row r="629" spans="1:3" x14ac:dyDescent="0.2">
      <c r="A629" s="3" t="s">
        <v>287</v>
      </c>
      <c r="B629" s="3" t="s">
        <v>286</v>
      </c>
      <c r="C629" s="3" t="s">
        <v>54</v>
      </c>
    </row>
    <row r="630" spans="1:3" x14ac:dyDescent="0.2">
      <c r="A630" s="3" t="s">
        <v>287</v>
      </c>
      <c r="B630" s="3" t="s">
        <v>288</v>
      </c>
      <c r="C630" s="3" t="s">
        <v>55</v>
      </c>
    </row>
    <row r="631" spans="1:3" x14ac:dyDescent="0.2">
      <c r="A631" s="3" t="s">
        <v>287</v>
      </c>
      <c r="B631" s="3" t="s">
        <v>289</v>
      </c>
      <c r="C631" s="3" t="s">
        <v>55</v>
      </c>
    </row>
    <row r="632" spans="1:3" x14ac:dyDescent="0.2">
      <c r="A632" s="3" t="s">
        <v>287</v>
      </c>
      <c r="B632" s="3" t="s">
        <v>290</v>
      </c>
      <c r="C632" s="3" t="s">
        <v>55</v>
      </c>
    </row>
    <row r="633" spans="1:3" x14ac:dyDescent="0.2">
      <c r="A633" s="3" t="s">
        <v>287</v>
      </c>
      <c r="B633" s="3" t="s">
        <v>291</v>
      </c>
      <c r="C633" s="3" t="s">
        <v>55</v>
      </c>
    </row>
    <row r="634" spans="1:3" x14ac:dyDescent="0.2">
      <c r="A634" s="3" t="s">
        <v>287</v>
      </c>
      <c r="B634" s="3" t="s">
        <v>285</v>
      </c>
      <c r="C634" s="3" t="s">
        <v>55</v>
      </c>
    </row>
    <row r="635" spans="1:3" x14ac:dyDescent="0.2">
      <c r="A635" s="3" t="s">
        <v>287</v>
      </c>
      <c r="B635" s="3" t="s">
        <v>286</v>
      </c>
      <c r="C635" s="3" t="s">
        <v>55</v>
      </c>
    </row>
    <row r="636" spans="1:3" x14ac:dyDescent="0.2">
      <c r="A636" s="3" t="s">
        <v>287</v>
      </c>
      <c r="B636" s="3" t="s">
        <v>288</v>
      </c>
      <c r="C636" s="3" t="s">
        <v>56</v>
      </c>
    </row>
    <row r="637" spans="1:3" x14ac:dyDescent="0.2">
      <c r="A637" s="3" t="s">
        <v>287</v>
      </c>
      <c r="B637" s="3" t="s">
        <v>289</v>
      </c>
      <c r="C637" s="3" t="s">
        <v>56</v>
      </c>
    </row>
    <row r="638" spans="1:3" x14ac:dyDescent="0.2">
      <c r="A638" s="3" t="s">
        <v>287</v>
      </c>
      <c r="B638" s="3" t="s">
        <v>290</v>
      </c>
      <c r="C638" s="3" t="s">
        <v>56</v>
      </c>
    </row>
    <row r="639" spans="1:3" x14ac:dyDescent="0.2">
      <c r="A639" s="3" t="s">
        <v>287</v>
      </c>
      <c r="B639" s="3" t="s">
        <v>291</v>
      </c>
      <c r="C639" s="3" t="s">
        <v>56</v>
      </c>
    </row>
    <row r="640" spans="1:3" x14ac:dyDescent="0.2">
      <c r="A640" s="3" t="s">
        <v>287</v>
      </c>
      <c r="B640" s="3" t="s">
        <v>285</v>
      </c>
      <c r="C640" s="3" t="s">
        <v>56</v>
      </c>
    </row>
    <row r="641" spans="1:3" x14ac:dyDescent="0.2">
      <c r="A641" s="3" t="s">
        <v>287</v>
      </c>
      <c r="B641" s="3" t="s">
        <v>286</v>
      </c>
      <c r="C641" s="3" t="s">
        <v>56</v>
      </c>
    </row>
    <row r="642" spans="1:3" x14ac:dyDescent="0.2">
      <c r="A642" s="3" t="s">
        <v>287</v>
      </c>
      <c r="B642" s="3" t="s">
        <v>288</v>
      </c>
      <c r="C642" s="3" t="s">
        <v>57</v>
      </c>
    </row>
    <row r="643" spans="1:3" x14ac:dyDescent="0.2">
      <c r="A643" s="3" t="s">
        <v>287</v>
      </c>
      <c r="B643" s="3" t="s">
        <v>289</v>
      </c>
      <c r="C643" s="3" t="s">
        <v>57</v>
      </c>
    </row>
    <row r="644" spans="1:3" x14ac:dyDescent="0.2">
      <c r="A644" s="3" t="s">
        <v>287</v>
      </c>
      <c r="B644" s="3" t="s">
        <v>290</v>
      </c>
      <c r="C644" s="3" t="s">
        <v>57</v>
      </c>
    </row>
    <row r="645" spans="1:3" x14ac:dyDescent="0.2">
      <c r="A645" s="3" t="s">
        <v>287</v>
      </c>
      <c r="B645" s="3" t="s">
        <v>291</v>
      </c>
      <c r="C645" s="3" t="s">
        <v>57</v>
      </c>
    </row>
    <row r="646" spans="1:3" x14ac:dyDescent="0.2">
      <c r="A646" s="3" t="s">
        <v>287</v>
      </c>
      <c r="B646" s="3" t="s">
        <v>285</v>
      </c>
      <c r="C646" s="3" t="s">
        <v>57</v>
      </c>
    </row>
    <row r="647" spans="1:3" x14ac:dyDescent="0.2">
      <c r="A647" s="3" t="s">
        <v>287</v>
      </c>
      <c r="B647" s="3" t="s">
        <v>286</v>
      </c>
      <c r="C647" s="3" t="s">
        <v>57</v>
      </c>
    </row>
    <row r="648" spans="1:3" x14ac:dyDescent="0.2">
      <c r="A648" s="3" t="s">
        <v>287</v>
      </c>
      <c r="B648" s="3" t="s">
        <v>276</v>
      </c>
      <c r="C648" s="3" t="s">
        <v>22</v>
      </c>
    </row>
    <row r="649" spans="1:3" x14ac:dyDescent="0.2">
      <c r="A649" s="3" t="s">
        <v>287</v>
      </c>
      <c r="B649" s="3" t="s">
        <v>277</v>
      </c>
      <c r="C649" s="3" t="s">
        <v>22</v>
      </c>
    </row>
    <row r="650" spans="1:3" x14ac:dyDescent="0.2">
      <c r="A650" s="3" t="s">
        <v>287</v>
      </c>
      <c r="B650" s="3" t="s">
        <v>278</v>
      </c>
      <c r="C650" s="3" t="s">
        <v>22</v>
      </c>
    </row>
    <row r="651" spans="1:3" x14ac:dyDescent="0.2">
      <c r="A651" s="3" t="s">
        <v>292</v>
      </c>
      <c r="B651" s="3" t="s">
        <v>199</v>
      </c>
      <c r="C651" s="3" t="s">
        <v>53</v>
      </c>
    </row>
    <row r="652" spans="1:3" x14ac:dyDescent="0.2">
      <c r="A652" s="3" t="s">
        <v>292</v>
      </c>
      <c r="B652" s="3" t="s">
        <v>221</v>
      </c>
      <c r="C652" s="3" t="s">
        <v>54</v>
      </c>
    </row>
    <row r="653" spans="1:3" x14ac:dyDescent="0.2">
      <c r="A653" s="3" t="s">
        <v>292</v>
      </c>
      <c r="B653" s="3" t="s">
        <v>199</v>
      </c>
      <c r="C653" s="3" t="s">
        <v>54</v>
      </c>
    </row>
    <row r="654" spans="1:3" x14ac:dyDescent="0.2">
      <c r="A654" s="3" t="s">
        <v>292</v>
      </c>
      <c r="B654" s="3" t="s">
        <v>221</v>
      </c>
      <c r="C654" s="3" t="s">
        <v>55</v>
      </c>
    </row>
    <row r="655" spans="1:3" x14ac:dyDescent="0.2">
      <c r="A655" s="3" t="s">
        <v>292</v>
      </c>
      <c r="B655" s="3" t="s">
        <v>256</v>
      </c>
      <c r="C655" s="3" t="s">
        <v>55</v>
      </c>
    </row>
    <row r="656" spans="1:3" x14ac:dyDescent="0.2">
      <c r="A656" s="3" t="s">
        <v>292</v>
      </c>
      <c r="B656" s="3" t="s">
        <v>221</v>
      </c>
      <c r="C656" s="3" t="s">
        <v>56</v>
      </c>
    </row>
    <row r="657" spans="1:3" x14ac:dyDescent="0.2">
      <c r="A657" s="3" t="s">
        <v>292</v>
      </c>
      <c r="B657" s="3" t="s">
        <v>199</v>
      </c>
      <c r="C657" s="3" t="s">
        <v>56</v>
      </c>
    </row>
    <row r="658" spans="1:3" x14ac:dyDescent="0.2">
      <c r="A658" s="3" t="s">
        <v>292</v>
      </c>
      <c r="B658" s="3" t="s">
        <v>221</v>
      </c>
      <c r="C658" s="3" t="s">
        <v>57</v>
      </c>
    </row>
    <row r="659" spans="1:3" x14ac:dyDescent="0.2">
      <c r="A659" s="3" t="s">
        <v>292</v>
      </c>
      <c r="B659" s="3" t="s">
        <v>199</v>
      </c>
      <c r="C659" s="3" t="s">
        <v>57</v>
      </c>
    </row>
    <row r="660" spans="1:3" x14ac:dyDescent="0.2">
      <c r="A660" s="3" t="s">
        <v>292</v>
      </c>
      <c r="B660" s="3" t="s">
        <v>293</v>
      </c>
      <c r="C660" s="3" t="s">
        <v>169</v>
      </c>
    </row>
    <row r="661" spans="1:3" x14ac:dyDescent="0.2">
      <c r="A661" s="3" t="s">
        <v>294</v>
      </c>
      <c r="B661" s="3" t="s">
        <v>183</v>
      </c>
      <c r="C661" s="3" t="s">
        <v>53</v>
      </c>
    </row>
    <row r="662" spans="1:3" x14ac:dyDescent="0.2">
      <c r="A662" s="3" t="s">
        <v>294</v>
      </c>
      <c r="B662" s="3" t="s">
        <v>183</v>
      </c>
      <c r="C662" s="3" t="s">
        <v>54</v>
      </c>
    </row>
    <row r="663" spans="1:3" x14ac:dyDescent="0.2">
      <c r="A663" s="3" t="s">
        <v>294</v>
      </c>
      <c r="B663" s="3" t="s">
        <v>183</v>
      </c>
      <c r="C663" s="3" t="s">
        <v>55</v>
      </c>
    </row>
    <row r="664" spans="1:3" x14ac:dyDescent="0.2">
      <c r="A664" s="3" t="s">
        <v>294</v>
      </c>
      <c r="B664" s="3" t="s">
        <v>183</v>
      </c>
      <c r="C664" s="3" t="s">
        <v>56</v>
      </c>
    </row>
    <row r="665" spans="1:3" x14ac:dyDescent="0.2">
      <c r="A665" s="3" t="s">
        <v>294</v>
      </c>
      <c r="B665" s="3" t="s">
        <v>183</v>
      </c>
      <c r="C665" s="3" t="s">
        <v>57</v>
      </c>
    </row>
    <row r="666" spans="1:3" x14ac:dyDescent="0.2">
      <c r="A666" s="3" t="s">
        <v>294</v>
      </c>
      <c r="B666" s="3" t="s">
        <v>295</v>
      </c>
      <c r="C666" s="3" t="s">
        <v>10</v>
      </c>
    </row>
    <row r="667" spans="1:3" x14ac:dyDescent="0.2">
      <c r="A667" s="3" t="s">
        <v>294</v>
      </c>
      <c r="B667" s="3" t="s">
        <v>296</v>
      </c>
      <c r="C667" s="3" t="s">
        <v>10</v>
      </c>
    </row>
    <row r="668" spans="1:3" x14ac:dyDescent="0.2">
      <c r="A668" s="3" t="s">
        <v>294</v>
      </c>
      <c r="B668" s="3" t="s">
        <v>297</v>
      </c>
      <c r="C668" s="3" t="s">
        <v>10</v>
      </c>
    </row>
    <row r="669" spans="1:3" x14ac:dyDescent="0.2">
      <c r="A669" s="3" t="s">
        <v>298</v>
      </c>
      <c r="B669" s="3" t="s">
        <v>299</v>
      </c>
      <c r="C669" s="3" t="s">
        <v>53</v>
      </c>
    </row>
    <row r="670" spans="1:3" x14ac:dyDescent="0.2">
      <c r="A670" s="3" t="s">
        <v>298</v>
      </c>
      <c r="B670" s="3" t="s">
        <v>300</v>
      </c>
      <c r="C670" s="3" t="s">
        <v>53</v>
      </c>
    </row>
    <row r="671" spans="1:3" x14ac:dyDescent="0.2">
      <c r="A671" s="3" t="s">
        <v>298</v>
      </c>
      <c r="B671" s="3" t="s">
        <v>299</v>
      </c>
      <c r="C671" s="3" t="s">
        <v>54</v>
      </c>
    </row>
    <row r="672" spans="1:3" x14ac:dyDescent="0.2">
      <c r="A672" s="3" t="s">
        <v>298</v>
      </c>
      <c r="B672" s="3" t="s">
        <v>300</v>
      </c>
      <c r="C672" s="3" t="s">
        <v>54</v>
      </c>
    </row>
    <row r="673" spans="1:3" x14ac:dyDescent="0.2">
      <c r="A673" s="3" t="s">
        <v>298</v>
      </c>
      <c r="B673" s="3" t="s">
        <v>299</v>
      </c>
      <c r="C673" s="3" t="s">
        <v>55</v>
      </c>
    </row>
    <row r="674" spans="1:3" x14ac:dyDescent="0.2">
      <c r="A674" s="3" t="s">
        <v>298</v>
      </c>
      <c r="B674" s="3" t="s">
        <v>300</v>
      </c>
      <c r="C674" s="3" t="s">
        <v>55</v>
      </c>
    </row>
    <row r="675" spans="1:3" x14ac:dyDescent="0.2">
      <c r="A675" s="3" t="s">
        <v>298</v>
      </c>
      <c r="B675" s="3" t="s">
        <v>299</v>
      </c>
      <c r="C675" s="3" t="s">
        <v>56</v>
      </c>
    </row>
    <row r="676" spans="1:3" x14ac:dyDescent="0.2">
      <c r="A676" s="3" t="s">
        <v>298</v>
      </c>
      <c r="B676" s="3" t="s">
        <v>300</v>
      </c>
      <c r="C676" s="3" t="s">
        <v>56</v>
      </c>
    </row>
    <row r="677" spans="1:3" x14ac:dyDescent="0.2">
      <c r="A677" s="3" t="s">
        <v>298</v>
      </c>
      <c r="B677" s="3" t="s">
        <v>299</v>
      </c>
      <c r="C677" s="3" t="s">
        <v>57</v>
      </c>
    </row>
    <row r="678" spans="1:3" x14ac:dyDescent="0.2">
      <c r="A678" s="3" t="s">
        <v>298</v>
      </c>
      <c r="B678" s="3" t="s">
        <v>300</v>
      </c>
      <c r="C678" s="3" t="s">
        <v>57</v>
      </c>
    </row>
    <row r="679" spans="1:3" x14ac:dyDescent="0.2">
      <c r="A679" s="3" t="s">
        <v>298</v>
      </c>
      <c r="B679" s="3" t="s">
        <v>301</v>
      </c>
      <c r="C679" s="3" t="s">
        <v>169</v>
      </c>
    </row>
    <row r="680" spans="1:3" x14ac:dyDescent="0.2">
      <c r="A680" s="3" t="s">
        <v>298</v>
      </c>
      <c r="B680" s="3" t="s">
        <v>302</v>
      </c>
      <c r="C680" s="3" t="s">
        <v>169</v>
      </c>
    </row>
    <row r="681" spans="1:3" x14ac:dyDescent="0.2">
      <c r="A681" s="3" t="s">
        <v>298</v>
      </c>
      <c r="B681" s="3" t="s">
        <v>303</v>
      </c>
      <c r="C681" s="3" t="s">
        <v>169</v>
      </c>
    </row>
    <row r="682" spans="1:3" x14ac:dyDescent="0.2">
      <c r="A682" s="3" t="s">
        <v>298</v>
      </c>
      <c r="B682" s="3" t="s">
        <v>304</v>
      </c>
      <c r="C682" s="3" t="s">
        <v>169</v>
      </c>
    </row>
    <row r="683" spans="1:3" x14ac:dyDescent="0.2">
      <c r="A683" s="3" t="s">
        <v>298</v>
      </c>
      <c r="B683" s="3" t="s">
        <v>305</v>
      </c>
      <c r="C683" s="3" t="s">
        <v>169</v>
      </c>
    </row>
    <row r="684" spans="1:3" x14ac:dyDescent="0.2">
      <c r="A684" s="3" t="s">
        <v>298</v>
      </c>
      <c r="B684" s="3" t="s">
        <v>306</v>
      </c>
      <c r="C684" s="3" t="s">
        <v>169</v>
      </c>
    </row>
    <row r="685" spans="1:3" x14ac:dyDescent="0.2">
      <c r="A685" s="3" t="s">
        <v>298</v>
      </c>
      <c r="B685" s="3" t="s">
        <v>307</v>
      </c>
      <c r="C685" s="3" t="s">
        <v>169</v>
      </c>
    </row>
    <row r="686" spans="1:3" x14ac:dyDescent="0.2">
      <c r="A686" s="3" t="s">
        <v>298</v>
      </c>
      <c r="B686" s="3" t="s">
        <v>308</v>
      </c>
      <c r="C686" s="3" t="s">
        <v>169</v>
      </c>
    </row>
    <row r="687" spans="1:3" x14ac:dyDescent="0.2">
      <c r="A687" s="3" t="s">
        <v>298</v>
      </c>
      <c r="B687" s="3" t="s">
        <v>309</v>
      </c>
      <c r="C687" s="3" t="s">
        <v>169</v>
      </c>
    </row>
    <row r="688" spans="1:3" x14ac:dyDescent="0.2">
      <c r="A688" s="3" t="s">
        <v>298</v>
      </c>
      <c r="B688" s="3" t="s">
        <v>310</v>
      </c>
      <c r="C688" s="3" t="s">
        <v>169</v>
      </c>
    </row>
    <row r="689" spans="1:3" x14ac:dyDescent="0.2">
      <c r="A689" s="3" t="s">
        <v>298</v>
      </c>
      <c r="B689" s="3" t="s">
        <v>311</v>
      </c>
      <c r="C689" s="3" t="s">
        <v>169</v>
      </c>
    </row>
    <row r="690" spans="1:3" x14ac:dyDescent="0.2">
      <c r="A690" s="3" t="s">
        <v>298</v>
      </c>
      <c r="B690" s="3" t="s">
        <v>312</v>
      </c>
      <c r="C690" s="3" t="s">
        <v>169</v>
      </c>
    </row>
    <row r="691" spans="1:3" x14ac:dyDescent="0.2">
      <c r="A691" s="3" t="s">
        <v>298</v>
      </c>
      <c r="B691" s="3" t="s">
        <v>313</v>
      </c>
      <c r="C691" s="3" t="s">
        <v>169</v>
      </c>
    </row>
    <row r="692" spans="1:3" x14ac:dyDescent="0.2">
      <c r="A692" s="3" t="s">
        <v>298</v>
      </c>
      <c r="B692" s="3" t="s">
        <v>314</v>
      </c>
      <c r="C692" s="3" t="s">
        <v>169</v>
      </c>
    </row>
    <row r="693" spans="1:3" x14ac:dyDescent="0.2">
      <c r="A693" s="3" t="s">
        <v>298</v>
      </c>
      <c r="B693" s="3" t="s">
        <v>315</v>
      </c>
      <c r="C693" s="3" t="s">
        <v>169</v>
      </c>
    </row>
    <row r="694" spans="1:3" x14ac:dyDescent="0.2">
      <c r="A694" s="3" t="s">
        <v>298</v>
      </c>
      <c r="B694" s="3" t="s">
        <v>316</v>
      </c>
      <c r="C694" s="3" t="s">
        <v>169</v>
      </c>
    </row>
    <row r="695" spans="1:3" x14ac:dyDescent="0.2">
      <c r="A695" s="3" t="s">
        <v>298</v>
      </c>
      <c r="B695" s="3" t="s">
        <v>317</v>
      </c>
      <c r="C695" s="3" t="s">
        <v>169</v>
      </c>
    </row>
    <row r="696" spans="1:3" x14ac:dyDescent="0.2">
      <c r="A696" s="3" t="s">
        <v>298</v>
      </c>
      <c r="B696" s="3" t="s">
        <v>318</v>
      </c>
      <c r="C696" s="3" t="s">
        <v>169</v>
      </c>
    </row>
    <row r="697" spans="1:3" x14ac:dyDescent="0.2">
      <c r="A697" s="3" t="s">
        <v>319</v>
      </c>
      <c r="B697" s="3" t="s">
        <v>320</v>
      </c>
      <c r="C697" s="3" t="s">
        <v>53</v>
      </c>
    </row>
    <row r="698" spans="1:3" x14ac:dyDescent="0.2">
      <c r="A698" s="3" t="s">
        <v>319</v>
      </c>
      <c r="B698" s="3" t="s">
        <v>321</v>
      </c>
      <c r="C698" s="3" t="s">
        <v>53</v>
      </c>
    </row>
    <row r="699" spans="1:3" x14ac:dyDescent="0.2">
      <c r="A699" s="3" t="s">
        <v>319</v>
      </c>
      <c r="B699" s="3" t="s">
        <v>322</v>
      </c>
      <c r="C699" s="3" t="s">
        <v>53</v>
      </c>
    </row>
    <row r="700" spans="1:3" x14ac:dyDescent="0.2">
      <c r="A700" s="3" t="s">
        <v>319</v>
      </c>
      <c r="B700" s="3" t="s">
        <v>323</v>
      </c>
      <c r="C700" s="3" t="s">
        <v>53</v>
      </c>
    </row>
    <row r="701" spans="1:3" x14ac:dyDescent="0.2">
      <c r="A701" s="3" t="s">
        <v>319</v>
      </c>
      <c r="B701" s="3" t="s">
        <v>324</v>
      </c>
      <c r="C701" s="3" t="s">
        <v>53</v>
      </c>
    </row>
    <row r="702" spans="1:3" x14ac:dyDescent="0.2">
      <c r="A702" s="3" t="s">
        <v>319</v>
      </c>
      <c r="B702" s="3" t="s">
        <v>325</v>
      </c>
      <c r="C702" s="3" t="s">
        <v>53</v>
      </c>
    </row>
    <row r="703" spans="1:3" x14ac:dyDescent="0.2">
      <c r="A703" s="3" t="s">
        <v>319</v>
      </c>
      <c r="B703" s="3" t="s">
        <v>326</v>
      </c>
      <c r="C703" s="3" t="s">
        <v>53</v>
      </c>
    </row>
    <row r="704" spans="1:3" x14ac:dyDescent="0.2">
      <c r="A704" s="3" t="s">
        <v>319</v>
      </c>
      <c r="B704" s="3" t="s">
        <v>327</v>
      </c>
      <c r="C704" s="3" t="s">
        <v>53</v>
      </c>
    </row>
    <row r="705" spans="1:3" x14ac:dyDescent="0.2">
      <c r="A705" s="3" t="s">
        <v>319</v>
      </c>
      <c r="B705" s="3" t="s">
        <v>328</v>
      </c>
      <c r="C705" s="3" t="s">
        <v>53</v>
      </c>
    </row>
    <row r="706" spans="1:3" x14ac:dyDescent="0.2">
      <c r="A706" s="3" t="s">
        <v>319</v>
      </c>
      <c r="B706" s="3" t="s">
        <v>329</v>
      </c>
      <c r="C706" s="3" t="s">
        <v>53</v>
      </c>
    </row>
    <row r="707" spans="1:3" x14ac:dyDescent="0.2">
      <c r="A707" s="3" t="s">
        <v>319</v>
      </c>
      <c r="B707" s="3" t="s">
        <v>330</v>
      </c>
      <c r="C707" s="3" t="s">
        <v>53</v>
      </c>
    </row>
    <row r="708" spans="1:3" x14ac:dyDescent="0.2">
      <c r="A708" s="3" t="s">
        <v>319</v>
      </c>
      <c r="B708" s="3" t="s">
        <v>320</v>
      </c>
      <c r="C708" s="3" t="s">
        <v>54</v>
      </c>
    </row>
    <row r="709" spans="1:3" x14ac:dyDescent="0.2">
      <c r="A709" s="3" t="s">
        <v>319</v>
      </c>
      <c r="B709" s="3" t="s">
        <v>321</v>
      </c>
      <c r="C709" s="3" t="s">
        <v>54</v>
      </c>
    </row>
    <row r="710" spans="1:3" x14ac:dyDescent="0.2">
      <c r="A710" s="3" t="s">
        <v>319</v>
      </c>
      <c r="B710" s="3" t="s">
        <v>322</v>
      </c>
      <c r="C710" s="3" t="s">
        <v>54</v>
      </c>
    </row>
    <row r="711" spans="1:3" x14ac:dyDescent="0.2">
      <c r="A711" s="3" t="s">
        <v>319</v>
      </c>
      <c r="B711" s="3" t="s">
        <v>323</v>
      </c>
      <c r="C711" s="3" t="s">
        <v>54</v>
      </c>
    </row>
    <row r="712" spans="1:3" x14ac:dyDescent="0.2">
      <c r="A712" s="3" t="s">
        <v>319</v>
      </c>
      <c r="B712" s="3" t="s">
        <v>324</v>
      </c>
      <c r="C712" s="3" t="s">
        <v>54</v>
      </c>
    </row>
    <row r="713" spans="1:3" x14ac:dyDescent="0.2">
      <c r="A713" s="3" t="s">
        <v>319</v>
      </c>
      <c r="B713" s="3" t="s">
        <v>325</v>
      </c>
      <c r="C713" s="3" t="s">
        <v>54</v>
      </c>
    </row>
    <row r="714" spans="1:3" x14ac:dyDescent="0.2">
      <c r="A714" s="3" t="s">
        <v>319</v>
      </c>
      <c r="B714" s="3" t="s">
        <v>326</v>
      </c>
      <c r="C714" s="3" t="s">
        <v>54</v>
      </c>
    </row>
    <row r="715" spans="1:3" x14ac:dyDescent="0.2">
      <c r="A715" s="3" t="s">
        <v>319</v>
      </c>
      <c r="B715" s="3" t="s">
        <v>327</v>
      </c>
      <c r="C715" s="3" t="s">
        <v>54</v>
      </c>
    </row>
    <row r="716" spans="1:3" x14ac:dyDescent="0.2">
      <c r="A716" s="3" t="s">
        <v>319</v>
      </c>
      <c r="B716" s="3" t="s">
        <v>328</v>
      </c>
      <c r="C716" s="3" t="s">
        <v>54</v>
      </c>
    </row>
    <row r="717" spans="1:3" x14ac:dyDescent="0.2">
      <c r="A717" s="3" t="s">
        <v>319</v>
      </c>
      <c r="B717" s="3" t="s">
        <v>329</v>
      </c>
      <c r="C717" s="3" t="s">
        <v>54</v>
      </c>
    </row>
    <row r="718" spans="1:3" x14ac:dyDescent="0.2">
      <c r="A718" s="3" t="s">
        <v>319</v>
      </c>
      <c r="B718" s="3" t="s">
        <v>330</v>
      </c>
      <c r="C718" s="3" t="s">
        <v>54</v>
      </c>
    </row>
    <row r="719" spans="1:3" x14ac:dyDescent="0.2">
      <c r="A719" s="3" t="s">
        <v>319</v>
      </c>
      <c r="B719" s="3" t="s">
        <v>320</v>
      </c>
      <c r="C719" s="3" t="s">
        <v>55</v>
      </c>
    </row>
    <row r="720" spans="1:3" x14ac:dyDescent="0.2">
      <c r="A720" s="3" t="s">
        <v>319</v>
      </c>
      <c r="B720" s="3" t="s">
        <v>321</v>
      </c>
      <c r="C720" s="3" t="s">
        <v>55</v>
      </c>
    </row>
    <row r="721" spans="1:3" x14ac:dyDescent="0.2">
      <c r="A721" s="3" t="s">
        <v>319</v>
      </c>
      <c r="B721" s="3" t="s">
        <v>322</v>
      </c>
      <c r="C721" s="3" t="s">
        <v>55</v>
      </c>
    </row>
    <row r="722" spans="1:3" x14ac:dyDescent="0.2">
      <c r="A722" s="3" t="s">
        <v>319</v>
      </c>
      <c r="B722" s="3" t="s">
        <v>323</v>
      </c>
      <c r="C722" s="3" t="s">
        <v>55</v>
      </c>
    </row>
    <row r="723" spans="1:3" x14ac:dyDescent="0.2">
      <c r="A723" s="3" t="s">
        <v>319</v>
      </c>
      <c r="B723" s="3" t="s">
        <v>324</v>
      </c>
      <c r="C723" s="3" t="s">
        <v>55</v>
      </c>
    </row>
    <row r="724" spans="1:3" x14ac:dyDescent="0.2">
      <c r="A724" s="3" t="s">
        <v>319</v>
      </c>
      <c r="B724" s="3" t="s">
        <v>325</v>
      </c>
      <c r="C724" s="3" t="s">
        <v>55</v>
      </c>
    </row>
    <row r="725" spans="1:3" x14ac:dyDescent="0.2">
      <c r="A725" s="3" t="s">
        <v>319</v>
      </c>
      <c r="B725" s="3" t="s">
        <v>326</v>
      </c>
      <c r="C725" s="3" t="s">
        <v>55</v>
      </c>
    </row>
    <row r="726" spans="1:3" x14ac:dyDescent="0.2">
      <c r="A726" s="3" t="s">
        <v>319</v>
      </c>
      <c r="B726" s="3" t="s">
        <v>327</v>
      </c>
      <c r="C726" s="3" t="s">
        <v>55</v>
      </c>
    </row>
    <row r="727" spans="1:3" x14ac:dyDescent="0.2">
      <c r="A727" s="3" t="s">
        <v>319</v>
      </c>
      <c r="B727" s="3" t="s">
        <v>328</v>
      </c>
      <c r="C727" s="3" t="s">
        <v>55</v>
      </c>
    </row>
    <row r="728" spans="1:3" x14ac:dyDescent="0.2">
      <c r="A728" s="3" t="s">
        <v>319</v>
      </c>
      <c r="B728" s="3" t="s">
        <v>329</v>
      </c>
      <c r="C728" s="3" t="s">
        <v>55</v>
      </c>
    </row>
    <row r="729" spans="1:3" x14ac:dyDescent="0.2">
      <c r="A729" s="3" t="s">
        <v>319</v>
      </c>
      <c r="B729" s="3" t="s">
        <v>330</v>
      </c>
      <c r="C729" s="3" t="s">
        <v>55</v>
      </c>
    </row>
    <row r="730" spans="1:3" x14ac:dyDescent="0.2">
      <c r="A730" s="3" t="s">
        <v>319</v>
      </c>
      <c r="B730" s="3" t="s">
        <v>320</v>
      </c>
      <c r="C730" s="3" t="s">
        <v>56</v>
      </c>
    </row>
    <row r="731" spans="1:3" x14ac:dyDescent="0.2">
      <c r="A731" s="3" t="s">
        <v>319</v>
      </c>
      <c r="B731" s="3" t="s">
        <v>321</v>
      </c>
      <c r="C731" s="3" t="s">
        <v>56</v>
      </c>
    </row>
    <row r="732" spans="1:3" x14ac:dyDescent="0.2">
      <c r="A732" s="3" t="s">
        <v>319</v>
      </c>
      <c r="B732" s="3" t="s">
        <v>322</v>
      </c>
      <c r="C732" s="3" t="s">
        <v>56</v>
      </c>
    </row>
    <row r="733" spans="1:3" x14ac:dyDescent="0.2">
      <c r="A733" s="3" t="s">
        <v>319</v>
      </c>
      <c r="B733" s="3" t="s">
        <v>323</v>
      </c>
      <c r="C733" s="3" t="s">
        <v>56</v>
      </c>
    </row>
    <row r="734" spans="1:3" x14ac:dyDescent="0.2">
      <c r="A734" s="3" t="s">
        <v>319</v>
      </c>
      <c r="B734" s="3" t="s">
        <v>324</v>
      </c>
      <c r="C734" s="3" t="s">
        <v>56</v>
      </c>
    </row>
    <row r="735" spans="1:3" x14ac:dyDescent="0.2">
      <c r="A735" s="3" t="s">
        <v>319</v>
      </c>
      <c r="B735" s="3" t="s">
        <v>325</v>
      </c>
      <c r="C735" s="3" t="s">
        <v>56</v>
      </c>
    </row>
    <row r="736" spans="1:3" x14ac:dyDescent="0.2">
      <c r="A736" s="3" t="s">
        <v>319</v>
      </c>
      <c r="B736" s="3" t="s">
        <v>326</v>
      </c>
      <c r="C736" s="3" t="s">
        <v>56</v>
      </c>
    </row>
    <row r="737" spans="1:3" x14ac:dyDescent="0.2">
      <c r="A737" s="3" t="s">
        <v>319</v>
      </c>
      <c r="B737" s="3" t="s">
        <v>327</v>
      </c>
      <c r="C737" s="3" t="s">
        <v>56</v>
      </c>
    </row>
    <row r="738" spans="1:3" x14ac:dyDescent="0.2">
      <c r="A738" s="3" t="s">
        <v>319</v>
      </c>
      <c r="B738" s="3" t="s">
        <v>328</v>
      </c>
      <c r="C738" s="3" t="s">
        <v>56</v>
      </c>
    </row>
    <row r="739" spans="1:3" x14ac:dyDescent="0.2">
      <c r="A739" s="3" t="s">
        <v>319</v>
      </c>
      <c r="B739" s="3" t="s">
        <v>329</v>
      </c>
      <c r="C739" s="3" t="s">
        <v>56</v>
      </c>
    </row>
    <row r="740" spans="1:3" x14ac:dyDescent="0.2">
      <c r="A740" s="3" t="s">
        <v>319</v>
      </c>
      <c r="B740" s="3" t="s">
        <v>330</v>
      </c>
      <c r="C740" s="3" t="s">
        <v>56</v>
      </c>
    </row>
    <row r="741" spans="1:3" x14ac:dyDescent="0.2">
      <c r="A741" s="3" t="s">
        <v>319</v>
      </c>
      <c r="B741" s="3" t="s">
        <v>320</v>
      </c>
      <c r="C741" s="3" t="s">
        <v>57</v>
      </c>
    </row>
    <row r="742" spans="1:3" x14ac:dyDescent="0.2">
      <c r="A742" s="3" t="s">
        <v>319</v>
      </c>
      <c r="B742" s="3" t="s">
        <v>321</v>
      </c>
      <c r="C742" s="3" t="s">
        <v>57</v>
      </c>
    </row>
    <row r="743" spans="1:3" x14ac:dyDescent="0.2">
      <c r="A743" s="3" t="s">
        <v>319</v>
      </c>
      <c r="B743" s="3" t="s">
        <v>322</v>
      </c>
      <c r="C743" s="3" t="s">
        <v>57</v>
      </c>
    </row>
    <row r="744" spans="1:3" x14ac:dyDescent="0.2">
      <c r="A744" s="3" t="s">
        <v>319</v>
      </c>
      <c r="B744" s="3" t="s">
        <v>323</v>
      </c>
      <c r="C744" s="3" t="s">
        <v>57</v>
      </c>
    </row>
    <row r="745" spans="1:3" x14ac:dyDescent="0.2">
      <c r="A745" s="3" t="s">
        <v>319</v>
      </c>
      <c r="B745" s="3" t="s">
        <v>324</v>
      </c>
      <c r="C745" s="3" t="s">
        <v>57</v>
      </c>
    </row>
    <row r="746" spans="1:3" x14ac:dyDescent="0.2">
      <c r="A746" s="3" t="s">
        <v>319</v>
      </c>
      <c r="B746" s="3" t="s">
        <v>325</v>
      </c>
      <c r="C746" s="3" t="s">
        <v>57</v>
      </c>
    </row>
    <row r="747" spans="1:3" x14ac:dyDescent="0.2">
      <c r="A747" s="3" t="s">
        <v>319</v>
      </c>
      <c r="B747" s="3" t="s">
        <v>326</v>
      </c>
      <c r="C747" s="3" t="s">
        <v>57</v>
      </c>
    </row>
    <row r="748" spans="1:3" x14ac:dyDescent="0.2">
      <c r="A748" s="3" t="s">
        <v>319</v>
      </c>
      <c r="B748" s="3" t="s">
        <v>327</v>
      </c>
      <c r="C748" s="3" t="s">
        <v>57</v>
      </c>
    </row>
    <row r="749" spans="1:3" x14ac:dyDescent="0.2">
      <c r="A749" s="3" t="s">
        <v>319</v>
      </c>
      <c r="B749" s="3" t="s">
        <v>328</v>
      </c>
      <c r="C749" s="3" t="s">
        <v>57</v>
      </c>
    </row>
    <row r="750" spans="1:3" x14ac:dyDescent="0.2">
      <c r="A750" s="3" t="s">
        <v>319</v>
      </c>
      <c r="B750" s="3" t="s">
        <v>329</v>
      </c>
      <c r="C750" s="3" t="s">
        <v>57</v>
      </c>
    </row>
    <row r="751" spans="1:3" x14ac:dyDescent="0.2">
      <c r="A751" s="3" t="s">
        <v>319</v>
      </c>
      <c r="B751" s="3" t="s">
        <v>330</v>
      </c>
      <c r="C751" s="3" t="s">
        <v>57</v>
      </c>
    </row>
    <row r="752" spans="1:3" x14ac:dyDescent="0.2">
      <c r="A752" s="3" t="s">
        <v>319</v>
      </c>
      <c r="B752" s="3" t="s">
        <v>331</v>
      </c>
      <c r="C752" s="3" t="s">
        <v>22</v>
      </c>
    </row>
    <row r="753" spans="1:3" x14ac:dyDescent="0.2">
      <c r="A753" s="3" t="s">
        <v>333</v>
      </c>
      <c r="B753" s="3" t="s">
        <v>199</v>
      </c>
      <c r="C753" s="3" t="s">
        <v>53</v>
      </c>
    </row>
    <row r="754" spans="1:3" x14ac:dyDescent="0.2">
      <c r="A754" s="3" t="s">
        <v>333</v>
      </c>
      <c r="B754" s="3" t="s">
        <v>221</v>
      </c>
      <c r="C754" s="3" t="s">
        <v>54</v>
      </c>
    </row>
    <row r="755" spans="1:3" x14ac:dyDescent="0.2">
      <c r="A755" s="3" t="s">
        <v>333</v>
      </c>
      <c r="B755" s="3" t="s">
        <v>199</v>
      </c>
      <c r="C755" s="3" t="s">
        <v>54</v>
      </c>
    </row>
    <row r="756" spans="1:3" x14ac:dyDescent="0.2">
      <c r="A756" s="3" t="s">
        <v>333</v>
      </c>
      <c r="B756" s="3" t="s">
        <v>221</v>
      </c>
      <c r="C756" s="3" t="s">
        <v>55</v>
      </c>
    </row>
    <row r="757" spans="1:3" x14ac:dyDescent="0.2">
      <c r="A757" s="3" t="s">
        <v>333</v>
      </c>
      <c r="B757" s="3" t="s">
        <v>221</v>
      </c>
      <c r="C757" s="3" t="s">
        <v>56</v>
      </c>
    </row>
    <row r="758" spans="1:3" x14ac:dyDescent="0.2">
      <c r="A758" s="3" t="s">
        <v>333</v>
      </c>
      <c r="B758" s="3" t="s">
        <v>199</v>
      </c>
      <c r="C758" s="3" t="s">
        <v>56</v>
      </c>
    </row>
    <row r="759" spans="1:3" x14ac:dyDescent="0.2">
      <c r="A759" s="3" t="s">
        <v>333</v>
      </c>
      <c r="B759" s="3" t="s">
        <v>221</v>
      </c>
      <c r="C759" s="3" t="s">
        <v>57</v>
      </c>
    </row>
    <row r="760" spans="1:3" x14ac:dyDescent="0.2">
      <c r="A760" s="3" t="s">
        <v>333</v>
      </c>
      <c r="B760" s="3" t="s">
        <v>199</v>
      </c>
      <c r="C760" s="3" t="s">
        <v>57</v>
      </c>
    </row>
    <row r="761" spans="1:3" x14ac:dyDescent="0.2">
      <c r="A761" s="3" t="s">
        <v>333</v>
      </c>
      <c r="B761" s="3" t="s">
        <v>334</v>
      </c>
      <c r="C761" s="3" t="s">
        <v>169</v>
      </c>
    </row>
    <row r="762" spans="1:3" x14ac:dyDescent="0.2">
      <c r="A762" s="3" t="s">
        <v>333</v>
      </c>
      <c r="B762" s="3" t="s">
        <v>335</v>
      </c>
      <c r="C762" s="3" t="s">
        <v>169</v>
      </c>
    </row>
    <row r="763" spans="1:3" x14ac:dyDescent="0.2">
      <c r="A763" s="3" t="s">
        <v>333</v>
      </c>
      <c r="B763" s="3" t="s">
        <v>336</v>
      </c>
      <c r="C763" s="3" t="s">
        <v>169</v>
      </c>
    </row>
    <row r="764" spans="1:3" x14ac:dyDescent="0.2">
      <c r="A764" s="3" t="s">
        <v>333</v>
      </c>
      <c r="B764" s="3" t="s">
        <v>337</v>
      </c>
      <c r="C764" s="3" t="s">
        <v>169</v>
      </c>
    </row>
    <row r="765" spans="1:3" x14ac:dyDescent="0.2">
      <c r="A765" s="3" t="s">
        <v>333</v>
      </c>
      <c r="B765" s="3" t="s">
        <v>338</v>
      </c>
      <c r="C765" s="3" t="s">
        <v>169</v>
      </c>
    </row>
    <row r="766" spans="1:3" x14ac:dyDescent="0.2">
      <c r="A766" s="3" t="s">
        <v>333</v>
      </c>
      <c r="B766" s="3" t="s">
        <v>339</v>
      </c>
      <c r="C766" s="3" t="s">
        <v>169</v>
      </c>
    </row>
    <row r="767" spans="1:3" x14ac:dyDescent="0.2">
      <c r="A767" s="3" t="s">
        <v>333</v>
      </c>
      <c r="B767" s="3" t="s">
        <v>340</v>
      </c>
      <c r="C767" s="3" t="s">
        <v>169</v>
      </c>
    </row>
    <row r="768" spans="1:3" x14ac:dyDescent="0.2">
      <c r="A768" s="3" t="s">
        <v>333</v>
      </c>
      <c r="B768" s="3" t="s">
        <v>341</v>
      </c>
      <c r="C768" s="3" t="s">
        <v>169</v>
      </c>
    </row>
    <row r="769" spans="1:3" x14ac:dyDescent="0.2">
      <c r="A769" s="3" t="s">
        <v>342</v>
      </c>
      <c r="B769" s="3" t="s">
        <v>183</v>
      </c>
      <c r="C769" s="3" t="s">
        <v>53</v>
      </c>
    </row>
    <row r="770" spans="1:3" x14ac:dyDescent="0.2">
      <c r="A770" s="3" t="s">
        <v>342</v>
      </c>
      <c r="B770" s="3" t="s">
        <v>213</v>
      </c>
      <c r="C770" s="3" t="s">
        <v>53</v>
      </c>
    </row>
    <row r="771" spans="1:3" x14ac:dyDescent="0.2">
      <c r="A771" s="3" t="s">
        <v>342</v>
      </c>
      <c r="B771" s="3" t="s">
        <v>214</v>
      </c>
      <c r="C771" s="3" t="s">
        <v>53</v>
      </c>
    </row>
    <row r="772" spans="1:3" x14ac:dyDescent="0.2">
      <c r="A772" s="3" t="s">
        <v>342</v>
      </c>
      <c r="B772" s="3" t="s">
        <v>215</v>
      </c>
      <c r="C772" s="3" t="s">
        <v>53</v>
      </c>
    </row>
    <row r="773" spans="1:3" x14ac:dyDescent="0.2">
      <c r="A773" s="3" t="s">
        <v>342</v>
      </c>
      <c r="B773" s="3" t="s">
        <v>216</v>
      </c>
      <c r="C773" s="3" t="s">
        <v>53</v>
      </c>
    </row>
    <row r="774" spans="1:3" x14ac:dyDescent="0.2">
      <c r="A774" s="3" t="s">
        <v>342</v>
      </c>
      <c r="B774" s="3" t="s">
        <v>183</v>
      </c>
      <c r="C774" s="3" t="s">
        <v>54</v>
      </c>
    </row>
    <row r="775" spans="1:3" x14ac:dyDescent="0.2">
      <c r="A775" s="3" t="s">
        <v>342</v>
      </c>
      <c r="B775" s="3" t="s">
        <v>213</v>
      </c>
      <c r="C775" s="3" t="s">
        <v>54</v>
      </c>
    </row>
    <row r="776" spans="1:3" x14ac:dyDescent="0.2">
      <c r="A776" s="3" t="s">
        <v>342</v>
      </c>
      <c r="B776" s="3" t="s">
        <v>214</v>
      </c>
      <c r="C776" s="3" t="s">
        <v>54</v>
      </c>
    </row>
    <row r="777" spans="1:3" x14ac:dyDescent="0.2">
      <c r="A777" s="3" t="s">
        <v>342</v>
      </c>
      <c r="B777" s="3" t="s">
        <v>215</v>
      </c>
      <c r="C777" s="3" t="s">
        <v>54</v>
      </c>
    </row>
    <row r="778" spans="1:3" x14ac:dyDescent="0.2">
      <c r="A778" s="3" t="s">
        <v>342</v>
      </c>
      <c r="B778" s="3" t="s">
        <v>216</v>
      </c>
      <c r="C778" s="3" t="s">
        <v>54</v>
      </c>
    </row>
    <row r="779" spans="1:3" x14ac:dyDescent="0.2">
      <c r="A779" s="3" t="s">
        <v>342</v>
      </c>
      <c r="B779" s="3" t="s">
        <v>183</v>
      </c>
      <c r="C779" s="3" t="s">
        <v>55</v>
      </c>
    </row>
    <row r="780" spans="1:3" x14ac:dyDescent="0.2">
      <c r="A780" s="3" t="s">
        <v>342</v>
      </c>
      <c r="B780" s="3" t="s">
        <v>213</v>
      </c>
      <c r="C780" s="3" t="s">
        <v>55</v>
      </c>
    </row>
    <row r="781" spans="1:3" x14ac:dyDescent="0.2">
      <c r="A781" s="3" t="s">
        <v>342</v>
      </c>
      <c r="B781" s="3" t="s">
        <v>214</v>
      </c>
      <c r="C781" s="3" t="s">
        <v>55</v>
      </c>
    </row>
    <row r="782" spans="1:3" x14ac:dyDescent="0.2">
      <c r="A782" s="3" t="s">
        <v>342</v>
      </c>
      <c r="B782" s="3" t="s">
        <v>215</v>
      </c>
      <c r="C782" s="3" t="s">
        <v>55</v>
      </c>
    </row>
    <row r="783" spans="1:3" x14ac:dyDescent="0.2">
      <c r="A783" s="3" t="s">
        <v>342</v>
      </c>
      <c r="B783" s="3" t="s">
        <v>183</v>
      </c>
      <c r="C783" s="3" t="s">
        <v>56</v>
      </c>
    </row>
    <row r="784" spans="1:3" x14ac:dyDescent="0.2">
      <c r="A784" s="3" t="s">
        <v>342</v>
      </c>
      <c r="B784" s="3" t="s">
        <v>213</v>
      </c>
      <c r="C784" s="3" t="s">
        <v>56</v>
      </c>
    </row>
    <row r="785" spans="1:3" x14ac:dyDescent="0.2">
      <c r="A785" s="3" t="s">
        <v>342</v>
      </c>
      <c r="B785" s="3" t="s">
        <v>214</v>
      </c>
      <c r="C785" s="3" t="s">
        <v>56</v>
      </c>
    </row>
    <row r="786" spans="1:3" x14ac:dyDescent="0.2">
      <c r="A786" s="3" t="s">
        <v>342</v>
      </c>
      <c r="B786" s="3" t="s">
        <v>215</v>
      </c>
      <c r="C786" s="3" t="s">
        <v>56</v>
      </c>
    </row>
    <row r="787" spans="1:3" x14ac:dyDescent="0.2">
      <c r="A787" s="3" t="s">
        <v>342</v>
      </c>
      <c r="B787" s="3" t="s">
        <v>183</v>
      </c>
      <c r="C787" s="3" t="s">
        <v>57</v>
      </c>
    </row>
    <row r="788" spans="1:3" x14ac:dyDescent="0.2">
      <c r="A788" s="3" t="s">
        <v>342</v>
      </c>
      <c r="B788" s="3" t="s">
        <v>213</v>
      </c>
      <c r="C788" s="3" t="s">
        <v>57</v>
      </c>
    </row>
    <row r="789" spans="1:3" x14ac:dyDescent="0.2">
      <c r="A789" s="3" t="s">
        <v>342</v>
      </c>
      <c r="B789" s="3" t="s">
        <v>214</v>
      </c>
      <c r="C789" s="3" t="s">
        <v>57</v>
      </c>
    </row>
    <row r="790" spans="1:3" x14ac:dyDescent="0.2">
      <c r="A790" s="3" t="s">
        <v>342</v>
      </c>
      <c r="B790" s="3" t="s">
        <v>215</v>
      </c>
      <c r="C790" s="3" t="s">
        <v>57</v>
      </c>
    </row>
    <row r="791" spans="1:3" x14ac:dyDescent="0.2">
      <c r="A791" s="3" t="s">
        <v>342</v>
      </c>
      <c r="B791" s="3" t="s">
        <v>296</v>
      </c>
      <c r="C791" s="3" t="s">
        <v>10</v>
      </c>
    </row>
    <row r="792" spans="1:3" x14ac:dyDescent="0.2">
      <c r="A792" s="3" t="s">
        <v>342</v>
      </c>
      <c r="B792" s="3" t="s">
        <v>343</v>
      </c>
      <c r="C792" s="3" t="s">
        <v>22</v>
      </c>
    </row>
    <row r="793" spans="1:3" x14ac:dyDescent="0.2">
      <c r="A793" s="3" t="s">
        <v>344</v>
      </c>
      <c r="B793" s="3" t="s">
        <v>338</v>
      </c>
      <c r="C793" s="3" t="s">
        <v>169</v>
      </c>
    </row>
    <row r="794" spans="1:3" x14ac:dyDescent="0.2">
      <c r="A794" s="3" t="s">
        <v>344</v>
      </c>
      <c r="B794" s="3" t="s">
        <v>340</v>
      </c>
      <c r="C794" s="3" t="s">
        <v>169</v>
      </c>
    </row>
    <row r="795" spans="1:3" x14ac:dyDescent="0.2">
      <c r="A795" s="3" t="s">
        <v>344</v>
      </c>
      <c r="B795" s="3" t="s">
        <v>295</v>
      </c>
      <c r="C795" s="3" t="s">
        <v>10</v>
      </c>
    </row>
    <row r="796" spans="1:3" x14ac:dyDescent="0.2">
      <c r="A796" s="3" t="s">
        <v>344</v>
      </c>
      <c r="B796" s="3" t="s">
        <v>296</v>
      </c>
      <c r="C796" s="3" t="s">
        <v>10</v>
      </c>
    </row>
    <row r="797" spans="1:3" x14ac:dyDescent="0.2">
      <c r="A797" s="3" t="s">
        <v>344</v>
      </c>
      <c r="B797" s="3" t="s">
        <v>297</v>
      </c>
      <c r="C797" s="3" t="s">
        <v>10</v>
      </c>
    </row>
    <row r="798" spans="1:3" x14ac:dyDescent="0.2">
      <c r="A798" s="3" t="s">
        <v>345</v>
      </c>
      <c r="B798" s="3" t="s">
        <v>346</v>
      </c>
      <c r="C798" s="3" t="s">
        <v>53</v>
      </c>
    </row>
    <row r="799" spans="1:3" x14ac:dyDescent="0.2">
      <c r="A799" s="3" t="s">
        <v>345</v>
      </c>
      <c r="B799" s="3" t="s">
        <v>324</v>
      </c>
      <c r="C799" s="3" t="s">
        <v>53</v>
      </c>
    </row>
    <row r="800" spans="1:3" x14ac:dyDescent="0.2">
      <c r="A800" s="3" t="s">
        <v>345</v>
      </c>
      <c r="B800" s="3" t="s">
        <v>327</v>
      </c>
      <c r="C800" s="3" t="s">
        <v>53</v>
      </c>
    </row>
    <row r="801" spans="1:3" x14ac:dyDescent="0.2">
      <c r="A801" s="3" t="s">
        <v>345</v>
      </c>
      <c r="B801" s="3" t="s">
        <v>328</v>
      </c>
      <c r="C801" s="3" t="s">
        <v>53</v>
      </c>
    </row>
    <row r="802" spans="1:3" x14ac:dyDescent="0.2">
      <c r="A802" s="3" t="s">
        <v>345</v>
      </c>
      <c r="B802" s="3" t="s">
        <v>329</v>
      </c>
      <c r="C802" s="3" t="s">
        <v>53</v>
      </c>
    </row>
    <row r="803" spans="1:3" x14ac:dyDescent="0.2">
      <c r="A803" s="3" t="s">
        <v>345</v>
      </c>
      <c r="B803" s="3" t="s">
        <v>346</v>
      </c>
      <c r="C803" s="3" t="s">
        <v>54</v>
      </c>
    </row>
    <row r="804" spans="1:3" x14ac:dyDescent="0.2">
      <c r="A804" s="3" t="s">
        <v>345</v>
      </c>
      <c r="B804" s="3" t="s">
        <v>324</v>
      </c>
      <c r="C804" s="3" t="s">
        <v>54</v>
      </c>
    </row>
    <row r="805" spans="1:3" x14ac:dyDescent="0.2">
      <c r="A805" s="3" t="s">
        <v>345</v>
      </c>
      <c r="B805" s="3" t="s">
        <v>327</v>
      </c>
      <c r="C805" s="3" t="s">
        <v>54</v>
      </c>
    </row>
    <row r="806" spans="1:3" x14ac:dyDescent="0.2">
      <c r="A806" s="3" t="s">
        <v>345</v>
      </c>
      <c r="B806" s="3" t="s">
        <v>328</v>
      </c>
      <c r="C806" s="3" t="s">
        <v>54</v>
      </c>
    </row>
    <row r="807" spans="1:3" x14ac:dyDescent="0.2">
      <c r="A807" s="3" t="s">
        <v>345</v>
      </c>
      <c r="B807" s="3" t="s">
        <v>329</v>
      </c>
      <c r="C807" s="3" t="s">
        <v>54</v>
      </c>
    </row>
    <row r="808" spans="1:3" x14ac:dyDescent="0.2">
      <c r="A808" s="3" t="s">
        <v>345</v>
      </c>
      <c r="B808" s="3" t="s">
        <v>346</v>
      </c>
      <c r="C808" s="3" t="s">
        <v>55</v>
      </c>
    </row>
    <row r="809" spans="1:3" x14ac:dyDescent="0.2">
      <c r="A809" s="3" t="s">
        <v>345</v>
      </c>
      <c r="B809" s="3" t="s">
        <v>324</v>
      </c>
      <c r="C809" s="3" t="s">
        <v>55</v>
      </c>
    </row>
    <row r="810" spans="1:3" x14ac:dyDescent="0.2">
      <c r="A810" s="3" t="s">
        <v>345</v>
      </c>
      <c r="B810" s="3" t="s">
        <v>327</v>
      </c>
      <c r="C810" s="3" t="s">
        <v>55</v>
      </c>
    </row>
    <row r="811" spans="1:3" x14ac:dyDescent="0.2">
      <c r="A811" s="3" t="s">
        <v>345</v>
      </c>
      <c r="B811" s="3" t="s">
        <v>328</v>
      </c>
      <c r="C811" s="3" t="s">
        <v>55</v>
      </c>
    </row>
    <row r="812" spans="1:3" x14ac:dyDescent="0.2">
      <c r="A812" s="3" t="s">
        <v>345</v>
      </c>
      <c r="B812" s="3" t="s">
        <v>329</v>
      </c>
      <c r="C812" s="3" t="s">
        <v>55</v>
      </c>
    </row>
    <row r="813" spans="1:3" x14ac:dyDescent="0.2">
      <c r="A813" s="3" t="s">
        <v>345</v>
      </c>
      <c r="B813" s="3" t="s">
        <v>346</v>
      </c>
      <c r="C813" s="3" t="s">
        <v>56</v>
      </c>
    </row>
    <row r="814" spans="1:3" x14ac:dyDescent="0.2">
      <c r="A814" s="3" t="s">
        <v>345</v>
      </c>
      <c r="B814" s="3" t="s">
        <v>324</v>
      </c>
      <c r="C814" s="3" t="s">
        <v>56</v>
      </c>
    </row>
    <row r="815" spans="1:3" x14ac:dyDescent="0.2">
      <c r="A815" s="3" t="s">
        <v>345</v>
      </c>
      <c r="B815" s="3" t="s">
        <v>327</v>
      </c>
      <c r="C815" s="3" t="s">
        <v>56</v>
      </c>
    </row>
    <row r="816" spans="1:3" x14ac:dyDescent="0.2">
      <c r="A816" s="3" t="s">
        <v>345</v>
      </c>
      <c r="B816" s="3" t="s">
        <v>328</v>
      </c>
      <c r="C816" s="3" t="s">
        <v>56</v>
      </c>
    </row>
    <row r="817" spans="1:3" x14ac:dyDescent="0.2">
      <c r="A817" s="3" t="s">
        <v>345</v>
      </c>
      <c r="B817" s="3" t="s">
        <v>329</v>
      </c>
      <c r="C817" s="3" t="s">
        <v>56</v>
      </c>
    </row>
    <row r="818" spans="1:3" x14ac:dyDescent="0.2">
      <c r="A818" s="3" t="s">
        <v>345</v>
      </c>
      <c r="B818" s="3" t="s">
        <v>346</v>
      </c>
      <c r="C818" s="3" t="s">
        <v>57</v>
      </c>
    </row>
    <row r="819" spans="1:3" x14ac:dyDescent="0.2">
      <c r="A819" s="3" t="s">
        <v>345</v>
      </c>
      <c r="B819" s="3" t="s">
        <v>324</v>
      </c>
      <c r="C819" s="3" t="s">
        <v>57</v>
      </c>
    </row>
    <row r="820" spans="1:3" x14ac:dyDescent="0.2">
      <c r="A820" s="3" t="s">
        <v>345</v>
      </c>
      <c r="B820" s="3" t="s">
        <v>327</v>
      </c>
      <c r="C820" s="3" t="s">
        <v>57</v>
      </c>
    </row>
    <row r="821" spans="1:3" x14ac:dyDescent="0.2">
      <c r="A821" s="3" t="s">
        <v>345</v>
      </c>
      <c r="B821" s="3" t="s">
        <v>328</v>
      </c>
      <c r="C821" s="3" t="s">
        <v>57</v>
      </c>
    </row>
    <row r="822" spans="1:3" x14ac:dyDescent="0.2">
      <c r="A822" s="3" t="s">
        <v>345</v>
      </c>
      <c r="B822" s="3" t="s">
        <v>329</v>
      </c>
      <c r="C822" s="3" t="s">
        <v>57</v>
      </c>
    </row>
    <row r="823" spans="1:3" x14ac:dyDescent="0.2">
      <c r="A823" s="3" t="s">
        <v>345</v>
      </c>
      <c r="B823" s="3" t="s">
        <v>347</v>
      </c>
      <c r="C823" s="3" t="s">
        <v>22</v>
      </c>
    </row>
    <row r="824" spans="1:3" x14ac:dyDescent="0.2">
      <c r="A824" s="3" t="s">
        <v>345</v>
      </c>
      <c r="B824" s="3" t="s">
        <v>348</v>
      </c>
      <c r="C824" s="3" t="s">
        <v>22</v>
      </c>
    </row>
    <row r="825" spans="1:3" x14ac:dyDescent="0.2">
      <c r="A825" s="3" t="s">
        <v>345</v>
      </c>
      <c r="B825" s="3" t="s">
        <v>349</v>
      </c>
      <c r="C825" s="3" t="s">
        <v>22</v>
      </c>
    </row>
    <row r="826" spans="1:3" x14ac:dyDescent="0.2">
      <c r="A826" s="3" t="s">
        <v>345</v>
      </c>
      <c r="B826" s="3" t="s">
        <v>350</v>
      </c>
      <c r="C826" s="3" t="s">
        <v>22</v>
      </c>
    </row>
    <row r="827" spans="1:3" x14ac:dyDescent="0.2">
      <c r="A827" s="3" t="s">
        <v>345</v>
      </c>
      <c r="B827" s="3" t="s">
        <v>351</v>
      </c>
      <c r="C827" s="3" t="s">
        <v>22</v>
      </c>
    </row>
    <row r="828" spans="1:3" x14ac:dyDescent="0.2">
      <c r="A828" s="3" t="s">
        <v>345</v>
      </c>
      <c r="B828" s="3" t="s">
        <v>352</v>
      </c>
      <c r="C828" s="3" t="s">
        <v>22</v>
      </c>
    </row>
    <row r="829" spans="1:3" x14ac:dyDescent="0.2">
      <c r="A829" s="3" t="s">
        <v>345</v>
      </c>
      <c r="B829" s="3" t="s">
        <v>353</v>
      </c>
      <c r="C829" s="3" t="s">
        <v>22</v>
      </c>
    </row>
    <row r="830" spans="1:3" x14ac:dyDescent="0.2">
      <c r="A830" s="3" t="s">
        <v>345</v>
      </c>
      <c r="B830" s="3" t="s">
        <v>354</v>
      </c>
      <c r="C830" s="3" t="s">
        <v>22</v>
      </c>
    </row>
    <row r="831" spans="1:3" x14ac:dyDescent="0.2">
      <c r="A831" s="3" t="s">
        <v>345</v>
      </c>
      <c r="B831" s="3" t="s">
        <v>355</v>
      </c>
      <c r="C831" s="3" t="s">
        <v>22</v>
      </c>
    </row>
    <row r="832" spans="1:3" x14ac:dyDescent="0.2">
      <c r="A832" s="3" t="s">
        <v>345</v>
      </c>
      <c r="B832" s="3" t="s">
        <v>356</v>
      </c>
      <c r="C832" s="3" t="s">
        <v>22</v>
      </c>
    </row>
    <row r="833" spans="1:3" x14ac:dyDescent="0.2">
      <c r="A833" s="3" t="s">
        <v>345</v>
      </c>
      <c r="B833" s="3" t="s">
        <v>357</v>
      </c>
      <c r="C833" s="3" t="s">
        <v>22</v>
      </c>
    </row>
    <row r="834" spans="1:3" x14ac:dyDescent="0.2">
      <c r="A834" s="3" t="s">
        <v>345</v>
      </c>
      <c r="B834" s="3" t="s">
        <v>358</v>
      </c>
      <c r="C834" s="3" t="s">
        <v>22</v>
      </c>
    </row>
    <row r="835" spans="1:3" x14ac:dyDescent="0.2">
      <c r="A835" s="3" t="s">
        <v>345</v>
      </c>
      <c r="B835" s="3" t="s">
        <v>359</v>
      </c>
      <c r="C835" s="3" t="s">
        <v>22</v>
      </c>
    </row>
    <row r="836" spans="1:3" x14ac:dyDescent="0.2">
      <c r="A836" s="3" t="s">
        <v>345</v>
      </c>
      <c r="B836" s="3" t="s">
        <v>360</v>
      </c>
      <c r="C836" s="3" t="s">
        <v>22</v>
      </c>
    </row>
    <row r="837" spans="1:3" x14ac:dyDescent="0.2">
      <c r="A837" s="3" t="s">
        <v>345</v>
      </c>
      <c r="B837" s="3" t="s">
        <v>331</v>
      </c>
      <c r="C837" s="3" t="s">
        <v>22</v>
      </c>
    </row>
    <row r="838" spans="1:3" x14ac:dyDescent="0.2">
      <c r="A838" s="3" t="s">
        <v>345</v>
      </c>
      <c r="B838" s="3" t="s">
        <v>361</v>
      </c>
      <c r="C838" s="3" t="s">
        <v>22</v>
      </c>
    </row>
    <row r="839" spans="1:3" x14ac:dyDescent="0.2">
      <c r="A839" s="3" t="s">
        <v>345</v>
      </c>
      <c r="B839" s="3" t="s">
        <v>362</v>
      </c>
      <c r="C839" s="3" t="s">
        <v>22</v>
      </c>
    </row>
    <row r="840" spans="1:3" x14ac:dyDescent="0.2">
      <c r="A840" s="3" t="s">
        <v>345</v>
      </c>
      <c r="B840" s="3" t="s">
        <v>363</v>
      </c>
      <c r="C840" s="3" t="s">
        <v>22</v>
      </c>
    </row>
    <row r="841" spans="1:3" x14ac:dyDescent="0.2">
      <c r="A841" s="3" t="s">
        <v>345</v>
      </c>
      <c r="B841" s="3" t="s">
        <v>364</v>
      </c>
      <c r="C841" s="3" t="s">
        <v>22</v>
      </c>
    </row>
    <row r="842" spans="1:3" x14ac:dyDescent="0.2">
      <c r="A842" s="3" t="s">
        <v>345</v>
      </c>
      <c r="B842" s="3" t="s">
        <v>365</v>
      </c>
      <c r="C842" s="3" t="s">
        <v>22</v>
      </c>
    </row>
    <row r="843" spans="1:3" x14ac:dyDescent="0.2">
      <c r="A843" s="3" t="s">
        <v>345</v>
      </c>
      <c r="B843" s="3" t="s">
        <v>366</v>
      </c>
      <c r="C843" s="3" t="s">
        <v>22</v>
      </c>
    </row>
    <row r="844" spans="1:3" x14ac:dyDescent="0.2">
      <c r="A844" s="3" t="s">
        <v>345</v>
      </c>
      <c r="B844" s="3" t="s">
        <v>367</v>
      </c>
      <c r="C844" s="3" t="s">
        <v>22</v>
      </c>
    </row>
    <row r="845" spans="1:3" x14ac:dyDescent="0.2">
      <c r="A845" s="3" t="s">
        <v>345</v>
      </c>
      <c r="B845" s="3" t="s">
        <v>368</v>
      </c>
      <c r="C845" s="3" t="s">
        <v>22</v>
      </c>
    </row>
    <row r="846" spans="1:3" x14ac:dyDescent="0.2">
      <c r="A846" s="3" t="s">
        <v>345</v>
      </c>
      <c r="B846" s="3" t="s">
        <v>369</v>
      </c>
      <c r="C846" s="3" t="s">
        <v>22</v>
      </c>
    </row>
    <row r="847" spans="1:3" x14ac:dyDescent="0.2">
      <c r="A847" s="3" t="s">
        <v>345</v>
      </c>
      <c r="B847" s="3" t="s">
        <v>370</v>
      </c>
      <c r="C847" s="3" t="s">
        <v>22</v>
      </c>
    </row>
    <row r="848" spans="1:3" x14ac:dyDescent="0.2">
      <c r="A848" s="3" t="s">
        <v>345</v>
      </c>
      <c r="B848" s="3" t="s">
        <v>371</v>
      </c>
      <c r="C848" s="3" t="s">
        <v>22</v>
      </c>
    </row>
    <row r="849" spans="1:3" x14ac:dyDescent="0.2">
      <c r="A849" s="3" t="s">
        <v>345</v>
      </c>
      <c r="B849" s="3" t="s">
        <v>372</v>
      </c>
      <c r="C849" s="3" t="s">
        <v>22</v>
      </c>
    </row>
    <row r="850" spans="1:3" x14ac:dyDescent="0.2">
      <c r="A850" s="3" t="s">
        <v>345</v>
      </c>
      <c r="B850" s="3" t="s">
        <v>373</v>
      </c>
      <c r="C850" s="3" t="s">
        <v>22</v>
      </c>
    </row>
    <row r="851" spans="1:3" x14ac:dyDescent="0.2">
      <c r="A851" s="3" t="s">
        <v>345</v>
      </c>
      <c r="B851" s="3" t="s">
        <v>374</v>
      </c>
      <c r="C851" s="3" t="s">
        <v>22</v>
      </c>
    </row>
    <row r="852" spans="1:3" x14ac:dyDescent="0.2">
      <c r="A852" s="3" t="s">
        <v>345</v>
      </c>
      <c r="B852" s="3" t="s">
        <v>375</v>
      </c>
      <c r="C852" s="3" t="s">
        <v>22</v>
      </c>
    </row>
    <row r="853" spans="1:3" x14ac:dyDescent="0.2">
      <c r="A853" s="3" t="s">
        <v>345</v>
      </c>
      <c r="B853" s="3" t="s">
        <v>376</v>
      </c>
      <c r="C853" s="3" t="s">
        <v>22</v>
      </c>
    </row>
    <row r="854" spans="1:3" x14ac:dyDescent="0.2">
      <c r="A854" s="3" t="s">
        <v>345</v>
      </c>
      <c r="B854" s="3" t="s">
        <v>377</v>
      </c>
      <c r="C854" s="3" t="s">
        <v>22</v>
      </c>
    </row>
    <row r="855" spans="1:3" x14ac:dyDescent="0.2">
      <c r="A855" s="3" t="s">
        <v>345</v>
      </c>
      <c r="B855" s="3" t="s">
        <v>378</v>
      </c>
      <c r="C855" s="3" t="s">
        <v>22</v>
      </c>
    </row>
    <row r="856" spans="1:3" x14ac:dyDescent="0.2">
      <c r="A856" s="3" t="s">
        <v>406</v>
      </c>
      <c r="B856" s="3" t="s">
        <v>407</v>
      </c>
      <c r="C856" s="3" t="s">
        <v>53</v>
      </c>
    </row>
    <row r="857" spans="1:3" x14ac:dyDescent="0.2">
      <c r="A857" s="3" t="s">
        <v>406</v>
      </c>
      <c r="B857" s="3" t="s">
        <v>380</v>
      </c>
      <c r="C857" s="3" t="s">
        <v>53</v>
      </c>
    </row>
    <row r="858" spans="1:3" x14ac:dyDescent="0.2">
      <c r="A858" s="3" t="s">
        <v>406</v>
      </c>
      <c r="B858" s="3" t="s">
        <v>322</v>
      </c>
      <c r="C858" s="3" t="s">
        <v>53</v>
      </c>
    </row>
    <row r="859" spans="1:3" x14ac:dyDescent="0.2">
      <c r="A859" s="3" t="s">
        <v>406</v>
      </c>
      <c r="B859" s="3" t="s">
        <v>323</v>
      </c>
      <c r="C859" s="3" t="s">
        <v>53</v>
      </c>
    </row>
    <row r="860" spans="1:3" x14ac:dyDescent="0.2">
      <c r="A860" s="3" t="s">
        <v>406</v>
      </c>
      <c r="B860" s="3" t="s">
        <v>408</v>
      </c>
      <c r="C860" s="3" t="s">
        <v>53</v>
      </c>
    </row>
    <row r="861" spans="1:3" x14ac:dyDescent="0.2">
      <c r="A861" s="3" t="s">
        <v>406</v>
      </c>
      <c r="B861" s="3" t="s">
        <v>407</v>
      </c>
      <c r="C861" s="3" t="s">
        <v>54</v>
      </c>
    </row>
    <row r="862" spans="1:3" x14ac:dyDescent="0.2">
      <c r="A862" s="3" t="s">
        <v>406</v>
      </c>
      <c r="B862" s="3" t="s">
        <v>380</v>
      </c>
      <c r="C862" s="3" t="s">
        <v>54</v>
      </c>
    </row>
    <row r="863" spans="1:3" x14ac:dyDescent="0.2">
      <c r="A863" s="3" t="s">
        <v>406</v>
      </c>
      <c r="B863" s="3" t="s">
        <v>322</v>
      </c>
      <c r="C863" s="3" t="s">
        <v>54</v>
      </c>
    </row>
    <row r="864" spans="1:3" x14ac:dyDescent="0.2">
      <c r="A864" s="3" t="s">
        <v>406</v>
      </c>
      <c r="B864" s="3" t="s">
        <v>323</v>
      </c>
      <c r="C864" s="3" t="s">
        <v>54</v>
      </c>
    </row>
    <row r="865" spans="1:3" x14ac:dyDescent="0.2">
      <c r="A865" s="3" t="s">
        <v>406</v>
      </c>
      <c r="B865" s="3" t="s">
        <v>408</v>
      </c>
      <c r="C865" s="3" t="s">
        <v>54</v>
      </c>
    </row>
    <row r="866" spans="1:3" x14ac:dyDescent="0.2">
      <c r="A866" s="3" t="s">
        <v>406</v>
      </c>
      <c r="B866" s="3" t="s">
        <v>407</v>
      </c>
      <c r="C866" s="3" t="s">
        <v>55</v>
      </c>
    </row>
    <row r="867" spans="1:3" x14ac:dyDescent="0.2">
      <c r="A867" s="3" t="s">
        <v>406</v>
      </c>
      <c r="B867" s="3" t="s">
        <v>380</v>
      </c>
      <c r="C867" s="3" t="s">
        <v>55</v>
      </c>
    </row>
    <row r="868" spans="1:3" x14ac:dyDescent="0.2">
      <c r="A868" s="3" t="s">
        <v>406</v>
      </c>
      <c r="B868" s="3" t="s">
        <v>322</v>
      </c>
      <c r="C868" s="3" t="s">
        <v>55</v>
      </c>
    </row>
    <row r="869" spans="1:3" x14ac:dyDescent="0.2">
      <c r="A869" s="3" t="s">
        <v>406</v>
      </c>
      <c r="B869" s="3" t="s">
        <v>323</v>
      </c>
      <c r="C869" s="3" t="s">
        <v>55</v>
      </c>
    </row>
    <row r="870" spans="1:3" x14ac:dyDescent="0.2">
      <c r="A870" s="3" t="s">
        <v>406</v>
      </c>
      <c r="B870" s="3" t="s">
        <v>408</v>
      </c>
      <c r="C870" s="3" t="s">
        <v>55</v>
      </c>
    </row>
    <row r="871" spans="1:3" x14ac:dyDescent="0.2">
      <c r="A871" s="3" t="s">
        <v>406</v>
      </c>
      <c r="B871" s="3" t="s">
        <v>407</v>
      </c>
      <c r="C871" s="3" t="s">
        <v>56</v>
      </c>
    </row>
    <row r="872" spans="1:3" x14ac:dyDescent="0.2">
      <c r="A872" s="3" t="s">
        <v>406</v>
      </c>
      <c r="B872" s="3" t="s">
        <v>380</v>
      </c>
      <c r="C872" s="3" t="s">
        <v>56</v>
      </c>
    </row>
    <row r="873" spans="1:3" x14ac:dyDescent="0.2">
      <c r="A873" s="3" t="s">
        <v>406</v>
      </c>
      <c r="B873" s="3" t="s">
        <v>322</v>
      </c>
      <c r="C873" s="3" t="s">
        <v>56</v>
      </c>
    </row>
    <row r="874" spans="1:3" x14ac:dyDescent="0.2">
      <c r="A874" s="3" t="s">
        <v>406</v>
      </c>
      <c r="B874" s="3" t="s">
        <v>323</v>
      </c>
      <c r="C874" s="3" t="s">
        <v>56</v>
      </c>
    </row>
    <row r="875" spans="1:3" x14ac:dyDescent="0.2">
      <c r="A875" s="3" t="s">
        <v>406</v>
      </c>
      <c r="B875" s="3" t="s">
        <v>408</v>
      </c>
      <c r="C875" s="3" t="s">
        <v>56</v>
      </c>
    </row>
    <row r="876" spans="1:3" x14ac:dyDescent="0.2">
      <c r="A876" s="3" t="s">
        <v>406</v>
      </c>
      <c r="B876" s="3" t="s">
        <v>407</v>
      </c>
      <c r="C876" s="3" t="s">
        <v>57</v>
      </c>
    </row>
    <row r="877" spans="1:3" x14ac:dyDescent="0.2">
      <c r="A877" s="3" t="s">
        <v>406</v>
      </c>
      <c r="B877" s="3" t="s">
        <v>380</v>
      </c>
      <c r="C877" s="3" t="s">
        <v>57</v>
      </c>
    </row>
    <row r="878" spans="1:3" x14ac:dyDescent="0.2">
      <c r="A878" s="3" t="s">
        <v>406</v>
      </c>
      <c r="B878" s="3" t="s">
        <v>322</v>
      </c>
      <c r="C878" s="3" t="s">
        <v>57</v>
      </c>
    </row>
    <row r="879" spans="1:3" x14ac:dyDescent="0.2">
      <c r="A879" s="3" t="s">
        <v>406</v>
      </c>
      <c r="B879" s="3" t="s">
        <v>323</v>
      </c>
      <c r="C879" s="3" t="s">
        <v>57</v>
      </c>
    </row>
    <row r="880" spans="1:3" x14ac:dyDescent="0.2">
      <c r="A880" s="3" t="s">
        <v>406</v>
      </c>
      <c r="B880" s="3" t="s">
        <v>408</v>
      </c>
      <c r="C880" s="3" t="s">
        <v>57</v>
      </c>
    </row>
    <row r="881" spans="1:3" x14ac:dyDescent="0.2">
      <c r="A881" s="3" t="s">
        <v>406</v>
      </c>
      <c r="B881" s="3" t="s">
        <v>409</v>
      </c>
      <c r="C881" s="3" t="s">
        <v>169</v>
      </c>
    </row>
    <row r="882" spans="1:3" x14ac:dyDescent="0.2">
      <c r="A882" s="3" t="s">
        <v>406</v>
      </c>
      <c r="B882" s="3" t="s">
        <v>410</v>
      </c>
      <c r="C882" s="3" t="s">
        <v>169</v>
      </c>
    </row>
    <row r="883" spans="1:3" x14ac:dyDescent="0.2">
      <c r="A883" s="3" t="s">
        <v>411</v>
      </c>
      <c r="B883" s="3" t="s">
        <v>321</v>
      </c>
      <c r="C883" s="3" t="s">
        <v>53</v>
      </c>
    </row>
    <row r="884" spans="1:3" x14ac:dyDescent="0.2">
      <c r="A884" s="3" t="s">
        <v>411</v>
      </c>
      <c r="B884" s="3" t="s">
        <v>322</v>
      </c>
      <c r="C884" s="3" t="s">
        <v>53</v>
      </c>
    </row>
    <row r="885" spans="1:3" x14ac:dyDescent="0.2">
      <c r="A885" s="3" t="s">
        <v>411</v>
      </c>
      <c r="B885" s="3" t="s">
        <v>321</v>
      </c>
      <c r="C885" s="3" t="s">
        <v>54</v>
      </c>
    </row>
    <row r="886" spans="1:3" x14ac:dyDescent="0.2">
      <c r="A886" s="3" t="s">
        <v>411</v>
      </c>
      <c r="B886" s="3" t="s">
        <v>322</v>
      </c>
      <c r="C886" s="3" t="s">
        <v>54</v>
      </c>
    </row>
    <row r="887" spans="1:3" x14ac:dyDescent="0.2">
      <c r="A887" s="3" t="s">
        <v>411</v>
      </c>
      <c r="B887" s="3" t="s">
        <v>321</v>
      </c>
      <c r="C887" s="3" t="s">
        <v>55</v>
      </c>
    </row>
    <row r="888" spans="1:3" x14ac:dyDescent="0.2">
      <c r="A888" s="3" t="s">
        <v>411</v>
      </c>
      <c r="B888" s="3" t="s">
        <v>322</v>
      </c>
      <c r="C888" s="3" t="s">
        <v>55</v>
      </c>
    </row>
    <row r="889" spans="1:3" x14ac:dyDescent="0.2">
      <c r="A889" s="3" t="s">
        <v>411</v>
      </c>
      <c r="B889" s="3" t="s">
        <v>321</v>
      </c>
      <c r="C889" s="3" t="s">
        <v>56</v>
      </c>
    </row>
    <row r="890" spans="1:3" x14ac:dyDescent="0.2">
      <c r="A890" s="3" t="s">
        <v>411</v>
      </c>
      <c r="B890" s="3" t="s">
        <v>322</v>
      </c>
      <c r="C890" s="3" t="s">
        <v>56</v>
      </c>
    </row>
    <row r="891" spans="1:3" x14ac:dyDescent="0.2">
      <c r="A891" s="3" t="s">
        <v>411</v>
      </c>
      <c r="B891" s="3" t="s">
        <v>321</v>
      </c>
      <c r="C891" s="3" t="s">
        <v>57</v>
      </c>
    </row>
    <row r="892" spans="1:3" x14ac:dyDescent="0.2">
      <c r="A892" s="3" t="s">
        <v>411</v>
      </c>
      <c r="B892" s="3" t="s">
        <v>322</v>
      </c>
      <c r="C892" s="3" t="s">
        <v>57</v>
      </c>
    </row>
    <row r="893" spans="1:3" x14ac:dyDescent="0.2">
      <c r="A893" s="3" t="s">
        <v>411</v>
      </c>
      <c r="B893" s="3" t="s">
        <v>412</v>
      </c>
      <c r="C893" s="3" t="s">
        <v>169</v>
      </c>
    </row>
    <row r="894" spans="1:3" x14ac:dyDescent="0.2">
      <c r="A894" s="3" t="s">
        <v>411</v>
      </c>
      <c r="B894" s="3" t="s">
        <v>413</v>
      </c>
      <c r="C894" s="3" t="s">
        <v>22</v>
      </c>
    </row>
    <row r="895" spans="1:3" x14ac:dyDescent="0.2">
      <c r="A895" s="3" t="s">
        <v>411</v>
      </c>
      <c r="B895" s="3" t="s">
        <v>414</v>
      </c>
      <c r="C895" s="3" t="s">
        <v>22</v>
      </c>
    </row>
    <row r="896" spans="1:3" x14ac:dyDescent="0.2">
      <c r="A896" s="3" t="s">
        <v>411</v>
      </c>
      <c r="B896" s="3" t="s">
        <v>415</v>
      </c>
      <c r="C896" s="3" t="s">
        <v>22</v>
      </c>
    </row>
    <row r="897" spans="1:3" x14ac:dyDescent="0.2">
      <c r="A897" s="3" t="s">
        <v>411</v>
      </c>
      <c r="B897" s="3" t="s">
        <v>416</v>
      </c>
      <c r="C897" s="3" t="s">
        <v>22</v>
      </c>
    </row>
    <row r="898" spans="1:3" x14ac:dyDescent="0.2">
      <c r="A898" s="3" t="s">
        <v>411</v>
      </c>
      <c r="B898" s="3" t="s">
        <v>417</v>
      </c>
      <c r="C898" s="3" t="s">
        <v>22</v>
      </c>
    </row>
    <row r="899" spans="1:3" x14ac:dyDescent="0.2">
      <c r="A899" s="3" t="s">
        <v>411</v>
      </c>
      <c r="B899" s="3" t="s">
        <v>418</v>
      </c>
      <c r="C899" s="3" t="s">
        <v>22</v>
      </c>
    </row>
    <row r="900" spans="1:3" x14ac:dyDescent="0.2">
      <c r="A900" s="3" t="s">
        <v>411</v>
      </c>
      <c r="B900" s="3" t="s">
        <v>419</v>
      </c>
      <c r="C900" s="3" t="s">
        <v>22</v>
      </c>
    </row>
    <row r="901" spans="1:3" x14ac:dyDescent="0.2">
      <c r="A901" s="3" t="s">
        <v>411</v>
      </c>
      <c r="B901" s="3" t="s">
        <v>420</v>
      </c>
      <c r="C901" s="3" t="s">
        <v>22</v>
      </c>
    </row>
    <row r="902" spans="1:3" x14ac:dyDescent="0.2">
      <c r="A902" s="3" t="s">
        <v>411</v>
      </c>
      <c r="B902" s="3" t="s">
        <v>421</v>
      </c>
      <c r="C902" s="3" t="s">
        <v>22</v>
      </c>
    </row>
    <row r="903" spans="1:3" x14ac:dyDescent="0.2">
      <c r="A903" s="3" t="s">
        <v>411</v>
      </c>
      <c r="B903" s="3" t="s">
        <v>422</v>
      </c>
      <c r="C903" s="3" t="s">
        <v>22</v>
      </c>
    </row>
    <row r="904" spans="1:3" x14ac:dyDescent="0.2">
      <c r="A904" s="3" t="s">
        <v>411</v>
      </c>
      <c r="B904" s="3" t="s">
        <v>423</v>
      </c>
      <c r="C904" s="3" t="s">
        <v>22</v>
      </c>
    </row>
    <row r="905" spans="1:3" x14ac:dyDescent="0.2">
      <c r="A905" s="3" t="s">
        <v>411</v>
      </c>
      <c r="B905" s="3" t="s">
        <v>424</v>
      </c>
      <c r="C905" s="3" t="s">
        <v>22</v>
      </c>
    </row>
    <row r="906" spans="1:3" x14ac:dyDescent="0.2">
      <c r="A906" s="3" t="s">
        <v>411</v>
      </c>
      <c r="B906" s="3" t="s">
        <v>425</v>
      </c>
      <c r="C906" s="3" t="s">
        <v>22</v>
      </c>
    </row>
    <row r="907" spans="1:3" x14ac:dyDescent="0.2">
      <c r="A907" s="3" t="s">
        <v>411</v>
      </c>
      <c r="B907" s="3" t="s">
        <v>426</v>
      </c>
      <c r="C907" s="3" t="s">
        <v>22</v>
      </c>
    </row>
    <row r="908" spans="1:3" x14ac:dyDescent="0.2">
      <c r="A908" s="3" t="s">
        <v>411</v>
      </c>
      <c r="B908" s="3" t="s">
        <v>427</v>
      </c>
      <c r="C908" s="3" t="s">
        <v>22</v>
      </c>
    </row>
    <row r="909" spans="1:3" x14ac:dyDescent="0.2">
      <c r="A909" s="3" t="s">
        <v>411</v>
      </c>
      <c r="B909" s="3" t="s">
        <v>428</v>
      </c>
      <c r="C909" s="3" t="s">
        <v>22</v>
      </c>
    </row>
    <row r="910" spans="1:3" x14ac:dyDescent="0.2">
      <c r="A910" s="3" t="s">
        <v>411</v>
      </c>
      <c r="B910" s="3" t="s">
        <v>429</v>
      </c>
      <c r="C910" s="3" t="s">
        <v>22</v>
      </c>
    </row>
    <row r="911" spans="1:3" x14ac:dyDescent="0.2">
      <c r="A911" s="3" t="s">
        <v>411</v>
      </c>
      <c r="B911" s="3" t="s">
        <v>430</v>
      </c>
      <c r="C911" s="3" t="s">
        <v>22</v>
      </c>
    </row>
    <row r="912" spans="1:3" x14ac:dyDescent="0.2">
      <c r="A912" s="3" t="s">
        <v>411</v>
      </c>
      <c r="B912" s="3" t="s">
        <v>431</v>
      </c>
      <c r="C912" s="3" t="s">
        <v>22</v>
      </c>
    </row>
    <row r="913" spans="1:3" x14ac:dyDescent="0.2">
      <c r="A913" s="3" t="s">
        <v>411</v>
      </c>
      <c r="B913" s="3" t="s">
        <v>432</v>
      </c>
      <c r="C913" s="3" t="s">
        <v>22</v>
      </c>
    </row>
    <row r="914" spans="1:3" x14ac:dyDescent="0.2">
      <c r="A914" s="3" t="s">
        <v>411</v>
      </c>
      <c r="B914" s="3" t="s">
        <v>433</v>
      </c>
      <c r="C914" s="3" t="s">
        <v>22</v>
      </c>
    </row>
    <row r="915" spans="1:3" x14ac:dyDescent="0.2">
      <c r="A915" s="3" t="s">
        <v>411</v>
      </c>
      <c r="B915" s="3" t="s">
        <v>434</v>
      </c>
      <c r="C915" s="3" t="s">
        <v>22</v>
      </c>
    </row>
    <row r="916" spans="1:3" x14ac:dyDescent="0.2">
      <c r="A916" s="3" t="s">
        <v>411</v>
      </c>
      <c r="B916" s="3" t="s">
        <v>435</v>
      </c>
      <c r="C916" s="3" t="s">
        <v>22</v>
      </c>
    </row>
    <row r="917" spans="1:3" x14ac:dyDescent="0.2">
      <c r="A917" s="3" t="s">
        <v>411</v>
      </c>
      <c r="B917" s="3" t="s">
        <v>436</v>
      </c>
      <c r="C917" s="3" t="s">
        <v>22</v>
      </c>
    </row>
    <row r="918" spans="1:3" x14ac:dyDescent="0.2">
      <c r="A918" s="3" t="s">
        <v>411</v>
      </c>
      <c r="B918" s="3" t="s">
        <v>437</v>
      </c>
      <c r="C918" s="3" t="s">
        <v>22</v>
      </c>
    </row>
    <row r="919" spans="1:3" x14ac:dyDescent="0.2">
      <c r="A919" s="3" t="s">
        <v>411</v>
      </c>
      <c r="B919" s="3" t="s">
        <v>438</v>
      </c>
      <c r="C919" s="3" t="s">
        <v>22</v>
      </c>
    </row>
    <row r="920" spans="1:3" x14ac:dyDescent="0.2">
      <c r="A920" s="3" t="s">
        <v>411</v>
      </c>
      <c r="B920" s="3" t="s">
        <v>439</v>
      </c>
      <c r="C920" s="3" t="s">
        <v>22</v>
      </c>
    </row>
    <row r="921" spans="1:3" x14ac:dyDescent="0.2">
      <c r="A921" s="3" t="s">
        <v>411</v>
      </c>
      <c r="B921" s="3" t="s">
        <v>440</v>
      </c>
      <c r="C921" s="3" t="s">
        <v>22</v>
      </c>
    </row>
    <row r="922" spans="1:3" x14ac:dyDescent="0.2">
      <c r="A922" s="3" t="s">
        <v>411</v>
      </c>
      <c r="B922" s="3" t="s">
        <v>441</v>
      </c>
      <c r="C922" s="3" t="s">
        <v>22</v>
      </c>
    </row>
    <row r="923" spans="1:3" x14ac:dyDescent="0.2">
      <c r="A923" s="3" t="s">
        <v>411</v>
      </c>
      <c r="B923" s="3" t="s">
        <v>442</v>
      </c>
      <c r="C923" s="3" t="s">
        <v>22</v>
      </c>
    </row>
    <row r="924" spans="1:3" x14ac:dyDescent="0.2">
      <c r="A924" s="3" t="s">
        <v>411</v>
      </c>
      <c r="B924" s="3" t="s">
        <v>443</v>
      </c>
      <c r="C924" s="3" t="s">
        <v>22</v>
      </c>
    </row>
    <row r="925" spans="1:3" x14ac:dyDescent="0.2">
      <c r="A925" s="3" t="s">
        <v>411</v>
      </c>
      <c r="B925" s="3" t="s">
        <v>444</v>
      </c>
      <c r="C925" s="3" t="s">
        <v>22</v>
      </c>
    </row>
    <row r="926" spans="1:3" x14ac:dyDescent="0.2">
      <c r="A926" s="3" t="s">
        <v>411</v>
      </c>
      <c r="B926" s="3" t="s">
        <v>445</v>
      </c>
      <c r="C926" s="3" t="s">
        <v>22</v>
      </c>
    </row>
    <row r="927" spans="1:3" x14ac:dyDescent="0.2">
      <c r="A927" s="3" t="s">
        <v>411</v>
      </c>
      <c r="B927" s="3" t="s">
        <v>446</v>
      </c>
      <c r="C927" s="3" t="s">
        <v>22</v>
      </c>
    </row>
    <row r="928" spans="1:3" x14ac:dyDescent="0.2">
      <c r="A928" s="3" t="s">
        <v>411</v>
      </c>
      <c r="B928" s="3" t="s">
        <v>447</v>
      </c>
      <c r="C928" s="3" t="s">
        <v>22</v>
      </c>
    </row>
    <row r="929" spans="1:3" x14ac:dyDescent="0.2">
      <c r="A929" s="3" t="s">
        <v>411</v>
      </c>
      <c r="B929" s="3" t="s">
        <v>448</v>
      </c>
      <c r="C929" s="3" t="s">
        <v>22</v>
      </c>
    </row>
    <row r="930" spans="1:3" x14ac:dyDescent="0.2">
      <c r="A930" s="3" t="s">
        <v>411</v>
      </c>
      <c r="B930" s="3" t="s">
        <v>449</v>
      </c>
      <c r="C930" s="3" t="s">
        <v>22</v>
      </c>
    </row>
    <row r="931" spans="1:3" x14ac:dyDescent="0.2">
      <c r="A931" s="3" t="s">
        <v>411</v>
      </c>
      <c r="B931" s="3" t="s">
        <v>450</v>
      </c>
      <c r="C931" s="3" t="s">
        <v>22</v>
      </c>
    </row>
    <row r="932" spans="1:3" x14ac:dyDescent="0.2">
      <c r="A932" s="3" t="s">
        <v>411</v>
      </c>
      <c r="B932" s="3" t="s">
        <v>451</v>
      </c>
      <c r="C932" s="3" t="s">
        <v>22</v>
      </c>
    </row>
    <row r="933" spans="1:3" x14ac:dyDescent="0.2">
      <c r="A933" s="3" t="s">
        <v>411</v>
      </c>
      <c r="B933" s="3" t="s">
        <v>452</v>
      </c>
      <c r="C933" s="3" t="s">
        <v>22</v>
      </c>
    </row>
    <row r="934" spans="1:3" x14ac:dyDescent="0.2">
      <c r="A934" s="3" t="s">
        <v>411</v>
      </c>
      <c r="B934" s="3" t="s">
        <v>453</v>
      </c>
      <c r="C934" s="3" t="s">
        <v>22</v>
      </c>
    </row>
    <row r="935" spans="1:3" x14ac:dyDescent="0.2">
      <c r="A935" s="3" t="s">
        <v>411</v>
      </c>
      <c r="B935" s="3" t="s">
        <v>454</v>
      </c>
      <c r="C935" s="3" t="s">
        <v>22</v>
      </c>
    </row>
    <row r="936" spans="1:3" x14ac:dyDescent="0.2">
      <c r="A936" s="3" t="s">
        <v>411</v>
      </c>
      <c r="B936" s="3" t="s">
        <v>455</v>
      </c>
      <c r="C936" s="3" t="s">
        <v>22</v>
      </c>
    </row>
    <row r="937" spans="1:3" x14ac:dyDescent="0.2">
      <c r="A937" s="3" t="s">
        <v>456</v>
      </c>
      <c r="B937" s="3" t="s">
        <v>457</v>
      </c>
      <c r="C937" s="3" t="s">
        <v>22</v>
      </c>
    </row>
    <row r="938" spans="1:3" x14ac:dyDescent="0.2">
      <c r="A938" s="3" t="s">
        <v>458</v>
      </c>
      <c r="B938" s="3" t="s">
        <v>459</v>
      </c>
      <c r="C938" s="3" t="s">
        <v>53</v>
      </c>
    </row>
    <row r="939" spans="1:3" x14ac:dyDescent="0.2">
      <c r="A939" s="3" t="s">
        <v>458</v>
      </c>
      <c r="B939" s="3" t="s">
        <v>460</v>
      </c>
      <c r="C939" s="3" t="s">
        <v>53</v>
      </c>
    </row>
    <row r="940" spans="1:3" x14ac:dyDescent="0.2">
      <c r="A940" s="3" t="s">
        <v>458</v>
      </c>
      <c r="B940" s="3" t="s">
        <v>461</v>
      </c>
      <c r="C940" s="3" t="s">
        <v>53</v>
      </c>
    </row>
    <row r="941" spans="1:3" x14ac:dyDescent="0.2">
      <c r="A941" s="3" t="s">
        <v>458</v>
      </c>
      <c r="B941" s="3" t="s">
        <v>462</v>
      </c>
      <c r="C941" s="3" t="s">
        <v>53</v>
      </c>
    </row>
    <row r="942" spans="1:3" x14ac:dyDescent="0.2">
      <c r="A942" s="3" t="s">
        <v>458</v>
      </c>
      <c r="B942" s="3" t="s">
        <v>197</v>
      </c>
      <c r="C942" s="3" t="s">
        <v>53</v>
      </c>
    </row>
    <row r="943" spans="1:3" x14ac:dyDescent="0.2">
      <c r="A943" s="3" t="s">
        <v>458</v>
      </c>
      <c r="B943" s="3" t="s">
        <v>198</v>
      </c>
      <c r="C943" s="3" t="s">
        <v>53</v>
      </c>
    </row>
    <row r="944" spans="1:3" x14ac:dyDescent="0.2">
      <c r="A944" s="3" t="s">
        <v>458</v>
      </c>
      <c r="B944" s="3" t="s">
        <v>463</v>
      </c>
      <c r="C944" s="3" t="s">
        <v>53</v>
      </c>
    </row>
    <row r="945" spans="1:3" x14ac:dyDescent="0.2">
      <c r="A945" s="3" t="s">
        <v>458</v>
      </c>
      <c r="B945" s="3" t="s">
        <v>459</v>
      </c>
      <c r="C945" s="3" t="s">
        <v>54</v>
      </c>
    </row>
    <row r="946" spans="1:3" x14ac:dyDescent="0.2">
      <c r="A946" s="3" t="s">
        <v>458</v>
      </c>
      <c r="B946" s="3" t="s">
        <v>460</v>
      </c>
      <c r="C946" s="3" t="s">
        <v>54</v>
      </c>
    </row>
    <row r="947" spans="1:3" x14ac:dyDescent="0.2">
      <c r="A947" s="3" t="s">
        <v>458</v>
      </c>
      <c r="B947" s="3" t="s">
        <v>461</v>
      </c>
      <c r="C947" s="3" t="s">
        <v>54</v>
      </c>
    </row>
    <row r="948" spans="1:3" x14ac:dyDescent="0.2">
      <c r="A948" s="3" t="s">
        <v>458</v>
      </c>
      <c r="B948" s="3" t="s">
        <v>462</v>
      </c>
      <c r="C948" s="3" t="s">
        <v>54</v>
      </c>
    </row>
    <row r="949" spans="1:3" x14ac:dyDescent="0.2">
      <c r="A949" s="3" t="s">
        <v>458</v>
      </c>
      <c r="B949" s="3" t="s">
        <v>197</v>
      </c>
      <c r="C949" s="3" t="s">
        <v>54</v>
      </c>
    </row>
    <row r="950" spans="1:3" x14ac:dyDescent="0.2">
      <c r="A950" s="3" t="s">
        <v>458</v>
      </c>
      <c r="B950" s="3" t="s">
        <v>198</v>
      </c>
      <c r="C950" s="3" t="s">
        <v>54</v>
      </c>
    </row>
    <row r="951" spans="1:3" x14ac:dyDescent="0.2">
      <c r="A951" s="3" t="s">
        <v>458</v>
      </c>
      <c r="B951" s="3" t="s">
        <v>464</v>
      </c>
      <c r="C951" s="3" t="s">
        <v>54</v>
      </c>
    </row>
    <row r="952" spans="1:3" x14ac:dyDescent="0.2">
      <c r="A952" s="3" t="s">
        <v>458</v>
      </c>
      <c r="B952" s="3" t="s">
        <v>463</v>
      </c>
      <c r="C952" s="3" t="s">
        <v>54</v>
      </c>
    </row>
    <row r="953" spans="1:3" x14ac:dyDescent="0.2">
      <c r="A953" s="3" t="s">
        <v>458</v>
      </c>
      <c r="B953" s="3" t="s">
        <v>459</v>
      </c>
      <c r="C953" s="3" t="s">
        <v>55</v>
      </c>
    </row>
    <row r="954" spans="1:3" x14ac:dyDescent="0.2">
      <c r="A954" s="3" t="s">
        <v>458</v>
      </c>
      <c r="B954" s="3" t="s">
        <v>460</v>
      </c>
      <c r="C954" s="3" t="s">
        <v>55</v>
      </c>
    </row>
    <row r="955" spans="1:3" x14ac:dyDescent="0.2">
      <c r="A955" s="3" t="s">
        <v>458</v>
      </c>
      <c r="B955" s="3" t="s">
        <v>461</v>
      </c>
      <c r="C955" s="3" t="s">
        <v>55</v>
      </c>
    </row>
    <row r="956" spans="1:3" x14ac:dyDescent="0.2">
      <c r="A956" s="3" t="s">
        <v>458</v>
      </c>
      <c r="B956" s="3" t="s">
        <v>462</v>
      </c>
      <c r="C956" s="3" t="s">
        <v>55</v>
      </c>
    </row>
    <row r="957" spans="1:3" x14ac:dyDescent="0.2">
      <c r="A957" s="3" t="s">
        <v>458</v>
      </c>
      <c r="B957" s="3" t="s">
        <v>197</v>
      </c>
      <c r="C957" s="3" t="s">
        <v>55</v>
      </c>
    </row>
    <row r="958" spans="1:3" x14ac:dyDescent="0.2">
      <c r="A958" s="3" t="s">
        <v>458</v>
      </c>
      <c r="B958" s="3" t="s">
        <v>198</v>
      </c>
      <c r="C958" s="3" t="s">
        <v>55</v>
      </c>
    </row>
    <row r="959" spans="1:3" x14ac:dyDescent="0.2">
      <c r="A959" s="3" t="s">
        <v>458</v>
      </c>
      <c r="B959" s="3" t="s">
        <v>463</v>
      </c>
      <c r="C959" s="3" t="s">
        <v>55</v>
      </c>
    </row>
    <row r="960" spans="1:3" x14ac:dyDescent="0.2">
      <c r="A960" s="3" t="s">
        <v>458</v>
      </c>
      <c r="B960" s="3" t="s">
        <v>459</v>
      </c>
      <c r="C960" s="3" t="s">
        <v>56</v>
      </c>
    </row>
    <row r="961" spans="1:3" x14ac:dyDescent="0.2">
      <c r="A961" s="3" t="s">
        <v>458</v>
      </c>
      <c r="B961" s="3" t="s">
        <v>460</v>
      </c>
      <c r="C961" s="3" t="s">
        <v>56</v>
      </c>
    </row>
    <row r="962" spans="1:3" x14ac:dyDescent="0.2">
      <c r="A962" s="3" t="s">
        <v>458</v>
      </c>
      <c r="B962" s="3" t="s">
        <v>461</v>
      </c>
      <c r="C962" s="3" t="s">
        <v>56</v>
      </c>
    </row>
    <row r="963" spans="1:3" x14ac:dyDescent="0.2">
      <c r="A963" s="3" t="s">
        <v>458</v>
      </c>
      <c r="B963" s="3" t="s">
        <v>462</v>
      </c>
      <c r="C963" s="3" t="s">
        <v>56</v>
      </c>
    </row>
    <row r="964" spans="1:3" x14ac:dyDescent="0.2">
      <c r="A964" s="3" t="s">
        <v>458</v>
      </c>
      <c r="B964" s="3" t="s">
        <v>197</v>
      </c>
      <c r="C964" s="3" t="s">
        <v>56</v>
      </c>
    </row>
    <row r="965" spans="1:3" x14ac:dyDescent="0.2">
      <c r="A965" s="3" t="s">
        <v>458</v>
      </c>
      <c r="B965" s="3" t="s">
        <v>198</v>
      </c>
      <c r="C965" s="3" t="s">
        <v>56</v>
      </c>
    </row>
    <row r="966" spans="1:3" x14ac:dyDescent="0.2">
      <c r="A966" s="3" t="s">
        <v>458</v>
      </c>
      <c r="B966" s="3" t="s">
        <v>463</v>
      </c>
      <c r="C966" s="3" t="s">
        <v>56</v>
      </c>
    </row>
    <row r="967" spans="1:3" x14ac:dyDescent="0.2">
      <c r="A967" s="3" t="s">
        <v>458</v>
      </c>
      <c r="B967" s="3" t="s">
        <v>459</v>
      </c>
      <c r="C967" s="3" t="s">
        <v>57</v>
      </c>
    </row>
    <row r="968" spans="1:3" x14ac:dyDescent="0.2">
      <c r="A968" s="3" t="s">
        <v>458</v>
      </c>
      <c r="B968" s="3" t="s">
        <v>460</v>
      </c>
      <c r="C968" s="3" t="s">
        <v>57</v>
      </c>
    </row>
    <row r="969" spans="1:3" x14ac:dyDescent="0.2">
      <c r="A969" s="3" t="s">
        <v>458</v>
      </c>
      <c r="B969" s="3" t="s">
        <v>461</v>
      </c>
      <c r="C969" s="3" t="s">
        <v>57</v>
      </c>
    </row>
    <row r="970" spans="1:3" x14ac:dyDescent="0.2">
      <c r="A970" s="3" t="s">
        <v>458</v>
      </c>
      <c r="B970" s="3" t="s">
        <v>462</v>
      </c>
      <c r="C970" s="3" t="s">
        <v>57</v>
      </c>
    </row>
    <row r="971" spans="1:3" x14ac:dyDescent="0.2">
      <c r="A971" s="3" t="s">
        <v>458</v>
      </c>
      <c r="B971" s="3" t="s">
        <v>197</v>
      </c>
      <c r="C971" s="3" t="s">
        <v>57</v>
      </c>
    </row>
    <row r="972" spans="1:3" x14ac:dyDescent="0.2">
      <c r="A972" s="3" t="s">
        <v>458</v>
      </c>
      <c r="B972" s="3" t="s">
        <v>198</v>
      </c>
      <c r="C972" s="3" t="s">
        <v>57</v>
      </c>
    </row>
    <row r="973" spans="1:3" x14ac:dyDescent="0.2">
      <c r="A973" s="3" t="s">
        <v>458</v>
      </c>
      <c r="B973" s="3" t="s">
        <v>463</v>
      </c>
      <c r="C973" s="3" t="s">
        <v>57</v>
      </c>
    </row>
    <row r="974" spans="1:3" x14ac:dyDescent="0.2">
      <c r="A974" s="3" t="s">
        <v>458</v>
      </c>
      <c r="B974" s="3" t="s">
        <v>465</v>
      </c>
      <c r="C974" s="3" t="s">
        <v>22</v>
      </c>
    </row>
    <row r="975" spans="1:3" x14ac:dyDescent="0.2">
      <c r="A975" s="3" t="s">
        <v>458</v>
      </c>
      <c r="B975" s="3" t="s">
        <v>466</v>
      </c>
      <c r="C975" s="3" t="s">
        <v>22</v>
      </c>
    </row>
    <row r="976" spans="1:3" x14ac:dyDescent="0.2">
      <c r="A976" s="3" t="s">
        <v>458</v>
      </c>
      <c r="B976" s="3" t="s">
        <v>467</v>
      </c>
      <c r="C976" s="3" t="s">
        <v>22</v>
      </c>
    </row>
    <row r="977" spans="1:3" x14ac:dyDescent="0.2">
      <c r="A977" s="3" t="s">
        <v>458</v>
      </c>
      <c r="B977" s="3" t="s">
        <v>468</v>
      </c>
      <c r="C977" s="3" t="s">
        <v>22</v>
      </c>
    </row>
    <row r="978" spans="1:3" x14ac:dyDescent="0.2">
      <c r="A978" s="3" t="s">
        <v>458</v>
      </c>
      <c r="B978" s="3" t="s">
        <v>469</v>
      </c>
      <c r="C978" s="3" t="s">
        <v>22</v>
      </c>
    </row>
    <row r="979" spans="1:3" x14ac:dyDescent="0.2">
      <c r="A979" s="3" t="s">
        <v>458</v>
      </c>
      <c r="B979" s="3" t="s">
        <v>470</v>
      </c>
      <c r="C979" s="3" t="s">
        <v>22</v>
      </c>
    </row>
    <row r="980" spans="1:3" x14ac:dyDescent="0.2">
      <c r="A980" s="3" t="s">
        <v>458</v>
      </c>
      <c r="B980" s="3" t="s">
        <v>471</v>
      </c>
      <c r="C980" s="3" t="s">
        <v>22</v>
      </c>
    </row>
    <row r="981" spans="1:3" x14ac:dyDescent="0.2">
      <c r="A981" s="3" t="s">
        <v>458</v>
      </c>
      <c r="B981" s="3" t="s">
        <v>472</v>
      </c>
      <c r="C981" s="3" t="s">
        <v>22</v>
      </c>
    </row>
    <row r="982" spans="1:3" x14ac:dyDescent="0.2">
      <c r="A982" s="3" t="s">
        <v>458</v>
      </c>
      <c r="B982" s="3" t="s">
        <v>473</v>
      </c>
      <c r="C982" s="3" t="s">
        <v>22</v>
      </c>
    </row>
    <row r="983" spans="1:3" x14ac:dyDescent="0.2">
      <c r="A983" s="3" t="s">
        <v>458</v>
      </c>
      <c r="B983" s="3" t="s">
        <v>474</v>
      </c>
      <c r="C983" s="3" t="s">
        <v>22</v>
      </c>
    </row>
    <row r="984" spans="1:3" x14ac:dyDescent="0.2">
      <c r="A984" s="3" t="s">
        <v>458</v>
      </c>
      <c r="B984" s="3" t="s">
        <v>475</v>
      </c>
      <c r="C984" s="3" t="s">
        <v>22</v>
      </c>
    </row>
    <row r="985" spans="1:3" x14ac:dyDescent="0.2">
      <c r="A985" s="3" t="s">
        <v>458</v>
      </c>
      <c r="B985" s="3" t="s">
        <v>476</v>
      </c>
      <c r="C985" s="3" t="s">
        <v>22</v>
      </c>
    </row>
    <row r="986" spans="1:3" x14ac:dyDescent="0.2">
      <c r="A986" s="3" t="s">
        <v>458</v>
      </c>
      <c r="B986" s="3" t="s">
        <v>477</v>
      </c>
      <c r="C986" s="3" t="s">
        <v>22</v>
      </c>
    </row>
    <row r="987" spans="1:3" x14ac:dyDescent="0.2">
      <c r="A987" s="3" t="s">
        <v>458</v>
      </c>
      <c r="B987" s="3" t="s">
        <v>478</v>
      </c>
      <c r="C987" s="3" t="s">
        <v>22</v>
      </c>
    </row>
    <row r="988" spans="1:3" x14ac:dyDescent="0.2">
      <c r="A988" s="3" t="s">
        <v>458</v>
      </c>
      <c r="B988" s="3" t="s">
        <v>479</v>
      </c>
      <c r="C988" s="3" t="s">
        <v>22</v>
      </c>
    </row>
    <row r="989" spans="1:3" x14ac:dyDescent="0.2">
      <c r="A989" s="3" t="s">
        <v>458</v>
      </c>
      <c r="B989" s="3" t="s">
        <v>480</v>
      </c>
      <c r="C989" s="3" t="s">
        <v>22</v>
      </c>
    </row>
    <row r="990" spans="1:3" x14ac:dyDescent="0.2">
      <c r="A990" s="3" t="s">
        <v>458</v>
      </c>
      <c r="B990" s="3" t="s">
        <v>481</v>
      </c>
      <c r="C990" s="3" t="s">
        <v>22</v>
      </c>
    </row>
    <row r="991" spans="1:3" x14ac:dyDescent="0.2">
      <c r="A991" s="3" t="s">
        <v>482</v>
      </c>
      <c r="B991" s="3" t="s">
        <v>199</v>
      </c>
      <c r="C991" s="3" t="s">
        <v>53</v>
      </c>
    </row>
    <row r="992" spans="1:3" x14ac:dyDescent="0.2">
      <c r="A992" s="3" t="s">
        <v>482</v>
      </c>
      <c r="B992" s="3" t="s">
        <v>221</v>
      </c>
      <c r="C992" s="3" t="s">
        <v>54</v>
      </c>
    </row>
    <row r="993" spans="1:3" x14ac:dyDescent="0.2">
      <c r="A993" s="3" t="s">
        <v>482</v>
      </c>
      <c r="B993" s="3" t="s">
        <v>199</v>
      </c>
      <c r="C993" s="3" t="s">
        <v>54</v>
      </c>
    </row>
    <row r="994" spans="1:3" x14ac:dyDescent="0.2">
      <c r="A994" s="3" t="s">
        <v>482</v>
      </c>
      <c r="B994" s="3" t="s">
        <v>221</v>
      </c>
      <c r="C994" s="3" t="s">
        <v>55</v>
      </c>
    </row>
    <row r="995" spans="1:3" x14ac:dyDescent="0.2">
      <c r="A995" s="3" t="s">
        <v>482</v>
      </c>
      <c r="B995" s="3" t="s">
        <v>256</v>
      </c>
      <c r="C995" s="3" t="s">
        <v>55</v>
      </c>
    </row>
    <row r="996" spans="1:3" x14ac:dyDescent="0.2">
      <c r="A996" s="3" t="s">
        <v>482</v>
      </c>
      <c r="B996" s="3" t="s">
        <v>221</v>
      </c>
      <c r="C996" s="3" t="s">
        <v>56</v>
      </c>
    </row>
    <row r="997" spans="1:3" x14ac:dyDescent="0.2">
      <c r="A997" s="3" t="s">
        <v>482</v>
      </c>
      <c r="B997" s="3" t="s">
        <v>199</v>
      </c>
      <c r="C997" s="3" t="s">
        <v>56</v>
      </c>
    </row>
    <row r="998" spans="1:3" x14ac:dyDescent="0.2">
      <c r="A998" s="3" t="s">
        <v>482</v>
      </c>
      <c r="B998" s="3" t="s">
        <v>221</v>
      </c>
      <c r="C998" s="3" t="s">
        <v>57</v>
      </c>
    </row>
    <row r="999" spans="1:3" x14ac:dyDescent="0.2">
      <c r="A999" s="3" t="s">
        <v>482</v>
      </c>
      <c r="B999" s="3" t="s">
        <v>199</v>
      </c>
      <c r="C999" s="3" t="s">
        <v>57</v>
      </c>
    </row>
    <row r="1000" spans="1:3" x14ac:dyDescent="0.2">
      <c r="A1000" s="3" t="s">
        <v>482</v>
      </c>
      <c r="B1000" s="3" t="s">
        <v>465</v>
      </c>
      <c r="C1000" s="3" t="s">
        <v>22</v>
      </c>
    </row>
    <row r="1001" spans="1:3" x14ac:dyDescent="0.2">
      <c r="A1001" s="3" t="s">
        <v>482</v>
      </c>
      <c r="B1001" s="3" t="s">
        <v>466</v>
      </c>
      <c r="C1001" s="3" t="s">
        <v>22</v>
      </c>
    </row>
    <row r="1002" spans="1:3" x14ac:dyDescent="0.2">
      <c r="A1002" s="3" t="s">
        <v>482</v>
      </c>
      <c r="B1002" s="3" t="s">
        <v>467</v>
      </c>
      <c r="C1002" s="3" t="s">
        <v>22</v>
      </c>
    </row>
    <row r="1003" spans="1:3" x14ac:dyDescent="0.2">
      <c r="A1003" s="3" t="s">
        <v>482</v>
      </c>
      <c r="B1003" s="3" t="s">
        <v>468</v>
      </c>
      <c r="C1003" s="3" t="s">
        <v>22</v>
      </c>
    </row>
    <row r="1004" spans="1:3" x14ac:dyDescent="0.2">
      <c r="A1004" s="3" t="s">
        <v>483</v>
      </c>
      <c r="B1004" s="3" t="s">
        <v>484</v>
      </c>
      <c r="C1004" s="3" t="s">
        <v>53</v>
      </c>
    </row>
    <row r="1005" spans="1:3" x14ac:dyDescent="0.2">
      <c r="A1005" s="3" t="s">
        <v>483</v>
      </c>
      <c r="B1005" s="3" t="s">
        <v>485</v>
      </c>
      <c r="C1005" s="3" t="s">
        <v>53</v>
      </c>
    </row>
    <row r="1006" spans="1:3" x14ac:dyDescent="0.2">
      <c r="A1006" s="3" t="s">
        <v>483</v>
      </c>
      <c r="B1006" s="3" t="s">
        <v>486</v>
      </c>
      <c r="C1006" s="3" t="s">
        <v>53</v>
      </c>
    </row>
    <row r="1007" spans="1:3" x14ac:dyDescent="0.2">
      <c r="A1007" s="3" t="s">
        <v>483</v>
      </c>
      <c r="B1007" s="3" t="s">
        <v>487</v>
      </c>
      <c r="C1007" s="3" t="s">
        <v>53</v>
      </c>
    </row>
    <row r="1008" spans="1:3" x14ac:dyDescent="0.2">
      <c r="A1008" s="3" t="s">
        <v>483</v>
      </c>
      <c r="B1008" s="3" t="s">
        <v>484</v>
      </c>
      <c r="C1008" s="3" t="s">
        <v>54</v>
      </c>
    </row>
    <row r="1009" spans="1:3" x14ac:dyDescent="0.2">
      <c r="A1009" s="3" t="s">
        <v>483</v>
      </c>
      <c r="B1009" s="3" t="s">
        <v>485</v>
      </c>
      <c r="C1009" s="3" t="s">
        <v>54</v>
      </c>
    </row>
    <row r="1010" spans="1:3" x14ac:dyDescent="0.2">
      <c r="A1010" s="3" t="s">
        <v>483</v>
      </c>
      <c r="B1010" s="3" t="s">
        <v>486</v>
      </c>
      <c r="C1010" s="3" t="s">
        <v>54</v>
      </c>
    </row>
    <row r="1011" spans="1:3" x14ac:dyDescent="0.2">
      <c r="A1011" s="3" t="s">
        <v>483</v>
      </c>
      <c r="B1011" s="3" t="s">
        <v>487</v>
      </c>
      <c r="C1011" s="3" t="s">
        <v>54</v>
      </c>
    </row>
    <row r="1012" spans="1:3" x14ac:dyDescent="0.2">
      <c r="A1012" s="3" t="s">
        <v>483</v>
      </c>
      <c r="B1012" s="3" t="s">
        <v>484</v>
      </c>
      <c r="C1012" s="3" t="s">
        <v>55</v>
      </c>
    </row>
    <row r="1013" spans="1:3" x14ac:dyDescent="0.2">
      <c r="A1013" s="3" t="s">
        <v>483</v>
      </c>
      <c r="B1013" s="3" t="s">
        <v>485</v>
      </c>
      <c r="C1013" s="3" t="s">
        <v>55</v>
      </c>
    </row>
    <row r="1014" spans="1:3" x14ac:dyDescent="0.2">
      <c r="A1014" s="3" t="s">
        <v>483</v>
      </c>
      <c r="B1014" s="3" t="s">
        <v>486</v>
      </c>
      <c r="C1014" s="3" t="s">
        <v>55</v>
      </c>
    </row>
    <row r="1015" spans="1:3" x14ac:dyDescent="0.2">
      <c r="A1015" s="3" t="s">
        <v>483</v>
      </c>
      <c r="B1015" s="3" t="s">
        <v>487</v>
      </c>
      <c r="C1015" s="3" t="s">
        <v>55</v>
      </c>
    </row>
    <row r="1016" spans="1:3" x14ac:dyDescent="0.2">
      <c r="A1016" s="3" t="s">
        <v>483</v>
      </c>
      <c r="B1016" s="3" t="s">
        <v>484</v>
      </c>
      <c r="C1016" s="3" t="s">
        <v>56</v>
      </c>
    </row>
    <row r="1017" spans="1:3" x14ac:dyDescent="0.2">
      <c r="A1017" s="3" t="s">
        <v>483</v>
      </c>
      <c r="B1017" s="3" t="s">
        <v>485</v>
      </c>
      <c r="C1017" s="3" t="s">
        <v>56</v>
      </c>
    </row>
    <row r="1018" spans="1:3" x14ac:dyDescent="0.2">
      <c r="A1018" s="3" t="s">
        <v>483</v>
      </c>
      <c r="B1018" s="3" t="s">
        <v>486</v>
      </c>
      <c r="C1018" s="3" t="s">
        <v>56</v>
      </c>
    </row>
    <row r="1019" spans="1:3" x14ac:dyDescent="0.2">
      <c r="A1019" s="3" t="s">
        <v>483</v>
      </c>
      <c r="B1019" s="3" t="s">
        <v>487</v>
      </c>
      <c r="C1019" s="3" t="s">
        <v>56</v>
      </c>
    </row>
    <row r="1020" spans="1:3" x14ac:dyDescent="0.2">
      <c r="A1020" s="3" t="s">
        <v>483</v>
      </c>
      <c r="B1020" s="3" t="s">
        <v>484</v>
      </c>
      <c r="C1020" s="3" t="s">
        <v>57</v>
      </c>
    </row>
    <row r="1021" spans="1:3" x14ac:dyDescent="0.2">
      <c r="A1021" s="3" t="s">
        <v>483</v>
      </c>
      <c r="B1021" s="3" t="s">
        <v>485</v>
      </c>
      <c r="C1021" s="3" t="s">
        <v>57</v>
      </c>
    </row>
    <row r="1022" spans="1:3" x14ac:dyDescent="0.2">
      <c r="A1022" s="3" t="s">
        <v>483</v>
      </c>
      <c r="B1022" s="3" t="s">
        <v>486</v>
      </c>
      <c r="C1022" s="3" t="s">
        <v>57</v>
      </c>
    </row>
    <row r="1023" spans="1:3" x14ac:dyDescent="0.2">
      <c r="A1023" s="3" t="s">
        <v>483</v>
      </c>
      <c r="B1023" s="3" t="s">
        <v>487</v>
      </c>
      <c r="C1023" s="3" t="s">
        <v>57</v>
      </c>
    </row>
    <row r="1024" spans="1:3" x14ac:dyDescent="0.2">
      <c r="A1024" s="3" t="s">
        <v>483</v>
      </c>
      <c r="B1024" s="3" t="s">
        <v>475</v>
      </c>
      <c r="C1024" s="3" t="s">
        <v>22</v>
      </c>
    </row>
    <row r="1025" spans="1:3" x14ac:dyDescent="0.2">
      <c r="A1025" s="3" t="s">
        <v>488</v>
      </c>
      <c r="B1025" s="3" t="s">
        <v>183</v>
      </c>
      <c r="C1025" s="3" t="s">
        <v>53</v>
      </c>
    </row>
    <row r="1026" spans="1:3" x14ac:dyDescent="0.2">
      <c r="A1026" s="3" t="s">
        <v>488</v>
      </c>
      <c r="B1026" s="3" t="s">
        <v>183</v>
      </c>
      <c r="C1026" s="3" t="s">
        <v>54</v>
      </c>
    </row>
    <row r="1027" spans="1:3" x14ac:dyDescent="0.2">
      <c r="A1027" s="3" t="s">
        <v>488</v>
      </c>
      <c r="B1027" s="3" t="s">
        <v>183</v>
      </c>
      <c r="C1027" s="3" t="s">
        <v>55</v>
      </c>
    </row>
    <row r="1028" spans="1:3" x14ac:dyDescent="0.2">
      <c r="A1028" s="3" t="s">
        <v>488</v>
      </c>
      <c r="B1028" s="3" t="s">
        <v>183</v>
      </c>
      <c r="C1028" s="3" t="s">
        <v>56</v>
      </c>
    </row>
    <row r="1029" spans="1:3" x14ac:dyDescent="0.2">
      <c r="A1029" s="3" t="s">
        <v>488</v>
      </c>
      <c r="B1029" s="3" t="s">
        <v>183</v>
      </c>
      <c r="C1029" s="3" t="s">
        <v>57</v>
      </c>
    </row>
    <row r="1030" spans="1:3" x14ac:dyDescent="0.2">
      <c r="A1030" s="3" t="s">
        <v>488</v>
      </c>
      <c r="B1030" s="3" t="s">
        <v>489</v>
      </c>
      <c r="C1030" s="3" t="s">
        <v>169</v>
      </c>
    </row>
    <row r="1031" spans="1:3" x14ac:dyDescent="0.2">
      <c r="A1031" s="3" t="s">
        <v>488</v>
      </c>
      <c r="B1031" s="3" t="s">
        <v>490</v>
      </c>
      <c r="C1031" s="3" t="s">
        <v>169</v>
      </c>
    </row>
    <row r="1032" spans="1:3" x14ac:dyDescent="0.2">
      <c r="A1032" s="3" t="s">
        <v>488</v>
      </c>
      <c r="B1032" s="3" t="s">
        <v>491</v>
      </c>
      <c r="C1032" s="3" t="s">
        <v>169</v>
      </c>
    </row>
    <row r="1033" spans="1:3" x14ac:dyDescent="0.2">
      <c r="A1033" s="3" t="s">
        <v>488</v>
      </c>
      <c r="B1033" s="3" t="s">
        <v>295</v>
      </c>
      <c r="C1033" s="3" t="s">
        <v>10</v>
      </c>
    </row>
    <row r="1034" spans="1:3" x14ac:dyDescent="0.2">
      <c r="A1034" s="3" t="s">
        <v>488</v>
      </c>
      <c r="B1034" s="3" t="s">
        <v>296</v>
      </c>
      <c r="C1034" s="3" t="s">
        <v>10</v>
      </c>
    </row>
    <row r="1035" spans="1:3" x14ac:dyDescent="0.2">
      <c r="A1035" s="3" t="s">
        <v>488</v>
      </c>
      <c r="B1035" s="3" t="s">
        <v>297</v>
      </c>
      <c r="C1035" s="3" t="s">
        <v>10</v>
      </c>
    </row>
    <row r="1036" spans="1:3" x14ac:dyDescent="0.2">
      <c r="A1036" s="3" t="s">
        <v>488</v>
      </c>
      <c r="B1036" s="3" t="s">
        <v>343</v>
      </c>
      <c r="C1036" s="3" t="s">
        <v>22</v>
      </c>
    </row>
    <row r="1037" spans="1:3" x14ac:dyDescent="0.2">
      <c r="A1037" s="3" t="s">
        <v>492</v>
      </c>
      <c r="B1037" s="3" t="s">
        <v>493</v>
      </c>
      <c r="C1037" s="3" t="s">
        <v>53</v>
      </c>
    </row>
    <row r="1038" spans="1:3" x14ac:dyDescent="0.2">
      <c r="A1038" s="3" t="s">
        <v>492</v>
      </c>
      <c r="B1038" s="3" t="s">
        <v>494</v>
      </c>
      <c r="C1038" s="3" t="s">
        <v>53</v>
      </c>
    </row>
    <row r="1039" spans="1:3" x14ac:dyDescent="0.2">
      <c r="A1039" s="3" t="s">
        <v>492</v>
      </c>
      <c r="B1039" s="3" t="s">
        <v>485</v>
      </c>
      <c r="C1039" s="3" t="s">
        <v>53</v>
      </c>
    </row>
    <row r="1040" spans="1:3" x14ac:dyDescent="0.2">
      <c r="A1040" s="3" t="s">
        <v>492</v>
      </c>
      <c r="B1040" s="3" t="s">
        <v>487</v>
      </c>
      <c r="C1040" s="3" t="s">
        <v>53</v>
      </c>
    </row>
    <row r="1041" spans="1:3" x14ac:dyDescent="0.2">
      <c r="A1041" s="3" t="s">
        <v>492</v>
      </c>
      <c r="B1041" s="3" t="s">
        <v>495</v>
      </c>
      <c r="C1041" s="3" t="s">
        <v>53</v>
      </c>
    </row>
    <row r="1042" spans="1:3" x14ac:dyDescent="0.2">
      <c r="A1042" s="3" t="s">
        <v>492</v>
      </c>
      <c r="B1042" s="3" t="s">
        <v>496</v>
      </c>
      <c r="C1042" s="3" t="s">
        <v>53</v>
      </c>
    </row>
    <row r="1043" spans="1:3" x14ac:dyDescent="0.2">
      <c r="A1043" s="3" t="s">
        <v>492</v>
      </c>
      <c r="B1043" s="3" t="s">
        <v>497</v>
      </c>
      <c r="C1043" s="3" t="s">
        <v>53</v>
      </c>
    </row>
    <row r="1044" spans="1:3" x14ac:dyDescent="0.2">
      <c r="A1044" s="3" t="s">
        <v>492</v>
      </c>
      <c r="B1044" s="3" t="s">
        <v>498</v>
      </c>
      <c r="C1044" s="3" t="s">
        <v>53</v>
      </c>
    </row>
    <row r="1045" spans="1:3" x14ac:dyDescent="0.2">
      <c r="A1045" s="3" t="s">
        <v>492</v>
      </c>
      <c r="B1045" s="3" t="s">
        <v>493</v>
      </c>
      <c r="C1045" s="3" t="s">
        <v>54</v>
      </c>
    </row>
    <row r="1046" spans="1:3" x14ac:dyDescent="0.2">
      <c r="A1046" s="3" t="s">
        <v>492</v>
      </c>
      <c r="B1046" s="3" t="s">
        <v>494</v>
      </c>
      <c r="C1046" s="3" t="s">
        <v>54</v>
      </c>
    </row>
    <row r="1047" spans="1:3" x14ac:dyDescent="0.2">
      <c r="A1047" s="3" t="s">
        <v>492</v>
      </c>
      <c r="B1047" s="3" t="s">
        <v>485</v>
      </c>
      <c r="C1047" s="3" t="s">
        <v>54</v>
      </c>
    </row>
    <row r="1048" spans="1:3" x14ac:dyDescent="0.2">
      <c r="A1048" s="3" t="s">
        <v>492</v>
      </c>
      <c r="B1048" s="3" t="s">
        <v>487</v>
      </c>
      <c r="C1048" s="3" t="s">
        <v>54</v>
      </c>
    </row>
    <row r="1049" spans="1:3" x14ac:dyDescent="0.2">
      <c r="A1049" s="3" t="s">
        <v>492</v>
      </c>
      <c r="B1049" s="3" t="s">
        <v>495</v>
      </c>
      <c r="C1049" s="3" t="s">
        <v>54</v>
      </c>
    </row>
    <row r="1050" spans="1:3" x14ac:dyDescent="0.2">
      <c r="A1050" s="3" t="s">
        <v>492</v>
      </c>
      <c r="B1050" s="3" t="s">
        <v>496</v>
      </c>
      <c r="C1050" s="3" t="s">
        <v>54</v>
      </c>
    </row>
    <row r="1051" spans="1:3" x14ac:dyDescent="0.2">
      <c r="A1051" s="3" t="s">
        <v>492</v>
      </c>
      <c r="B1051" s="3" t="s">
        <v>497</v>
      </c>
      <c r="C1051" s="3" t="s">
        <v>54</v>
      </c>
    </row>
    <row r="1052" spans="1:3" x14ac:dyDescent="0.2">
      <c r="A1052" s="3" t="s">
        <v>492</v>
      </c>
      <c r="B1052" s="3" t="s">
        <v>498</v>
      </c>
      <c r="C1052" s="3" t="s">
        <v>54</v>
      </c>
    </row>
    <row r="1053" spans="1:3" x14ac:dyDescent="0.2">
      <c r="A1053" s="3" t="s">
        <v>492</v>
      </c>
      <c r="B1053" s="3" t="s">
        <v>493</v>
      </c>
      <c r="C1053" s="3" t="s">
        <v>55</v>
      </c>
    </row>
    <row r="1054" spans="1:3" x14ac:dyDescent="0.2">
      <c r="A1054" s="3" t="s">
        <v>492</v>
      </c>
      <c r="B1054" s="3" t="s">
        <v>494</v>
      </c>
      <c r="C1054" s="3" t="s">
        <v>55</v>
      </c>
    </row>
    <row r="1055" spans="1:3" x14ac:dyDescent="0.2">
      <c r="A1055" s="3" t="s">
        <v>492</v>
      </c>
      <c r="B1055" s="3" t="s">
        <v>485</v>
      </c>
      <c r="C1055" s="3" t="s">
        <v>55</v>
      </c>
    </row>
    <row r="1056" spans="1:3" x14ac:dyDescent="0.2">
      <c r="A1056" s="3" t="s">
        <v>492</v>
      </c>
      <c r="B1056" s="3" t="s">
        <v>487</v>
      </c>
      <c r="C1056" s="3" t="s">
        <v>55</v>
      </c>
    </row>
    <row r="1057" spans="1:3" x14ac:dyDescent="0.2">
      <c r="A1057" s="3" t="s">
        <v>492</v>
      </c>
      <c r="B1057" s="3" t="s">
        <v>495</v>
      </c>
      <c r="C1057" s="3" t="s">
        <v>55</v>
      </c>
    </row>
    <row r="1058" spans="1:3" x14ac:dyDescent="0.2">
      <c r="A1058" s="3" t="s">
        <v>492</v>
      </c>
      <c r="B1058" s="3" t="s">
        <v>496</v>
      </c>
      <c r="C1058" s="3" t="s">
        <v>55</v>
      </c>
    </row>
    <row r="1059" spans="1:3" x14ac:dyDescent="0.2">
      <c r="A1059" s="3" t="s">
        <v>492</v>
      </c>
      <c r="B1059" s="3" t="s">
        <v>497</v>
      </c>
      <c r="C1059" s="3" t="s">
        <v>55</v>
      </c>
    </row>
    <row r="1060" spans="1:3" x14ac:dyDescent="0.2">
      <c r="A1060" s="3" t="s">
        <v>492</v>
      </c>
      <c r="B1060" s="3" t="s">
        <v>498</v>
      </c>
      <c r="C1060" s="3" t="s">
        <v>55</v>
      </c>
    </row>
    <row r="1061" spans="1:3" x14ac:dyDescent="0.2">
      <c r="A1061" s="3" t="s">
        <v>492</v>
      </c>
      <c r="B1061" s="3" t="s">
        <v>499</v>
      </c>
      <c r="C1061" s="3" t="s">
        <v>55</v>
      </c>
    </row>
    <row r="1062" spans="1:3" x14ac:dyDescent="0.2">
      <c r="A1062" s="3" t="s">
        <v>492</v>
      </c>
      <c r="B1062" s="3" t="s">
        <v>493</v>
      </c>
      <c r="C1062" s="3" t="s">
        <v>56</v>
      </c>
    </row>
    <row r="1063" spans="1:3" x14ac:dyDescent="0.2">
      <c r="A1063" s="3" t="s">
        <v>492</v>
      </c>
      <c r="B1063" s="3" t="s">
        <v>494</v>
      </c>
      <c r="C1063" s="3" t="s">
        <v>56</v>
      </c>
    </row>
    <row r="1064" spans="1:3" x14ac:dyDescent="0.2">
      <c r="A1064" s="3" t="s">
        <v>492</v>
      </c>
      <c r="B1064" s="3" t="s">
        <v>485</v>
      </c>
      <c r="C1064" s="3" t="s">
        <v>56</v>
      </c>
    </row>
    <row r="1065" spans="1:3" x14ac:dyDescent="0.2">
      <c r="A1065" s="3" t="s">
        <v>492</v>
      </c>
      <c r="B1065" s="3" t="s">
        <v>487</v>
      </c>
      <c r="C1065" s="3" t="s">
        <v>56</v>
      </c>
    </row>
    <row r="1066" spans="1:3" x14ac:dyDescent="0.2">
      <c r="A1066" s="3" t="s">
        <v>492</v>
      </c>
      <c r="B1066" s="3" t="s">
        <v>495</v>
      </c>
      <c r="C1066" s="3" t="s">
        <v>56</v>
      </c>
    </row>
    <row r="1067" spans="1:3" x14ac:dyDescent="0.2">
      <c r="A1067" s="3" t="s">
        <v>492</v>
      </c>
      <c r="B1067" s="3" t="s">
        <v>496</v>
      </c>
      <c r="C1067" s="3" t="s">
        <v>56</v>
      </c>
    </row>
    <row r="1068" spans="1:3" x14ac:dyDescent="0.2">
      <c r="A1068" s="3" t="s">
        <v>492</v>
      </c>
      <c r="B1068" s="3" t="s">
        <v>497</v>
      </c>
      <c r="C1068" s="3" t="s">
        <v>56</v>
      </c>
    </row>
    <row r="1069" spans="1:3" x14ac:dyDescent="0.2">
      <c r="A1069" s="3" t="s">
        <v>492</v>
      </c>
      <c r="B1069" s="3" t="s">
        <v>498</v>
      </c>
      <c r="C1069" s="3" t="s">
        <v>56</v>
      </c>
    </row>
    <row r="1070" spans="1:3" x14ac:dyDescent="0.2">
      <c r="A1070" s="3" t="s">
        <v>492</v>
      </c>
      <c r="B1070" s="3" t="s">
        <v>493</v>
      </c>
      <c r="C1070" s="3" t="s">
        <v>57</v>
      </c>
    </row>
    <row r="1071" spans="1:3" x14ac:dyDescent="0.2">
      <c r="A1071" s="3" t="s">
        <v>492</v>
      </c>
      <c r="B1071" s="3" t="s">
        <v>494</v>
      </c>
      <c r="C1071" s="3" t="s">
        <v>57</v>
      </c>
    </row>
    <row r="1072" spans="1:3" x14ac:dyDescent="0.2">
      <c r="A1072" s="3" t="s">
        <v>492</v>
      </c>
      <c r="B1072" s="3" t="s">
        <v>485</v>
      </c>
      <c r="C1072" s="3" t="s">
        <v>57</v>
      </c>
    </row>
    <row r="1073" spans="1:3" x14ac:dyDescent="0.2">
      <c r="A1073" s="3" t="s">
        <v>492</v>
      </c>
      <c r="B1073" s="3" t="s">
        <v>487</v>
      </c>
      <c r="C1073" s="3" t="s">
        <v>57</v>
      </c>
    </row>
    <row r="1074" spans="1:3" x14ac:dyDescent="0.2">
      <c r="A1074" s="3" t="s">
        <v>492</v>
      </c>
      <c r="B1074" s="3" t="s">
        <v>495</v>
      </c>
      <c r="C1074" s="3" t="s">
        <v>57</v>
      </c>
    </row>
    <row r="1075" spans="1:3" x14ac:dyDescent="0.2">
      <c r="A1075" s="3" t="s">
        <v>492</v>
      </c>
      <c r="B1075" s="3" t="s">
        <v>496</v>
      </c>
      <c r="C1075" s="3" t="s">
        <v>57</v>
      </c>
    </row>
    <row r="1076" spans="1:3" x14ac:dyDescent="0.2">
      <c r="A1076" s="3" t="s">
        <v>492</v>
      </c>
      <c r="B1076" s="3" t="s">
        <v>497</v>
      </c>
      <c r="C1076" s="3" t="s">
        <v>57</v>
      </c>
    </row>
    <row r="1077" spans="1:3" x14ac:dyDescent="0.2">
      <c r="A1077" s="3" t="s">
        <v>492</v>
      </c>
      <c r="B1077" s="3" t="s">
        <v>498</v>
      </c>
      <c r="C1077" s="3" t="s">
        <v>57</v>
      </c>
    </row>
    <row r="1078" spans="1:3" x14ac:dyDescent="0.2">
      <c r="A1078" s="3" t="s">
        <v>492</v>
      </c>
      <c r="B1078" s="3" t="s">
        <v>500</v>
      </c>
      <c r="C1078" s="3" t="s">
        <v>169</v>
      </c>
    </row>
    <row r="1079" spans="1:3" x14ac:dyDescent="0.2">
      <c r="A1079" s="3" t="s">
        <v>492</v>
      </c>
      <c r="B1079" s="3" t="s">
        <v>501</v>
      </c>
      <c r="C1079" s="3" t="s">
        <v>169</v>
      </c>
    </row>
    <row r="1080" spans="1:3" x14ac:dyDescent="0.2">
      <c r="A1080" s="3" t="s">
        <v>492</v>
      </c>
      <c r="B1080" s="3" t="s">
        <v>502</v>
      </c>
      <c r="C1080" s="3" t="s">
        <v>169</v>
      </c>
    </row>
    <row r="1081" spans="1:3" x14ac:dyDescent="0.2">
      <c r="A1081" s="3" t="s">
        <v>492</v>
      </c>
      <c r="B1081" s="3" t="s">
        <v>503</v>
      </c>
      <c r="C1081" s="3" t="s">
        <v>169</v>
      </c>
    </row>
    <row r="1082" spans="1:3" x14ac:dyDescent="0.2">
      <c r="A1082" s="3" t="s">
        <v>492</v>
      </c>
      <c r="B1082" s="3" t="s">
        <v>504</v>
      </c>
      <c r="C1082" s="3" t="s">
        <v>169</v>
      </c>
    </row>
    <row r="1083" spans="1:3" x14ac:dyDescent="0.2">
      <c r="A1083" s="3" t="s">
        <v>492</v>
      </c>
      <c r="B1083" s="3" t="s">
        <v>505</v>
      </c>
      <c r="C1083" s="3" t="s">
        <v>169</v>
      </c>
    </row>
    <row r="1084" spans="1:3" x14ac:dyDescent="0.2">
      <c r="A1084" s="3" t="s">
        <v>492</v>
      </c>
      <c r="B1084" s="3" t="s">
        <v>506</v>
      </c>
      <c r="C1084" s="3" t="s">
        <v>169</v>
      </c>
    </row>
    <row r="1085" spans="1:3" x14ac:dyDescent="0.2">
      <c r="A1085" s="3" t="s">
        <v>492</v>
      </c>
      <c r="B1085" s="3" t="s">
        <v>507</v>
      </c>
      <c r="C1085" s="3" t="s">
        <v>169</v>
      </c>
    </row>
    <row r="1086" spans="1:3" x14ac:dyDescent="0.2">
      <c r="A1086" s="3" t="s">
        <v>492</v>
      </c>
      <c r="B1086" s="3" t="s">
        <v>508</v>
      </c>
      <c r="C1086" s="3" t="s">
        <v>169</v>
      </c>
    </row>
    <row r="1087" spans="1:3" x14ac:dyDescent="0.2">
      <c r="A1087" s="3" t="s">
        <v>492</v>
      </c>
      <c r="B1087" s="3" t="s">
        <v>509</v>
      </c>
      <c r="C1087" s="3" t="s">
        <v>169</v>
      </c>
    </row>
    <row r="1088" spans="1:3" x14ac:dyDescent="0.2">
      <c r="A1088" s="3" t="s">
        <v>492</v>
      </c>
      <c r="B1088" s="3" t="s">
        <v>510</v>
      </c>
      <c r="C1088" s="3" t="s">
        <v>169</v>
      </c>
    </row>
    <row r="1089" spans="1:3" x14ac:dyDescent="0.2">
      <c r="A1089" s="3" t="s">
        <v>492</v>
      </c>
      <c r="B1089" s="3" t="s">
        <v>511</v>
      </c>
      <c r="C1089" s="3" t="s">
        <v>169</v>
      </c>
    </row>
    <row r="1090" spans="1:3" x14ac:dyDescent="0.2">
      <c r="A1090" s="3" t="s">
        <v>492</v>
      </c>
      <c r="B1090" s="3" t="s">
        <v>512</v>
      </c>
      <c r="C1090" s="3" t="s">
        <v>169</v>
      </c>
    </row>
    <row r="1091" spans="1:3" x14ac:dyDescent="0.2">
      <c r="A1091" s="3" t="s">
        <v>492</v>
      </c>
      <c r="B1091" s="3" t="s">
        <v>513</v>
      </c>
      <c r="C1091" s="3" t="s">
        <v>169</v>
      </c>
    </row>
    <row r="1092" spans="1:3" x14ac:dyDescent="0.2">
      <c r="A1092" s="3" t="s">
        <v>492</v>
      </c>
      <c r="B1092" s="3" t="s">
        <v>514</v>
      </c>
      <c r="C1092" s="3" t="s">
        <v>169</v>
      </c>
    </row>
    <row r="1093" spans="1:3" x14ac:dyDescent="0.2">
      <c r="A1093" s="3" t="s">
        <v>492</v>
      </c>
      <c r="B1093" s="3" t="s">
        <v>515</v>
      </c>
      <c r="C1093" s="3" t="s">
        <v>169</v>
      </c>
    </row>
    <row r="1094" spans="1:3" x14ac:dyDescent="0.2">
      <c r="A1094" s="3" t="s">
        <v>492</v>
      </c>
      <c r="B1094" s="3" t="s">
        <v>516</v>
      </c>
      <c r="C1094" s="3" t="s">
        <v>169</v>
      </c>
    </row>
    <row r="1095" spans="1:3" x14ac:dyDescent="0.2">
      <c r="A1095" s="3" t="s">
        <v>517</v>
      </c>
      <c r="B1095" s="3" t="s">
        <v>459</v>
      </c>
      <c r="C1095" s="3" t="s">
        <v>53</v>
      </c>
    </row>
    <row r="1096" spans="1:3" x14ac:dyDescent="0.2">
      <c r="A1096" s="3" t="s">
        <v>517</v>
      </c>
      <c r="B1096" s="3" t="s">
        <v>460</v>
      </c>
      <c r="C1096" s="3" t="s">
        <v>53</v>
      </c>
    </row>
    <row r="1097" spans="1:3" x14ac:dyDescent="0.2">
      <c r="A1097" s="3" t="s">
        <v>517</v>
      </c>
      <c r="B1097" s="3" t="s">
        <v>518</v>
      </c>
      <c r="C1097" s="3" t="s">
        <v>53</v>
      </c>
    </row>
    <row r="1098" spans="1:3" x14ac:dyDescent="0.2">
      <c r="A1098" s="3" t="s">
        <v>517</v>
      </c>
      <c r="B1098" s="3" t="s">
        <v>461</v>
      </c>
      <c r="C1098" s="3" t="s">
        <v>53</v>
      </c>
    </row>
    <row r="1099" spans="1:3" x14ac:dyDescent="0.2">
      <c r="A1099" s="3" t="s">
        <v>517</v>
      </c>
      <c r="B1099" s="3" t="s">
        <v>462</v>
      </c>
      <c r="C1099" s="3" t="s">
        <v>53</v>
      </c>
    </row>
    <row r="1100" spans="1:3" x14ac:dyDescent="0.2">
      <c r="A1100" s="3" t="s">
        <v>517</v>
      </c>
      <c r="B1100" s="3" t="s">
        <v>519</v>
      </c>
      <c r="C1100" s="3" t="s">
        <v>53</v>
      </c>
    </row>
    <row r="1101" spans="1:3" x14ac:dyDescent="0.2">
      <c r="A1101" s="3" t="s">
        <v>517</v>
      </c>
      <c r="B1101" s="3" t="s">
        <v>459</v>
      </c>
      <c r="C1101" s="3" t="s">
        <v>54</v>
      </c>
    </row>
    <row r="1102" spans="1:3" x14ac:dyDescent="0.2">
      <c r="A1102" s="3" t="s">
        <v>517</v>
      </c>
      <c r="B1102" s="3" t="s">
        <v>460</v>
      </c>
      <c r="C1102" s="3" t="s">
        <v>54</v>
      </c>
    </row>
    <row r="1103" spans="1:3" x14ac:dyDescent="0.2">
      <c r="A1103" s="3" t="s">
        <v>517</v>
      </c>
      <c r="B1103" s="3" t="s">
        <v>518</v>
      </c>
      <c r="C1103" s="3" t="s">
        <v>54</v>
      </c>
    </row>
    <row r="1104" spans="1:3" x14ac:dyDescent="0.2">
      <c r="A1104" s="3" t="s">
        <v>517</v>
      </c>
      <c r="B1104" s="3" t="s">
        <v>461</v>
      </c>
      <c r="C1104" s="3" t="s">
        <v>54</v>
      </c>
    </row>
    <row r="1105" spans="1:3" x14ac:dyDescent="0.2">
      <c r="A1105" s="3" t="s">
        <v>517</v>
      </c>
      <c r="B1105" s="3" t="s">
        <v>462</v>
      </c>
      <c r="C1105" s="3" t="s">
        <v>54</v>
      </c>
    </row>
    <row r="1106" spans="1:3" x14ac:dyDescent="0.2">
      <c r="A1106" s="3" t="s">
        <v>517</v>
      </c>
      <c r="B1106" s="3" t="s">
        <v>519</v>
      </c>
      <c r="C1106" s="3" t="s">
        <v>54</v>
      </c>
    </row>
    <row r="1107" spans="1:3" x14ac:dyDescent="0.2">
      <c r="A1107" s="3" t="s">
        <v>517</v>
      </c>
      <c r="B1107" s="3" t="s">
        <v>464</v>
      </c>
      <c r="C1107" s="3" t="s">
        <v>54</v>
      </c>
    </row>
    <row r="1108" spans="1:3" x14ac:dyDescent="0.2">
      <c r="A1108" s="3" t="s">
        <v>517</v>
      </c>
      <c r="B1108" s="3" t="s">
        <v>459</v>
      </c>
      <c r="C1108" s="3" t="s">
        <v>55</v>
      </c>
    </row>
    <row r="1109" spans="1:3" x14ac:dyDescent="0.2">
      <c r="A1109" s="3" t="s">
        <v>517</v>
      </c>
      <c r="B1109" s="3" t="s">
        <v>460</v>
      </c>
      <c r="C1109" s="3" t="s">
        <v>55</v>
      </c>
    </row>
    <row r="1110" spans="1:3" x14ac:dyDescent="0.2">
      <c r="A1110" s="3" t="s">
        <v>517</v>
      </c>
      <c r="B1110" s="3" t="s">
        <v>518</v>
      </c>
      <c r="C1110" s="3" t="s">
        <v>55</v>
      </c>
    </row>
    <row r="1111" spans="1:3" x14ac:dyDescent="0.2">
      <c r="A1111" s="3" t="s">
        <v>517</v>
      </c>
      <c r="B1111" s="3" t="s">
        <v>461</v>
      </c>
      <c r="C1111" s="3" t="s">
        <v>55</v>
      </c>
    </row>
    <row r="1112" spans="1:3" x14ac:dyDescent="0.2">
      <c r="A1112" s="3" t="s">
        <v>517</v>
      </c>
      <c r="B1112" s="3" t="s">
        <v>462</v>
      </c>
      <c r="C1112" s="3" t="s">
        <v>55</v>
      </c>
    </row>
    <row r="1113" spans="1:3" x14ac:dyDescent="0.2">
      <c r="A1113" s="3" t="s">
        <v>517</v>
      </c>
      <c r="B1113" s="3" t="s">
        <v>519</v>
      </c>
      <c r="C1113" s="3" t="s">
        <v>55</v>
      </c>
    </row>
    <row r="1114" spans="1:3" x14ac:dyDescent="0.2">
      <c r="A1114" s="3" t="s">
        <v>517</v>
      </c>
      <c r="B1114" s="3" t="s">
        <v>459</v>
      </c>
      <c r="C1114" s="3" t="s">
        <v>56</v>
      </c>
    </row>
    <row r="1115" spans="1:3" x14ac:dyDescent="0.2">
      <c r="A1115" s="3" t="s">
        <v>517</v>
      </c>
      <c r="B1115" s="3" t="s">
        <v>460</v>
      </c>
      <c r="C1115" s="3" t="s">
        <v>56</v>
      </c>
    </row>
    <row r="1116" spans="1:3" x14ac:dyDescent="0.2">
      <c r="A1116" s="3" t="s">
        <v>517</v>
      </c>
      <c r="B1116" s="3" t="s">
        <v>518</v>
      </c>
      <c r="C1116" s="3" t="s">
        <v>56</v>
      </c>
    </row>
    <row r="1117" spans="1:3" x14ac:dyDescent="0.2">
      <c r="A1117" s="3" t="s">
        <v>517</v>
      </c>
      <c r="B1117" s="3" t="s">
        <v>461</v>
      </c>
      <c r="C1117" s="3" t="s">
        <v>56</v>
      </c>
    </row>
    <row r="1118" spans="1:3" x14ac:dyDescent="0.2">
      <c r="A1118" s="3" t="s">
        <v>517</v>
      </c>
      <c r="B1118" s="3" t="s">
        <v>462</v>
      </c>
      <c r="C1118" s="3" t="s">
        <v>56</v>
      </c>
    </row>
    <row r="1119" spans="1:3" x14ac:dyDescent="0.2">
      <c r="A1119" s="3" t="s">
        <v>517</v>
      </c>
      <c r="B1119" s="3" t="s">
        <v>519</v>
      </c>
      <c r="C1119" s="3" t="s">
        <v>56</v>
      </c>
    </row>
    <row r="1120" spans="1:3" x14ac:dyDescent="0.2">
      <c r="A1120" s="3" t="s">
        <v>517</v>
      </c>
      <c r="B1120" s="3" t="s">
        <v>459</v>
      </c>
      <c r="C1120" s="3" t="s">
        <v>57</v>
      </c>
    </row>
    <row r="1121" spans="1:3" x14ac:dyDescent="0.2">
      <c r="A1121" s="3" t="s">
        <v>517</v>
      </c>
      <c r="B1121" s="3" t="s">
        <v>460</v>
      </c>
      <c r="C1121" s="3" t="s">
        <v>57</v>
      </c>
    </row>
    <row r="1122" spans="1:3" x14ac:dyDescent="0.2">
      <c r="A1122" s="3" t="s">
        <v>517</v>
      </c>
      <c r="B1122" s="3" t="s">
        <v>518</v>
      </c>
      <c r="C1122" s="3" t="s">
        <v>57</v>
      </c>
    </row>
    <row r="1123" spans="1:3" x14ac:dyDescent="0.2">
      <c r="A1123" s="3" t="s">
        <v>517</v>
      </c>
      <c r="B1123" s="3" t="s">
        <v>461</v>
      </c>
      <c r="C1123" s="3" t="s">
        <v>57</v>
      </c>
    </row>
    <row r="1124" spans="1:3" x14ac:dyDescent="0.2">
      <c r="A1124" s="3" t="s">
        <v>517</v>
      </c>
      <c r="B1124" s="3" t="s">
        <v>462</v>
      </c>
      <c r="C1124" s="3" t="s">
        <v>57</v>
      </c>
    </row>
    <row r="1125" spans="1:3" x14ac:dyDescent="0.2">
      <c r="A1125" s="3" t="s">
        <v>517</v>
      </c>
      <c r="B1125" s="3" t="s">
        <v>519</v>
      </c>
      <c r="C1125" s="3" t="s">
        <v>57</v>
      </c>
    </row>
    <row r="1126" spans="1:3" x14ac:dyDescent="0.2">
      <c r="A1126" s="3" t="s">
        <v>517</v>
      </c>
      <c r="B1126" s="3" t="s">
        <v>520</v>
      </c>
      <c r="C1126" s="3" t="s">
        <v>169</v>
      </c>
    </row>
    <row r="1127" spans="1:3" x14ac:dyDescent="0.2">
      <c r="A1127" s="3" t="s">
        <v>517</v>
      </c>
      <c r="B1127" s="3" t="s">
        <v>521</v>
      </c>
      <c r="C1127" s="3" t="s">
        <v>169</v>
      </c>
    </row>
    <row r="1128" spans="1:3" x14ac:dyDescent="0.2">
      <c r="A1128" s="3" t="s">
        <v>522</v>
      </c>
      <c r="B1128" s="3" t="s">
        <v>484</v>
      </c>
      <c r="C1128" s="3" t="s">
        <v>53</v>
      </c>
    </row>
    <row r="1129" spans="1:3" x14ac:dyDescent="0.2">
      <c r="A1129" s="3" t="s">
        <v>522</v>
      </c>
      <c r="B1129" s="3" t="s">
        <v>518</v>
      </c>
      <c r="C1129" s="3" t="s">
        <v>53</v>
      </c>
    </row>
    <row r="1130" spans="1:3" x14ac:dyDescent="0.2">
      <c r="A1130" s="3" t="s">
        <v>522</v>
      </c>
      <c r="B1130" s="3" t="s">
        <v>486</v>
      </c>
      <c r="C1130" s="3" t="s">
        <v>53</v>
      </c>
    </row>
    <row r="1131" spans="1:3" x14ac:dyDescent="0.2">
      <c r="A1131" s="3" t="s">
        <v>522</v>
      </c>
      <c r="B1131" s="3" t="s">
        <v>523</v>
      </c>
      <c r="C1131" s="3" t="s">
        <v>53</v>
      </c>
    </row>
    <row r="1132" spans="1:3" x14ac:dyDescent="0.2">
      <c r="A1132" s="3" t="s">
        <v>522</v>
      </c>
      <c r="B1132" s="3" t="s">
        <v>519</v>
      </c>
      <c r="C1132" s="3" t="s">
        <v>53</v>
      </c>
    </row>
    <row r="1133" spans="1:3" x14ac:dyDescent="0.2">
      <c r="A1133" s="3" t="s">
        <v>522</v>
      </c>
      <c r="B1133" s="3" t="s">
        <v>484</v>
      </c>
      <c r="C1133" s="3" t="s">
        <v>54</v>
      </c>
    </row>
    <row r="1134" spans="1:3" x14ac:dyDescent="0.2">
      <c r="A1134" s="3" t="s">
        <v>522</v>
      </c>
      <c r="B1134" s="3" t="s">
        <v>518</v>
      </c>
      <c r="C1134" s="3" t="s">
        <v>54</v>
      </c>
    </row>
    <row r="1135" spans="1:3" x14ac:dyDescent="0.2">
      <c r="A1135" s="3" t="s">
        <v>522</v>
      </c>
      <c r="B1135" s="3" t="s">
        <v>486</v>
      </c>
      <c r="C1135" s="3" t="s">
        <v>54</v>
      </c>
    </row>
    <row r="1136" spans="1:3" x14ac:dyDescent="0.2">
      <c r="A1136" s="3" t="s">
        <v>522</v>
      </c>
      <c r="B1136" s="3" t="s">
        <v>523</v>
      </c>
      <c r="C1136" s="3" t="s">
        <v>54</v>
      </c>
    </row>
    <row r="1137" spans="1:3" x14ac:dyDescent="0.2">
      <c r="A1137" s="3" t="s">
        <v>522</v>
      </c>
      <c r="B1137" s="3" t="s">
        <v>519</v>
      </c>
      <c r="C1137" s="3" t="s">
        <v>54</v>
      </c>
    </row>
    <row r="1138" spans="1:3" x14ac:dyDescent="0.2">
      <c r="A1138" s="3" t="s">
        <v>522</v>
      </c>
      <c r="B1138" s="3" t="s">
        <v>484</v>
      </c>
      <c r="C1138" s="3" t="s">
        <v>55</v>
      </c>
    </row>
    <row r="1139" spans="1:3" x14ac:dyDescent="0.2">
      <c r="A1139" s="3" t="s">
        <v>522</v>
      </c>
      <c r="B1139" s="3" t="s">
        <v>518</v>
      </c>
      <c r="C1139" s="3" t="s">
        <v>55</v>
      </c>
    </row>
    <row r="1140" spans="1:3" x14ac:dyDescent="0.2">
      <c r="A1140" s="3" t="s">
        <v>522</v>
      </c>
      <c r="B1140" s="3" t="s">
        <v>486</v>
      </c>
      <c r="C1140" s="3" t="s">
        <v>55</v>
      </c>
    </row>
    <row r="1141" spans="1:3" x14ac:dyDescent="0.2">
      <c r="A1141" s="3" t="s">
        <v>522</v>
      </c>
      <c r="B1141" s="3" t="s">
        <v>523</v>
      </c>
      <c r="C1141" s="3" t="s">
        <v>55</v>
      </c>
    </row>
    <row r="1142" spans="1:3" x14ac:dyDescent="0.2">
      <c r="A1142" s="3" t="s">
        <v>522</v>
      </c>
      <c r="B1142" s="3" t="s">
        <v>519</v>
      </c>
      <c r="C1142" s="3" t="s">
        <v>55</v>
      </c>
    </row>
    <row r="1143" spans="1:3" x14ac:dyDescent="0.2">
      <c r="A1143" s="3" t="s">
        <v>522</v>
      </c>
      <c r="B1143" s="3" t="s">
        <v>484</v>
      </c>
      <c r="C1143" s="3" t="s">
        <v>56</v>
      </c>
    </row>
    <row r="1144" spans="1:3" x14ac:dyDescent="0.2">
      <c r="A1144" s="3" t="s">
        <v>522</v>
      </c>
      <c r="B1144" s="3" t="s">
        <v>518</v>
      </c>
      <c r="C1144" s="3" t="s">
        <v>56</v>
      </c>
    </row>
    <row r="1145" spans="1:3" x14ac:dyDescent="0.2">
      <c r="A1145" s="3" t="s">
        <v>522</v>
      </c>
      <c r="B1145" s="3" t="s">
        <v>486</v>
      </c>
      <c r="C1145" s="3" t="s">
        <v>56</v>
      </c>
    </row>
    <row r="1146" spans="1:3" x14ac:dyDescent="0.2">
      <c r="A1146" s="3" t="s">
        <v>522</v>
      </c>
      <c r="B1146" s="3" t="s">
        <v>523</v>
      </c>
      <c r="C1146" s="3" t="s">
        <v>56</v>
      </c>
    </row>
    <row r="1147" spans="1:3" x14ac:dyDescent="0.2">
      <c r="A1147" s="3" t="s">
        <v>522</v>
      </c>
      <c r="B1147" s="3" t="s">
        <v>519</v>
      </c>
      <c r="C1147" s="3" t="s">
        <v>56</v>
      </c>
    </row>
    <row r="1148" spans="1:3" x14ac:dyDescent="0.2">
      <c r="A1148" s="3" t="s">
        <v>522</v>
      </c>
      <c r="B1148" s="3" t="s">
        <v>484</v>
      </c>
      <c r="C1148" s="3" t="s">
        <v>57</v>
      </c>
    </row>
    <row r="1149" spans="1:3" x14ac:dyDescent="0.2">
      <c r="A1149" s="3" t="s">
        <v>522</v>
      </c>
      <c r="B1149" s="3" t="s">
        <v>518</v>
      </c>
      <c r="C1149" s="3" t="s">
        <v>57</v>
      </c>
    </row>
    <row r="1150" spans="1:3" x14ac:dyDescent="0.2">
      <c r="A1150" s="3" t="s">
        <v>522</v>
      </c>
      <c r="B1150" s="3" t="s">
        <v>486</v>
      </c>
      <c r="C1150" s="3" t="s">
        <v>57</v>
      </c>
    </row>
    <row r="1151" spans="1:3" x14ac:dyDescent="0.2">
      <c r="A1151" s="3" t="s">
        <v>522</v>
      </c>
      <c r="B1151" s="3" t="s">
        <v>523</v>
      </c>
      <c r="C1151" s="3" t="s">
        <v>57</v>
      </c>
    </row>
    <row r="1152" spans="1:3" x14ac:dyDescent="0.2">
      <c r="A1152" s="3" t="s">
        <v>522</v>
      </c>
      <c r="B1152" s="3" t="s">
        <v>519</v>
      </c>
      <c r="C1152" s="3" t="s">
        <v>57</v>
      </c>
    </row>
    <row r="1153" spans="1:3" x14ac:dyDescent="0.2">
      <c r="A1153" s="3" t="s">
        <v>522</v>
      </c>
      <c r="B1153" s="3" t="s">
        <v>524</v>
      </c>
      <c r="C1153" s="3" t="s">
        <v>169</v>
      </c>
    </row>
    <row r="1154" spans="1:3" x14ac:dyDescent="0.2">
      <c r="A1154" s="3" t="s">
        <v>522</v>
      </c>
      <c r="B1154" s="3" t="s">
        <v>490</v>
      </c>
      <c r="C1154" s="3" t="s">
        <v>169</v>
      </c>
    </row>
    <row r="1155" spans="1:3" x14ac:dyDescent="0.2">
      <c r="A1155" s="3" t="s">
        <v>522</v>
      </c>
      <c r="B1155" s="3" t="s">
        <v>491</v>
      </c>
      <c r="C1155" s="3" t="s">
        <v>169</v>
      </c>
    </row>
    <row r="1156" spans="1:3" x14ac:dyDescent="0.2">
      <c r="A1156" s="3" t="s">
        <v>522</v>
      </c>
      <c r="B1156" s="3" t="s">
        <v>525</v>
      </c>
      <c r="C1156" s="3" t="s">
        <v>169</v>
      </c>
    </row>
    <row r="1157" spans="1:3" x14ac:dyDescent="0.2">
      <c r="A1157" s="3" t="s">
        <v>522</v>
      </c>
      <c r="B1157" s="3" t="s">
        <v>526</v>
      </c>
      <c r="C1157" s="3" t="s">
        <v>169</v>
      </c>
    </row>
    <row r="1158" spans="1:3" x14ac:dyDescent="0.2">
      <c r="A1158" s="3" t="s">
        <v>527</v>
      </c>
      <c r="B1158" s="3" t="s">
        <v>528</v>
      </c>
      <c r="C1158" s="3" t="s">
        <v>53</v>
      </c>
    </row>
    <row r="1159" spans="1:3" x14ac:dyDescent="0.2">
      <c r="A1159" s="3" t="s">
        <v>527</v>
      </c>
      <c r="B1159" s="3" t="s">
        <v>529</v>
      </c>
      <c r="C1159" s="3" t="s">
        <v>53</v>
      </c>
    </row>
    <row r="1160" spans="1:3" x14ac:dyDescent="0.2">
      <c r="A1160" s="3" t="s">
        <v>527</v>
      </c>
      <c r="B1160" s="3" t="s">
        <v>530</v>
      </c>
      <c r="C1160" s="3" t="s">
        <v>53</v>
      </c>
    </row>
    <row r="1161" spans="1:3" x14ac:dyDescent="0.2">
      <c r="A1161" s="3" t="s">
        <v>527</v>
      </c>
      <c r="B1161" s="3" t="s">
        <v>531</v>
      </c>
      <c r="C1161" s="3" t="s">
        <v>53</v>
      </c>
    </row>
    <row r="1162" spans="1:3" x14ac:dyDescent="0.2">
      <c r="A1162" s="3" t="s">
        <v>527</v>
      </c>
      <c r="B1162" s="3" t="s">
        <v>532</v>
      </c>
      <c r="C1162" s="3" t="s">
        <v>53</v>
      </c>
    </row>
    <row r="1163" spans="1:3" x14ac:dyDescent="0.2">
      <c r="A1163" s="3" t="s">
        <v>527</v>
      </c>
      <c r="B1163" s="3" t="s">
        <v>533</v>
      </c>
      <c r="C1163" s="3" t="s">
        <v>53</v>
      </c>
    </row>
    <row r="1164" spans="1:3" x14ac:dyDescent="0.2">
      <c r="A1164" s="3" t="s">
        <v>527</v>
      </c>
      <c r="B1164" s="3" t="s">
        <v>534</v>
      </c>
      <c r="C1164" s="3" t="s">
        <v>53</v>
      </c>
    </row>
    <row r="1165" spans="1:3" x14ac:dyDescent="0.2">
      <c r="A1165" s="3" t="s">
        <v>527</v>
      </c>
      <c r="B1165" s="3" t="s">
        <v>535</v>
      </c>
      <c r="C1165" s="3" t="s">
        <v>53</v>
      </c>
    </row>
    <row r="1166" spans="1:3" x14ac:dyDescent="0.2">
      <c r="A1166" s="3" t="s">
        <v>527</v>
      </c>
      <c r="B1166" s="3" t="s">
        <v>536</v>
      </c>
      <c r="C1166" s="3" t="s">
        <v>53</v>
      </c>
    </row>
    <row r="1167" spans="1:3" x14ac:dyDescent="0.2">
      <c r="A1167" s="3" t="s">
        <v>527</v>
      </c>
      <c r="B1167" s="3" t="s">
        <v>537</v>
      </c>
      <c r="C1167" s="3" t="s">
        <v>53</v>
      </c>
    </row>
    <row r="1168" spans="1:3" x14ac:dyDescent="0.2">
      <c r="A1168" s="3" t="s">
        <v>527</v>
      </c>
      <c r="B1168" s="3" t="s">
        <v>538</v>
      </c>
      <c r="C1168" s="3" t="s">
        <v>53</v>
      </c>
    </row>
    <row r="1169" spans="1:3" x14ac:dyDescent="0.2">
      <c r="A1169" s="3" t="s">
        <v>527</v>
      </c>
      <c r="B1169" s="3" t="s">
        <v>539</v>
      </c>
      <c r="C1169" s="3" t="s">
        <v>53</v>
      </c>
    </row>
    <row r="1170" spans="1:3" x14ac:dyDescent="0.2">
      <c r="A1170" s="3" t="s">
        <v>527</v>
      </c>
      <c r="B1170" s="3" t="s">
        <v>540</v>
      </c>
      <c r="C1170" s="3" t="s">
        <v>53</v>
      </c>
    </row>
    <row r="1171" spans="1:3" x14ac:dyDescent="0.2">
      <c r="A1171" s="3" t="s">
        <v>527</v>
      </c>
      <c r="B1171" s="3" t="s">
        <v>541</v>
      </c>
      <c r="C1171" s="3" t="s">
        <v>53</v>
      </c>
    </row>
    <row r="1172" spans="1:3" x14ac:dyDescent="0.2">
      <c r="A1172" s="3" t="s">
        <v>527</v>
      </c>
      <c r="B1172" s="3" t="s">
        <v>542</v>
      </c>
      <c r="C1172" s="3" t="s">
        <v>53</v>
      </c>
    </row>
    <row r="1173" spans="1:3" x14ac:dyDescent="0.2">
      <c r="A1173" s="3" t="s">
        <v>527</v>
      </c>
      <c r="B1173" s="3" t="s">
        <v>543</v>
      </c>
      <c r="C1173" s="3" t="s">
        <v>53</v>
      </c>
    </row>
    <row r="1174" spans="1:3" x14ac:dyDescent="0.2">
      <c r="A1174" s="3" t="s">
        <v>527</v>
      </c>
      <c r="B1174" s="3" t="s">
        <v>544</v>
      </c>
      <c r="C1174" s="3" t="s">
        <v>53</v>
      </c>
    </row>
    <row r="1175" spans="1:3" x14ac:dyDescent="0.2">
      <c r="A1175" s="3" t="s">
        <v>527</v>
      </c>
      <c r="B1175" s="3" t="s">
        <v>545</v>
      </c>
      <c r="C1175" s="3" t="s">
        <v>53</v>
      </c>
    </row>
    <row r="1176" spans="1:3" x14ac:dyDescent="0.2">
      <c r="A1176" s="3" t="s">
        <v>527</v>
      </c>
      <c r="B1176" s="3" t="s">
        <v>546</v>
      </c>
      <c r="C1176" s="3" t="s">
        <v>53</v>
      </c>
    </row>
    <row r="1177" spans="1:3" x14ac:dyDescent="0.2">
      <c r="A1177" s="3" t="s">
        <v>527</v>
      </c>
      <c r="B1177" s="3" t="s">
        <v>547</v>
      </c>
      <c r="C1177" s="3" t="s">
        <v>53</v>
      </c>
    </row>
    <row r="1178" spans="1:3" x14ac:dyDescent="0.2">
      <c r="A1178" s="3" t="s">
        <v>527</v>
      </c>
      <c r="B1178" s="3" t="s">
        <v>548</v>
      </c>
      <c r="C1178" s="3" t="s">
        <v>53</v>
      </c>
    </row>
    <row r="1179" spans="1:3" x14ac:dyDescent="0.2">
      <c r="A1179" s="3" t="s">
        <v>527</v>
      </c>
      <c r="B1179" s="3" t="s">
        <v>549</v>
      </c>
      <c r="C1179" s="3" t="s">
        <v>53</v>
      </c>
    </row>
    <row r="1180" spans="1:3" x14ac:dyDescent="0.2">
      <c r="A1180" s="3" t="s">
        <v>527</v>
      </c>
      <c r="B1180" s="3" t="s">
        <v>550</v>
      </c>
      <c r="C1180" s="3" t="s">
        <v>53</v>
      </c>
    </row>
    <row r="1181" spans="1:3" x14ac:dyDescent="0.2">
      <c r="A1181" s="3" t="s">
        <v>527</v>
      </c>
      <c r="B1181" s="3" t="s">
        <v>551</v>
      </c>
      <c r="C1181" s="3" t="s">
        <v>53</v>
      </c>
    </row>
    <row r="1182" spans="1:3" x14ac:dyDescent="0.2">
      <c r="A1182" s="3" t="s">
        <v>527</v>
      </c>
      <c r="B1182" s="3" t="s">
        <v>528</v>
      </c>
      <c r="C1182" s="3" t="s">
        <v>54</v>
      </c>
    </row>
    <row r="1183" spans="1:3" x14ac:dyDescent="0.2">
      <c r="A1183" s="3" t="s">
        <v>527</v>
      </c>
      <c r="B1183" s="3" t="s">
        <v>529</v>
      </c>
      <c r="C1183" s="3" t="s">
        <v>54</v>
      </c>
    </row>
    <row r="1184" spans="1:3" x14ac:dyDescent="0.2">
      <c r="A1184" s="3" t="s">
        <v>527</v>
      </c>
      <c r="B1184" s="3" t="s">
        <v>530</v>
      </c>
      <c r="C1184" s="3" t="s">
        <v>54</v>
      </c>
    </row>
    <row r="1185" spans="1:3" x14ac:dyDescent="0.2">
      <c r="A1185" s="3" t="s">
        <v>527</v>
      </c>
      <c r="B1185" s="3" t="s">
        <v>531</v>
      </c>
      <c r="C1185" s="3" t="s">
        <v>54</v>
      </c>
    </row>
    <row r="1186" spans="1:3" x14ac:dyDescent="0.2">
      <c r="A1186" s="3" t="s">
        <v>527</v>
      </c>
      <c r="B1186" s="3" t="s">
        <v>532</v>
      </c>
      <c r="C1186" s="3" t="s">
        <v>54</v>
      </c>
    </row>
    <row r="1187" spans="1:3" x14ac:dyDescent="0.2">
      <c r="A1187" s="3" t="s">
        <v>527</v>
      </c>
      <c r="B1187" s="3" t="s">
        <v>533</v>
      </c>
      <c r="C1187" s="3" t="s">
        <v>54</v>
      </c>
    </row>
    <row r="1188" spans="1:3" x14ac:dyDescent="0.2">
      <c r="A1188" s="3" t="s">
        <v>527</v>
      </c>
      <c r="B1188" s="3" t="s">
        <v>534</v>
      </c>
      <c r="C1188" s="3" t="s">
        <v>54</v>
      </c>
    </row>
    <row r="1189" spans="1:3" x14ac:dyDescent="0.2">
      <c r="A1189" s="3" t="s">
        <v>527</v>
      </c>
      <c r="B1189" s="3" t="s">
        <v>535</v>
      </c>
      <c r="C1189" s="3" t="s">
        <v>54</v>
      </c>
    </row>
    <row r="1190" spans="1:3" x14ac:dyDescent="0.2">
      <c r="A1190" s="3" t="s">
        <v>527</v>
      </c>
      <c r="B1190" s="3" t="s">
        <v>536</v>
      </c>
      <c r="C1190" s="3" t="s">
        <v>54</v>
      </c>
    </row>
    <row r="1191" spans="1:3" x14ac:dyDescent="0.2">
      <c r="A1191" s="3" t="s">
        <v>527</v>
      </c>
      <c r="B1191" s="3" t="s">
        <v>537</v>
      </c>
      <c r="C1191" s="3" t="s">
        <v>54</v>
      </c>
    </row>
    <row r="1192" spans="1:3" x14ac:dyDescent="0.2">
      <c r="A1192" s="3" t="s">
        <v>527</v>
      </c>
      <c r="B1192" s="3" t="s">
        <v>538</v>
      </c>
      <c r="C1192" s="3" t="s">
        <v>54</v>
      </c>
    </row>
    <row r="1193" spans="1:3" x14ac:dyDescent="0.2">
      <c r="A1193" s="3" t="s">
        <v>527</v>
      </c>
      <c r="B1193" s="3" t="s">
        <v>539</v>
      </c>
      <c r="C1193" s="3" t="s">
        <v>54</v>
      </c>
    </row>
    <row r="1194" spans="1:3" x14ac:dyDescent="0.2">
      <c r="A1194" s="3" t="s">
        <v>527</v>
      </c>
      <c r="B1194" s="3" t="s">
        <v>540</v>
      </c>
      <c r="C1194" s="3" t="s">
        <v>54</v>
      </c>
    </row>
    <row r="1195" spans="1:3" x14ac:dyDescent="0.2">
      <c r="A1195" s="3" t="s">
        <v>527</v>
      </c>
      <c r="B1195" s="3" t="s">
        <v>541</v>
      </c>
      <c r="C1195" s="3" t="s">
        <v>54</v>
      </c>
    </row>
    <row r="1196" spans="1:3" x14ac:dyDescent="0.2">
      <c r="A1196" s="3" t="s">
        <v>527</v>
      </c>
      <c r="B1196" s="3" t="s">
        <v>542</v>
      </c>
      <c r="C1196" s="3" t="s">
        <v>54</v>
      </c>
    </row>
    <row r="1197" spans="1:3" x14ac:dyDescent="0.2">
      <c r="A1197" s="3" t="s">
        <v>527</v>
      </c>
      <c r="B1197" s="3" t="s">
        <v>543</v>
      </c>
      <c r="C1197" s="3" t="s">
        <v>54</v>
      </c>
    </row>
    <row r="1198" spans="1:3" x14ac:dyDescent="0.2">
      <c r="A1198" s="3" t="s">
        <v>527</v>
      </c>
      <c r="B1198" s="3" t="s">
        <v>544</v>
      </c>
      <c r="C1198" s="3" t="s">
        <v>54</v>
      </c>
    </row>
    <row r="1199" spans="1:3" x14ac:dyDescent="0.2">
      <c r="A1199" s="3" t="s">
        <v>527</v>
      </c>
      <c r="B1199" s="3" t="s">
        <v>545</v>
      </c>
      <c r="C1199" s="3" t="s">
        <v>54</v>
      </c>
    </row>
    <row r="1200" spans="1:3" x14ac:dyDescent="0.2">
      <c r="A1200" s="3" t="s">
        <v>527</v>
      </c>
      <c r="B1200" s="3" t="s">
        <v>546</v>
      </c>
      <c r="C1200" s="3" t="s">
        <v>54</v>
      </c>
    </row>
    <row r="1201" spans="1:3" x14ac:dyDescent="0.2">
      <c r="A1201" s="3" t="s">
        <v>527</v>
      </c>
      <c r="B1201" s="3" t="s">
        <v>547</v>
      </c>
      <c r="C1201" s="3" t="s">
        <v>54</v>
      </c>
    </row>
    <row r="1202" spans="1:3" x14ac:dyDescent="0.2">
      <c r="A1202" s="3" t="s">
        <v>527</v>
      </c>
      <c r="B1202" s="3" t="s">
        <v>548</v>
      </c>
      <c r="C1202" s="3" t="s">
        <v>54</v>
      </c>
    </row>
    <row r="1203" spans="1:3" x14ac:dyDescent="0.2">
      <c r="A1203" s="3" t="s">
        <v>527</v>
      </c>
      <c r="B1203" s="3" t="s">
        <v>549</v>
      </c>
      <c r="C1203" s="3" t="s">
        <v>54</v>
      </c>
    </row>
    <row r="1204" spans="1:3" x14ac:dyDescent="0.2">
      <c r="A1204" s="3" t="s">
        <v>527</v>
      </c>
      <c r="B1204" s="3" t="s">
        <v>550</v>
      </c>
      <c r="C1204" s="3" t="s">
        <v>54</v>
      </c>
    </row>
    <row r="1205" spans="1:3" x14ac:dyDescent="0.2">
      <c r="A1205" s="3" t="s">
        <v>527</v>
      </c>
      <c r="B1205" s="3" t="s">
        <v>551</v>
      </c>
      <c r="C1205" s="3" t="s">
        <v>54</v>
      </c>
    </row>
    <row r="1206" spans="1:3" x14ac:dyDescent="0.2">
      <c r="A1206" s="3" t="s">
        <v>527</v>
      </c>
      <c r="B1206" s="3" t="s">
        <v>528</v>
      </c>
      <c r="C1206" s="3" t="s">
        <v>55</v>
      </c>
    </row>
    <row r="1207" spans="1:3" x14ac:dyDescent="0.2">
      <c r="A1207" s="3" t="s">
        <v>527</v>
      </c>
      <c r="B1207" s="3" t="s">
        <v>529</v>
      </c>
      <c r="C1207" s="3" t="s">
        <v>55</v>
      </c>
    </row>
    <row r="1208" spans="1:3" x14ac:dyDescent="0.2">
      <c r="A1208" s="3" t="s">
        <v>527</v>
      </c>
      <c r="B1208" s="3" t="s">
        <v>552</v>
      </c>
      <c r="C1208" s="3" t="s">
        <v>55</v>
      </c>
    </row>
    <row r="1209" spans="1:3" x14ac:dyDescent="0.2">
      <c r="A1209" s="3" t="s">
        <v>527</v>
      </c>
      <c r="B1209" s="3" t="s">
        <v>553</v>
      </c>
      <c r="C1209" s="3" t="s">
        <v>55</v>
      </c>
    </row>
    <row r="1210" spans="1:3" x14ac:dyDescent="0.2">
      <c r="A1210" s="3" t="s">
        <v>527</v>
      </c>
      <c r="B1210" s="3" t="s">
        <v>554</v>
      </c>
      <c r="C1210" s="3" t="s">
        <v>55</v>
      </c>
    </row>
    <row r="1211" spans="1:3" x14ac:dyDescent="0.2">
      <c r="A1211" s="3" t="s">
        <v>527</v>
      </c>
      <c r="B1211" s="3" t="s">
        <v>555</v>
      </c>
      <c r="C1211" s="3" t="s">
        <v>55</v>
      </c>
    </row>
    <row r="1212" spans="1:3" x14ac:dyDescent="0.2">
      <c r="A1212" s="3" t="s">
        <v>527</v>
      </c>
      <c r="B1212" s="3" t="s">
        <v>530</v>
      </c>
      <c r="C1212" s="3" t="s">
        <v>55</v>
      </c>
    </row>
    <row r="1213" spans="1:3" x14ac:dyDescent="0.2">
      <c r="A1213" s="3" t="s">
        <v>527</v>
      </c>
      <c r="B1213" s="3" t="s">
        <v>531</v>
      </c>
      <c r="C1213" s="3" t="s">
        <v>55</v>
      </c>
    </row>
    <row r="1214" spans="1:3" x14ac:dyDescent="0.2">
      <c r="A1214" s="3" t="s">
        <v>527</v>
      </c>
      <c r="B1214" s="3" t="s">
        <v>532</v>
      </c>
      <c r="C1214" s="3" t="s">
        <v>55</v>
      </c>
    </row>
    <row r="1215" spans="1:3" x14ac:dyDescent="0.2">
      <c r="A1215" s="3" t="s">
        <v>527</v>
      </c>
      <c r="B1215" s="3" t="s">
        <v>533</v>
      </c>
      <c r="C1215" s="3" t="s">
        <v>55</v>
      </c>
    </row>
    <row r="1216" spans="1:3" x14ac:dyDescent="0.2">
      <c r="A1216" s="3" t="s">
        <v>527</v>
      </c>
      <c r="B1216" s="3" t="s">
        <v>534</v>
      </c>
      <c r="C1216" s="3" t="s">
        <v>55</v>
      </c>
    </row>
    <row r="1217" spans="1:3" x14ac:dyDescent="0.2">
      <c r="A1217" s="3" t="s">
        <v>527</v>
      </c>
      <c r="B1217" s="3" t="s">
        <v>535</v>
      </c>
      <c r="C1217" s="3" t="s">
        <v>55</v>
      </c>
    </row>
    <row r="1218" spans="1:3" x14ac:dyDescent="0.2">
      <c r="A1218" s="3" t="s">
        <v>527</v>
      </c>
      <c r="B1218" s="3" t="s">
        <v>536</v>
      </c>
      <c r="C1218" s="3" t="s">
        <v>55</v>
      </c>
    </row>
    <row r="1219" spans="1:3" x14ac:dyDescent="0.2">
      <c r="A1219" s="3" t="s">
        <v>527</v>
      </c>
      <c r="B1219" s="3" t="s">
        <v>537</v>
      </c>
      <c r="C1219" s="3" t="s">
        <v>55</v>
      </c>
    </row>
    <row r="1220" spans="1:3" x14ac:dyDescent="0.2">
      <c r="A1220" s="3" t="s">
        <v>527</v>
      </c>
      <c r="B1220" s="3" t="s">
        <v>538</v>
      </c>
      <c r="C1220" s="3" t="s">
        <v>55</v>
      </c>
    </row>
    <row r="1221" spans="1:3" x14ac:dyDescent="0.2">
      <c r="A1221" s="3" t="s">
        <v>527</v>
      </c>
      <c r="B1221" s="3" t="s">
        <v>539</v>
      </c>
      <c r="C1221" s="3" t="s">
        <v>55</v>
      </c>
    </row>
    <row r="1222" spans="1:3" x14ac:dyDescent="0.2">
      <c r="A1222" s="3" t="s">
        <v>527</v>
      </c>
      <c r="B1222" s="3" t="s">
        <v>540</v>
      </c>
      <c r="C1222" s="3" t="s">
        <v>55</v>
      </c>
    </row>
    <row r="1223" spans="1:3" x14ac:dyDescent="0.2">
      <c r="A1223" s="3" t="s">
        <v>527</v>
      </c>
      <c r="B1223" s="3" t="s">
        <v>541</v>
      </c>
      <c r="C1223" s="3" t="s">
        <v>55</v>
      </c>
    </row>
    <row r="1224" spans="1:3" x14ac:dyDescent="0.2">
      <c r="A1224" s="3" t="s">
        <v>527</v>
      </c>
      <c r="B1224" s="3" t="s">
        <v>542</v>
      </c>
      <c r="C1224" s="3" t="s">
        <v>55</v>
      </c>
    </row>
    <row r="1225" spans="1:3" x14ac:dyDescent="0.2">
      <c r="A1225" s="3" t="s">
        <v>527</v>
      </c>
      <c r="B1225" s="3" t="s">
        <v>543</v>
      </c>
      <c r="C1225" s="3" t="s">
        <v>55</v>
      </c>
    </row>
    <row r="1226" spans="1:3" x14ac:dyDescent="0.2">
      <c r="A1226" s="3" t="s">
        <v>527</v>
      </c>
      <c r="B1226" s="3" t="s">
        <v>544</v>
      </c>
      <c r="C1226" s="3" t="s">
        <v>55</v>
      </c>
    </row>
    <row r="1227" spans="1:3" x14ac:dyDescent="0.2">
      <c r="A1227" s="3" t="s">
        <v>527</v>
      </c>
      <c r="B1227" s="3" t="s">
        <v>545</v>
      </c>
      <c r="C1227" s="3" t="s">
        <v>55</v>
      </c>
    </row>
    <row r="1228" spans="1:3" x14ac:dyDescent="0.2">
      <c r="A1228" s="3" t="s">
        <v>527</v>
      </c>
      <c r="B1228" s="3" t="s">
        <v>547</v>
      </c>
      <c r="C1228" s="3" t="s">
        <v>55</v>
      </c>
    </row>
    <row r="1229" spans="1:3" x14ac:dyDescent="0.2">
      <c r="A1229" s="3" t="s">
        <v>527</v>
      </c>
      <c r="B1229" s="3" t="s">
        <v>556</v>
      </c>
      <c r="C1229" s="3" t="s">
        <v>55</v>
      </c>
    </row>
    <row r="1230" spans="1:3" x14ac:dyDescent="0.2">
      <c r="A1230" s="3" t="s">
        <v>527</v>
      </c>
      <c r="B1230" s="3" t="s">
        <v>528</v>
      </c>
      <c r="C1230" s="3" t="s">
        <v>56</v>
      </c>
    </row>
    <row r="1231" spans="1:3" x14ac:dyDescent="0.2">
      <c r="A1231" s="3" t="s">
        <v>527</v>
      </c>
      <c r="B1231" s="3" t="s">
        <v>529</v>
      </c>
      <c r="C1231" s="3" t="s">
        <v>56</v>
      </c>
    </row>
    <row r="1232" spans="1:3" x14ac:dyDescent="0.2">
      <c r="A1232" s="3" t="s">
        <v>527</v>
      </c>
      <c r="B1232" s="3" t="s">
        <v>552</v>
      </c>
      <c r="C1232" s="3" t="s">
        <v>56</v>
      </c>
    </row>
    <row r="1233" spans="1:3" x14ac:dyDescent="0.2">
      <c r="A1233" s="3" t="s">
        <v>527</v>
      </c>
      <c r="B1233" s="3" t="s">
        <v>553</v>
      </c>
      <c r="C1233" s="3" t="s">
        <v>56</v>
      </c>
    </row>
    <row r="1234" spans="1:3" x14ac:dyDescent="0.2">
      <c r="A1234" s="3" t="s">
        <v>527</v>
      </c>
      <c r="B1234" s="3" t="s">
        <v>554</v>
      </c>
      <c r="C1234" s="3" t="s">
        <v>56</v>
      </c>
    </row>
    <row r="1235" spans="1:3" x14ac:dyDescent="0.2">
      <c r="A1235" s="3" t="s">
        <v>527</v>
      </c>
      <c r="B1235" s="3" t="s">
        <v>555</v>
      </c>
      <c r="C1235" s="3" t="s">
        <v>56</v>
      </c>
    </row>
    <row r="1236" spans="1:3" x14ac:dyDescent="0.2">
      <c r="A1236" s="3" t="s">
        <v>527</v>
      </c>
      <c r="B1236" s="3" t="s">
        <v>530</v>
      </c>
      <c r="C1236" s="3" t="s">
        <v>56</v>
      </c>
    </row>
    <row r="1237" spans="1:3" x14ac:dyDescent="0.2">
      <c r="A1237" s="3" t="s">
        <v>527</v>
      </c>
      <c r="B1237" s="3" t="s">
        <v>531</v>
      </c>
      <c r="C1237" s="3" t="s">
        <v>56</v>
      </c>
    </row>
    <row r="1238" spans="1:3" x14ac:dyDescent="0.2">
      <c r="A1238" s="3" t="s">
        <v>527</v>
      </c>
      <c r="B1238" s="3" t="s">
        <v>532</v>
      </c>
      <c r="C1238" s="3" t="s">
        <v>56</v>
      </c>
    </row>
    <row r="1239" spans="1:3" x14ac:dyDescent="0.2">
      <c r="A1239" s="3" t="s">
        <v>527</v>
      </c>
      <c r="B1239" s="3" t="s">
        <v>533</v>
      </c>
      <c r="C1239" s="3" t="s">
        <v>56</v>
      </c>
    </row>
    <row r="1240" spans="1:3" x14ac:dyDescent="0.2">
      <c r="A1240" s="3" t="s">
        <v>527</v>
      </c>
      <c r="B1240" s="3" t="s">
        <v>534</v>
      </c>
      <c r="C1240" s="3" t="s">
        <v>56</v>
      </c>
    </row>
    <row r="1241" spans="1:3" x14ac:dyDescent="0.2">
      <c r="A1241" s="3" t="s">
        <v>527</v>
      </c>
      <c r="B1241" s="3" t="s">
        <v>535</v>
      </c>
      <c r="C1241" s="3" t="s">
        <v>56</v>
      </c>
    </row>
    <row r="1242" spans="1:3" x14ac:dyDescent="0.2">
      <c r="A1242" s="3" t="s">
        <v>527</v>
      </c>
      <c r="B1242" s="3" t="s">
        <v>536</v>
      </c>
      <c r="C1242" s="3" t="s">
        <v>56</v>
      </c>
    </row>
    <row r="1243" spans="1:3" x14ac:dyDescent="0.2">
      <c r="A1243" s="3" t="s">
        <v>527</v>
      </c>
      <c r="B1243" s="3" t="s">
        <v>537</v>
      </c>
      <c r="C1243" s="3" t="s">
        <v>56</v>
      </c>
    </row>
    <row r="1244" spans="1:3" x14ac:dyDescent="0.2">
      <c r="A1244" s="3" t="s">
        <v>527</v>
      </c>
      <c r="B1244" s="3" t="s">
        <v>538</v>
      </c>
      <c r="C1244" s="3" t="s">
        <v>56</v>
      </c>
    </row>
    <row r="1245" spans="1:3" x14ac:dyDescent="0.2">
      <c r="A1245" s="3" t="s">
        <v>527</v>
      </c>
      <c r="B1245" s="3" t="s">
        <v>539</v>
      </c>
      <c r="C1245" s="3" t="s">
        <v>56</v>
      </c>
    </row>
    <row r="1246" spans="1:3" x14ac:dyDescent="0.2">
      <c r="A1246" s="3" t="s">
        <v>527</v>
      </c>
      <c r="B1246" s="3" t="s">
        <v>540</v>
      </c>
      <c r="C1246" s="3" t="s">
        <v>56</v>
      </c>
    </row>
    <row r="1247" spans="1:3" x14ac:dyDescent="0.2">
      <c r="A1247" s="3" t="s">
        <v>527</v>
      </c>
      <c r="B1247" s="3" t="s">
        <v>541</v>
      </c>
      <c r="C1247" s="3" t="s">
        <v>56</v>
      </c>
    </row>
    <row r="1248" spans="1:3" x14ac:dyDescent="0.2">
      <c r="A1248" s="3" t="s">
        <v>527</v>
      </c>
      <c r="B1248" s="3" t="s">
        <v>542</v>
      </c>
      <c r="C1248" s="3" t="s">
        <v>56</v>
      </c>
    </row>
    <row r="1249" spans="1:3" x14ac:dyDescent="0.2">
      <c r="A1249" s="3" t="s">
        <v>527</v>
      </c>
      <c r="B1249" s="3" t="s">
        <v>543</v>
      </c>
      <c r="C1249" s="3" t="s">
        <v>56</v>
      </c>
    </row>
    <row r="1250" spans="1:3" x14ac:dyDescent="0.2">
      <c r="A1250" s="3" t="s">
        <v>527</v>
      </c>
      <c r="B1250" s="3" t="s">
        <v>544</v>
      </c>
      <c r="C1250" s="3" t="s">
        <v>56</v>
      </c>
    </row>
    <row r="1251" spans="1:3" x14ac:dyDescent="0.2">
      <c r="A1251" s="3" t="s">
        <v>527</v>
      </c>
      <c r="B1251" s="3" t="s">
        <v>545</v>
      </c>
      <c r="C1251" s="3" t="s">
        <v>56</v>
      </c>
    </row>
    <row r="1252" spans="1:3" x14ac:dyDescent="0.2">
      <c r="A1252" s="3" t="s">
        <v>527</v>
      </c>
      <c r="B1252" s="3" t="s">
        <v>547</v>
      </c>
      <c r="C1252" s="3" t="s">
        <v>56</v>
      </c>
    </row>
    <row r="1253" spans="1:3" x14ac:dyDescent="0.2">
      <c r="A1253" s="3" t="s">
        <v>527</v>
      </c>
      <c r="B1253" s="3" t="s">
        <v>556</v>
      </c>
      <c r="C1253" s="3" t="s">
        <v>56</v>
      </c>
    </row>
    <row r="1254" spans="1:3" x14ac:dyDescent="0.2">
      <c r="A1254" s="3" t="s">
        <v>527</v>
      </c>
      <c r="B1254" s="3" t="s">
        <v>528</v>
      </c>
      <c r="C1254" s="3" t="s">
        <v>57</v>
      </c>
    </row>
    <row r="1255" spans="1:3" x14ac:dyDescent="0.2">
      <c r="A1255" s="3" t="s">
        <v>527</v>
      </c>
      <c r="B1255" s="3" t="s">
        <v>529</v>
      </c>
      <c r="C1255" s="3" t="s">
        <v>57</v>
      </c>
    </row>
    <row r="1256" spans="1:3" x14ac:dyDescent="0.2">
      <c r="A1256" s="3" t="s">
        <v>527</v>
      </c>
      <c r="B1256" s="3" t="s">
        <v>552</v>
      </c>
      <c r="C1256" s="3" t="s">
        <v>57</v>
      </c>
    </row>
    <row r="1257" spans="1:3" x14ac:dyDescent="0.2">
      <c r="A1257" s="3" t="s">
        <v>527</v>
      </c>
      <c r="B1257" s="3" t="s">
        <v>553</v>
      </c>
      <c r="C1257" s="3" t="s">
        <v>57</v>
      </c>
    </row>
    <row r="1258" spans="1:3" x14ac:dyDescent="0.2">
      <c r="A1258" s="3" t="s">
        <v>527</v>
      </c>
      <c r="B1258" s="3" t="s">
        <v>554</v>
      </c>
      <c r="C1258" s="3" t="s">
        <v>57</v>
      </c>
    </row>
    <row r="1259" spans="1:3" x14ac:dyDescent="0.2">
      <c r="A1259" s="3" t="s">
        <v>527</v>
      </c>
      <c r="B1259" s="3" t="s">
        <v>555</v>
      </c>
      <c r="C1259" s="3" t="s">
        <v>57</v>
      </c>
    </row>
    <row r="1260" spans="1:3" x14ac:dyDescent="0.2">
      <c r="A1260" s="3" t="s">
        <v>527</v>
      </c>
      <c r="B1260" s="3" t="s">
        <v>530</v>
      </c>
      <c r="C1260" s="3" t="s">
        <v>57</v>
      </c>
    </row>
    <row r="1261" spans="1:3" x14ac:dyDescent="0.2">
      <c r="A1261" s="3" t="s">
        <v>527</v>
      </c>
      <c r="B1261" s="3" t="s">
        <v>531</v>
      </c>
      <c r="C1261" s="3" t="s">
        <v>57</v>
      </c>
    </row>
    <row r="1262" spans="1:3" x14ac:dyDescent="0.2">
      <c r="A1262" s="3" t="s">
        <v>527</v>
      </c>
      <c r="B1262" s="3" t="s">
        <v>532</v>
      </c>
      <c r="C1262" s="3" t="s">
        <v>57</v>
      </c>
    </row>
    <row r="1263" spans="1:3" x14ac:dyDescent="0.2">
      <c r="A1263" s="3" t="s">
        <v>527</v>
      </c>
      <c r="B1263" s="3" t="s">
        <v>533</v>
      </c>
      <c r="C1263" s="3" t="s">
        <v>57</v>
      </c>
    </row>
    <row r="1264" spans="1:3" x14ac:dyDescent="0.2">
      <c r="A1264" s="3" t="s">
        <v>527</v>
      </c>
      <c r="B1264" s="3" t="s">
        <v>534</v>
      </c>
      <c r="C1264" s="3" t="s">
        <v>57</v>
      </c>
    </row>
    <row r="1265" spans="1:3" x14ac:dyDescent="0.2">
      <c r="A1265" s="3" t="s">
        <v>527</v>
      </c>
      <c r="B1265" s="3" t="s">
        <v>535</v>
      </c>
      <c r="C1265" s="3" t="s">
        <v>57</v>
      </c>
    </row>
    <row r="1266" spans="1:3" x14ac:dyDescent="0.2">
      <c r="A1266" s="3" t="s">
        <v>527</v>
      </c>
      <c r="B1266" s="3" t="s">
        <v>536</v>
      </c>
      <c r="C1266" s="3" t="s">
        <v>57</v>
      </c>
    </row>
    <row r="1267" spans="1:3" x14ac:dyDescent="0.2">
      <c r="A1267" s="3" t="s">
        <v>527</v>
      </c>
      <c r="B1267" s="3" t="s">
        <v>537</v>
      </c>
      <c r="C1267" s="3" t="s">
        <v>57</v>
      </c>
    </row>
    <row r="1268" spans="1:3" x14ac:dyDescent="0.2">
      <c r="A1268" s="3" t="s">
        <v>527</v>
      </c>
      <c r="B1268" s="3" t="s">
        <v>538</v>
      </c>
      <c r="C1268" s="3" t="s">
        <v>57</v>
      </c>
    </row>
    <row r="1269" spans="1:3" x14ac:dyDescent="0.2">
      <c r="A1269" s="3" t="s">
        <v>527</v>
      </c>
      <c r="B1269" s="3" t="s">
        <v>539</v>
      </c>
      <c r="C1269" s="3" t="s">
        <v>57</v>
      </c>
    </row>
    <row r="1270" spans="1:3" x14ac:dyDescent="0.2">
      <c r="A1270" s="3" t="s">
        <v>527</v>
      </c>
      <c r="B1270" s="3" t="s">
        <v>540</v>
      </c>
      <c r="C1270" s="3" t="s">
        <v>57</v>
      </c>
    </row>
    <row r="1271" spans="1:3" x14ac:dyDescent="0.2">
      <c r="A1271" s="3" t="s">
        <v>527</v>
      </c>
      <c r="B1271" s="3" t="s">
        <v>541</v>
      </c>
      <c r="C1271" s="3" t="s">
        <v>57</v>
      </c>
    </row>
    <row r="1272" spans="1:3" x14ac:dyDescent="0.2">
      <c r="A1272" s="3" t="s">
        <v>527</v>
      </c>
      <c r="B1272" s="3" t="s">
        <v>542</v>
      </c>
      <c r="C1272" s="3" t="s">
        <v>57</v>
      </c>
    </row>
    <row r="1273" spans="1:3" x14ac:dyDescent="0.2">
      <c r="A1273" s="3" t="s">
        <v>527</v>
      </c>
      <c r="B1273" s="3" t="s">
        <v>543</v>
      </c>
      <c r="C1273" s="3" t="s">
        <v>57</v>
      </c>
    </row>
    <row r="1274" spans="1:3" x14ac:dyDescent="0.2">
      <c r="A1274" s="3" t="s">
        <v>527</v>
      </c>
      <c r="B1274" s="3" t="s">
        <v>544</v>
      </c>
      <c r="C1274" s="3" t="s">
        <v>57</v>
      </c>
    </row>
    <row r="1275" spans="1:3" x14ac:dyDescent="0.2">
      <c r="A1275" s="3" t="s">
        <v>527</v>
      </c>
      <c r="B1275" s="3" t="s">
        <v>545</v>
      </c>
      <c r="C1275" s="3" t="s">
        <v>57</v>
      </c>
    </row>
    <row r="1276" spans="1:3" x14ac:dyDescent="0.2">
      <c r="A1276" s="3" t="s">
        <v>527</v>
      </c>
      <c r="B1276" s="3" t="s">
        <v>546</v>
      </c>
      <c r="C1276" s="3" t="s">
        <v>57</v>
      </c>
    </row>
    <row r="1277" spans="1:3" x14ac:dyDescent="0.2">
      <c r="A1277" s="3" t="s">
        <v>527</v>
      </c>
      <c r="B1277" s="3" t="s">
        <v>547</v>
      </c>
      <c r="C1277" s="3" t="s">
        <v>57</v>
      </c>
    </row>
    <row r="1278" spans="1:3" x14ac:dyDescent="0.2">
      <c r="A1278" s="3" t="s">
        <v>527</v>
      </c>
      <c r="B1278" s="3" t="s">
        <v>556</v>
      </c>
      <c r="C1278" s="3" t="s">
        <v>57</v>
      </c>
    </row>
    <row r="1279" spans="1:3" x14ac:dyDescent="0.2">
      <c r="A1279" s="3" t="s">
        <v>527</v>
      </c>
      <c r="B1279" s="3" t="s">
        <v>557</v>
      </c>
      <c r="C1279" s="3" t="s">
        <v>169</v>
      </c>
    </row>
    <row r="1280" spans="1:3" x14ac:dyDescent="0.2">
      <c r="A1280" s="3" t="s">
        <v>527</v>
      </c>
      <c r="B1280" s="3" t="s">
        <v>558</v>
      </c>
      <c r="C1280" s="3" t="s">
        <v>169</v>
      </c>
    </row>
    <row r="1281" spans="1:3" x14ac:dyDescent="0.2">
      <c r="A1281" s="3" t="s">
        <v>527</v>
      </c>
      <c r="B1281" s="3" t="s">
        <v>559</v>
      </c>
      <c r="C1281" s="3" t="s">
        <v>169</v>
      </c>
    </row>
    <row r="1282" spans="1:3" x14ac:dyDescent="0.2">
      <c r="A1282" s="3" t="s">
        <v>562</v>
      </c>
      <c r="B1282" s="3" t="s">
        <v>529</v>
      </c>
      <c r="C1282" s="3" t="s">
        <v>53</v>
      </c>
    </row>
    <row r="1283" spans="1:3" x14ac:dyDescent="0.2">
      <c r="A1283" s="3" t="s">
        <v>562</v>
      </c>
      <c r="B1283" s="3" t="s">
        <v>563</v>
      </c>
      <c r="C1283" s="3" t="s">
        <v>53</v>
      </c>
    </row>
    <row r="1284" spans="1:3" x14ac:dyDescent="0.2">
      <c r="A1284" s="3" t="s">
        <v>562</v>
      </c>
      <c r="B1284" s="3" t="s">
        <v>535</v>
      </c>
      <c r="C1284" s="3" t="s">
        <v>53</v>
      </c>
    </row>
    <row r="1285" spans="1:3" x14ac:dyDescent="0.2">
      <c r="A1285" s="3" t="s">
        <v>562</v>
      </c>
      <c r="B1285" s="3" t="s">
        <v>536</v>
      </c>
      <c r="C1285" s="3" t="s">
        <v>53</v>
      </c>
    </row>
    <row r="1286" spans="1:3" x14ac:dyDescent="0.2">
      <c r="A1286" s="3" t="s">
        <v>562</v>
      </c>
      <c r="B1286" s="3" t="s">
        <v>537</v>
      </c>
      <c r="C1286" s="3" t="s">
        <v>53</v>
      </c>
    </row>
    <row r="1287" spans="1:3" x14ac:dyDescent="0.2">
      <c r="A1287" s="3" t="s">
        <v>562</v>
      </c>
      <c r="B1287" s="3" t="s">
        <v>540</v>
      </c>
      <c r="C1287" s="3" t="s">
        <v>53</v>
      </c>
    </row>
    <row r="1288" spans="1:3" x14ac:dyDescent="0.2">
      <c r="A1288" s="3" t="s">
        <v>562</v>
      </c>
      <c r="B1288" s="3" t="s">
        <v>541</v>
      </c>
      <c r="C1288" s="3" t="s">
        <v>53</v>
      </c>
    </row>
    <row r="1289" spans="1:3" x14ac:dyDescent="0.2">
      <c r="A1289" s="3" t="s">
        <v>562</v>
      </c>
      <c r="B1289" s="3" t="s">
        <v>543</v>
      </c>
      <c r="C1289" s="3" t="s">
        <v>53</v>
      </c>
    </row>
    <row r="1290" spans="1:3" x14ac:dyDescent="0.2">
      <c r="A1290" s="3" t="s">
        <v>562</v>
      </c>
      <c r="B1290" s="3" t="s">
        <v>545</v>
      </c>
      <c r="C1290" s="3" t="s">
        <v>53</v>
      </c>
    </row>
    <row r="1291" spans="1:3" x14ac:dyDescent="0.2">
      <c r="A1291" s="3" t="s">
        <v>562</v>
      </c>
      <c r="B1291" s="3" t="s">
        <v>529</v>
      </c>
      <c r="C1291" s="3" t="s">
        <v>54</v>
      </c>
    </row>
    <row r="1292" spans="1:3" x14ac:dyDescent="0.2">
      <c r="A1292" s="3" t="s">
        <v>562</v>
      </c>
      <c r="B1292" s="3" t="s">
        <v>563</v>
      </c>
      <c r="C1292" s="3" t="s">
        <v>54</v>
      </c>
    </row>
    <row r="1293" spans="1:3" x14ac:dyDescent="0.2">
      <c r="A1293" s="3" t="s">
        <v>562</v>
      </c>
      <c r="B1293" s="3" t="s">
        <v>535</v>
      </c>
      <c r="C1293" s="3" t="s">
        <v>54</v>
      </c>
    </row>
    <row r="1294" spans="1:3" x14ac:dyDescent="0.2">
      <c r="A1294" s="3" t="s">
        <v>562</v>
      </c>
      <c r="B1294" s="3" t="s">
        <v>536</v>
      </c>
      <c r="C1294" s="3" t="s">
        <v>54</v>
      </c>
    </row>
    <row r="1295" spans="1:3" x14ac:dyDescent="0.2">
      <c r="A1295" s="3" t="s">
        <v>562</v>
      </c>
      <c r="B1295" s="3" t="s">
        <v>537</v>
      </c>
      <c r="C1295" s="3" t="s">
        <v>54</v>
      </c>
    </row>
    <row r="1296" spans="1:3" x14ac:dyDescent="0.2">
      <c r="A1296" s="3" t="s">
        <v>562</v>
      </c>
      <c r="B1296" s="3" t="s">
        <v>540</v>
      </c>
      <c r="C1296" s="3" t="s">
        <v>54</v>
      </c>
    </row>
    <row r="1297" spans="1:3" x14ac:dyDescent="0.2">
      <c r="A1297" s="3" t="s">
        <v>562</v>
      </c>
      <c r="B1297" s="3" t="s">
        <v>541</v>
      </c>
      <c r="C1297" s="3" t="s">
        <v>54</v>
      </c>
    </row>
    <row r="1298" spans="1:3" x14ac:dyDescent="0.2">
      <c r="A1298" s="3" t="s">
        <v>562</v>
      </c>
      <c r="B1298" s="3" t="s">
        <v>543</v>
      </c>
      <c r="C1298" s="3" t="s">
        <v>54</v>
      </c>
    </row>
    <row r="1299" spans="1:3" x14ac:dyDescent="0.2">
      <c r="A1299" s="3" t="s">
        <v>562</v>
      </c>
      <c r="B1299" s="3" t="s">
        <v>545</v>
      </c>
      <c r="C1299" s="3" t="s">
        <v>54</v>
      </c>
    </row>
    <row r="1300" spans="1:3" x14ac:dyDescent="0.2">
      <c r="A1300" s="3" t="s">
        <v>562</v>
      </c>
      <c r="B1300" s="3" t="s">
        <v>529</v>
      </c>
      <c r="C1300" s="3" t="s">
        <v>55</v>
      </c>
    </row>
    <row r="1301" spans="1:3" x14ac:dyDescent="0.2">
      <c r="A1301" s="3" t="s">
        <v>562</v>
      </c>
      <c r="B1301" s="3" t="s">
        <v>563</v>
      </c>
      <c r="C1301" s="3" t="s">
        <v>55</v>
      </c>
    </row>
    <row r="1302" spans="1:3" x14ac:dyDescent="0.2">
      <c r="A1302" s="3" t="s">
        <v>562</v>
      </c>
      <c r="B1302" s="3" t="s">
        <v>535</v>
      </c>
      <c r="C1302" s="3" t="s">
        <v>55</v>
      </c>
    </row>
    <row r="1303" spans="1:3" x14ac:dyDescent="0.2">
      <c r="A1303" s="3" t="s">
        <v>562</v>
      </c>
      <c r="B1303" s="3" t="s">
        <v>536</v>
      </c>
      <c r="C1303" s="3" t="s">
        <v>55</v>
      </c>
    </row>
    <row r="1304" spans="1:3" x14ac:dyDescent="0.2">
      <c r="A1304" s="3" t="s">
        <v>562</v>
      </c>
      <c r="B1304" s="3" t="s">
        <v>537</v>
      </c>
      <c r="C1304" s="3" t="s">
        <v>55</v>
      </c>
    </row>
    <row r="1305" spans="1:3" x14ac:dyDescent="0.2">
      <c r="A1305" s="3" t="s">
        <v>562</v>
      </c>
      <c r="B1305" s="3" t="s">
        <v>540</v>
      </c>
      <c r="C1305" s="3" t="s">
        <v>55</v>
      </c>
    </row>
    <row r="1306" spans="1:3" x14ac:dyDescent="0.2">
      <c r="A1306" s="3" t="s">
        <v>562</v>
      </c>
      <c r="B1306" s="3" t="s">
        <v>541</v>
      </c>
      <c r="C1306" s="3" t="s">
        <v>55</v>
      </c>
    </row>
    <row r="1307" spans="1:3" x14ac:dyDescent="0.2">
      <c r="A1307" s="3" t="s">
        <v>562</v>
      </c>
      <c r="B1307" s="3" t="s">
        <v>543</v>
      </c>
      <c r="C1307" s="3" t="s">
        <v>55</v>
      </c>
    </row>
    <row r="1308" spans="1:3" x14ac:dyDescent="0.2">
      <c r="A1308" s="3" t="s">
        <v>562</v>
      </c>
      <c r="B1308" s="3" t="s">
        <v>545</v>
      </c>
      <c r="C1308" s="3" t="s">
        <v>55</v>
      </c>
    </row>
    <row r="1309" spans="1:3" x14ac:dyDescent="0.2">
      <c r="A1309" s="3" t="s">
        <v>562</v>
      </c>
      <c r="B1309" s="3" t="s">
        <v>529</v>
      </c>
      <c r="C1309" s="3" t="s">
        <v>56</v>
      </c>
    </row>
    <row r="1310" spans="1:3" x14ac:dyDescent="0.2">
      <c r="A1310" s="3" t="s">
        <v>562</v>
      </c>
      <c r="B1310" s="3" t="s">
        <v>563</v>
      </c>
      <c r="C1310" s="3" t="s">
        <v>56</v>
      </c>
    </row>
    <row r="1311" spans="1:3" x14ac:dyDescent="0.2">
      <c r="A1311" s="3" t="s">
        <v>562</v>
      </c>
      <c r="B1311" s="3" t="s">
        <v>535</v>
      </c>
      <c r="C1311" s="3" t="s">
        <v>56</v>
      </c>
    </row>
    <row r="1312" spans="1:3" x14ac:dyDescent="0.2">
      <c r="A1312" s="3" t="s">
        <v>562</v>
      </c>
      <c r="B1312" s="3" t="s">
        <v>536</v>
      </c>
      <c r="C1312" s="3" t="s">
        <v>56</v>
      </c>
    </row>
    <row r="1313" spans="1:3" x14ac:dyDescent="0.2">
      <c r="A1313" s="3" t="s">
        <v>562</v>
      </c>
      <c r="B1313" s="3" t="s">
        <v>537</v>
      </c>
      <c r="C1313" s="3" t="s">
        <v>56</v>
      </c>
    </row>
    <row r="1314" spans="1:3" x14ac:dyDescent="0.2">
      <c r="A1314" s="3" t="s">
        <v>562</v>
      </c>
      <c r="B1314" s="3" t="s">
        <v>540</v>
      </c>
      <c r="C1314" s="3" t="s">
        <v>56</v>
      </c>
    </row>
    <row r="1315" spans="1:3" x14ac:dyDescent="0.2">
      <c r="A1315" s="3" t="s">
        <v>562</v>
      </c>
      <c r="B1315" s="3" t="s">
        <v>541</v>
      </c>
      <c r="C1315" s="3" t="s">
        <v>56</v>
      </c>
    </row>
    <row r="1316" spans="1:3" x14ac:dyDescent="0.2">
      <c r="A1316" s="3" t="s">
        <v>562</v>
      </c>
      <c r="B1316" s="3" t="s">
        <v>543</v>
      </c>
      <c r="C1316" s="3" t="s">
        <v>56</v>
      </c>
    </row>
    <row r="1317" spans="1:3" x14ac:dyDescent="0.2">
      <c r="A1317" s="3" t="s">
        <v>562</v>
      </c>
      <c r="B1317" s="3" t="s">
        <v>545</v>
      </c>
      <c r="C1317" s="3" t="s">
        <v>56</v>
      </c>
    </row>
    <row r="1318" spans="1:3" x14ac:dyDescent="0.2">
      <c r="A1318" s="3" t="s">
        <v>562</v>
      </c>
      <c r="B1318" s="3" t="s">
        <v>529</v>
      </c>
      <c r="C1318" s="3" t="s">
        <v>57</v>
      </c>
    </row>
    <row r="1319" spans="1:3" x14ac:dyDescent="0.2">
      <c r="A1319" s="3" t="s">
        <v>562</v>
      </c>
      <c r="B1319" s="3" t="s">
        <v>563</v>
      </c>
      <c r="C1319" s="3" t="s">
        <v>57</v>
      </c>
    </row>
    <row r="1320" spans="1:3" x14ac:dyDescent="0.2">
      <c r="A1320" s="3" t="s">
        <v>562</v>
      </c>
      <c r="B1320" s="3" t="s">
        <v>535</v>
      </c>
      <c r="C1320" s="3" t="s">
        <v>57</v>
      </c>
    </row>
    <row r="1321" spans="1:3" x14ac:dyDescent="0.2">
      <c r="A1321" s="3" t="s">
        <v>562</v>
      </c>
      <c r="B1321" s="3" t="s">
        <v>536</v>
      </c>
      <c r="C1321" s="3" t="s">
        <v>57</v>
      </c>
    </row>
    <row r="1322" spans="1:3" x14ac:dyDescent="0.2">
      <c r="A1322" s="3" t="s">
        <v>562</v>
      </c>
      <c r="B1322" s="3" t="s">
        <v>537</v>
      </c>
      <c r="C1322" s="3" t="s">
        <v>57</v>
      </c>
    </row>
    <row r="1323" spans="1:3" x14ac:dyDescent="0.2">
      <c r="A1323" s="3" t="s">
        <v>562</v>
      </c>
      <c r="B1323" s="3" t="s">
        <v>540</v>
      </c>
      <c r="C1323" s="3" t="s">
        <v>57</v>
      </c>
    </row>
    <row r="1324" spans="1:3" x14ac:dyDescent="0.2">
      <c r="A1324" s="3" t="s">
        <v>562</v>
      </c>
      <c r="B1324" s="3" t="s">
        <v>541</v>
      </c>
      <c r="C1324" s="3" t="s">
        <v>57</v>
      </c>
    </row>
    <row r="1325" spans="1:3" x14ac:dyDescent="0.2">
      <c r="A1325" s="3" t="s">
        <v>562</v>
      </c>
      <c r="B1325" s="3" t="s">
        <v>543</v>
      </c>
      <c r="C1325" s="3" t="s">
        <v>57</v>
      </c>
    </row>
    <row r="1326" spans="1:3" x14ac:dyDescent="0.2">
      <c r="A1326" s="3" t="s">
        <v>562</v>
      </c>
      <c r="B1326" s="3" t="s">
        <v>545</v>
      </c>
      <c r="C1326" s="3" t="s">
        <v>57</v>
      </c>
    </row>
    <row r="1327" spans="1:3" x14ac:dyDescent="0.2">
      <c r="A1327" s="3" t="s">
        <v>564</v>
      </c>
      <c r="B1327" s="3" t="s">
        <v>565</v>
      </c>
      <c r="C1327" s="3" t="s">
        <v>53</v>
      </c>
    </row>
    <row r="1328" spans="1:3" x14ac:dyDescent="0.2">
      <c r="A1328" s="3" t="s">
        <v>564</v>
      </c>
      <c r="B1328" s="3" t="s">
        <v>566</v>
      </c>
      <c r="C1328" s="3" t="s">
        <v>53</v>
      </c>
    </row>
    <row r="1329" spans="1:3" x14ac:dyDescent="0.2">
      <c r="A1329" s="3" t="s">
        <v>564</v>
      </c>
      <c r="B1329" s="3" t="s">
        <v>561</v>
      </c>
      <c r="C1329" s="3" t="s">
        <v>53</v>
      </c>
    </row>
    <row r="1330" spans="1:3" x14ac:dyDescent="0.2">
      <c r="A1330" s="3" t="s">
        <v>564</v>
      </c>
      <c r="B1330" s="3" t="s">
        <v>567</v>
      </c>
      <c r="C1330" s="3" t="s">
        <v>53</v>
      </c>
    </row>
    <row r="1331" spans="1:3" x14ac:dyDescent="0.2">
      <c r="A1331" s="3" t="s">
        <v>564</v>
      </c>
      <c r="B1331" s="3" t="s">
        <v>568</v>
      </c>
      <c r="C1331" s="3" t="s">
        <v>53</v>
      </c>
    </row>
    <row r="1332" spans="1:3" x14ac:dyDescent="0.2">
      <c r="A1332" s="3" t="s">
        <v>564</v>
      </c>
      <c r="B1332" s="3" t="s">
        <v>569</v>
      </c>
      <c r="C1332" s="3" t="s">
        <v>53</v>
      </c>
    </row>
    <row r="1333" spans="1:3" x14ac:dyDescent="0.2">
      <c r="A1333" s="3" t="s">
        <v>564</v>
      </c>
      <c r="B1333" s="3" t="s">
        <v>570</v>
      </c>
      <c r="C1333" s="3" t="s">
        <v>53</v>
      </c>
    </row>
    <row r="1334" spans="1:3" x14ac:dyDescent="0.2">
      <c r="A1334" s="3" t="s">
        <v>564</v>
      </c>
      <c r="B1334" s="3" t="s">
        <v>571</v>
      </c>
      <c r="C1334" s="3" t="s">
        <v>53</v>
      </c>
    </row>
    <row r="1335" spans="1:3" x14ac:dyDescent="0.2">
      <c r="A1335" s="3" t="s">
        <v>564</v>
      </c>
      <c r="B1335" s="3" t="s">
        <v>565</v>
      </c>
      <c r="C1335" s="3" t="s">
        <v>54</v>
      </c>
    </row>
    <row r="1336" spans="1:3" x14ac:dyDescent="0.2">
      <c r="A1336" s="3" t="s">
        <v>564</v>
      </c>
      <c r="B1336" s="3" t="s">
        <v>566</v>
      </c>
      <c r="C1336" s="3" t="s">
        <v>54</v>
      </c>
    </row>
    <row r="1337" spans="1:3" x14ac:dyDescent="0.2">
      <c r="A1337" s="3" t="s">
        <v>564</v>
      </c>
      <c r="B1337" s="3" t="s">
        <v>561</v>
      </c>
      <c r="C1337" s="3" t="s">
        <v>54</v>
      </c>
    </row>
    <row r="1338" spans="1:3" x14ac:dyDescent="0.2">
      <c r="A1338" s="3" t="s">
        <v>564</v>
      </c>
      <c r="B1338" s="3" t="s">
        <v>567</v>
      </c>
      <c r="C1338" s="3" t="s">
        <v>54</v>
      </c>
    </row>
    <row r="1339" spans="1:3" x14ac:dyDescent="0.2">
      <c r="A1339" s="3" t="s">
        <v>564</v>
      </c>
      <c r="B1339" s="3" t="s">
        <v>568</v>
      </c>
      <c r="C1339" s="3" t="s">
        <v>54</v>
      </c>
    </row>
    <row r="1340" spans="1:3" x14ac:dyDescent="0.2">
      <c r="A1340" s="3" t="s">
        <v>564</v>
      </c>
      <c r="B1340" s="3" t="s">
        <v>569</v>
      </c>
      <c r="C1340" s="3" t="s">
        <v>54</v>
      </c>
    </row>
    <row r="1341" spans="1:3" x14ac:dyDescent="0.2">
      <c r="A1341" s="3" t="s">
        <v>564</v>
      </c>
      <c r="B1341" s="3" t="s">
        <v>570</v>
      </c>
      <c r="C1341" s="3" t="s">
        <v>54</v>
      </c>
    </row>
    <row r="1342" spans="1:3" x14ac:dyDescent="0.2">
      <c r="A1342" s="3" t="s">
        <v>564</v>
      </c>
      <c r="B1342" s="3" t="s">
        <v>571</v>
      </c>
      <c r="C1342" s="3" t="s">
        <v>54</v>
      </c>
    </row>
    <row r="1343" spans="1:3" x14ac:dyDescent="0.2">
      <c r="A1343" s="3" t="s">
        <v>564</v>
      </c>
      <c r="B1343" s="3" t="s">
        <v>565</v>
      </c>
      <c r="C1343" s="3" t="s">
        <v>55</v>
      </c>
    </row>
    <row r="1344" spans="1:3" x14ac:dyDescent="0.2">
      <c r="A1344" s="3" t="s">
        <v>564</v>
      </c>
      <c r="B1344" s="3" t="s">
        <v>566</v>
      </c>
      <c r="C1344" s="3" t="s">
        <v>55</v>
      </c>
    </row>
    <row r="1345" spans="1:3" x14ac:dyDescent="0.2">
      <c r="A1345" s="3" t="s">
        <v>564</v>
      </c>
      <c r="B1345" s="3" t="s">
        <v>561</v>
      </c>
      <c r="C1345" s="3" t="s">
        <v>55</v>
      </c>
    </row>
    <row r="1346" spans="1:3" x14ac:dyDescent="0.2">
      <c r="A1346" s="3" t="s">
        <v>564</v>
      </c>
      <c r="B1346" s="3" t="s">
        <v>567</v>
      </c>
      <c r="C1346" s="3" t="s">
        <v>55</v>
      </c>
    </row>
    <row r="1347" spans="1:3" x14ac:dyDescent="0.2">
      <c r="A1347" s="3" t="s">
        <v>564</v>
      </c>
      <c r="B1347" s="3" t="s">
        <v>568</v>
      </c>
      <c r="C1347" s="3" t="s">
        <v>55</v>
      </c>
    </row>
    <row r="1348" spans="1:3" x14ac:dyDescent="0.2">
      <c r="A1348" s="3" t="s">
        <v>564</v>
      </c>
      <c r="B1348" s="3" t="s">
        <v>569</v>
      </c>
      <c r="C1348" s="3" t="s">
        <v>55</v>
      </c>
    </row>
    <row r="1349" spans="1:3" x14ac:dyDescent="0.2">
      <c r="A1349" s="3" t="s">
        <v>564</v>
      </c>
      <c r="B1349" s="3" t="s">
        <v>570</v>
      </c>
      <c r="C1349" s="3" t="s">
        <v>55</v>
      </c>
    </row>
    <row r="1350" spans="1:3" x14ac:dyDescent="0.2">
      <c r="A1350" s="3" t="s">
        <v>564</v>
      </c>
      <c r="B1350" s="3" t="s">
        <v>565</v>
      </c>
      <c r="C1350" s="3" t="s">
        <v>56</v>
      </c>
    </row>
    <row r="1351" spans="1:3" x14ac:dyDescent="0.2">
      <c r="A1351" s="3" t="s">
        <v>564</v>
      </c>
      <c r="B1351" s="3" t="s">
        <v>566</v>
      </c>
      <c r="C1351" s="3" t="s">
        <v>56</v>
      </c>
    </row>
    <row r="1352" spans="1:3" x14ac:dyDescent="0.2">
      <c r="A1352" s="3" t="s">
        <v>564</v>
      </c>
      <c r="B1352" s="3" t="s">
        <v>561</v>
      </c>
      <c r="C1352" s="3" t="s">
        <v>56</v>
      </c>
    </row>
    <row r="1353" spans="1:3" x14ac:dyDescent="0.2">
      <c r="A1353" s="3" t="s">
        <v>564</v>
      </c>
      <c r="B1353" s="3" t="s">
        <v>567</v>
      </c>
      <c r="C1353" s="3" t="s">
        <v>56</v>
      </c>
    </row>
    <row r="1354" spans="1:3" x14ac:dyDescent="0.2">
      <c r="A1354" s="3" t="s">
        <v>564</v>
      </c>
      <c r="B1354" s="3" t="s">
        <v>568</v>
      </c>
      <c r="C1354" s="3" t="s">
        <v>56</v>
      </c>
    </row>
    <row r="1355" spans="1:3" x14ac:dyDescent="0.2">
      <c r="A1355" s="3" t="s">
        <v>564</v>
      </c>
      <c r="B1355" s="3" t="s">
        <v>569</v>
      </c>
      <c r="C1355" s="3" t="s">
        <v>56</v>
      </c>
    </row>
    <row r="1356" spans="1:3" x14ac:dyDescent="0.2">
      <c r="A1356" s="3" t="s">
        <v>564</v>
      </c>
      <c r="B1356" s="3" t="s">
        <v>570</v>
      </c>
      <c r="C1356" s="3" t="s">
        <v>56</v>
      </c>
    </row>
    <row r="1357" spans="1:3" x14ac:dyDescent="0.2">
      <c r="A1357" s="3" t="s">
        <v>564</v>
      </c>
      <c r="B1357" s="3" t="s">
        <v>565</v>
      </c>
      <c r="C1357" s="3" t="s">
        <v>57</v>
      </c>
    </row>
    <row r="1358" spans="1:3" x14ac:dyDescent="0.2">
      <c r="A1358" s="3" t="s">
        <v>564</v>
      </c>
      <c r="B1358" s="3" t="s">
        <v>566</v>
      </c>
      <c r="C1358" s="3" t="s">
        <v>57</v>
      </c>
    </row>
    <row r="1359" spans="1:3" x14ac:dyDescent="0.2">
      <c r="A1359" s="3" t="s">
        <v>564</v>
      </c>
      <c r="B1359" s="3" t="s">
        <v>561</v>
      </c>
      <c r="C1359" s="3" t="s">
        <v>57</v>
      </c>
    </row>
    <row r="1360" spans="1:3" x14ac:dyDescent="0.2">
      <c r="A1360" s="3" t="s">
        <v>564</v>
      </c>
      <c r="B1360" s="3" t="s">
        <v>567</v>
      </c>
      <c r="C1360" s="3" t="s">
        <v>57</v>
      </c>
    </row>
    <row r="1361" spans="1:3" x14ac:dyDescent="0.2">
      <c r="A1361" s="3" t="s">
        <v>564</v>
      </c>
      <c r="B1361" s="3" t="s">
        <v>568</v>
      </c>
      <c r="C1361" s="3" t="s">
        <v>57</v>
      </c>
    </row>
    <row r="1362" spans="1:3" x14ac:dyDescent="0.2">
      <c r="A1362" s="3" t="s">
        <v>564</v>
      </c>
      <c r="B1362" s="3" t="s">
        <v>569</v>
      </c>
      <c r="C1362" s="3" t="s">
        <v>57</v>
      </c>
    </row>
    <row r="1363" spans="1:3" x14ac:dyDescent="0.2">
      <c r="A1363" s="3" t="s">
        <v>564</v>
      </c>
      <c r="B1363" s="3" t="s">
        <v>570</v>
      </c>
      <c r="C1363" s="3" t="s">
        <v>57</v>
      </c>
    </row>
    <row r="1364" spans="1:3" x14ac:dyDescent="0.2">
      <c r="A1364" s="3" t="s">
        <v>564</v>
      </c>
      <c r="B1364" s="3" t="s">
        <v>572</v>
      </c>
      <c r="C1364" s="3" t="s">
        <v>169</v>
      </c>
    </row>
    <row r="1365" spans="1:3" x14ac:dyDescent="0.2">
      <c r="A1365" s="3" t="s">
        <v>564</v>
      </c>
      <c r="B1365" s="3" t="s">
        <v>573</v>
      </c>
      <c r="C1365" s="3" t="s">
        <v>169</v>
      </c>
    </row>
    <row r="1366" spans="1:3" x14ac:dyDescent="0.2">
      <c r="A1366" s="3" t="s">
        <v>564</v>
      </c>
      <c r="B1366" s="3" t="s">
        <v>574</v>
      </c>
      <c r="C1366" s="3" t="s">
        <v>169</v>
      </c>
    </row>
    <row r="1367" spans="1:3" x14ac:dyDescent="0.2">
      <c r="A1367" s="3" t="s">
        <v>564</v>
      </c>
      <c r="B1367" s="3" t="s">
        <v>575</v>
      </c>
      <c r="C1367" s="3" t="s">
        <v>169</v>
      </c>
    </row>
    <row r="1368" spans="1:3" x14ac:dyDescent="0.2">
      <c r="A1368" s="3" t="s">
        <v>564</v>
      </c>
      <c r="B1368" s="3" t="s">
        <v>576</v>
      </c>
      <c r="C1368" s="3" t="s">
        <v>169</v>
      </c>
    </row>
    <row r="1369" spans="1:3" x14ac:dyDescent="0.2">
      <c r="A1369" s="3" t="s">
        <v>564</v>
      </c>
      <c r="B1369" s="3" t="s">
        <v>577</v>
      </c>
      <c r="C1369" s="3" t="s">
        <v>169</v>
      </c>
    </row>
    <row r="1370" spans="1:3" x14ac:dyDescent="0.2">
      <c r="A1370" s="3" t="s">
        <v>564</v>
      </c>
      <c r="B1370" s="3" t="s">
        <v>578</v>
      </c>
      <c r="C1370" s="3" t="s">
        <v>169</v>
      </c>
    </row>
    <row r="1371" spans="1:3" x14ac:dyDescent="0.2">
      <c r="A1371" s="3" t="s">
        <v>564</v>
      </c>
      <c r="B1371" s="3" t="s">
        <v>579</v>
      </c>
      <c r="C1371" s="3" t="s">
        <v>169</v>
      </c>
    </row>
    <row r="1372" spans="1:3" x14ac:dyDescent="0.2">
      <c r="A1372" s="3" t="s">
        <v>564</v>
      </c>
      <c r="B1372" s="3" t="s">
        <v>580</v>
      </c>
      <c r="C1372" s="3" t="s">
        <v>169</v>
      </c>
    </row>
    <row r="1373" spans="1:3" x14ac:dyDescent="0.2">
      <c r="A1373" s="3" t="s">
        <v>564</v>
      </c>
      <c r="B1373" s="3" t="s">
        <v>581</v>
      </c>
      <c r="C1373" s="3" t="s">
        <v>169</v>
      </c>
    </row>
    <row r="1374" spans="1:3" x14ac:dyDescent="0.2">
      <c r="A1374" s="3" t="s">
        <v>564</v>
      </c>
      <c r="B1374" s="3" t="s">
        <v>582</v>
      </c>
      <c r="C1374" s="3" t="s">
        <v>169</v>
      </c>
    </row>
    <row r="1375" spans="1:3" x14ac:dyDescent="0.2">
      <c r="A1375" s="3" t="s">
        <v>564</v>
      </c>
      <c r="B1375" s="3" t="s">
        <v>583</v>
      </c>
      <c r="C1375" s="3" t="s">
        <v>169</v>
      </c>
    </row>
    <row r="1376" spans="1:3" x14ac:dyDescent="0.2">
      <c r="A1376" s="3" t="s">
        <v>564</v>
      </c>
      <c r="B1376" s="3" t="s">
        <v>584</v>
      </c>
      <c r="C1376" s="3" t="s">
        <v>169</v>
      </c>
    </row>
    <row r="1377" spans="1:3" x14ac:dyDescent="0.2">
      <c r="A1377" s="3" t="s">
        <v>564</v>
      </c>
      <c r="B1377" s="3" t="s">
        <v>585</v>
      </c>
      <c r="C1377" s="3" t="s">
        <v>169</v>
      </c>
    </row>
    <row r="1378" spans="1:3" x14ac:dyDescent="0.2">
      <c r="A1378" s="3" t="s">
        <v>564</v>
      </c>
      <c r="B1378" s="3" t="s">
        <v>586</v>
      </c>
      <c r="C1378" s="3" t="s">
        <v>169</v>
      </c>
    </row>
    <row r="1379" spans="1:3" x14ac:dyDescent="0.2">
      <c r="A1379" s="3" t="s">
        <v>564</v>
      </c>
      <c r="B1379" s="3" t="s">
        <v>587</v>
      </c>
      <c r="C1379" s="3" t="s">
        <v>169</v>
      </c>
    </row>
    <row r="1380" spans="1:3" x14ac:dyDescent="0.2">
      <c r="A1380" s="3" t="s">
        <v>564</v>
      </c>
      <c r="B1380" s="3" t="s">
        <v>176</v>
      </c>
      <c r="C1380" s="3" t="s">
        <v>169</v>
      </c>
    </row>
    <row r="1381" spans="1:3" x14ac:dyDescent="0.2">
      <c r="A1381" s="3" t="s">
        <v>596</v>
      </c>
      <c r="B1381" s="3" t="s">
        <v>597</v>
      </c>
      <c r="C1381" s="3" t="s">
        <v>53</v>
      </c>
    </row>
    <row r="1382" spans="1:3" x14ac:dyDescent="0.2">
      <c r="A1382" s="3" t="s">
        <v>596</v>
      </c>
      <c r="B1382" s="3" t="s">
        <v>598</v>
      </c>
      <c r="C1382" s="3" t="s">
        <v>53</v>
      </c>
    </row>
    <row r="1383" spans="1:3" x14ac:dyDescent="0.2">
      <c r="A1383" s="3" t="s">
        <v>596</v>
      </c>
      <c r="B1383" s="3" t="s">
        <v>183</v>
      </c>
      <c r="C1383" s="3" t="s">
        <v>53</v>
      </c>
    </row>
    <row r="1384" spans="1:3" x14ac:dyDescent="0.2">
      <c r="A1384" s="3" t="s">
        <v>596</v>
      </c>
      <c r="B1384" s="3" t="s">
        <v>597</v>
      </c>
      <c r="C1384" s="3" t="s">
        <v>54</v>
      </c>
    </row>
    <row r="1385" spans="1:3" x14ac:dyDescent="0.2">
      <c r="A1385" s="3" t="s">
        <v>596</v>
      </c>
      <c r="B1385" s="3" t="s">
        <v>598</v>
      </c>
      <c r="C1385" s="3" t="s">
        <v>54</v>
      </c>
    </row>
    <row r="1386" spans="1:3" x14ac:dyDescent="0.2">
      <c r="A1386" s="3" t="s">
        <v>596</v>
      </c>
      <c r="B1386" s="3" t="s">
        <v>183</v>
      </c>
      <c r="C1386" s="3" t="s">
        <v>54</v>
      </c>
    </row>
    <row r="1387" spans="1:3" x14ac:dyDescent="0.2">
      <c r="A1387" s="3" t="s">
        <v>596</v>
      </c>
      <c r="B1387" s="3" t="s">
        <v>597</v>
      </c>
      <c r="C1387" s="3" t="s">
        <v>55</v>
      </c>
    </row>
    <row r="1388" spans="1:3" x14ac:dyDescent="0.2">
      <c r="A1388" s="3" t="s">
        <v>596</v>
      </c>
      <c r="B1388" s="3" t="s">
        <v>598</v>
      </c>
      <c r="C1388" s="3" t="s">
        <v>55</v>
      </c>
    </row>
    <row r="1389" spans="1:3" x14ac:dyDescent="0.2">
      <c r="A1389" s="3" t="s">
        <v>596</v>
      </c>
      <c r="B1389" s="3" t="s">
        <v>183</v>
      </c>
      <c r="C1389" s="3" t="s">
        <v>55</v>
      </c>
    </row>
    <row r="1390" spans="1:3" x14ac:dyDescent="0.2">
      <c r="A1390" s="3" t="s">
        <v>596</v>
      </c>
      <c r="B1390" s="3" t="s">
        <v>597</v>
      </c>
      <c r="C1390" s="3" t="s">
        <v>56</v>
      </c>
    </row>
    <row r="1391" spans="1:3" x14ac:dyDescent="0.2">
      <c r="A1391" s="3" t="s">
        <v>596</v>
      </c>
      <c r="B1391" s="3" t="s">
        <v>598</v>
      </c>
      <c r="C1391" s="3" t="s">
        <v>56</v>
      </c>
    </row>
    <row r="1392" spans="1:3" x14ac:dyDescent="0.2">
      <c r="A1392" s="3" t="s">
        <v>596</v>
      </c>
      <c r="B1392" s="3" t="s">
        <v>183</v>
      </c>
      <c r="C1392" s="3" t="s">
        <v>56</v>
      </c>
    </row>
    <row r="1393" spans="1:3" x14ac:dyDescent="0.2">
      <c r="A1393" s="3" t="s">
        <v>596</v>
      </c>
      <c r="B1393" s="3" t="s">
        <v>597</v>
      </c>
      <c r="C1393" s="3" t="s">
        <v>57</v>
      </c>
    </row>
    <row r="1394" spans="1:3" x14ac:dyDescent="0.2">
      <c r="A1394" s="3" t="s">
        <v>596</v>
      </c>
      <c r="B1394" s="3" t="s">
        <v>598</v>
      </c>
      <c r="C1394" s="3" t="s">
        <v>57</v>
      </c>
    </row>
    <row r="1395" spans="1:3" x14ac:dyDescent="0.2">
      <c r="A1395" s="3" t="s">
        <v>596</v>
      </c>
      <c r="B1395" s="3" t="s">
        <v>183</v>
      </c>
      <c r="C1395" s="3" t="s">
        <v>57</v>
      </c>
    </row>
    <row r="1396" spans="1:3" x14ac:dyDescent="0.2">
      <c r="A1396" s="3" t="s">
        <v>596</v>
      </c>
      <c r="B1396" s="3" t="s">
        <v>599</v>
      </c>
      <c r="C1396" s="3" t="s">
        <v>169</v>
      </c>
    </row>
    <row r="1397" spans="1:3" x14ac:dyDescent="0.2">
      <c r="A1397" s="3" t="s">
        <v>596</v>
      </c>
      <c r="B1397" s="3" t="s">
        <v>600</v>
      </c>
      <c r="C1397" s="3" t="s">
        <v>169</v>
      </c>
    </row>
    <row r="1398" spans="1:3" x14ac:dyDescent="0.2">
      <c r="A1398" s="3" t="s">
        <v>596</v>
      </c>
      <c r="B1398" s="3" t="s">
        <v>601</v>
      </c>
      <c r="C1398" s="3" t="s">
        <v>169</v>
      </c>
    </row>
    <row r="1399" spans="1:3" x14ac:dyDescent="0.2">
      <c r="A1399" s="3" t="s">
        <v>602</v>
      </c>
      <c r="B1399" s="3" t="s">
        <v>603</v>
      </c>
      <c r="C1399" s="3" t="s">
        <v>53</v>
      </c>
    </row>
    <row r="1400" spans="1:3" x14ac:dyDescent="0.2">
      <c r="A1400" s="3" t="s">
        <v>602</v>
      </c>
      <c r="B1400" s="3" t="s">
        <v>604</v>
      </c>
      <c r="C1400" s="3" t="s">
        <v>53</v>
      </c>
    </row>
    <row r="1401" spans="1:3" x14ac:dyDescent="0.2">
      <c r="A1401" s="3" t="s">
        <v>602</v>
      </c>
      <c r="B1401" s="3" t="s">
        <v>603</v>
      </c>
      <c r="C1401" s="3" t="s">
        <v>54</v>
      </c>
    </row>
    <row r="1402" spans="1:3" x14ac:dyDescent="0.2">
      <c r="A1402" s="3" t="s">
        <v>602</v>
      </c>
      <c r="B1402" s="3" t="s">
        <v>604</v>
      </c>
      <c r="C1402" s="3" t="s">
        <v>54</v>
      </c>
    </row>
    <row r="1403" spans="1:3" x14ac:dyDescent="0.2">
      <c r="A1403" s="3" t="s">
        <v>602</v>
      </c>
      <c r="B1403" s="3" t="s">
        <v>603</v>
      </c>
      <c r="C1403" s="3" t="s">
        <v>55</v>
      </c>
    </row>
    <row r="1404" spans="1:3" x14ac:dyDescent="0.2">
      <c r="A1404" s="3" t="s">
        <v>602</v>
      </c>
      <c r="B1404" s="3" t="s">
        <v>604</v>
      </c>
      <c r="C1404" s="3" t="s">
        <v>55</v>
      </c>
    </row>
    <row r="1405" spans="1:3" x14ac:dyDescent="0.2">
      <c r="A1405" s="3" t="s">
        <v>602</v>
      </c>
      <c r="B1405" s="3" t="s">
        <v>603</v>
      </c>
      <c r="C1405" s="3" t="s">
        <v>56</v>
      </c>
    </row>
    <row r="1406" spans="1:3" x14ac:dyDescent="0.2">
      <c r="A1406" s="3" t="s">
        <v>602</v>
      </c>
      <c r="B1406" s="3" t="s">
        <v>604</v>
      </c>
      <c r="C1406" s="3" t="s">
        <v>56</v>
      </c>
    </row>
    <row r="1407" spans="1:3" x14ac:dyDescent="0.2">
      <c r="A1407" s="3" t="s">
        <v>602</v>
      </c>
      <c r="B1407" s="3" t="s">
        <v>603</v>
      </c>
      <c r="C1407" s="3" t="s">
        <v>57</v>
      </c>
    </row>
    <row r="1408" spans="1:3" x14ac:dyDescent="0.2">
      <c r="A1408" s="3" t="s">
        <v>602</v>
      </c>
      <c r="B1408" s="3" t="s">
        <v>604</v>
      </c>
      <c r="C1408" s="3" t="s">
        <v>57</v>
      </c>
    </row>
    <row r="1409" spans="1:3" x14ac:dyDescent="0.2">
      <c r="A1409" s="3" t="s">
        <v>602</v>
      </c>
      <c r="B1409" s="3" t="s">
        <v>605</v>
      </c>
      <c r="C1409" s="3" t="s">
        <v>169</v>
      </c>
    </row>
    <row r="1410" spans="1:3" x14ac:dyDescent="0.2">
      <c r="A1410" s="3" t="s">
        <v>2359</v>
      </c>
      <c r="B1410" s="3" t="s">
        <v>2360</v>
      </c>
      <c r="C1410" s="3" t="s">
        <v>53</v>
      </c>
    </row>
    <row r="1411" spans="1:3" x14ac:dyDescent="0.2">
      <c r="A1411" s="3" t="s">
        <v>2359</v>
      </c>
      <c r="B1411" s="3" t="s">
        <v>2361</v>
      </c>
      <c r="C1411" s="3" t="s">
        <v>53</v>
      </c>
    </row>
    <row r="1412" spans="1:3" x14ac:dyDescent="0.2">
      <c r="A1412" s="3" t="s">
        <v>2359</v>
      </c>
      <c r="B1412" s="3" t="s">
        <v>2232</v>
      </c>
      <c r="C1412" s="3" t="s">
        <v>53</v>
      </c>
    </row>
    <row r="1413" spans="1:3" x14ac:dyDescent="0.2">
      <c r="A1413" s="3" t="s">
        <v>2359</v>
      </c>
      <c r="B1413" s="3" t="s">
        <v>2241</v>
      </c>
      <c r="C1413" s="3" t="s">
        <v>53</v>
      </c>
    </row>
    <row r="1414" spans="1:3" x14ac:dyDescent="0.2">
      <c r="A1414" s="3" t="s">
        <v>2359</v>
      </c>
      <c r="B1414" s="3" t="s">
        <v>2233</v>
      </c>
      <c r="C1414" s="3" t="s">
        <v>53</v>
      </c>
    </row>
    <row r="1415" spans="1:3" x14ac:dyDescent="0.2">
      <c r="A1415" s="3" t="s">
        <v>2359</v>
      </c>
      <c r="B1415" s="3" t="s">
        <v>2234</v>
      </c>
      <c r="C1415" s="3" t="s">
        <v>53</v>
      </c>
    </row>
    <row r="1416" spans="1:3" x14ac:dyDescent="0.2">
      <c r="A1416" s="3" t="s">
        <v>2359</v>
      </c>
      <c r="B1416" s="3" t="s">
        <v>2362</v>
      </c>
      <c r="C1416" s="3" t="s">
        <v>53</v>
      </c>
    </row>
    <row r="1417" spans="1:3" x14ac:dyDescent="0.2">
      <c r="A1417" s="3" t="s">
        <v>2359</v>
      </c>
      <c r="B1417" s="3" t="s">
        <v>2363</v>
      </c>
      <c r="C1417" s="3" t="s">
        <v>53</v>
      </c>
    </row>
    <row r="1418" spans="1:3" x14ac:dyDescent="0.2">
      <c r="A1418" s="3" t="s">
        <v>2359</v>
      </c>
      <c r="B1418" s="3" t="s">
        <v>2364</v>
      </c>
      <c r="C1418" s="3" t="s">
        <v>53</v>
      </c>
    </row>
    <row r="1419" spans="1:3" x14ac:dyDescent="0.2">
      <c r="A1419" s="3" t="s">
        <v>2359</v>
      </c>
      <c r="B1419" s="3" t="s">
        <v>2365</v>
      </c>
      <c r="C1419" s="3" t="s">
        <v>53</v>
      </c>
    </row>
    <row r="1420" spans="1:3" x14ac:dyDescent="0.2">
      <c r="A1420" s="3" t="s">
        <v>2359</v>
      </c>
      <c r="B1420" s="3" t="s">
        <v>2366</v>
      </c>
      <c r="C1420" s="3" t="s">
        <v>53</v>
      </c>
    </row>
    <row r="1421" spans="1:3" x14ac:dyDescent="0.2">
      <c r="A1421" s="3" t="s">
        <v>2359</v>
      </c>
      <c r="B1421" s="3" t="s">
        <v>2367</v>
      </c>
      <c r="C1421" s="3" t="s">
        <v>53</v>
      </c>
    </row>
    <row r="1422" spans="1:3" x14ac:dyDescent="0.2">
      <c r="A1422" s="3" t="s">
        <v>2359</v>
      </c>
      <c r="B1422" s="3" t="s">
        <v>2368</v>
      </c>
      <c r="C1422" s="3" t="s">
        <v>53</v>
      </c>
    </row>
    <row r="1423" spans="1:3" x14ac:dyDescent="0.2">
      <c r="A1423" s="3" t="s">
        <v>2359</v>
      </c>
      <c r="B1423" s="3" t="s">
        <v>2360</v>
      </c>
      <c r="C1423" s="3" t="s">
        <v>54</v>
      </c>
    </row>
    <row r="1424" spans="1:3" x14ac:dyDescent="0.2">
      <c r="A1424" s="3" t="s">
        <v>2359</v>
      </c>
      <c r="B1424" s="3" t="s">
        <v>2361</v>
      </c>
      <c r="C1424" s="3" t="s">
        <v>54</v>
      </c>
    </row>
    <row r="1425" spans="1:3" x14ac:dyDescent="0.2">
      <c r="A1425" s="3" t="s">
        <v>2359</v>
      </c>
      <c r="B1425" s="3" t="s">
        <v>2232</v>
      </c>
      <c r="C1425" s="3" t="s">
        <v>54</v>
      </c>
    </row>
    <row r="1426" spans="1:3" x14ac:dyDescent="0.2">
      <c r="A1426" s="3" t="s">
        <v>2359</v>
      </c>
      <c r="B1426" s="3" t="s">
        <v>2241</v>
      </c>
      <c r="C1426" s="3" t="s">
        <v>54</v>
      </c>
    </row>
    <row r="1427" spans="1:3" x14ac:dyDescent="0.2">
      <c r="A1427" s="3" t="s">
        <v>2359</v>
      </c>
      <c r="B1427" s="3" t="s">
        <v>2233</v>
      </c>
      <c r="C1427" s="3" t="s">
        <v>54</v>
      </c>
    </row>
    <row r="1428" spans="1:3" x14ac:dyDescent="0.2">
      <c r="A1428" s="3" t="s">
        <v>2359</v>
      </c>
      <c r="B1428" s="3" t="s">
        <v>2234</v>
      </c>
      <c r="C1428" s="3" t="s">
        <v>54</v>
      </c>
    </row>
    <row r="1429" spans="1:3" x14ac:dyDescent="0.2">
      <c r="A1429" s="3" t="s">
        <v>2359</v>
      </c>
      <c r="B1429" s="3" t="s">
        <v>2362</v>
      </c>
      <c r="C1429" s="3" t="s">
        <v>54</v>
      </c>
    </row>
    <row r="1430" spans="1:3" x14ac:dyDescent="0.2">
      <c r="A1430" s="3" t="s">
        <v>2359</v>
      </c>
      <c r="B1430" s="3" t="s">
        <v>2363</v>
      </c>
      <c r="C1430" s="3" t="s">
        <v>54</v>
      </c>
    </row>
    <row r="1431" spans="1:3" x14ac:dyDescent="0.2">
      <c r="A1431" s="3" t="s">
        <v>2359</v>
      </c>
      <c r="B1431" s="3" t="s">
        <v>2364</v>
      </c>
      <c r="C1431" s="3" t="s">
        <v>54</v>
      </c>
    </row>
    <row r="1432" spans="1:3" x14ac:dyDescent="0.2">
      <c r="A1432" s="3" t="s">
        <v>2359</v>
      </c>
      <c r="B1432" s="3" t="s">
        <v>2365</v>
      </c>
      <c r="C1432" s="3" t="s">
        <v>54</v>
      </c>
    </row>
    <row r="1433" spans="1:3" x14ac:dyDescent="0.2">
      <c r="A1433" s="3" t="s">
        <v>2359</v>
      </c>
      <c r="B1433" s="3" t="s">
        <v>2366</v>
      </c>
      <c r="C1433" s="3" t="s">
        <v>54</v>
      </c>
    </row>
    <row r="1434" spans="1:3" x14ac:dyDescent="0.2">
      <c r="A1434" s="3" t="s">
        <v>2359</v>
      </c>
      <c r="B1434" s="3" t="s">
        <v>2367</v>
      </c>
      <c r="C1434" s="3" t="s">
        <v>54</v>
      </c>
    </row>
    <row r="1435" spans="1:3" x14ac:dyDescent="0.2">
      <c r="A1435" s="3" t="s">
        <v>2359</v>
      </c>
      <c r="B1435" s="3" t="s">
        <v>2368</v>
      </c>
      <c r="C1435" s="3" t="s">
        <v>54</v>
      </c>
    </row>
    <row r="1436" spans="1:3" x14ac:dyDescent="0.2">
      <c r="A1436" s="3" t="s">
        <v>2359</v>
      </c>
      <c r="B1436" s="3" t="s">
        <v>2360</v>
      </c>
      <c r="C1436" s="3" t="s">
        <v>55</v>
      </c>
    </row>
    <row r="1437" spans="1:3" x14ac:dyDescent="0.2">
      <c r="A1437" s="3" t="s">
        <v>2359</v>
      </c>
      <c r="B1437" s="3" t="s">
        <v>2361</v>
      </c>
      <c r="C1437" s="3" t="s">
        <v>55</v>
      </c>
    </row>
    <row r="1438" spans="1:3" x14ac:dyDescent="0.2">
      <c r="A1438" s="3" t="s">
        <v>2359</v>
      </c>
      <c r="B1438" s="3" t="s">
        <v>2232</v>
      </c>
      <c r="C1438" s="3" t="s">
        <v>55</v>
      </c>
    </row>
    <row r="1439" spans="1:3" x14ac:dyDescent="0.2">
      <c r="A1439" s="3" t="s">
        <v>2359</v>
      </c>
      <c r="B1439" s="3" t="s">
        <v>2241</v>
      </c>
      <c r="C1439" s="3" t="s">
        <v>55</v>
      </c>
    </row>
    <row r="1440" spans="1:3" x14ac:dyDescent="0.2">
      <c r="A1440" s="3" t="s">
        <v>2359</v>
      </c>
      <c r="B1440" s="3" t="s">
        <v>2233</v>
      </c>
      <c r="C1440" s="3" t="s">
        <v>55</v>
      </c>
    </row>
    <row r="1441" spans="1:3" x14ac:dyDescent="0.2">
      <c r="A1441" s="3" t="s">
        <v>2359</v>
      </c>
      <c r="B1441" s="3" t="s">
        <v>2234</v>
      </c>
      <c r="C1441" s="3" t="s">
        <v>55</v>
      </c>
    </row>
    <row r="1442" spans="1:3" x14ac:dyDescent="0.2">
      <c r="A1442" s="3" t="s">
        <v>2359</v>
      </c>
      <c r="B1442" s="3" t="s">
        <v>2362</v>
      </c>
      <c r="C1442" s="3" t="s">
        <v>55</v>
      </c>
    </row>
    <row r="1443" spans="1:3" x14ac:dyDescent="0.2">
      <c r="A1443" s="3" t="s">
        <v>2359</v>
      </c>
      <c r="B1443" s="3" t="s">
        <v>2363</v>
      </c>
      <c r="C1443" s="3" t="s">
        <v>55</v>
      </c>
    </row>
    <row r="1444" spans="1:3" x14ac:dyDescent="0.2">
      <c r="A1444" s="3" t="s">
        <v>2359</v>
      </c>
      <c r="B1444" s="3" t="s">
        <v>2364</v>
      </c>
      <c r="C1444" s="3" t="s">
        <v>55</v>
      </c>
    </row>
    <row r="1445" spans="1:3" x14ac:dyDescent="0.2">
      <c r="A1445" s="3" t="s">
        <v>2359</v>
      </c>
      <c r="B1445" s="3" t="s">
        <v>2365</v>
      </c>
      <c r="C1445" s="3" t="s">
        <v>55</v>
      </c>
    </row>
    <row r="1446" spans="1:3" x14ac:dyDescent="0.2">
      <c r="A1446" s="3" t="s">
        <v>2359</v>
      </c>
      <c r="B1446" s="3" t="s">
        <v>2366</v>
      </c>
      <c r="C1446" s="3" t="s">
        <v>55</v>
      </c>
    </row>
    <row r="1447" spans="1:3" x14ac:dyDescent="0.2">
      <c r="A1447" s="3" t="s">
        <v>2359</v>
      </c>
      <c r="B1447" s="3" t="s">
        <v>2367</v>
      </c>
      <c r="C1447" s="3" t="s">
        <v>55</v>
      </c>
    </row>
    <row r="1448" spans="1:3" x14ac:dyDescent="0.2">
      <c r="A1448" s="3" t="s">
        <v>2359</v>
      </c>
      <c r="B1448" s="3" t="s">
        <v>2360</v>
      </c>
      <c r="C1448" s="3" t="s">
        <v>56</v>
      </c>
    </row>
    <row r="1449" spans="1:3" x14ac:dyDescent="0.2">
      <c r="A1449" s="3" t="s">
        <v>2359</v>
      </c>
      <c r="B1449" s="3" t="s">
        <v>2361</v>
      </c>
      <c r="C1449" s="3" t="s">
        <v>56</v>
      </c>
    </row>
    <row r="1450" spans="1:3" x14ac:dyDescent="0.2">
      <c r="A1450" s="3" t="s">
        <v>2359</v>
      </c>
      <c r="B1450" s="3" t="s">
        <v>2232</v>
      </c>
      <c r="C1450" s="3" t="s">
        <v>56</v>
      </c>
    </row>
    <row r="1451" spans="1:3" x14ac:dyDescent="0.2">
      <c r="A1451" s="3" t="s">
        <v>2359</v>
      </c>
      <c r="B1451" s="3" t="s">
        <v>2241</v>
      </c>
      <c r="C1451" s="3" t="s">
        <v>56</v>
      </c>
    </row>
    <row r="1452" spans="1:3" x14ac:dyDescent="0.2">
      <c r="A1452" s="3" t="s">
        <v>2359</v>
      </c>
      <c r="B1452" s="3" t="s">
        <v>2233</v>
      </c>
      <c r="C1452" s="3" t="s">
        <v>56</v>
      </c>
    </row>
    <row r="1453" spans="1:3" x14ac:dyDescent="0.2">
      <c r="A1453" s="3" t="s">
        <v>2359</v>
      </c>
      <c r="B1453" s="3" t="s">
        <v>2234</v>
      </c>
      <c r="C1453" s="3" t="s">
        <v>56</v>
      </c>
    </row>
    <row r="1454" spans="1:3" x14ac:dyDescent="0.2">
      <c r="A1454" s="3" t="s">
        <v>2359</v>
      </c>
      <c r="B1454" s="3" t="s">
        <v>2362</v>
      </c>
      <c r="C1454" s="3" t="s">
        <v>56</v>
      </c>
    </row>
    <row r="1455" spans="1:3" x14ac:dyDescent="0.2">
      <c r="A1455" s="3" t="s">
        <v>2359</v>
      </c>
      <c r="B1455" s="3" t="s">
        <v>2363</v>
      </c>
      <c r="C1455" s="3" t="s">
        <v>56</v>
      </c>
    </row>
    <row r="1456" spans="1:3" x14ac:dyDescent="0.2">
      <c r="A1456" s="3" t="s">
        <v>2359</v>
      </c>
      <c r="B1456" s="3" t="s">
        <v>2364</v>
      </c>
      <c r="C1456" s="3" t="s">
        <v>56</v>
      </c>
    </row>
    <row r="1457" spans="1:3" x14ac:dyDescent="0.2">
      <c r="A1457" s="3" t="s">
        <v>2359</v>
      </c>
      <c r="B1457" s="3" t="s">
        <v>2365</v>
      </c>
      <c r="C1457" s="3" t="s">
        <v>56</v>
      </c>
    </row>
    <row r="1458" spans="1:3" x14ac:dyDescent="0.2">
      <c r="A1458" s="3" t="s">
        <v>2359</v>
      </c>
      <c r="B1458" s="3" t="s">
        <v>2366</v>
      </c>
      <c r="C1458" s="3" t="s">
        <v>56</v>
      </c>
    </row>
    <row r="1459" spans="1:3" x14ac:dyDescent="0.2">
      <c r="A1459" s="3" t="s">
        <v>2359</v>
      </c>
      <c r="B1459" s="3" t="s">
        <v>2367</v>
      </c>
      <c r="C1459" s="3" t="s">
        <v>56</v>
      </c>
    </row>
    <row r="1460" spans="1:3" x14ac:dyDescent="0.2">
      <c r="A1460" s="3" t="s">
        <v>2359</v>
      </c>
      <c r="B1460" s="3" t="s">
        <v>2360</v>
      </c>
      <c r="C1460" s="3" t="s">
        <v>57</v>
      </c>
    </row>
    <row r="1461" spans="1:3" x14ac:dyDescent="0.2">
      <c r="A1461" s="3" t="s">
        <v>2359</v>
      </c>
      <c r="B1461" s="3" t="s">
        <v>2361</v>
      </c>
      <c r="C1461" s="3" t="s">
        <v>57</v>
      </c>
    </row>
    <row r="1462" spans="1:3" x14ac:dyDescent="0.2">
      <c r="A1462" s="3" t="s">
        <v>2359</v>
      </c>
      <c r="B1462" s="3" t="s">
        <v>2232</v>
      </c>
      <c r="C1462" s="3" t="s">
        <v>57</v>
      </c>
    </row>
    <row r="1463" spans="1:3" x14ac:dyDescent="0.2">
      <c r="A1463" s="3" t="s">
        <v>2359</v>
      </c>
      <c r="B1463" s="3" t="s">
        <v>2241</v>
      </c>
      <c r="C1463" s="3" t="s">
        <v>57</v>
      </c>
    </row>
    <row r="1464" spans="1:3" x14ac:dyDescent="0.2">
      <c r="A1464" s="3" t="s">
        <v>2359</v>
      </c>
      <c r="B1464" s="3" t="s">
        <v>2233</v>
      </c>
      <c r="C1464" s="3" t="s">
        <v>57</v>
      </c>
    </row>
    <row r="1465" spans="1:3" x14ac:dyDescent="0.2">
      <c r="A1465" s="3" t="s">
        <v>2359</v>
      </c>
      <c r="B1465" s="3" t="s">
        <v>2234</v>
      </c>
      <c r="C1465" s="3" t="s">
        <v>57</v>
      </c>
    </row>
    <row r="1466" spans="1:3" x14ac:dyDescent="0.2">
      <c r="A1466" s="3" t="s">
        <v>2359</v>
      </c>
      <c r="B1466" s="3" t="s">
        <v>2362</v>
      </c>
      <c r="C1466" s="3" t="s">
        <v>57</v>
      </c>
    </row>
    <row r="1467" spans="1:3" x14ac:dyDescent="0.2">
      <c r="A1467" s="3" t="s">
        <v>2359</v>
      </c>
      <c r="B1467" s="3" t="s">
        <v>2363</v>
      </c>
      <c r="C1467" s="3" t="s">
        <v>57</v>
      </c>
    </row>
    <row r="1468" spans="1:3" x14ac:dyDescent="0.2">
      <c r="A1468" s="3" t="s">
        <v>2359</v>
      </c>
      <c r="B1468" s="3" t="s">
        <v>2364</v>
      </c>
      <c r="C1468" s="3" t="s">
        <v>57</v>
      </c>
    </row>
    <row r="1469" spans="1:3" x14ac:dyDescent="0.2">
      <c r="A1469" s="3" t="s">
        <v>2359</v>
      </c>
      <c r="B1469" s="3" t="s">
        <v>2365</v>
      </c>
      <c r="C1469" s="3" t="s">
        <v>57</v>
      </c>
    </row>
    <row r="1470" spans="1:3" x14ac:dyDescent="0.2">
      <c r="A1470" s="3" t="s">
        <v>2359</v>
      </c>
      <c r="B1470" s="3" t="s">
        <v>2366</v>
      </c>
      <c r="C1470" s="3" t="s">
        <v>57</v>
      </c>
    </row>
    <row r="1471" spans="1:3" x14ac:dyDescent="0.2">
      <c r="A1471" s="3" t="s">
        <v>2359</v>
      </c>
      <c r="B1471" s="3" t="s">
        <v>2367</v>
      </c>
      <c r="C1471" s="3" t="s">
        <v>57</v>
      </c>
    </row>
    <row r="1472" spans="1:3" x14ac:dyDescent="0.2">
      <c r="A1472" s="3" t="s">
        <v>2359</v>
      </c>
      <c r="B1472" s="3" t="s">
        <v>2243</v>
      </c>
      <c r="C1472" s="3" t="s">
        <v>169</v>
      </c>
    </row>
    <row r="1473" spans="1:3" x14ac:dyDescent="0.2">
      <c r="A1473" s="3" t="s">
        <v>2359</v>
      </c>
      <c r="B1473" s="3" t="s">
        <v>1244</v>
      </c>
      <c r="C1473" s="3" t="s">
        <v>10</v>
      </c>
    </row>
    <row r="1474" spans="1:3" x14ac:dyDescent="0.2">
      <c r="A1474" s="3" t="s">
        <v>2359</v>
      </c>
      <c r="B1474" s="3" t="s">
        <v>2369</v>
      </c>
      <c r="C1474" s="3" t="s">
        <v>10</v>
      </c>
    </row>
    <row r="1475" spans="1:3" x14ac:dyDescent="0.2">
      <c r="A1475" s="3" t="s">
        <v>2359</v>
      </c>
      <c r="B1475" s="3" t="s">
        <v>2370</v>
      </c>
      <c r="C1475" s="3" t="s">
        <v>10</v>
      </c>
    </row>
    <row r="1476" spans="1:3" x14ac:dyDescent="0.2">
      <c r="A1476" s="3" t="s">
        <v>2359</v>
      </c>
      <c r="B1476" s="3" t="s">
        <v>2371</v>
      </c>
      <c r="C1476" s="3" t="s">
        <v>10</v>
      </c>
    </row>
    <row r="1477" spans="1:3" x14ac:dyDescent="0.2">
      <c r="A1477" s="3" t="s">
        <v>2359</v>
      </c>
      <c r="B1477" s="3" t="s">
        <v>1248</v>
      </c>
      <c r="C1477" s="3" t="s">
        <v>10</v>
      </c>
    </row>
    <row r="1478" spans="1:3" x14ac:dyDescent="0.2">
      <c r="A1478" s="3" t="s">
        <v>2359</v>
      </c>
      <c r="B1478" s="3" t="s">
        <v>2372</v>
      </c>
      <c r="C1478" s="3" t="s">
        <v>10</v>
      </c>
    </row>
    <row r="1479" spans="1:3" x14ac:dyDescent="0.2">
      <c r="A1479" s="3" t="s">
        <v>2359</v>
      </c>
      <c r="B1479" s="3" t="s">
        <v>2373</v>
      </c>
      <c r="C1479" s="3" t="s">
        <v>10</v>
      </c>
    </row>
    <row r="1480" spans="1:3" x14ac:dyDescent="0.2">
      <c r="A1480" s="3" t="s">
        <v>2359</v>
      </c>
      <c r="B1480" s="3" t="s">
        <v>2374</v>
      </c>
      <c r="C1480" s="3" t="s">
        <v>10</v>
      </c>
    </row>
    <row r="1481" spans="1:3" x14ac:dyDescent="0.2">
      <c r="A1481" s="3" t="s">
        <v>2375</v>
      </c>
      <c r="B1481" s="3" t="s">
        <v>2376</v>
      </c>
      <c r="C1481" s="3" t="s">
        <v>53</v>
      </c>
    </row>
    <row r="1482" spans="1:3" x14ac:dyDescent="0.2">
      <c r="A1482" s="3" t="s">
        <v>2375</v>
      </c>
      <c r="B1482" s="3" t="s">
        <v>2212</v>
      </c>
      <c r="C1482" s="3" t="s">
        <v>53</v>
      </c>
    </row>
    <row r="1483" spans="1:3" x14ac:dyDescent="0.2">
      <c r="A1483" s="3" t="s">
        <v>2375</v>
      </c>
      <c r="B1483" s="3" t="s">
        <v>2377</v>
      </c>
      <c r="C1483" s="3" t="s">
        <v>53</v>
      </c>
    </row>
    <row r="1484" spans="1:3" x14ac:dyDescent="0.2">
      <c r="A1484" s="3" t="s">
        <v>2375</v>
      </c>
      <c r="B1484" s="3" t="s">
        <v>2378</v>
      </c>
      <c r="C1484" s="3" t="s">
        <v>53</v>
      </c>
    </row>
    <row r="1485" spans="1:3" x14ac:dyDescent="0.2">
      <c r="A1485" s="3" t="s">
        <v>2375</v>
      </c>
      <c r="B1485" s="3" t="s">
        <v>2379</v>
      </c>
      <c r="C1485" s="3" t="s">
        <v>53</v>
      </c>
    </row>
    <row r="1486" spans="1:3" x14ac:dyDescent="0.2">
      <c r="A1486" s="3" t="s">
        <v>2375</v>
      </c>
      <c r="B1486" s="3" t="s">
        <v>2380</v>
      </c>
      <c r="C1486" s="3" t="s">
        <v>53</v>
      </c>
    </row>
    <row r="1487" spans="1:3" x14ac:dyDescent="0.2">
      <c r="A1487" s="3" t="s">
        <v>2375</v>
      </c>
      <c r="B1487" s="3" t="s">
        <v>2376</v>
      </c>
      <c r="C1487" s="3" t="s">
        <v>54</v>
      </c>
    </row>
    <row r="1488" spans="1:3" x14ac:dyDescent="0.2">
      <c r="A1488" s="3" t="s">
        <v>2375</v>
      </c>
      <c r="B1488" s="3" t="s">
        <v>2212</v>
      </c>
      <c r="C1488" s="3" t="s">
        <v>54</v>
      </c>
    </row>
    <row r="1489" spans="1:3" x14ac:dyDescent="0.2">
      <c r="A1489" s="3" t="s">
        <v>2375</v>
      </c>
      <c r="B1489" s="3" t="s">
        <v>2377</v>
      </c>
      <c r="C1489" s="3" t="s">
        <v>54</v>
      </c>
    </row>
    <row r="1490" spans="1:3" x14ac:dyDescent="0.2">
      <c r="A1490" s="3" t="s">
        <v>2375</v>
      </c>
      <c r="B1490" s="3" t="s">
        <v>2378</v>
      </c>
      <c r="C1490" s="3" t="s">
        <v>54</v>
      </c>
    </row>
    <row r="1491" spans="1:3" x14ac:dyDescent="0.2">
      <c r="A1491" s="3" t="s">
        <v>2375</v>
      </c>
      <c r="B1491" s="3" t="s">
        <v>2379</v>
      </c>
      <c r="C1491" s="3" t="s">
        <v>54</v>
      </c>
    </row>
    <row r="1492" spans="1:3" x14ac:dyDescent="0.2">
      <c r="A1492" s="3" t="s">
        <v>2375</v>
      </c>
      <c r="B1492" s="3" t="s">
        <v>2380</v>
      </c>
      <c r="C1492" s="3" t="s">
        <v>54</v>
      </c>
    </row>
    <row r="1493" spans="1:3" x14ac:dyDescent="0.2">
      <c r="A1493" s="3" t="s">
        <v>2375</v>
      </c>
      <c r="B1493" s="3" t="s">
        <v>2376</v>
      </c>
      <c r="C1493" s="3" t="s">
        <v>55</v>
      </c>
    </row>
    <row r="1494" spans="1:3" x14ac:dyDescent="0.2">
      <c r="A1494" s="3" t="s">
        <v>2375</v>
      </c>
      <c r="B1494" s="3" t="s">
        <v>2212</v>
      </c>
      <c r="C1494" s="3" t="s">
        <v>55</v>
      </c>
    </row>
    <row r="1495" spans="1:3" x14ac:dyDescent="0.2">
      <c r="A1495" s="3" t="s">
        <v>2375</v>
      </c>
      <c r="B1495" s="3" t="s">
        <v>2377</v>
      </c>
      <c r="C1495" s="3" t="s">
        <v>55</v>
      </c>
    </row>
    <row r="1496" spans="1:3" x14ac:dyDescent="0.2">
      <c r="A1496" s="3" t="s">
        <v>2375</v>
      </c>
      <c r="B1496" s="3" t="s">
        <v>2378</v>
      </c>
      <c r="C1496" s="3" t="s">
        <v>55</v>
      </c>
    </row>
    <row r="1497" spans="1:3" x14ac:dyDescent="0.2">
      <c r="A1497" s="3" t="s">
        <v>2375</v>
      </c>
      <c r="B1497" s="3" t="s">
        <v>2379</v>
      </c>
      <c r="C1497" s="3" t="s">
        <v>55</v>
      </c>
    </row>
    <row r="1498" spans="1:3" x14ac:dyDescent="0.2">
      <c r="A1498" s="3" t="s">
        <v>2375</v>
      </c>
      <c r="B1498" s="3" t="s">
        <v>2380</v>
      </c>
      <c r="C1498" s="3" t="s">
        <v>55</v>
      </c>
    </row>
    <row r="1499" spans="1:3" x14ac:dyDescent="0.2">
      <c r="A1499" s="3" t="s">
        <v>2375</v>
      </c>
      <c r="B1499" s="3" t="s">
        <v>2376</v>
      </c>
      <c r="C1499" s="3" t="s">
        <v>56</v>
      </c>
    </row>
    <row r="1500" spans="1:3" x14ac:dyDescent="0.2">
      <c r="A1500" s="3" t="s">
        <v>2375</v>
      </c>
      <c r="B1500" s="3" t="s">
        <v>2212</v>
      </c>
      <c r="C1500" s="3" t="s">
        <v>56</v>
      </c>
    </row>
    <row r="1501" spans="1:3" x14ac:dyDescent="0.2">
      <c r="A1501" s="3" t="s">
        <v>2375</v>
      </c>
      <c r="B1501" s="3" t="s">
        <v>2377</v>
      </c>
      <c r="C1501" s="3" t="s">
        <v>56</v>
      </c>
    </row>
    <row r="1502" spans="1:3" x14ac:dyDescent="0.2">
      <c r="A1502" s="3" t="s">
        <v>2375</v>
      </c>
      <c r="B1502" s="3" t="s">
        <v>2378</v>
      </c>
      <c r="C1502" s="3" t="s">
        <v>56</v>
      </c>
    </row>
    <row r="1503" spans="1:3" x14ac:dyDescent="0.2">
      <c r="A1503" s="3" t="s">
        <v>2375</v>
      </c>
      <c r="B1503" s="3" t="s">
        <v>2379</v>
      </c>
      <c r="C1503" s="3" t="s">
        <v>56</v>
      </c>
    </row>
    <row r="1504" spans="1:3" x14ac:dyDescent="0.2">
      <c r="A1504" s="3" t="s">
        <v>2375</v>
      </c>
      <c r="B1504" s="3" t="s">
        <v>2380</v>
      </c>
      <c r="C1504" s="3" t="s">
        <v>56</v>
      </c>
    </row>
    <row r="1505" spans="1:3" x14ac:dyDescent="0.2">
      <c r="A1505" s="3" t="s">
        <v>2375</v>
      </c>
      <c r="B1505" s="3" t="s">
        <v>2376</v>
      </c>
      <c r="C1505" s="3" t="s">
        <v>57</v>
      </c>
    </row>
    <row r="1506" spans="1:3" x14ac:dyDescent="0.2">
      <c r="A1506" s="3" t="s">
        <v>2375</v>
      </c>
      <c r="B1506" s="3" t="s">
        <v>2212</v>
      </c>
      <c r="C1506" s="3" t="s">
        <v>57</v>
      </c>
    </row>
    <row r="1507" spans="1:3" x14ac:dyDescent="0.2">
      <c r="A1507" s="3" t="s">
        <v>2375</v>
      </c>
      <c r="B1507" s="3" t="s">
        <v>2377</v>
      </c>
      <c r="C1507" s="3" t="s">
        <v>57</v>
      </c>
    </row>
    <row r="1508" spans="1:3" x14ac:dyDescent="0.2">
      <c r="A1508" s="3" t="s">
        <v>2375</v>
      </c>
      <c r="B1508" s="3" t="s">
        <v>2378</v>
      </c>
      <c r="C1508" s="3" t="s">
        <v>57</v>
      </c>
    </row>
    <row r="1509" spans="1:3" x14ac:dyDescent="0.2">
      <c r="A1509" s="3" t="s">
        <v>2375</v>
      </c>
      <c r="B1509" s="3" t="s">
        <v>2379</v>
      </c>
      <c r="C1509" s="3" t="s">
        <v>57</v>
      </c>
    </row>
    <row r="1510" spans="1:3" x14ac:dyDescent="0.2">
      <c r="A1510" s="3" t="s">
        <v>2375</v>
      </c>
      <c r="B1510" s="3" t="s">
        <v>2380</v>
      </c>
      <c r="C1510" s="3" t="s">
        <v>57</v>
      </c>
    </row>
    <row r="1511" spans="1:3" x14ac:dyDescent="0.2">
      <c r="A1511" s="3" t="s">
        <v>2211</v>
      </c>
      <c r="B1511" s="3" t="s">
        <v>2212</v>
      </c>
      <c r="C1511" s="3" t="s">
        <v>53</v>
      </c>
    </row>
    <row r="1512" spans="1:3" x14ac:dyDescent="0.2">
      <c r="A1512" s="3" t="s">
        <v>2211</v>
      </c>
      <c r="B1512" s="3" t="s">
        <v>2212</v>
      </c>
      <c r="C1512" s="3" t="s">
        <v>54</v>
      </c>
    </row>
    <row r="1513" spans="1:3" x14ac:dyDescent="0.2">
      <c r="A1513" s="3" t="s">
        <v>2211</v>
      </c>
      <c r="B1513" s="3" t="s">
        <v>2212</v>
      </c>
      <c r="C1513" s="3" t="s">
        <v>55</v>
      </c>
    </row>
    <row r="1514" spans="1:3" x14ac:dyDescent="0.2">
      <c r="A1514" s="3" t="s">
        <v>2211</v>
      </c>
      <c r="B1514" s="3" t="s">
        <v>2212</v>
      </c>
      <c r="C1514" s="3" t="s">
        <v>56</v>
      </c>
    </row>
    <row r="1515" spans="1:3" x14ac:dyDescent="0.2">
      <c r="A1515" s="3" t="s">
        <v>2211</v>
      </c>
      <c r="B1515" s="3" t="s">
        <v>2212</v>
      </c>
      <c r="C1515" s="3" t="s">
        <v>57</v>
      </c>
    </row>
    <row r="1516" spans="1:3" x14ac:dyDescent="0.2">
      <c r="A1516" s="3" t="s">
        <v>2211</v>
      </c>
      <c r="B1516" s="3" t="s">
        <v>2213</v>
      </c>
      <c r="C1516" s="3" t="s">
        <v>169</v>
      </c>
    </row>
    <row r="1517" spans="1:3" x14ac:dyDescent="0.2">
      <c r="A1517" s="3" t="s">
        <v>2211</v>
      </c>
      <c r="B1517" s="3" t="s">
        <v>2214</v>
      </c>
      <c r="C1517" s="3" t="s">
        <v>169</v>
      </c>
    </row>
    <row r="1518" spans="1:3" x14ac:dyDescent="0.2">
      <c r="A1518" s="3" t="s">
        <v>2211</v>
      </c>
      <c r="B1518" s="3" t="s">
        <v>2215</v>
      </c>
      <c r="C1518" s="3" t="s">
        <v>169</v>
      </c>
    </row>
    <row r="1519" spans="1:3" x14ac:dyDescent="0.2">
      <c r="A1519" s="3" t="s">
        <v>2211</v>
      </c>
      <c r="B1519" s="3" t="s">
        <v>2216</v>
      </c>
      <c r="C1519" s="3" t="s">
        <v>169</v>
      </c>
    </row>
    <row r="1520" spans="1:3" x14ac:dyDescent="0.2">
      <c r="A1520" s="3" t="s">
        <v>2211</v>
      </c>
      <c r="B1520" s="3" t="s">
        <v>2186</v>
      </c>
      <c r="C1520" s="3" t="s">
        <v>169</v>
      </c>
    </row>
    <row r="1521" spans="1:3" x14ac:dyDescent="0.2">
      <c r="A1521" s="3" t="s">
        <v>2211</v>
      </c>
      <c r="B1521" s="3" t="s">
        <v>2217</v>
      </c>
      <c r="C1521" s="3" t="s">
        <v>169</v>
      </c>
    </row>
    <row r="1522" spans="1:3" x14ac:dyDescent="0.2">
      <c r="A1522" s="3" t="s">
        <v>2211</v>
      </c>
      <c r="B1522" s="3" t="s">
        <v>2218</v>
      </c>
      <c r="C1522" s="3" t="s">
        <v>169</v>
      </c>
    </row>
    <row r="1523" spans="1:3" x14ac:dyDescent="0.2">
      <c r="A1523" s="3" t="s">
        <v>2211</v>
      </c>
      <c r="B1523" s="3" t="s">
        <v>2219</v>
      </c>
      <c r="C1523" s="3" t="s">
        <v>169</v>
      </c>
    </row>
    <row r="1524" spans="1:3" x14ac:dyDescent="0.2">
      <c r="A1524" s="3" t="s">
        <v>2211</v>
      </c>
      <c r="B1524" s="3" t="s">
        <v>2220</v>
      </c>
      <c r="C1524" s="3" t="s">
        <v>169</v>
      </c>
    </row>
    <row r="1525" spans="1:3" x14ac:dyDescent="0.2">
      <c r="A1525" s="3" t="s">
        <v>2211</v>
      </c>
      <c r="B1525" s="3" t="s">
        <v>2221</v>
      </c>
      <c r="C1525" s="3" t="s">
        <v>169</v>
      </c>
    </row>
    <row r="1526" spans="1:3" x14ac:dyDescent="0.2">
      <c r="A1526" s="3" t="s">
        <v>2211</v>
      </c>
      <c r="B1526" s="3" t="s">
        <v>639</v>
      </c>
      <c r="C1526" s="3" t="s">
        <v>169</v>
      </c>
    </row>
    <row r="1527" spans="1:3" x14ac:dyDescent="0.2">
      <c r="A1527" s="3" t="s">
        <v>2211</v>
      </c>
      <c r="B1527" s="3" t="s">
        <v>2222</v>
      </c>
      <c r="C1527" s="3" t="s">
        <v>169</v>
      </c>
    </row>
    <row r="1528" spans="1:3" x14ac:dyDescent="0.2">
      <c r="A1528" s="3" t="s">
        <v>2211</v>
      </c>
      <c r="B1528" s="3" t="s">
        <v>2223</v>
      </c>
      <c r="C1528" s="3" t="s">
        <v>169</v>
      </c>
    </row>
    <row r="1529" spans="1:3" x14ac:dyDescent="0.2">
      <c r="A1529" s="3" t="s">
        <v>2211</v>
      </c>
      <c r="B1529" s="3" t="s">
        <v>2224</v>
      </c>
      <c r="C1529" s="3" t="s">
        <v>169</v>
      </c>
    </row>
    <row r="1530" spans="1:3" x14ac:dyDescent="0.2">
      <c r="A1530" s="3" t="s">
        <v>2211</v>
      </c>
      <c r="B1530" s="3" t="s">
        <v>2225</v>
      </c>
      <c r="C1530" s="3" t="s">
        <v>169</v>
      </c>
    </row>
    <row r="1531" spans="1:3" x14ac:dyDescent="0.2">
      <c r="A1531" s="3" t="s">
        <v>2211</v>
      </c>
      <c r="B1531" s="3" t="s">
        <v>2226</v>
      </c>
      <c r="C1531" s="3" t="s">
        <v>169</v>
      </c>
    </row>
    <row r="1532" spans="1:3" x14ac:dyDescent="0.2">
      <c r="A1532" s="3" t="s">
        <v>2211</v>
      </c>
      <c r="B1532" s="3" t="s">
        <v>2227</v>
      </c>
      <c r="C1532" s="3" t="s">
        <v>169</v>
      </c>
    </row>
    <row r="1533" spans="1:3" x14ac:dyDescent="0.2">
      <c r="A1533" s="3" t="s">
        <v>2228</v>
      </c>
      <c r="B1533" s="3" t="s">
        <v>2229</v>
      </c>
      <c r="C1533" s="3" t="s">
        <v>53</v>
      </c>
    </row>
    <row r="1534" spans="1:3" x14ac:dyDescent="0.2">
      <c r="A1534" s="3" t="s">
        <v>2228</v>
      </c>
      <c r="B1534" s="3" t="s">
        <v>2230</v>
      </c>
      <c r="C1534" s="3" t="s">
        <v>53</v>
      </c>
    </row>
    <row r="1535" spans="1:3" x14ac:dyDescent="0.2">
      <c r="A1535" s="3" t="s">
        <v>2228</v>
      </c>
      <c r="B1535" s="3" t="s">
        <v>2231</v>
      </c>
      <c r="C1535" s="3" t="s">
        <v>53</v>
      </c>
    </row>
    <row r="1536" spans="1:3" x14ac:dyDescent="0.2">
      <c r="A1536" s="3" t="s">
        <v>2228</v>
      </c>
      <c r="B1536" s="3" t="s">
        <v>2232</v>
      </c>
      <c r="C1536" s="3" t="s">
        <v>53</v>
      </c>
    </row>
    <row r="1537" spans="1:3" x14ac:dyDescent="0.2">
      <c r="A1537" s="3" t="s">
        <v>2228</v>
      </c>
      <c r="B1537" s="3" t="s">
        <v>2233</v>
      </c>
      <c r="C1537" s="3" t="s">
        <v>53</v>
      </c>
    </row>
    <row r="1538" spans="1:3" x14ac:dyDescent="0.2">
      <c r="A1538" s="3" t="s">
        <v>2228</v>
      </c>
      <c r="B1538" s="3" t="s">
        <v>2234</v>
      </c>
      <c r="C1538" s="3" t="s">
        <v>53</v>
      </c>
    </row>
    <row r="1539" spans="1:3" x14ac:dyDescent="0.2">
      <c r="A1539" s="3" t="s">
        <v>2228</v>
      </c>
      <c r="B1539" s="3" t="s">
        <v>2235</v>
      </c>
      <c r="C1539" s="3" t="s">
        <v>53</v>
      </c>
    </row>
    <row r="1540" spans="1:3" x14ac:dyDescent="0.2">
      <c r="A1540" s="3" t="s">
        <v>2228</v>
      </c>
      <c r="B1540" s="3" t="s">
        <v>2229</v>
      </c>
      <c r="C1540" s="3" t="s">
        <v>54</v>
      </c>
    </row>
    <row r="1541" spans="1:3" x14ac:dyDescent="0.2">
      <c r="A1541" s="3" t="s">
        <v>2228</v>
      </c>
      <c r="B1541" s="3" t="s">
        <v>2230</v>
      </c>
      <c r="C1541" s="3" t="s">
        <v>54</v>
      </c>
    </row>
    <row r="1542" spans="1:3" x14ac:dyDescent="0.2">
      <c r="A1542" s="3" t="s">
        <v>2228</v>
      </c>
      <c r="B1542" s="3" t="s">
        <v>2231</v>
      </c>
      <c r="C1542" s="3" t="s">
        <v>54</v>
      </c>
    </row>
    <row r="1543" spans="1:3" x14ac:dyDescent="0.2">
      <c r="A1543" s="3" t="s">
        <v>2228</v>
      </c>
      <c r="B1543" s="3" t="s">
        <v>2232</v>
      </c>
      <c r="C1543" s="3" t="s">
        <v>54</v>
      </c>
    </row>
    <row r="1544" spans="1:3" x14ac:dyDescent="0.2">
      <c r="A1544" s="3" t="s">
        <v>2228</v>
      </c>
      <c r="B1544" s="3" t="s">
        <v>2233</v>
      </c>
      <c r="C1544" s="3" t="s">
        <v>54</v>
      </c>
    </row>
    <row r="1545" spans="1:3" x14ac:dyDescent="0.2">
      <c r="A1545" s="3" t="s">
        <v>2228</v>
      </c>
      <c r="B1545" s="3" t="s">
        <v>2234</v>
      </c>
      <c r="C1545" s="3" t="s">
        <v>54</v>
      </c>
    </row>
    <row r="1546" spans="1:3" x14ac:dyDescent="0.2">
      <c r="A1546" s="3" t="s">
        <v>2228</v>
      </c>
      <c r="B1546" s="3" t="s">
        <v>2235</v>
      </c>
      <c r="C1546" s="3" t="s">
        <v>54</v>
      </c>
    </row>
    <row r="1547" spans="1:3" x14ac:dyDescent="0.2">
      <c r="A1547" s="3" t="s">
        <v>2228</v>
      </c>
      <c r="B1547" s="3" t="s">
        <v>2229</v>
      </c>
      <c r="C1547" s="3" t="s">
        <v>55</v>
      </c>
    </row>
    <row r="1548" spans="1:3" x14ac:dyDescent="0.2">
      <c r="A1548" s="3" t="s">
        <v>2228</v>
      </c>
      <c r="B1548" s="3" t="s">
        <v>2230</v>
      </c>
      <c r="C1548" s="3" t="s">
        <v>55</v>
      </c>
    </row>
    <row r="1549" spans="1:3" x14ac:dyDescent="0.2">
      <c r="A1549" s="3" t="s">
        <v>2228</v>
      </c>
      <c r="B1549" s="3" t="s">
        <v>2231</v>
      </c>
      <c r="C1549" s="3" t="s">
        <v>55</v>
      </c>
    </row>
    <row r="1550" spans="1:3" x14ac:dyDescent="0.2">
      <c r="A1550" s="3" t="s">
        <v>2228</v>
      </c>
      <c r="B1550" s="3" t="s">
        <v>2232</v>
      </c>
      <c r="C1550" s="3" t="s">
        <v>55</v>
      </c>
    </row>
    <row r="1551" spans="1:3" x14ac:dyDescent="0.2">
      <c r="A1551" s="3" t="s">
        <v>2228</v>
      </c>
      <c r="B1551" s="3" t="s">
        <v>2233</v>
      </c>
      <c r="C1551" s="3" t="s">
        <v>55</v>
      </c>
    </row>
    <row r="1552" spans="1:3" x14ac:dyDescent="0.2">
      <c r="A1552" s="3" t="s">
        <v>2228</v>
      </c>
      <c r="B1552" s="3" t="s">
        <v>2234</v>
      </c>
      <c r="C1552" s="3" t="s">
        <v>55</v>
      </c>
    </row>
    <row r="1553" spans="1:3" x14ac:dyDescent="0.2">
      <c r="A1553" s="3" t="s">
        <v>2228</v>
      </c>
      <c r="B1553" s="3" t="s">
        <v>2235</v>
      </c>
      <c r="C1553" s="3" t="s">
        <v>55</v>
      </c>
    </row>
    <row r="1554" spans="1:3" x14ac:dyDescent="0.2">
      <c r="A1554" s="3" t="s">
        <v>2228</v>
      </c>
      <c r="B1554" s="3" t="s">
        <v>2229</v>
      </c>
      <c r="C1554" s="3" t="s">
        <v>56</v>
      </c>
    </row>
    <row r="1555" spans="1:3" x14ac:dyDescent="0.2">
      <c r="A1555" s="3" t="s">
        <v>2228</v>
      </c>
      <c r="B1555" s="3" t="s">
        <v>2230</v>
      </c>
      <c r="C1555" s="3" t="s">
        <v>56</v>
      </c>
    </row>
    <row r="1556" spans="1:3" x14ac:dyDescent="0.2">
      <c r="A1556" s="3" t="s">
        <v>2228</v>
      </c>
      <c r="B1556" s="3" t="s">
        <v>2231</v>
      </c>
      <c r="C1556" s="3" t="s">
        <v>56</v>
      </c>
    </row>
    <row r="1557" spans="1:3" x14ac:dyDescent="0.2">
      <c r="A1557" s="3" t="s">
        <v>2228</v>
      </c>
      <c r="B1557" s="3" t="s">
        <v>2232</v>
      </c>
      <c r="C1557" s="3" t="s">
        <v>56</v>
      </c>
    </row>
    <row r="1558" spans="1:3" x14ac:dyDescent="0.2">
      <c r="A1558" s="3" t="s">
        <v>2228</v>
      </c>
      <c r="B1558" s="3" t="s">
        <v>2233</v>
      </c>
      <c r="C1558" s="3" t="s">
        <v>56</v>
      </c>
    </row>
    <row r="1559" spans="1:3" x14ac:dyDescent="0.2">
      <c r="A1559" s="3" t="s">
        <v>2228</v>
      </c>
      <c r="B1559" s="3" t="s">
        <v>2234</v>
      </c>
      <c r="C1559" s="3" t="s">
        <v>56</v>
      </c>
    </row>
    <row r="1560" spans="1:3" x14ac:dyDescent="0.2">
      <c r="A1560" s="3" t="s">
        <v>2228</v>
      </c>
      <c r="B1560" s="3" t="s">
        <v>2235</v>
      </c>
      <c r="C1560" s="3" t="s">
        <v>56</v>
      </c>
    </row>
    <row r="1561" spans="1:3" x14ac:dyDescent="0.2">
      <c r="A1561" s="3" t="s">
        <v>2228</v>
      </c>
      <c r="B1561" s="3" t="s">
        <v>2229</v>
      </c>
      <c r="C1561" s="3" t="s">
        <v>57</v>
      </c>
    </row>
    <row r="1562" spans="1:3" x14ac:dyDescent="0.2">
      <c r="A1562" s="3" t="s">
        <v>2228</v>
      </c>
      <c r="B1562" s="3" t="s">
        <v>2230</v>
      </c>
      <c r="C1562" s="3" t="s">
        <v>57</v>
      </c>
    </row>
    <row r="1563" spans="1:3" x14ac:dyDescent="0.2">
      <c r="A1563" s="3" t="s">
        <v>2228</v>
      </c>
      <c r="B1563" s="3" t="s">
        <v>2231</v>
      </c>
      <c r="C1563" s="3" t="s">
        <v>57</v>
      </c>
    </row>
    <row r="1564" spans="1:3" x14ac:dyDescent="0.2">
      <c r="A1564" s="3" t="s">
        <v>2228</v>
      </c>
      <c r="B1564" s="3" t="s">
        <v>2232</v>
      </c>
      <c r="C1564" s="3" t="s">
        <v>57</v>
      </c>
    </row>
    <row r="1565" spans="1:3" x14ac:dyDescent="0.2">
      <c r="A1565" s="3" t="s">
        <v>2228</v>
      </c>
      <c r="B1565" s="3" t="s">
        <v>2233</v>
      </c>
      <c r="C1565" s="3" t="s">
        <v>57</v>
      </c>
    </row>
    <row r="1566" spans="1:3" x14ac:dyDescent="0.2">
      <c r="A1566" s="3" t="s">
        <v>2228</v>
      </c>
      <c r="B1566" s="3" t="s">
        <v>2234</v>
      </c>
      <c r="C1566" s="3" t="s">
        <v>57</v>
      </c>
    </row>
    <row r="1567" spans="1:3" x14ac:dyDescent="0.2">
      <c r="A1567" s="3" t="s">
        <v>2228</v>
      </c>
      <c r="B1567" s="3" t="s">
        <v>2235</v>
      </c>
      <c r="C1567" s="3" t="s">
        <v>57</v>
      </c>
    </row>
    <row r="1568" spans="1:3" x14ac:dyDescent="0.2">
      <c r="A1568" s="3" t="s">
        <v>2228</v>
      </c>
      <c r="B1568" s="3" t="s">
        <v>2213</v>
      </c>
      <c r="C1568" s="3" t="s">
        <v>169</v>
      </c>
    </row>
    <row r="1569" spans="1:3" x14ac:dyDescent="0.2">
      <c r="A1569" s="3" t="s">
        <v>2228</v>
      </c>
      <c r="B1569" s="3" t="s">
        <v>2214</v>
      </c>
      <c r="C1569" s="3" t="s">
        <v>169</v>
      </c>
    </row>
    <row r="1570" spans="1:3" x14ac:dyDescent="0.2">
      <c r="A1570" s="3" t="s">
        <v>2228</v>
      </c>
      <c r="B1570" s="3" t="s">
        <v>2186</v>
      </c>
      <c r="C1570" s="3" t="s">
        <v>169</v>
      </c>
    </row>
    <row r="1571" spans="1:3" x14ac:dyDescent="0.2">
      <c r="A1571" s="3" t="s">
        <v>2228</v>
      </c>
      <c r="B1571" s="3" t="s">
        <v>2217</v>
      </c>
      <c r="C1571" s="3" t="s">
        <v>169</v>
      </c>
    </row>
    <row r="1572" spans="1:3" x14ac:dyDescent="0.2">
      <c r="A1572" s="3" t="s">
        <v>2228</v>
      </c>
      <c r="B1572" s="3" t="s">
        <v>2218</v>
      </c>
      <c r="C1572" s="3" t="s">
        <v>169</v>
      </c>
    </row>
    <row r="1573" spans="1:3" x14ac:dyDescent="0.2">
      <c r="A1573" s="3" t="s">
        <v>2228</v>
      </c>
      <c r="B1573" s="3" t="s">
        <v>2219</v>
      </c>
      <c r="C1573" s="3" t="s">
        <v>169</v>
      </c>
    </row>
    <row r="1574" spans="1:3" x14ac:dyDescent="0.2">
      <c r="A1574" s="3" t="s">
        <v>2228</v>
      </c>
      <c r="B1574" s="3" t="s">
        <v>2222</v>
      </c>
      <c r="C1574" s="3" t="s">
        <v>169</v>
      </c>
    </row>
    <row r="1575" spans="1:3" x14ac:dyDescent="0.2">
      <c r="A1575" s="3" t="s">
        <v>2228</v>
      </c>
      <c r="B1575" s="3" t="s">
        <v>2223</v>
      </c>
      <c r="C1575" s="3" t="s">
        <v>169</v>
      </c>
    </row>
    <row r="1576" spans="1:3" x14ac:dyDescent="0.2">
      <c r="A1576" s="3" t="s">
        <v>2228</v>
      </c>
      <c r="B1576" s="3" t="s">
        <v>2224</v>
      </c>
      <c r="C1576" s="3" t="s">
        <v>169</v>
      </c>
    </row>
    <row r="1577" spans="1:3" x14ac:dyDescent="0.2">
      <c r="A1577" s="3" t="s">
        <v>2236</v>
      </c>
      <c r="B1577" s="3" t="s">
        <v>2237</v>
      </c>
      <c r="C1577" s="3" t="s">
        <v>53</v>
      </c>
    </row>
    <row r="1578" spans="1:3" x14ac:dyDescent="0.2">
      <c r="A1578" s="3" t="s">
        <v>2236</v>
      </c>
      <c r="B1578" s="3" t="s">
        <v>2238</v>
      </c>
      <c r="C1578" s="3" t="s">
        <v>53</v>
      </c>
    </row>
    <row r="1579" spans="1:3" x14ac:dyDescent="0.2">
      <c r="A1579" s="3" t="s">
        <v>2236</v>
      </c>
      <c r="B1579" s="3" t="s">
        <v>2237</v>
      </c>
      <c r="C1579" s="3" t="s">
        <v>54</v>
      </c>
    </row>
    <row r="1580" spans="1:3" x14ac:dyDescent="0.2">
      <c r="A1580" s="3" t="s">
        <v>2236</v>
      </c>
      <c r="B1580" s="3" t="s">
        <v>2238</v>
      </c>
      <c r="C1580" s="3" t="s">
        <v>54</v>
      </c>
    </row>
    <row r="1581" spans="1:3" x14ac:dyDescent="0.2">
      <c r="A1581" s="3" t="s">
        <v>2236</v>
      </c>
      <c r="B1581" s="3" t="s">
        <v>2237</v>
      </c>
      <c r="C1581" s="3" t="s">
        <v>55</v>
      </c>
    </row>
    <row r="1582" spans="1:3" x14ac:dyDescent="0.2">
      <c r="A1582" s="3" t="s">
        <v>2236</v>
      </c>
      <c r="B1582" s="3" t="s">
        <v>2238</v>
      </c>
      <c r="C1582" s="3" t="s">
        <v>55</v>
      </c>
    </row>
    <row r="1583" spans="1:3" x14ac:dyDescent="0.2">
      <c r="A1583" s="3" t="s">
        <v>2236</v>
      </c>
      <c r="B1583" s="3" t="s">
        <v>2237</v>
      </c>
      <c r="C1583" s="3" t="s">
        <v>56</v>
      </c>
    </row>
    <row r="1584" spans="1:3" x14ac:dyDescent="0.2">
      <c r="A1584" s="3" t="s">
        <v>2236</v>
      </c>
      <c r="B1584" s="3" t="s">
        <v>2238</v>
      </c>
      <c r="C1584" s="3" t="s">
        <v>56</v>
      </c>
    </row>
    <row r="1585" spans="1:3" x14ac:dyDescent="0.2">
      <c r="A1585" s="3" t="s">
        <v>2236</v>
      </c>
      <c r="B1585" s="3" t="s">
        <v>2237</v>
      </c>
      <c r="C1585" s="3" t="s">
        <v>57</v>
      </c>
    </row>
    <row r="1586" spans="1:3" x14ac:dyDescent="0.2">
      <c r="A1586" s="3" t="s">
        <v>2236</v>
      </c>
      <c r="B1586" s="3" t="s">
        <v>2238</v>
      </c>
      <c r="C1586" s="3" t="s">
        <v>57</v>
      </c>
    </row>
    <row r="1587" spans="1:3" x14ac:dyDescent="0.2">
      <c r="A1587" s="3" t="s">
        <v>2236</v>
      </c>
      <c r="B1587" s="3" t="s">
        <v>2213</v>
      </c>
      <c r="C1587" s="3" t="s">
        <v>169</v>
      </c>
    </row>
    <row r="1588" spans="1:3" x14ac:dyDescent="0.2">
      <c r="A1588" s="3" t="s">
        <v>2236</v>
      </c>
      <c r="B1588" s="3" t="s">
        <v>2214</v>
      </c>
      <c r="C1588" s="3" t="s">
        <v>169</v>
      </c>
    </row>
    <row r="1589" spans="1:3" x14ac:dyDescent="0.2">
      <c r="A1589" s="3" t="s">
        <v>2236</v>
      </c>
      <c r="B1589" s="3" t="s">
        <v>2186</v>
      </c>
      <c r="C1589" s="3" t="s">
        <v>169</v>
      </c>
    </row>
    <row r="1590" spans="1:3" x14ac:dyDescent="0.2">
      <c r="A1590" s="3" t="s">
        <v>2236</v>
      </c>
      <c r="B1590" s="3" t="s">
        <v>2219</v>
      </c>
      <c r="C1590" s="3" t="s">
        <v>169</v>
      </c>
    </row>
    <row r="1591" spans="1:3" x14ac:dyDescent="0.2">
      <c r="A1591" s="3" t="s">
        <v>2236</v>
      </c>
      <c r="B1591" s="3" t="s">
        <v>2222</v>
      </c>
      <c r="C1591" s="3" t="s">
        <v>169</v>
      </c>
    </row>
    <row r="1592" spans="1:3" x14ac:dyDescent="0.2">
      <c r="A1592" s="3" t="s">
        <v>2236</v>
      </c>
      <c r="B1592" s="3" t="s">
        <v>2223</v>
      </c>
      <c r="C1592" s="3" t="s">
        <v>169</v>
      </c>
    </row>
    <row r="1593" spans="1:3" x14ac:dyDescent="0.2">
      <c r="A1593" s="3" t="s">
        <v>2236</v>
      </c>
      <c r="B1593" s="3" t="s">
        <v>2224</v>
      </c>
      <c r="C1593" s="3" t="s">
        <v>169</v>
      </c>
    </row>
    <row r="1594" spans="1:3" x14ac:dyDescent="0.2">
      <c r="A1594" s="3" t="s">
        <v>2239</v>
      </c>
      <c r="B1594" s="3" t="s">
        <v>2240</v>
      </c>
      <c r="C1594" s="3" t="s">
        <v>53</v>
      </c>
    </row>
    <row r="1595" spans="1:3" x14ac:dyDescent="0.2">
      <c r="A1595" s="3" t="s">
        <v>2239</v>
      </c>
      <c r="B1595" s="3" t="s">
        <v>2241</v>
      </c>
      <c r="C1595" s="3" t="s">
        <v>53</v>
      </c>
    </row>
    <row r="1596" spans="1:3" x14ac:dyDescent="0.2">
      <c r="A1596" s="3" t="s">
        <v>2239</v>
      </c>
      <c r="B1596" s="3" t="s">
        <v>183</v>
      </c>
      <c r="C1596" s="3" t="s">
        <v>53</v>
      </c>
    </row>
    <row r="1597" spans="1:3" x14ac:dyDescent="0.2">
      <c r="A1597" s="3" t="s">
        <v>2239</v>
      </c>
      <c r="B1597" s="3" t="s">
        <v>2240</v>
      </c>
      <c r="C1597" s="3" t="s">
        <v>54</v>
      </c>
    </row>
    <row r="1598" spans="1:3" x14ac:dyDescent="0.2">
      <c r="A1598" s="3" t="s">
        <v>2239</v>
      </c>
      <c r="B1598" s="3" t="s">
        <v>2241</v>
      </c>
      <c r="C1598" s="3" t="s">
        <v>54</v>
      </c>
    </row>
    <row r="1599" spans="1:3" x14ac:dyDescent="0.2">
      <c r="A1599" s="3" t="s">
        <v>2239</v>
      </c>
      <c r="B1599" s="3" t="s">
        <v>183</v>
      </c>
      <c r="C1599" s="3" t="s">
        <v>54</v>
      </c>
    </row>
    <row r="1600" spans="1:3" x14ac:dyDescent="0.2">
      <c r="A1600" s="3" t="s">
        <v>2239</v>
      </c>
      <c r="B1600" s="3" t="s">
        <v>2240</v>
      </c>
      <c r="C1600" s="3" t="s">
        <v>55</v>
      </c>
    </row>
    <row r="1601" spans="1:3" x14ac:dyDescent="0.2">
      <c r="A1601" s="3" t="s">
        <v>2239</v>
      </c>
      <c r="B1601" s="3" t="s">
        <v>2241</v>
      </c>
      <c r="C1601" s="3" t="s">
        <v>55</v>
      </c>
    </row>
    <row r="1602" spans="1:3" x14ac:dyDescent="0.2">
      <c r="A1602" s="3" t="s">
        <v>2239</v>
      </c>
      <c r="B1602" s="3" t="s">
        <v>183</v>
      </c>
      <c r="C1602" s="3" t="s">
        <v>55</v>
      </c>
    </row>
    <row r="1603" spans="1:3" x14ac:dyDescent="0.2">
      <c r="A1603" s="3" t="s">
        <v>2239</v>
      </c>
      <c r="B1603" s="3" t="s">
        <v>2240</v>
      </c>
      <c r="C1603" s="3" t="s">
        <v>56</v>
      </c>
    </row>
    <row r="1604" spans="1:3" x14ac:dyDescent="0.2">
      <c r="A1604" s="3" t="s">
        <v>2239</v>
      </c>
      <c r="B1604" s="3" t="s">
        <v>2241</v>
      </c>
      <c r="C1604" s="3" t="s">
        <v>56</v>
      </c>
    </row>
    <row r="1605" spans="1:3" x14ac:dyDescent="0.2">
      <c r="A1605" s="3" t="s">
        <v>2239</v>
      </c>
      <c r="B1605" s="3" t="s">
        <v>183</v>
      </c>
      <c r="C1605" s="3" t="s">
        <v>56</v>
      </c>
    </row>
    <row r="1606" spans="1:3" x14ac:dyDescent="0.2">
      <c r="A1606" s="3" t="s">
        <v>2239</v>
      </c>
      <c r="B1606" s="3" t="s">
        <v>2240</v>
      </c>
      <c r="C1606" s="3" t="s">
        <v>57</v>
      </c>
    </row>
    <row r="1607" spans="1:3" x14ac:dyDescent="0.2">
      <c r="A1607" s="3" t="s">
        <v>2239</v>
      </c>
      <c r="B1607" s="3" t="s">
        <v>2241</v>
      </c>
      <c r="C1607" s="3" t="s">
        <v>57</v>
      </c>
    </row>
    <row r="1608" spans="1:3" x14ac:dyDescent="0.2">
      <c r="A1608" s="3" t="s">
        <v>2239</v>
      </c>
      <c r="B1608" s="3" t="s">
        <v>183</v>
      </c>
      <c r="C1608" s="3" t="s">
        <v>57</v>
      </c>
    </row>
    <row r="1609" spans="1:3" x14ac:dyDescent="0.2">
      <c r="A1609" s="3" t="s">
        <v>2239</v>
      </c>
      <c r="B1609" s="3" t="s">
        <v>2213</v>
      </c>
      <c r="C1609" s="3" t="s">
        <v>169</v>
      </c>
    </row>
    <row r="1610" spans="1:3" x14ac:dyDescent="0.2">
      <c r="A1610" s="3" t="s">
        <v>2239</v>
      </c>
      <c r="B1610" s="3" t="s">
        <v>2215</v>
      </c>
      <c r="C1610" s="3" t="s">
        <v>169</v>
      </c>
    </row>
    <row r="1611" spans="1:3" x14ac:dyDescent="0.2">
      <c r="A1611" s="3" t="s">
        <v>2239</v>
      </c>
      <c r="B1611" s="3" t="s">
        <v>2216</v>
      </c>
      <c r="C1611" s="3" t="s">
        <v>169</v>
      </c>
    </row>
    <row r="1612" spans="1:3" x14ac:dyDescent="0.2">
      <c r="A1612" s="3" t="s">
        <v>2239</v>
      </c>
      <c r="B1612" s="3" t="s">
        <v>2186</v>
      </c>
      <c r="C1612" s="3" t="s">
        <v>169</v>
      </c>
    </row>
    <row r="1613" spans="1:3" x14ac:dyDescent="0.2">
      <c r="A1613" s="3" t="s">
        <v>2239</v>
      </c>
      <c r="B1613" s="3" t="s">
        <v>2217</v>
      </c>
      <c r="C1613" s="3" t="s">
        <v>169</v>
      </c>
    </row>
    <row r="1614" spans="1:3" x14ac:dyDescent="0.2">
      <c r="A1614" s="3" t="s">
        <v>2239</v>
      </c>
      <c r="B1614" s="3" t="s">
        <v>2221</v>
      </c>
      <c r="C1614" s="3" t="s">
        <v>169</v>
      </c>
    </row>
    <row r="1615" spans="1:3" x14ac:dyDescent="0.2">
      <c r="A1615" s="3" t="s">
        <v>2239</v>
      </c>
      <c r="B1615" s="3" t="s">
        <v>2242</v>
      </c>
      <c r="C1615" s="3" t="s">
        <v>169</v>
      </c>
    </row>
    <row r="1616" spans="1:3" x14ac:dyDescent="0.2">
      <c r="A1616" s="3" t="s">
        <v>2239</v>
      </c>
      <c r="B1616" s="3" t="s">
        <v>2243</v>
      </c>
      <c r="C1616" s="3" t="s">
        <v>169</v>
      </c>
    </row>
    <row r="1617" spans="1:3" x14ac:dyDescent="0.2">
      <c r="A1617" s="3" t="s">
        <v>2381</v>
      </c>
      <c r="B1617" s="3" t="s">
        <v>2382</v>
      </c>
      <c r="C1617" s="3" t="s">
        <v>53</v>
      </c>
    </row>
    <row r="1618" spans="1:3" x14ac:dyDescent="0.2">
      <c r="A1618" s="3" t="s">
        <v>2381</v>
      </c>
      <c r="B1618" s="3" t="s">
        <v>2240</v>
      </c>
      <c r="C1618" s="3" t="s">
        <v>53</v>
      </c>
    </row>
    <row r="1619" spans="1:3" x14ac:dyDescent="0.2">
      <c r="A1619" s="3" t="s">
        <v>2381</v>
      </c>
      <c r="B1619" s="3" t="s">
        <v>2382</v>
      </c>
      <c r="C1619" s="3" t="s">
        <v>54</v>
      </c>
    </row>
    <row r="1620" spans="1:3" x14ac:dyDescent="0.2">
      <c r="A1620" s="3" t="s">
        <v>2381</v>
      </c>
      <c r="B1620" s="3" t="s">
        <v>2240</v>
      </c>
      <c r="C1620" s="3" t="s">
        <v>54</v>
      </c>
    </row>
    <row r="1621" spans="1:3" x14ac:dyDescent="0.2">
      <c r="A1621" s="3" t="s">
        <v>2381</v>
      </c>
      <c r="B1621" s="3" t="s">
        <v>2382</v>
      </c>
      <c r="C1621" s="3" t="s">
        <v>55</v>
      </c>
    </row>
    <row r="1622" spans="1:3" x14ac:dyDescent="0.2">
      <c r="A1622" s="3" t="s">
        <v>2381</v>
      </c>
      <c r="B1622" s="3" t="s">
        <v>2240</v>
      </c>
      <c r="C1622" s="3" t="s">
        <v>55</v>
      </c>
    </row>
    <row r="1623" spans="1:3" x14ac:dyDescent="0.2">
      <c r="A1623" s="3" t="s">
        <v>2381</v>
      </c>
      <c r="B1623" s="3" t="s">
        <v>2382</v>
      </c>
      <c r="C1623" s="3" t="s">
        <v>56</v>
      </c>
    </row>
    <row r="1624" spans="1:3" x14ac:dyDescent="0.2">
      <c r="A1624" s="3" t="s">
        <v>2381</v>
      </c>
      <c r="B1624" s="3" t="s">
        <v>2240</v>
      </c>
      <c r="C1624" s="3" t="s">
        <v>56</v>
      </c>
    </row>
    <row r="1625" spans="1:3" x14ac:dyDescent="0.2">
      <c r="A1625" s="3" t="s">
        <v>2381</v>
      </c>
      <c r="B1625" s="3" t="s">
        <v>2382</v>
      </c>
      <c r="C1625" s="3" t="s">
        <v>57</v>
      </c>
    </row>
    <row r="1626" spans="1:3" x14ac:dyDescent="0.2">
      <c r="A1626" s="3" t="s">
        <v>2381</v>
      </c>
      <c r="B1626" s="3" t="s">
        <v>2240</v>
      </c>
      <c r="C1626" s="3" t="s">
        <v>57</v>
      </c>
    </row>
    <row r="1627" spans="1:3" x14ac:dyDescent="0.2">
      <c r="A1627" s="3" t="s">
        <v>2244</v>
      </c>
      <c r="B1627" s="3" t="s">
        <v>2240</v>
      </c>
      <c r="C1627" s="3" t="s">
        <v>53</v>
      </c>
    </row>
    <row r="1628" spans="1:3" x14ac:dyDescent="0.2">
      <c r="A1628" s="3" t="s">
        <v>2244</v>
      </c>
      <c r="B1628" s="3" t="s">
        <v>2240</v>
      </c>
      <c r="C1628" s="3" t="s">
        <v>54</v>
      </c>
    </row>
    <row r="1629" spans="1:3" x14ac:dyDescent="0.2">
      <c r="A1629" s="3" t="s">
        <v>2244</v>
      </c>
      <c r="B1629" s="3" t="s">
        <v>2240</v>
      </c>
      <c r="C1629" s="3" t="s">
        <v>55</v>
      </c>
    </row>
    <row r="1630" spans="1:3" x14ac:dyDescent="0.2">
      <c r="A1630" s="3" t="s">
        <v>2244</v>
      </c>
      <c r="B1630" s="3" t="s">
        <v>2240</v>
      </c>
      <c r="C1630" s="3" t="s">
        <v>56</v>
      </c>
    </row>
    <row r="1631" spans="1:3" x14ac:dyDescent="0.2">
      <c r="A1631" s="3" t="s">
        <v>2244</v>
      </c>
      <c r="B1631" s="3" t="s">
        <v>2240</v>
      </c>
      <c r="C1631" s="3" t="s">
        <v>57</v>
      </c>
    </row>
    <row r="1632" spans="1:3" x14ac:dyDescent="0.2">
      <c r="A1632" s="3" t="s">
        <v>606</v>
      </c>
      <c r="B1632" s="3" t="s">
        <v>603</v>
      </c>
      <c r="C1632" s="3" t="s">
        <v>53</v>
      </c>
    </row>
    <row r="1633" spans="1:3" x14ac:dyDescent="0.2">
      <c r="A1633" s="3" t="s">
        <v>606</v>
      </c>
      <c r="B1633" s="3" t="s">
        <v>167</v>
      </c>
      <c r="C1633" s="3" t="s">
        <v>53</v>
      </c>
    </row>
    <row r="1634" spans="1:3" x14ac:dyDescent="0.2">
      <c r="A1634" s="3" t="s">
        <v>606</v>
      </c>
      <c r="B1634" s="3" t="s">
        <v>603</v>
      </c>
      <c r="C1634" s="3" t="s">
        <v>54</v>
      </c>
    </row>
    <row r="1635" spans="1:3" x14ac:dyDescent="0.2">
      <c r="A1635" s="3" t="s">
        <v>606</v>
      </c>
      <c r="B1635" s="3" t="s">
        <v>167</v>
      </c>
      <c r="C1635" s="3" t="s">
        <v>54</v>
      </c>
    </row>
    <row r="1636" spans="1:3" x14ac:dyDescent="0.2">
      <c r="A1636" s="3" t="s">
        <v>606</v>
      </c>
      <c r="B1636" s="3" t="s">
        <v>603</v>
      </c>
      <c r="C1636" s="3" t="s">
        <v>55</v>
      </c>
    </row>
    <row r="1637" spans="1:3" x14ac:dyDescent="0.2">
      <c r="A1637" s="3" t="s">
        <v>606</v>
      </c>
      <c r="B1637" s="3" t="s">
        <v>167</v>
      </c>
      <c r="C1637" s="3" t="s">
        <v>55</v>
      </c>
    </row>
    <row r="1638" spans="1:3" x14ac:dyDescent="0.2">
      <c r="A1638" s="3" t="s">
        <v>606</v>
      </c>
      <c r="B1638" s="3" t="s">
        <v>603</v>
      </c>
      <c r="C1638" s="3" t="s">
        <v>56</v>
      </c>
    </row>
    <row r="1639" spans="1:3" x14ac:dyDescent="0.2">
      <c r="A1639" s="3" t="s">
        <v>606</v>
      </c>
      <c r="B1639" s="3" t="s">
        <v>167</v>
      </c>
      <c r="C1639" s="3" t="s">
        <v>56</v>
      </c>
    </row>
    <row r="1640" spans="1:3" x14ac:dyDescent="0.2">
      <c r="A1640" s="3" t="s">
        <v>606</v>
      </c>
      <c r="B1640" s="3" t="s">
        <v>603</v>
      </c>
      <c r="C1640" s="3" t="s">
        <v>57</v>
      </c>
    </row>
    <row r="1641" spans="1:3" x14ac:dyDescent="0.2">
      <c r="A1641" s="3" t="s">
        <v>606</v>
      </c>
      <c r="B1641" s="3" t="s">
        <v>167</v>
      </c>
      <c r="C1641" s="3" t="s">
        <v>57</v>
      </c>
    </row>
    <row r="1642" spans="1:3" x14ac:dyDescent="0.2">
      <c r="A1642" s="3" t="s">
        <v>606</v>
      </c>
      <c r="B1642" s="3" t="s">
        <v>607</v>
      </c>
      <c r="C1642" s="3" t="s">
        <v>169</v>
      </c>
    </row>
    <row r="1643" spans="1:3" x14ac:dyDescent="0.2">
      <c r="A1643" s="3" t="s">
        <v>606</v>
      </c>
      <c r="B1643" s="3" t="s">
        <v>608</v>
      </c>
      <c r="C1643" s="3" t="s">
        <v>11</v>
      </c>
    </row>
    <row r="1644" spans="1:3" x14ac:dyDescent="0.2">
      <c r="A1644" s="3" t="s">
        <v>609</v>
      </c>
      <c r="B1644" s="3" t="s">
        <v>604</v>
      </c>
      <c r="C1644" s="3" t="s">
        <v>53</v>
      </c>
    </row>
    <row r="1645" spans="1:3" x14ac:dyDescent="0.2">
      <c r="A1645" s="3" t="s">
        <v>609</v>
      </c>
      <c r="B1645" s="3" t="s">
        <v>610</v>
      </c>
      <c r="C1645" s="3" t="s">
        <v>53</v>
      </c>
    </row>
    <row r="1646" spans="1:3" x14ac:dyDescent="0.2">
      <c r="A1646" s="3" t="s">
        <v>609</v>
      </c>
      <c r="B1646" s="3" t="s">
        <v>611</v>
      </c>
      <c r="C1646" s="3" t="s">
        <v>53</v>
      </c>
    </row>
    <row r="1647" spans="1:3" x14ac:dyDescent="0.2">
      <c r="A1647" s="3" t="s">
        <v>609</v>
      </c>
      <c r="B1647" s="3" t="s">
        <v>612</v>
      </c>
      <c r="C1647" s="3" t="s">
        <v>53</v>
      </c>
    </row>
    <row r="1648" spans="1:3" x14ac:dyDescent="0.2">
      <c r="A1648" s="3" t="s">
        <v>609</v>
      </c>
      <c r="B1648" s="3" t="s">
        <v>604</v>
      </c>
      <c r="C1648" s="3" t="s">
        <v>54</v>
      </c>
    </row>
    <row r="1649" spans="1:3" x14ac:dyDescent="0.2">
      <c r="A1649" s="3" t="s">
        <v>609</v>
      </c>
      <c r="B1649" s="3" t="s">
        <v>610</v>
      </c>
      <c r="C1649" s="3" t="s">
        <v>54</v>
      </c>
    </row>
    <row r="1650" spans="1:3" x14ac:dyDescent="0.2">
      <c r="A1650" s="3" t="s">
        <v>609</v>
      </c>
      <c r="B1650" s="3" t="s">
        <v>611</v>
      </c>
      <c r="C1650" s="3" t="s">
        <v>54</v>
      </c>
    </row>
    <row r="1651" spans="1:3" x14ac:dyDescent="0.2">
      <c r="A1651" s="3" t="s">
        <v>609</v>
      </c>
      <c r="B1651" s="3" t="s">
        <v>612</v>
      </c>
      <c r="C1651" s="3" t="s">
        <v>54</v>
      </c>
    </row>
    <row r="1652" spans="1:3" x14ac:dyDescent="0.2">
      <c r="A1652" s="3" t="s">
        <v>609</v>
      </c>
      <c r="B1652" s="3" t="s">
        <v>604</v>
      </c>
      <c r="C1652" s="3" t="s">
        <v>55</v>
      </c>
    </row>
    <row r="1653" spans="1:3" x14ac:dyDescent="0.2">
      <c r="A1653" s="3" t="s">
        <v>609</v>
      </c>
      <c r="B1653" s="3" t="s">
        <v>610</v>
      </c>
      <c r="C1653" s="3" t="s">
        <v>55</v>
      </c>
    </row>
    <row r="1654" spans="1:3" x14ac:dyDescent="0.2">
      <c r="A1654" s="3" t="s">
        <v>609</v>
      </c>
      <c r="B1654" s="3" t="s">
        <v>611</v>
      </c>
      <c r="C1654" s="3" t="s">
        <v>55</v>
      </c>
    </row>
    <row r="1655" spans="1:3" x14ac:dyDescent="0.2">
      <c r="A1655" s="3" t="s">
        <v>609</v>
      </c>
      <c r="B1655" s="3" t="s">
        <v>612</v>
      </c>
      <c r="C1655" s="3" t="s">
        <v>55</v>
      </c>
    </row>
    <row r="1656" spans="1:3" x14ac:dyDescent="0.2">
      <c r="A1656" s="3" t="s">
        <v>609</v>
      </c>
      <c r="B1656" s="3" t="s">
        <v>604</v>
      </c>
      <c r="C1656" s="3" t="s">
        <v>56</v>
      </c>
    </row>
    <row r="1657" spans="1:3" x14ac:dyDescent="0.2">
      <c r="A1657" s="3" t="s">
        <v>609</v>
      </c>
      <c r="B1657" s="3" t="s">
        <v>610</v>
      </c>
      <c r="C1657" s="3" t="s">
        <v>56</v>
      </c>
    </row>
    <row r="1658" spans="1:3" x14ac:dyDescent="0.2">
      <c r="A1658" s="3" t="s">
        <v>609</v>
      </c>
      <c r="B1658" s="3" t="s">
        <v>611</v>
      </c>
      <c r="C1658" s="3" t="s">
        <v>56</v>
      </c>
    </row>
    <row r="1659" spans="1:3" x14ac:dyDescent="0.2">
      <c r="A1659" s="3" t="s">
        <v>609</v>
      </c>
      <c r="B1659" s="3" t="s">
        <v>612</v>
      </c>
      <c r="C1659" s="3" t="s">
        <v>56</v>
      </c>
    </row>
    <row r="1660" spans="1:3" x14ac:dyDescent="0.2">
      <c r="A1660" s="3" t="s">
        <v>609</v>
      </c>
      <c r="B1660" s="3" t="s">
        <v>613</v>
      </c>
      <c r="C1660" s="3" t="s">
        <v>56</v>
      </c>
    </row>
    <row r="1661" spans="1:3" x14ac:dyDescent="0.2">
      <c r="A1661" s="3" t="s">
        <v>609</v>
      </c>
      <c r="B1661" s="3" t="s">
        <v>614</v>
      </c>
      <c r="C1661" s="3" t="s">
        <v>56</v>
      </c>
    </row>
    <row r="1662" spans="1:3" x14ac:dyDescent="0.2">
      <c r="A1662" s="3" t="s">
        <v>609</v>
      </c>
      <c r="B1662" s="3" t="s">
        <v>604</v>
      </c>
      <c r="C1662" s="3" t="s">
        <v>57</v>
      </c>
    </row>
    <row r="1663" spans="1:3" x14ac:dyDescent="0.2">
      <c r="A1663" s="3" t="s">
        <v>609</v>
      </c>
      <c r="B1663" s="3" t="s">
        <v>610</v>
      </c>
      <c r="C1663" s="3" t="s">
        <v>57</v>
      </c>
    </row>
    <row r="1664" spans="1:3" x14ac:dyDescent="0.2">
      <c r="A1664" s="3" t="s">
        <v>609</v>
      </c>
      <c r="B1664" s="3" t="s">
        <v>611</v>
      </c>
      <c r="C1664" s="3" t="s">
        <v>57</v>
      </c>
    </row>
    <row r="1665" spans="1:3" x14ac:dyDescent="0.2">
      <c r="A1665" s="3" t="s">
        <v>609</v>
      </c>
      <c r="B1665" s="3" t="s">
        <v>612</v>
      </c>
      <c r="C1665" s="3" t="s">
        <v>57</v>
      </c>
    </row>
    <row r="1666" spans="1:3" x14ac:dyDescent="0.2">
      <c r="A1666" s="3" t="s">
        <v>609</v>
      </c>
      <c r="B1666" s="3" t="s">
        <v>613</v>
      </c>
      <c r="C1666" s="3" t="s">
        <v>57</v>
      </c>
    </row>
    <row r="1667" spans="1:3" x14ac:dyDescent="0.2">
      <c r="A1667" s="3" t="s">
        <v>609</v>
      </c>
      <c r="B1667" s="3" t="s">
        <v>614</v>
      </c>
      <c r="C1667" s="3" t="s">
        <v>57</v>
      </c>
    </row>
    <row r="1668" spans="1:3" x14ac:dyDescent="0.2">
      <c r="A1668" s="3" t="s">
        <v>615</v>
      </c>
      <c r="B1668" s="3" t="s">
        <v>616</v>
      </c>
      <c r="C1668" s="3" t="s">
        <v>53</v>
      </c>
    </row>
    <row r="1669" spans="1:3" x14ac:dyDescent="0.2">
      <c r="A1669" s="3" t="s">
        <v>615</v>
      </c>
      <c r="B1669" s="3" t="s">
        <v>616</v>
      </c>
      <c r="C1669" s="3" t="s">
        <v>54</v>
      </c>
    </row>
    <row r="1670" spans="1:3" x14ac:dyDescent="0.2">
      <c r="A1670" s="3" t="s">
        <v>615</v>
      </c>
      <c r="B1670" s="3" t="s">
        <v>616</v>
      </c>
      <c r="C1670" s="3" t="s">
        <v>55</v>
      </c>
    </row>
    <row r="1671" spans="1:3" x14ac:dyDescent="0.2">
      <c r="A1671" s="3" t="s">
        <v>615</v>
      </c>
      <c r="B1671" s="3" t="s">
        <v>616</v>
      </c>
      <c r="C1671" s="3" t="s">
        <v>56</v>
      </c>
    </row>
    <row r="1672" spans="1:3" x14ac:dyDescent="0.2">
      <c r="A1672" s="3" t="s">
        <v>615</v>
      </c>
      <c r="B1672" s="3" t="s">
        <v>616</v>
      </c>
      <c r="C1672" s="3" t="s">
        <v>57</v>
      </c>
    </row>
    <row r="1673" spans="1:3" x14ac:dyDescent="0.2">
      <c r="A1673" s="3" t="s">
        <v>615</v>
      </c>
      <c r="B1673" s="3" t="s">
        <v>617</v>
      </c>
      <c r="C1673" s="3" t="s">
        <v>10</v>
      </c>
    </row>
    <row r="1674" spans="1:3" x14ac:dyDescent="0.2">
      <c r="A1674" s="3" t="s">
        <v>615</v>
      </c>
      <c r="B1674" s="3" t="s">
        <v>618</v>
      </c>
      <c r="C1674" s="3" t="s">
        <v>10</v>
      </c>
    </row>
    <row r="1675" spans="1:3" x14ac:dyDescent="0.2">
      <c r="A1675" s="3" t="s">
        <v>615</v>
      </c>
      <c r="B1675" s="3" t="s">
        <v>617</v>
      </c>
      <c r="C1675" s="3" t="s">
        <v>11</v>
      </c>
    </row>
    <row r="1676" spans="1:3" x14ac:dyDescent="0.2">
      <c r="A1676" s="3" t="s">
        <v>615</v>
      </c>
      <c r="B1676" s="3" t="s">
        <v>619</v>
      </c>
      <c r="C1676" s="3" t="s">
        <v>11</v>
      </c>
    </row>
    <row r="1677" spans="1:3" x14ac:dyDescent="0.2">
      <c r="A1677" s="3" t="s">
        <v>615</v>
      </c>
      <c r="B1677" s="3" t="s">
        <v>620</v>
      </c>
      <c r="C1677" s="3" t="s">
        <v>11</v>
      </c>
    </row>
    <row r="1678" spans="1:3" x14ac:dyDescent="0.2">
      <c r="A1678" s="3" t="s">
        <v>621</v>
      </c>
      <c r="B1678" s="3" t="s">
        <v>603</v>
      </c>
      <c r="C1678" s="3" t="s">
        <v>53</v>
      </c>
    </row>
    <row r="1679" spans="1:3" x14ac:dyDescent="0.2">
      <c r="A1679" s="3" t="s">
        <v>621</v>
      </c>
      <c r="B1679" s="3" t="s">
        <v>604</v>
      </c>
      <c r="C1679" s="3" t="s">
        <v>53</v>
      </c>
    </row>
    <row r="1680" spans="1:3" x14ac:dyDescent="0.2">
      <c r="A1680" s="3" t="s">
        <v>621</v>
      </c>
      <c r="B1680" s="3" t="s">
        <v>603</v>
      </c>
      <c r="C1680" s="3" t="s">
        <v>54</v>
      </c>
    </row>
    <row r="1681" spans="1:3" x14ac:dyDescent="0.2">
      <c r="A1681" s="3" t="s">
        <v>621</v>
      </c>
      <c r="B1681" s="3" t="s">
        <v>604</v>
      </c>
      <c r="C1681" s="3" t="s">
        <v>54</v>
      </c>
    </row>
    <row r="1682" spans="1:3" x14ac:dyDescent="0.2">
      <c r="A1682" s="3" t="s">
        <v>621</v>
      </c>
      <c r="B1682" s="3" t="s">
        <v>603</v>
      </c>
      <c r="C1682" s="3" t="s">
        <v>55</v>
      </c>
    </row>
    <row r="1683" spans="1:3" x14ac:dyDescent="0.2">
      <c r="A1683" s="3" t="s">
        <v>621</v>
      </c>
      <c r="B1683" s="3" t="s">
        <v>604</v>
      </c>
      <c r="C1683" s="3" t="s">
        <v>55</v>
      </c>
    </row>
    <row r="1684" spans="1:3" x14ac:dyDescent="0.2">
      <c r="A1684" s="3" t="s">
        <v>621</v>
      </c>
      <c r="B1684" s="3" t="s">
        <v>603</v>
      </c>
      <c r="C1684" s="3" t="s">
        <v>56</v>
      </c>
    </row>
    <row r="1685" spans="1:3" x14ac:dyDescent="0.2">
      <c r="A1685" s="3" t="s">
        <v>621</v>
      </c>
      <c r="B1685" s="3" t="s">
        <v>604</v>
      </c>
      <c r="C1685" s="3" t="s">
        <v>56</v>
      </c>
    </row>
    <row r="1686" spans="1:3" x14ac:dyDescent="0.2">
      <c r="A1686" s="3" t="s">
        <v>621</v>
      </c>
      <c r="B1686" s="3" t="s">
        <v>603</v>
      </c>
      <c r="C1686" s="3" t="s">
        <v>57</v>
      </c>
    </row>
    <row r="1687" spans="1:3" x14ac:dyDescent="0.2">
      <c r="A1687" s="3" t="s">
        <v>621</v>
      </c>
      <c r="B1687" s="3" t="s">
        <v>604</v>
      </c>
      <c r="C1687" s="3" t="s">
        <v>57</v>
      </c>
    </row>
    <row r="1688" spans="1:3" x14ac:dyDescent="0.2">
      <c r="A1688" s="3" t="s">
        <v>622</v>
      </c>
      <c r="B1688" s="3" t="s">
        <v>604</v>
      </c>
      <c r="C1688" s="3" t="s">
        <v>53</v>
      </c>
    </row>
    <row r="1689" spans="1:3" x14ac:dyDescent="0.2">
      <c r="A1689" s="3" t="s">
        <v>622</v>
      </c>
      <c r="B1689" s="3" t="s">
        <v>623</v>
      </c>
      <c r="C1689" s="3" t="s">
        <v>53</v>
      </c>
    </row>
    <row r="1690" spans="1:3" x14ac:dyDescent="0.2">
      <c r="A1690" s="3" t="s">
        <v>622</v>
      </c>
      <c r="B1690" s="3" t="s">
        <v>624</v>
      </c>
      <c r="C1690" s="3" t="s">
        <v>53</v>
      </c>
    </row>
    <row r="1691" spans="1:3" x14ac:dyDescent="0.2">
      <c r="A1691" s="3" t="s">
        <v>622</v>
      </c>
      <c r="B1691" s="3" t="s">
        <v>625</v>
      </c>
      <c r="C1691" s="3" t="s">
        <v>53</v>
      </c>
    </row>
    <row r="1692" spans="1:3" x14ac:dyDescent="0.2">
      <c r="A1692" s="3" t="s">
        <v>622</v>
      </c>
      <c r="B1692" s="3" t="s">
        <v>604</v>
      </c>
      <c r="C1692" s="3" t="s">
        <v>54</v>
      </c>
    </row>
    <row r="1693" spans="1:3" x14ac:dyDescent="0.2">
      <c r="A1693" s="3" t="s">
        <v>622</v>
      </c>
      <c r="B1693" s="3" t="s">
        <v>624</v>
      </c>
      <c r="C1693" s="3" t="s">
        <v>54</v>
      </c>
    </row>
    <row r="1694" spans="1:3" x14ac:dyDescent="0.2">
      <c r="A1694" s="3" t="s">
        <v>622</v>
      </c>
      <c r="B1694" s="3" t="s">
        <v>625</v>
      </c>
      <c r="C1694" s="3" t="s">
        <v>54</v>
      </c>
    </row>
    <row r="1695" spans="1:3" x14ac:dyDescent="0.2">
      <c r="A1695" s="3" t="s">
        <v>622</v>
      </c>
      <c r="B1695" s="3" t="s">
        <v>604</v>
      </c>
      <c r="C1695" s="3" t="s">
        <v>55</v>
      </c>
    </row>
    <row r="1696" spans="1:3" x14ac:dyDescent="0.2">
      <c r="A1696" s="3" t="s">
        <v>622</v>
      </c>
      <c r="B1696" s="3" t="s">
        <v>623</v>
      </c>
      <c r="C1696" s="3" t="s">
        <v>55</v>
      </c>
    </row>
    <row r="1697" spans="1:3" x14ac:dyDescent="0.2">
      <c r="A1697" s="3" t="s">
        <v>622</v>
      </c>
      <c r="B1697" s="3" t="s">
        <v>624</v>
      </c>
      <c r="C1697" s="3" t="s">
        <v>55</v>
      </c>
    </row>
    <row r="1698" spans="1:3" x14ac:dyDescent="0.2">
      <c r="A1698" s="3" t="s">
        <v>622</v>
      </c>
      <c r="B1698" s="3" t="s">
        <v>625</v>
      </c>
      <c r="C1698" s="3" t="s">
        <v>55</v>
      </c>
    </row>
    <row r="1699" spans="1:3" x14ac:dyDescent="0.2">
      <c r="A1699" s="3" t="s">
        <v>622</v>
      </c>
      <c r="B1699" s="3" t="s">
        <v>604</v>
      </c>
      <c r="C1699" s="3" t="s">
        <v>56</v>
      </c>
    </row>
    <row r="1700" spans="1:3" x14ac:dyDescent="0.2">
      <c r="A1700" s="3" t="s">
        <v>622</v>
      </c>
      <c r="B1700" s="3" t="s">
        <v>623</v>
      </c>
      <c r="C1700" s="3" t="s">
        <v>56</v>
      </c>
    </row>
    <row r="1701" spans="1:3" x14ac:dyDescent="0.2">
      <c r="A1701" s="3" t="s">
        <v>622</v>
      </c>
      <c r="B1701" s="3" t="s">
        <v>624</v>
      </c>
      <c r="C1701" s="3" t="s">
        <v>56</v>
      </c>
    </row>
    <row r="1702" spans="1:3" x14ac:dyDescent="0.2">
      <c r="A1702" s="3" t="s">
        <v>622</v>
      </c>
      <c r="B1702" s="3" t="s">
        <v>625</v>
      </c>
      <c r="C1702" s="3" t="s">
        <v>56</v>
      </c>
    </row>
    <row r="1703" spans="1:3" x14ac:dyDescent="0.2">
      <c r="A1703" s="3" t="s">
        <v>622</v>
      </c>
      <c r="B1703" s="3" t="s">
        <v>604</v>
      </c>
      <c r="C1703" s="3" t="s">
        <v>57</v>
      </c>
    </row>
    <row r="1704" spans="1:3" x14ac:dyDescent="0.2">
      <c r="A1704" s="3" t="s">
        <v>622</v>
      </c>
      <c r="B1704" s="3" t="s">
        <v>623</v>
      </c>
      <c r="C1704" s="3" t="s">
        <v>57</v>
      </c>
    </row>
    <row r="1705" spans="1:3" x14ac:dyDescent="0.2">
      <c r="A1705" s="3" t="s">
        <v>622</v>
      </c>
      <c r="B1705" s="3" t="s">
        <v>624</v>
      </c>
      <c r="C1705" s="3" t="s">
        <v>57</v>
      </c>
    </row>
    <row r="1706" spans="1:3" x14ac:dyDescent="0.2">
      <c r="A1706" s="3" t="s">
        <v>622</v>
      </c>
      <c r="B1706" s="3" t="s">
        <v>625</v>
      </c>
      <c r="C1706" s="3" t="s">
        <v>57</v>
      </c>
    </row>
    <row r="1707" spans="1:3" x14ac:dyDescent="0.2">
      <c r="A1707" s="3" t="s">
        <v>626</v>
      </c>
      <c r="B1707" s="3" t="s">
        <v>610</v>
      </c>
      <c r="C1707" s="3" t="s">
        <v>53</v>
      </c>
    </row>
    <row r="1708" spans="1:3" x14ac:dyDescent="0.2">
      <c r="A1708" s="3" t="s">
        <v>626</v>
      </c>
      <c r="B1708" s="3" t="s">
        <v>611</v>
      </c>
      <c r="C1708" s="3" t="s">
        <v>53</v>
      </c>
    </row>
    <row r="1709" spans="1:3" x14ac:dyDescent="0.2">
      <c r="A1709" s="3" t="s">
        <v>626</v>
      </c>
      <c r="B1709" s="3" t="s">
        <v>612</v>
      </c>
      <c r="C1709" s="3" t="s">
        <v>53</v>
      </c>
    </row>
    <row r="1710" spans="1:3" x14ac:dyDescent="0.2">
      <c r="A1710" s="3" t="s">
        <v>626</v>
      </c>
      <c r="B1710" s="3" t="s">
        <v>610</v>
      </c>
      <c r="C1710" s="3" t="s">
        <v>54</v>
      </c>
    </row>
    <row r="1711" spans="1:3" x14ac:dyDescent="0.2">
      <c r="A1711" s="3" t="s">
        <v>626</v>
      </c>
      <c r="B1711" s="3" t="s">
        <v>611</v>
      </c>
      <c r="C1711" s="3" t="s">
        <v>54</v>
      </c>
    </row>
    <row r="1712" spans="1:3" x14ac:dyDescent="0.2">
      <c r="A1712" s="3" t="s">
        <v>626</v>
      </c>
      <c r="B1712" s="3" t="s">
        <v>612</v>
      </c>
      <c r="C1712" s="3" t="s">
        <v>54</v>
      </c>
    </row>
    <row r="1713" spans="1:3" x14ac:dyDescent="0.2">
      <c r="A1713" s="3" t="s">
        <v>626</v>
      </c>
      <c r="B1713" s="3" t="s">
        <v>610</v>
      </c>
      <c r="C1713" s="3" t="s">
        <v>55</v>
      </c>
    </row>
    <row r="1714" spans="1:3" x14ac:dyDescent="0.2">
      <c r="A1714" s="3" t="s">
        <v>626</v>
      </c>
      <c r="B1714" s="3" t="s">
        <v>611</v>
      </c>
      <c r="C1714" s="3" t="s">
        <v>55</v>
      </c>
    </row>
    <row r="1715" spans="1:3" x14ac:dyDescent="0.2">
      <c r="A1715" s="3" t="s">
        <v>626</v>
      </c>
      <c r="B1715" s="3" t="s">
        <v>612</v>
      </c>
      <c r="C1715" s="3" t="s">
        <v>55</v>
      </c>
    </row>
    <row r="1716" spans="1:3" x14ac:dyDescent="0.2">
      <c r="A1716" s="3" t="s">
        <v>626</v>
      </c>
      <c r="B1716" s="3" t="s">
        <v>610</v>
      </c>
      <c r="C1716" s="3" t="s">
        <v>56</v>
      </c>
    </row>
    <row r="1717" spans="1:3" x14ac:dyDescent="0.2">
      <c r="A1717" s="3" t="s">
        <v>626</v>
      </c>
      <c r="B1717" s="3" t="s">
        <v>611</v>
      </c>
      <c r="C1717" s="3" t="s">
        <v>56</v>
      </c>
    </row>
    <row r="1718" spans="1:3" x14ac:dyDescent="0.2">
      <c r="A1718" s="3" t="s">
        <v>626</v>
      </c>
      <c r="B1718" s="3" t="s">
        <v>612</v>
      </c>
      <c r="C1718" s="3" t="s">
        <v>56</v>
      </c>
    </row>
    <row r="1719" spans="1:3" x14ac:dyDescent="0.2">
      <c r="A1719" s="3" t="s">
        <v>626</v>
      </c>
      <c r="B1719" s="3" t="s">
        <v>610</v>
      </c>
      <c r="C1719" s="3" t="s">
        <v>57</v>
      </c>
    </row>
    <row r="1720" spans="1:3" x14ac:dyDescent="0.2">
      <c r="A1720" s="3" t="s">
        <v>626</v>
      </c>
      <c r="B1720" s="3" t="s">
        <v>611</v>
      </c>
      <c r="C1720" s="3" t="s">
        <v>57</v>
      </c>
    </row>
    <row r="1721" spans="1:3" x14ac:dyDescent="0.2">
      <c r="A1721" s="3" t="s">
        <v>626</v>
      </c>
      <c r="B1721" s="3" t="s">
        <v>612</v>
      </c>
      <c r="C1721" s="3" t="s">
        <v>57</v>
      </c>
    </row>
    <row r="1722" spans="1:3" x14ac:dyDescent="0.2">
      <c r="A1722" s="3" t="s">
        <v>627</v>
      </c>
      <c r="B1722" s="3" t="s">
        <v>603</v>
      </c>
      <c r="C1722" s="3" t="s">
        <v>53</v>
      </c>
    </row>
    <row r="1723" spans="1:3" x14ac:dyDescent="0.2">
      <c r="A1723" s="3" t="s">
        <v>627</v>
      </c>
      <c r="B1723" s="3" t="s">
        <v>603</v>
      </c>
      <c r="C1723" s="3" t="s">
        <v>54</v>
      </c>
    </row>
    <row r="1724" spans="1:3" x14ac:dyDescent="0.2">
      <c r="A1724" s="3" t="s">
        <v>627</v>
      </c>
      <c r="B1724" s="3" t="s">
        <v>603</v>
      </c>
      <c r="C1724" s="3" t="s">
        <v>55</v>
      </c>
    </row>
    <row r="1725" spans="1:3" x14ac:dyDescent="0.2">
      <c r="A1725" s="3" t="s">
        <v>627</v>
      </c>
      <c r="B1725" s="3" t="s">
        <v>603</v>
      </c>
      <c r="C1725" s="3" t="s">
        <v>56</v>
      </c>
    </row>
    <row r="1726" spans="1:3" x14ac:dyDescent="0.2">
      <c r="A1726" s="3" t="s">
        <v>627</v>
      </c>
      <c r="B1726" s="3" t="s">
        <v>613</v>
      </c>
      <c r="C1726" s="3" t="s">
        <v>56</v>
      </c>
    </row>
    <row r="1727" spans="1:3" x14ac:dyDescent="0.2">
      <c r="A1727" s="3" t="s">
        <v>627</v>
      </c>
      <c r="B1727" s="3" t="s">
        <v>628</v>
      </c>
      <c r="C1727" s="3" t="s">
        <v>56</v>
      </c>
    </row>
    <row r="1728" spans="1:3" x14ac:dyDescent="0.2">
      <c r="A1728" s="3" t="s">
        <v>627</v>
      </c>
      <c r="B1728" s="3" t="s">
        <v>614</v>
      </c>
      <c r="C1728" s="3" t="s">
        <v>56</v>
      </c>
    </row>
    <row r="1729" spans="1:3" x14ac:dyDescent="0.2">
      <c r="A1729" s="3" t="s">
        <v>627</v>
      </c>
      <c r="B1729" s="3" t="s">
        <v>603</v>
      </c>
      <c r="C1729" s="3" t="s">
        <v>57</v>
      </c>
    </row>
    <row r="1730" spans="1:3" x14ac:dyDescent="0.2">
      <c r="A1730" s="3" t="s">
        <v>627</v>
      </c>
      <c r="B1730" s="3" t="s">
        <v>613</v>
      </c>
      <c r="C1730" s="3" t="s">
        <v>57</v>
      </c>
    </row>
    <row r="1731" spans="1:3" x14ac:dyDescent="0.2">
      <c r="A1731" s="3" t="s">
        <v>627</v>
      </c>
      <c r="B1731" s="3" t="s">
        <v>628</v>
      </c>
      <c r="C1731" s="3" t="s">
        <v>57</v>
      </c>
    </row>
    <row r="1732" spans="1:3" x14ac:dyDescent="0.2">
      <c r="A1732" s="3" t="s">
        <v>627</v>
      </c>
      <c r="B1732" s="3" t="s">
        <v>614</v>
      </c>
      <c r="C1732" s="3" t="s">
        <v>57</v>
      </c>
    </row>
    <row r="1733" spans="1:3" x14ac:dyDescent="0.2">
      <c r="A1733" s="3" t="s">
        <v>629</v>
      </c>
      <c r="B1733" s="3" t="s">
        <v>630</v>
      </c>
      <c r="C1733" s="3" t="s">
        <v>53</v>
      </c>
    </row>
    <row r="1734" spans="1:3" x14ac:dyDescent="0.2">
      <c r="A1734" s="3" t="s">
        <v>629</v>
      </c>
      <c r="B1734" s="3" t="s">
        <v>630</v>
      </c>
      <c r="C1734" s="3" t="s">
        <v>54</v>
      </c>
    </row>
    <row r="1735" spans="1:3" x14ac:dyDescent="0.2">
      <c r="A1735" s="3" t="s">
        <v>629</v>
      </c>
      <c r="B1735" s="3" t="s">
        <v>630</v>
      </c>
      <c r="C1735" s="3" t="s">
        <v>55</v>
      </c>
    </row>
    <row r="1736" spans="1:3" x14ac:dyDescent="0.2">
      <c r="A1736" s="3" t="s">
        <v>629</v>
      </c>
      <c r="B1736" s="3" t="s">
        <v>630</v>
      </c>
      <c r="C1736" s="3" t="s">
        <v>56</v>
      </c>
    </row>
    <row r="1737" spans="1:3" x14ac:dyDescent="0.2">
      <c r="A1737" s="3" t="s">
        <v>629</v>
      </c>
      <c r="B1737" s="3" t="s">
        <v>630</v>
      </c>
      <c r="C1737" s="3" t="s">
        <v>57</v>
      </c>
    </row>
    <row r="1738" spans="1:3" x14ac:dyDescent="0.2">
      <c r="A1738" s="3" t="s">
        <v>631</v>
      </c>
      <c r="B1738" s="3" t="s">
        <v>632</v>
      </c>
      <c r="C1738" s="3" t="s">
        <v>53</v>
      </c>
    </row>
    <row r="1739" spans="1:3" x14ac:dyDescent="0.2">
      <c r="A1739" s="3" t="s">
        <v>631</v>
      </c>
      <c r="B1739" s="3" t="s">
        <v>633</v>
      </c>
      <c r="C1739" s="3" t="s">
        <v>53</v>
      </c>
    </row>
    <row r="1740" spans="1:3" x14ac:dyDescent="0.2">
      <c r="A1740" s="3" t="s">
        <v>631</v>
      </c>
      <c r="B1740" s="3" t="s">
        <v>634</v>
      </c>
      <c r="C1740" s="3" t="s">
        <v>53</v>
      </c>
    </row>
    <row r="1741" spans="1:3" x14ac:dyDescent="0.2">
      <c r="A1741" s="3" t="s">
        <v>631</v>
      </c>
      <c r="B1741" s="3" t="s">
        <v>635</v>
      </c>
      <c r="C1741" s="3" t="s">
        <v>53</v>
      </c>
    </row>
    <row r="1742" spans="1:3" x14ac:dyDescent="0.2">
      <c r="A1742" s="3" t="s">
        <v>631</v>
      </c>
      <c r="B1742" s="3" t="s">
        <v>636</v>
      </c>
      <c r="C1742" s="3" t="s">
        <v>53</v>
      </c>
    </row>
    <row r="1743" spans="1:3" x14ac:dyDescent="0.2">
      <c r="A1743" s="3" t="s">
        <v>631</v>
      </c>
      <c r="B1743" s="3" t="s">
        <v>637</v>
      </c>
      <c r="C1743" s="3" t="s">
        <v>53</v>
      </c>
    </row>
    <row r="1744" spans="1:3" x14ac:dyDescent="0.2">
      <c r="A1744" s="3" t="s">
        <v>631</v>
      </c>
      <c r="B1744" s="3" t="s">
        <v>638</v>
      </c>
      <c r="C1744" s="3" t="s">
        <v>53</v>
      </c>
    </row>
    <row r="1745" spans="1:3" x14ac:dyDescent="0.2">
      <c r="A1745" s="3" t="s">
        <v>631</v>
      </c>
      <c r="B1745" s="3" t="s">
        <v>632</v>
      </c>
      <c r="C1745" s="3" t="s">
        <v>54</v>
      </c>
    </row>
    <row r="1746" spans="1:3" x14ac:dyDescent="0.2">
      <c r="A1746" s="3" t="s">
        <v>631</v>
      </c>
      <c r="B1746" s="3" t="s">
        <v>633</v>
      </c>
      <c r="C1746" s="3" t="s">
        <v>54</v>
      </c>
    </row>
    <row r="1747" spans="1:3" x14ac:dyDescent="0.2">
      <c r="A1747" s="3" t="s">
        <v>631</v>
      </c>
      <c r="B1747" s="3" t="s">
        <v>634</v>
      </c>
      <c r="C1747" s="3" t="s">
        <v>54</v>
      </c>
    </row>
    <row r="1748" spans="1:3" x14ac:dyDescent="0.2">
      <c r="A1748" s="3" t="s">
        <v>631</v>
      </c>
      <c r="B1748" s="3" t="s">
        <v>635</v>
      </c>
      <c r="C1748" s="3" t="s">
        <v>54</v>
      </c>
    </row>
    <row r="1749" spans="1:3" x14ac:dyDescent="0.2">
      <c r="A1749" s="3" t="s">
        <v>631</v>
      </c>
      <c r="B1749" s="3" t="s">
        <v>636</v>
      </c>
      <c r="C1749" s="3" t="s">
        <v>54</v>
      </c>
    </row>
    <row r="1750" spans="1:3" x14ac:dyDescent="0.2">
      <c r="A1750" s="3" t="s">
        <v>631</v>
      </c>
      <c r="B1750" s="3" t="s">
        <v>637</v>
      </c>
      <c r="C1750" s="3" t="s">
        <v>54</v>
      </c>
    </row>
    <row r="1751" spans="1:3" x14ac:dyDescent="0.2">
      <c r="A1751" s="3" t="s">
        <v>631</v>
      </c>
      <c r="B1751" s="3" t="s">
        <v>638</v>
      </c>
      <c r="C1751" s="3" t="s">
        <v>54</v>
      </c>
    </row>
    <row r="1752" spans="1:3" x14ac:dyDescent="0.2">
      <c r="A1752" s="3" t="s">
        <v>631</v>
      </c>
      <c r="B1752" s="3" t="s">
        <v>632</v>
      </c>
      <c r="C1752" s="3" t="s">
        <v>55</v>
      </c>
    </row>
    <row r="1753" spans="1:3" x14ac:dyDescent="0.2">
      <c r="A1753" s="3" t="s">
        <v>631</v>
      </c>
      <c r="B1753" s="3" t="s">
        <v>633</v>
      </c>
      <c r="C1753" s="3" t="s">
        <v>55</v>
      </c>
    </row>
    <row r="1754" spans="1:3" x14ac:dyDescent="0.2">
      <c r="A1754" s="3" t="s">
        <v>631</v>
      </c>
      <c r="B1754" s="3" t="s">
        <v>634</v>
      </c>
      <c r="C1754" s="3" t="s">
        <v>55</v>
      </c>
    </row>
    <row r="1755" spans="1:3" x14ac:dyDescent="0.2">
      <c r="A1755" s="3" t="s">
        <v>631</v>
      </c>
      <c r="B1755" s="3" t="s">
        <v>635</v>
      </c>
      <c r="C1755" s="3" t="s">
        <v>55</v>
      </c>
    </row>
    <row r="1756" spans="1:3" x14ac:dyDescent="0.2">
      <c r="A1756" s="3" t="s">
        <v>631</v>
      </c>
      <c r="B1756" s="3" t="s">
        <v>636</v>
      </c>
      <c r="C1756" s="3" t="s">
        <v>55</v>
      </c>
    </row>
    <row r="1757" spans="1:3" x14ac:dyDescent="0.2">
      <c r="A1757" s="3" t="s">
        <v>631</v>
      </c>
      <c r="B1757" s="3" t="s">
        <v>637</v>
      </c>
      <c r="C1757" s="3" t="s">
        <v>55</v>
      </c>
    </row>
    <row r="1758" spans="1:3" x14ac:dyDescent="0.2">
      <c r="A1758" s="3" t="s">
        <v>631</v>
      </c>
      <c r="B1758" s="3" t="s">
        <v>638</v>
      </c>
      <c r="C1758" s="3" t="s">
        <v>55</v>
      </c>
    </row>
    <row r="1759" spans="1:3" x14ac:dyDescent="0.2">
      <c r="A1759" s="3" t="s">
        <v>631</v>
      </c>
      <c r="B1759" s="3" t="s">
        <v>632</v>
      </c>
      <c r="C1759" s="3" t="s">
        <v>56</v>
      </c>
    </row>
    <row r="1760" spans="1:3" x14ac:dyDescent="0.2">
      <c r="A1760" s="3" t="s">
        <v>631</v>
      </c>
      <c r="B1760" s="3" t="s">
        <v>633</v>
      </c>
      <c r="C1760" s="3" t="s">
        <v>56</v>
      </c>
    </row>
    <row r="1761" spans="1:3" x14ac:dyDescent="0.2">
      <c r="A1761" s="3" t="s">
        <v>631</v>
      </c>
      <c r="B1761" s="3" t="s">
        <v>634</v>
      </c>
      <c r="C1761" s="3" t="s">
        <v>56</v>
      </c>
    </row>
    <row r="1762" spans="1:3" x14ac:dyDescent="0.2">
      <c r="A1762" s="3" t="s">
        <v>631</v>
      </c>
      <c r="B1762" s="3" t="s">
        <v>635</v>
      </c>
      <c r="C1762" s="3" t="s">
        <v>56</v>
      </c>
    </row>
    <row r="1763" spans="1:3" x14ac:dyDescent="0.2">
      <c r="A1763" s="3" t="s">
        <v>631</v>
      </c>
      <c r="B1763" s="3" t="s">
        <v>636</v>
      </c>
      <c r="C1763" s="3" t="s">
        <v>56</v>
      </c>
    </row>
    <row r="1764" spans="1:3" x14ac:dyDescent="0.2">
      <c r="A1764" s="3" t="s">
        <v>631</v>
      </c>
      <c r="B1764" s="3" t="s">
        <v>637</v>
      </c>
      <c r="C1764" s="3" t="s">
        <v>56</v>
      </c>
    </row>
    <row r="1765" spans="1:3" x14ac:dyDescent="0.2">
      <c r="A1765" s="3" t="s">
        <v>631</v>
      </c>
      <c r="B1765" s="3" t="s">
        <v>638</v>
      </c>
      <c r="C1765" s="3" t="s">
        <v>56</v>
      </c>
    </row>
    <row r="1766" spans="1:3" x14ac:dyDescent="0.2">
      <c r="A1766" s="3" t="s">
        <v>631</v>
      </c>
      <c r="B1766" s="3" t="s">
        <v>632</v>
      </c>
      <c r="C1766" s="3" t="s">
        <v>57</v>
      </c>
    </row>
    <row r="1767" spans="1:3" x14ac:dyDescent="0.2">
      <c r="A1767" s="3" t="s">
        <v>631</v>
      </c>
      <c r="B1767" s="3" t="s">
        <v>633</v>
      </c>
      <c r="C1767" s="3" t="s">
        <v>57</v>
      </c>
    </row>
    <row r="1768" spans="1:3" x14ac:dyDescent="0.2">
      <c r="A1768" s="3" t="s">
        <v>631</v>
      </c>
      <c r="B1768" s="3" t="s">
        <v>634</v>
      </c>
      <c r="C1768" s="3" t="s">
        <v>57</v>
      </c>
    </row>
    <row r="1769" spans="1:3" x14ac:dyDescent="0.2">
      <c r="A1769" s="3" t="s">
        <v>631</v>
      </c>
      <c r="B1769" s="3" t="s">
        <v>635</v>
      </c>
      <c r="C1769" s="3" t="s">
        <v>57</v>
      </c>
    </row>
    <row r="1770" spans="1:3" x14ac:dyDescent="0.2">
      <c r="A1770" s="3" t="s">
        <v>631</v>
      </c>
      <c r="B1770" s="3" t="s">
        <v>636</v>
      </c>
      <c r="C1770" s="3" t="s">
        <v>57</v>
      </c>
    </row>
    <row r="1771" spans="1:3" x14ac:dyDescent="0.2">
      <c r="A1771" s="3" t="s">
        <v>631</v>
      </c>
      <c r="B1771" s="3" t="s">
        <v>637</v>
      </c>
      <c r="C1771" s="3" t="s">
        <v>57</v>
      </c>
    </row>
    <row r="1772" spans="1:3" x14ac:dyDescent="0.2">
      <c r="A1772" s="3" t="s">
        <v>631</v>
      </c>
      <c r="B1772" s="3" t="s">
        <v>638</v>
      </c>
      <c r="C1772" s="3" t="s">
        <v>57</v>
      </c>
    </row>
    <row r="1773" spans="1:3" x14ac:dyDescent="0.2">
      <c r="A1773" s="3" t="s">
        <v>631</v>
      </c>
      <c r="B1773" s="3" t="s">
        <v>639</v>
      </c>
      <c r="C1773" s="3" t="s">
        <v>169</v>
      </c>
    </row>
    <row r="1774" spans="1:3" x14ac:dyDescent="0.2">
      <c r="A1774" s="3" t="s">
        <v>631</v>
      </c>
      <c r="B1774" s="3" t="s">
        <v>640</v>
      </c>
      <c r="C1774" s="3" t="s">
        <v>169</v>
      </c>
    </row>
    <row r="1775" spans="1:3" x14ac:dyDescent="0.2">
      <c r="A1775" s="3" t="s">
        <v>631</v>
      </c>
      <c r="B1775" s="3" t="s">
        <v>641</v>
      </c>
      <c r="C1775" s="3" t="s">
        <v>169</v>
      </c>
    </row>
    <row r="1776" spans="1:3" x14ac:dyDescent="0.2">
      <c r="A1776" s="3" t="s">
        <v>631</v>
      </c>
      <c r="B1776" s="3" t="s">
        <v>642</v>
      </c>
      <c r="C1776" s="3" t="s">
        <v>169</v>
      </c>
    </row>
    <row r="1777" spans="1:3" x14ac:dyDescent="0.2">
      <c r="A1777" s="3" t="s">
        <v>631</v>
      </c>
      <c r="B1777" s="3" t="s">
        <v>643</v>
      </c>
      <c r="C1777" s="3" t="s">
        <v>169</v>
      </c>
    </row>
    <row r="1778" spans="1:3" x14ac:dyDescent="0.2">
      <c r="A1778" s="3" t="s">
        <v>631</v>
      </c>
      <c r="B1778" s="3" t="s">
        <v>644</v>
      </c>
      <c r="C1778" s="3" t="s">
        <v>169</v>
      </c>
    </row>
    <row r="1779" spans="1:3" x14ac:dyDescent="0.2">
      <c r="A1779" s="3" t="s">
        <v>645</v>
      </c>
      <c r="B1779" s="3" t="s">
        <v>644</v>
      </c>
      <c r="C1779" s="3" t="s">
        <v>169</v>
      </c>
    </row>
    <row r="1780" spans="1:3" x14ac:dyDescent="0.2">
      <c r="A1780" s="3" t="s">
        <v>645</v>
      </c>
      <c r="B1780" s="3" t="s">
        <v>646</v>
      </c>
      <c r="C1780" s="3" t="s">
        <v>169</v>
      </c>
    </row>
    <row r="1781" spans="1:3" x14ac:dyDescent="0.2">
      <c r="A1781" s="3" t="s">
        <v>647</v>
      </c>
      <c r="B1781" s="3" t="s">
        <v>648</v>
      </c>
      <c r="C1781" s="3" t="s">
        <v>169</v>
      </c>
    </row>
    <row r="1782" spans="1:3" x14ac:dyDescent="0.2">
      <c r="A1782" s="3" t="s">
        <v>647</v>
      </c>
      <c r="B1782" s="3" t="s">
        <v>640</v>
      </c>
      <c r="C1782" s="3" t="s">
        <v>169</v>
      </c>
    </row>
    <row r="1783" spans="1:3" x14ac:dyDescent="0.2">
      <c r="A1783" s="3" t="s">
        <v>647</v>
      </c>
      <c r="B1783" s="3" t="s">
        <v>649</v>
      </c>
      <c r="C1783" s="3" t="s">
        <v>169</v>
      </c>
    </row>
    <row r="1784" spans="1:3" x14ac:dyDescent="0.2">
      <c r="A1784" s="3" t="s">
        <v>647</v>
      </c>
      <c r="B1784" s="3" t="s">
        <v>641</v>
      </c>
      <c r="C1784" s="3" t="s">
        <v>169</v>
      </c>
    </row>
    <row r="1785" spans="1:3" x14ac:dyDescent="0.2">
      <c r="A1785" s="3" t="s">
        <v>647</v>
      </c>
      <c r="B1785" s="3" t="s">
        <v>642</v>
      </c>
      <c r="C1785" s="3" t="s">
        <v>169</v>
      </c>
    </row>
    <row r="1786" spans="1:3" x14ac:dyDescent="0.2">
      <c r="A1786" s="3" t="s">
        <v>647</v>
      </c>
      <c r="B1786" s="3" t="s">
        <v>643</v>
      </c>
      <c r="C1786" s="3" t="s">
        <v>169</v>
      </c>
    </row>
    <row r="1787" spans="1:3" x14ac:dyDescent="0.2">
      <c r="A1787" s="3" t="s">
        <v>647</v>
      </c>
      <c r="B1787" s="3" t="s">
        <v>650</v>
      </c>
      <c r="C1787" s="3" t="s">
        <v>169</v>
      </c>
    </row>
    <row r="1788" spans="1:3" x14ac:dyDescent="0.2">
      <c r="A1788" s="3" t="s">
        <v>647</v>
      </c>
      <c r="B1788" s="3" t="s">
        <v>644</v>
      </c>
      <c r="C1788" s="3" t="s">
        <v>169</v>
      </c>
    </row>
    <row r="1789" spans="1:3" x14ac:dyDescent="0.2">
      <c r="A1789" s="3" t="s">
        <v>647</v>
      </c>
      <c r="B1789" s="3" t="s">
        <v>651</v>
      </c>
      <c r="C1789" s="3" t="s">
        <v>169</v>
      </c>
    </row>
    <row r="1790" spans="1:3" x14ac:dyDescent="0.2">
      <c r="A1790" s="3" t="s">
        <v>647</v>
      </c>
      <c r="B1790" s="3" t="s">
        <v>652</v>
      </c>
      <c r="C1790" s="3" t="s">
        <v>169</v>
      </c>
    </row>
    <row r="1791" spans="1:3" x14ac:dyDescent="0.2">
      <c r="A1791" s="3" t="s">
        <v>653</v>
      </c>
      <c r="B1791" s="3" t="s">
        <v>654</v>
      </c>
      <c r="C1791" s="3" t="s">
        <v>169</v>
      </c>
    </row>
    <row r="1792" spans="1:3" x14ac:dyDescent="0.2">
      <c r="A1792" s="3" t="s">
        <v>655</v>
      </c>
      <c r="B1792" s="3" t="s">
        <v>656</v>
      </c>
      <c r="C1792" s="3" t="s">
        <v>53</v>
      </c>
    </row>
    <row r="1793" spans="1:3" x14ac:dyDescent="0.2">
      <c r="A1793" s="3" t="s">
        <v>655</v>
      </c>
      <c r="B1793" s="3" t="s">
        <v>657</v>
      </c>
      <c r="C1793" s="3" t="s">
        <v>53</v>
      </c>
    </row>
    <row r="1794" spans="1:3" x14ac:dyDescent="0.2">
      <c r="A1794" s="3" t="s">
        <v>655</v>
      </c>
      <c r="B1794" s="3" t="s">
        <v>658</v>
      </c>
      <c r="C1794" s="3" t="s">
        <v>53</v>
      </c>
    </row>
    <row r="1795" spans="1:3" x14ac:dyDescent="0.2">
      <c r="A1795" s="3" t="s">
        <v>655</v>
      </c>
      <c r="B1795" s="3" t="s">
        <v>659</v>
      </c>
      <c r="C1795" s="3" t="s">
        <v>53</v>
      </c>
    </row>
    <row r="1796" spans="1:3" x14ac:dyDescent="0.2">
      <c r="A1796" s="3" t="s">
        <v>655</v>
      </c>
      <c r="B1796" s="3" t="s">
        <v>660</v>
      </c>
      <c r="C1796" s="3" t="s">
        <v>53</v>
      </c>
    </row>
    <row r="1797" spans="1:3" x14ac:dyDescent="0.2">
      <c r="A1797" s="3" t="s">
        <v>655</v>
      </c>
      <c r="B1797" s="3" t="s">
        <v>661</v>
      </c>
      <c r="C1797" s="3" t="s">
        <v>53</v>
      </c>
    </row>
    <row r="1798" spans="1:3" x14ac:dyDescent="0.2">
      <c r="A1798" s="3" t="s">
        <v>655</v>
      </c>
      <c r="B1798" s="3" t="s">
        <v>662</v>
      </c>
      <c r="C1798" s="3" t="s">
        <v>53</v>
      </c>
    </row>
    <row r="1799" spans="1:3" x14ac:dyDescent="0.2">
      <c r="A1799" s="3" t="s">
        <v>655</v>
      </c>
      <c r="B1799" s="3" t="s">
        <v>663</v>
      </c>
      <c r="C1799" s="3" t="s">
        <v>53</v>
      </c>
    </row>
    <row r="1800" spans="1:3" x14ac:dyDescent="0.2">
      <c r="A1800" s="3" t="s">
        <v>655</v>
      </c>
      <c r="B1800" s="3" t="s">
        <v>664</v>
      </c>
      <c r="C1800" s="3" t="s">
        <v>53</v>
      </c>
    </row>
    <row r="1801" spans="1:3" x14ac:dyDescent="0.2">
      <c r="A1801" s="3" t="s">
        <v>655</v>
      </c>
      <c r="B1801" s="3" t="s">
        <v>665</v>
      </c>
      <c r="C1801" s="3" t="s">
        <v>53</v>
      </c>
    </row>
    <row r="1802" spans="1:3" x14ac:dyDescent="0.2">
      <c r="A1802" s="3" t="s">
        <v>655</v>
      </c>
      <c r="B1802" s="3" t="s">
        <v>666</v>
      </c>
      <c r="C1802" s="3" t="s">
        <v>53</v>
      </c>
    </row>
    <row r="1803" spans="1:3" x14ac:dyDescent="0.2">
      <c r="A1803" s="3" t="s">
        <v>655</v>
      </c>
      <c r="B1803" s="3" t="s">
        <v>667</v>
      </c>
      <c r="C1803" s="3" t="s">
        <v>53</v>
      </c>
    </row>
    <row r="1804" spans="1:3" x14ac:dyDescent="0.2">
      <c r="A1804" s="3" t="s">
        <v>655</v>
      </c>
      <c r="B1804" s="3" t="s">
        <v>668</v>
      </c>
      <c r="C1804" s="3" t="s">
        <v>53</v>
      </c>
    </row>
    <row r="1805" spans="1:3" x14ac:dyDescent="0.2">
      <c r="A1805" s="3" t="s">
        <v>655</v>
      </c>
      <c r="B1805" s="3" t="s">
        <v>669</v>
      </c>
      <c r="C1805" s="3" t="s">
        <v>53</v>
      </c>
    </row>
    <row r="1806" spans="1:3" x14ac:dyDescent="0.2">
      <c r="A1806" s="3" t="s">
        <v>655</v>
      </c>
      <c r="B1806" s="3" t="s">
        <v>670</v>
      </c>
      <c r="C1806" s="3" t="s">
        <v>53</v>
      </c>
    </row>
    <row r="1807" spans="1:3" x14ac:dyDescent="0.2">
      <c r="A1807" s="3" t="s">
        <v>655</v>
      </c>
      <c r="B1807" s="3" t="s">
        <v>671</v>
      </c>
      <c r="C1807" s="3" t="s">
        <v>53</v>
      </c>
    </row>
    <row r="1808" spans="1:3" x14ac:dyDescent="0.2">
      <c r="A1808" s="3" t="s">
        <v>655</v>
      </c>
      <c r="B1808" s="3" t="s">
        <v>672</v>
      </c>
      <c r="C1808" s="3" t="s">
        <v>53</v>
      </c>
    </row>
    <row r="1809" spans="1:3" x14ac:dyDescent="0.2">
      <c r="A1809" s="3" t="s">
        <v>655</v>
      </c>
      <c r="B1809" s="3" t="s">
        <v>656</v>
      </c>
      <c r="C1809" s="3" t="s">
        <v>54</v>
      </c>
    </row>
    <row r="1810" spans="1:3" x14ac:dyDescent="0.2">
      <c r="A1810" s="3" t="s">
        <v>655</v>
      </c>
      <c r="B1810" s="3" t="s">
        <v>657</v>
      </c>
      <c r="C1810" s="3" t="s">
        <v>54</v>
      </c>
    </row>
    <row r="1811" spans="1:3" x14ac:dyDescent="0.2">
      <c r="A1811" s="3" t="s">
        <v>655</v>
      </c>
      <c r="B1811" s="3" t="s">
        <v>658</v>
      </c>
      <c r="C1811" s="3" t="s">
        <v>54</v>
      </c>
    </row>
    <row r="1812" spans="1:3" x14ac:dyDescent="0.2">
      <c r="A1812" s="3" t="s">
        <v>655</v>
      </c>
      <c r="B1812" s="3" t="s">
        <v>659</v>
      </c>
      <c r="C1812" s="3" t="s">
        <v>54</v>
      </c>
    </row>
    <row r="1813" spans="1:3" x14ac:dyDescent="0.2">
      <c r="A1813" s="3" t="s">
        <v>655</v>
      </c>
      <c r="B1813" s="3" t="s">
        <v>660</v>
      </c>
      <c r="C1813" s="3" t="s">
        <v>54</v>
      </c>
    </row>
    <row r="1814" spans="1:3" x14ac:dyDescent="0.2">
      <c r="A1814" s="3" t="s">
        <v>655</v>
      </c>
      <c r="B1814" s="3" t="s">
        <v>661</v>
      </c>
      <c r="C1814" s="3" t="s">
        <v>54</v>
      </c>
    </row>
    <row r="1815" spans="1:3" x14ac:dyDescent="0.2">
      <c r="A1815" s="3" t="s">
        <v>655</v>
      </c>
      <c r="B1815" s="3" t="s">
        <v>662</v>
      </c>
      <c r="C1815" s="3" t="s">
        <v>54</v>
      </c>
    </row>
    <row r="1816" spans="1:3" x14ac:dyDescent="0.2">
      <c r="A1816" s="3" t="s">
        <v>655</v>
      </c>
      <c r="B1816" s="3" t="s">
        <v>663</v>
      </c>
      <c r="C1816" s="3" t="s">
        <v>54</v>
      </c>
    </row>
    <row r="1817" spans="1:3" x14ac:dyDescent="0.2">
      <c r="A1817" s="3" t="s">
        <v>655</v>
      </c>
      <c r="B1817" s="3" t="s">
        <v>664</v>
      </c>
      <c r="C1817" s="3" t="s">
        <v>54</v>
      </c>
    </row>
    <row r="1818" spans="1:3" x14ac:dyDescent="0.2">
      <c r="A1818" s="3" t="s">
        <v>655</v>
      </c>
      <c r="B1818" s="3" t="s">
        <v>665</v>
      </c>
      <c r="C1818" s="3" t="s">
        <v>54</v>
      </c>
    </row>
    <row r="1819" spans="1:3" x14ac:dyDescent="0.2">
      <c r="A1819" s="3" t="s">
        <v>655</v>
      </c>
      <c r="B1819" s="3" t="s">
        <v>666</v>
      </c>
      <c r="C1819" s="3" t="s">
        <v>54</v>
      </c>
    </row>
    <row r="1820" spans="1:3" x14ac:dyDescent="0.2">
      <c r="A1820" s="3" t="s">
        <v>655</v>
      </c>
      <c r="B1820" s="3" t="s">
        <v>667</v>
      </c>
      <c r="C1820" s="3" t="s">
        <v>54</v>
      </c>
    </row>
    <row r="1821" spans="1:3" x14ac:dyDescent="0.2">
      <c r="A1821" s="3" t="s">
        <v>655</v>
      </c>
      <c r="B1821" s="3" t="s">
        <v>668</v>
      </c>
      <c r="C1821" s="3" t="s">
        <v>54</v>
      </c>
    </row>
    <row r="1822" spans="1:3" x14ac:dyDescent="0.2">
      <c r="A1822" s="3" t="s">
        <v>655</v>
      </c>
      <c r="B1822" s="3" t="s">
        <v>669</v>
      </c>
      <c r="C1822" s="3" t="s">
        <v>54</v>
      </c>
    </row>
    <row r="1823" spans="1:3" x14ac:dyDescent="0.2">
      <c r="A1823" s="3" t="s">
        <v>655</v>
      </c>
      <c r="B1823" s="3" t="s">
        <v>670</v>
      </c>
      <c r="C1823" s="3" t="s">
        <v>54</v>
      </c>
    </row>
    <row r="1824" spans="1:3" x14ac:dyDescent="0.2">
      <c r="A1824" s="3" t="s">
        <v>655</v>
      </c>
      <c r="B1824" s="3" t="s">
        <v>671</v>
      </c>
      <c r="C1824" s="3" t="s">
        <v>54</v>
      </c>
    </row>
    <row r="1825" spans="1:3" x14ac:dyDescent="0.2">
      <c r="A1825" s="3" t="s">
        <v>655</v>
      </c>
      <c r="B1825" s="3" t="s">
        <v>672</v>
      </c>
      <c r="C1825" s="3" t="s">
        <v>54</v>
      </c>
    </row>
    <row r="1826" spans="1:3" x14ac:dyDescent="0.2">
      <c r="A1826" s="3" t="s">
        <v>655</v>
      </c>
      <c r="B1826" s="3" t="s">
        <v>656</v>
      </c>
      <c r="C1826" s="3" t="s">
        <v>55</v>
      </c>
    </row>
    <row r="1827" spans="1:3" x14ac:dyDescent="0.2">
      <c r="A1827" s="3" t="s">
        <v>655</v>
      </c>
      <c r="B1827" s="3" t="s">
        <v>657</v>
      </c>
      <c r="C1827" s="3" t="s">
        <v>55</v>
      </c>
    </row>
    <row r="1828" spans="1:3" x14ac:dyDescent="0.2">
      <c r="A1828" s="3" t="s">
        <v>655</v>
      </c>
      <c r="B1828" s="3" t="s">
        <v>656</v>
      </c>
      <c r="C1828" s="3" t="s">
        <v>56</v>
      </c>
    </row>
    <row r="1829" spans="1:3" x14ac:dyDescent="0.2">
      <c r="A1829" s="3" t="s">
        <v>655</v>
      </c>
      <c r="B1829" s="3" t="s">
        <v>657</v>
      </c>
      <c r="C1829" s="3" t="s">
        <v>56</v>
      </c>
    </row>
    <row r="1830" spans="1:3" x14ac:dyDescent="0.2">
      <c r="A1830" s="3" t="s">
        <v>655</v>
      </c>
      <c r="B1830" s="3" t="s">
        <v>656</v>
      </c>
      <c r="C1830" s="3" t="s">
        <v>57</v>
      </c>
    </row>
    <row r="1831" spans="1:3" x14ac:dyDescent="0.2">
      <c r="A1831" s="3" t="s">
        <v>655</v>
      </c>
      <c r="B1831" s="3" t="s">
        <v>657</v>
      </c>
      <c r="C1831" s="3" t="s">
        <v>57</v>
      </c>
    </row>
    <row r="1832" spans="1:3" x14ac:dyDescent="0.2">
      <c r="A1832" s="3" t="s">
        <v>673</v>
      </c>
      <c r="B1832" s="3" t="s">
        <v>674</v>
      </c>
      <c r="C1832" s="3" t="s">
        <v>53</v>
      </c>
    </row>
    <row r="1833" spans="1:3" x14ac:dyDescent="0.2">
      <c r="A1833" s="3" t="s">
        <v>673</v>
      </c>
      <c r="B1833" s="3" t="s">
        <v>656</v>
      </c>
      <c r="C1833" s="3" t="s">
        <v>53</v>
      </c>
    </row>
    <row r="1834" spans="1:3" x14ac:dyDescent="0.2">
      <c r="A1834" s="3" t="s">
        <v>673</v>
      </c>
      <c r="B1834" s="3" t="s">
        <v>657</v>
      </c>
      <c r="C1834" s="3" t="s">
        <v>53</v>
      </c>
    </row>
    <row r="1835" spans="1:3" x14ac:dyDescent="0.2">
      <c r="A1835" s="3" t="s">
        <v>673</v>
      </c>
      <c r="B1835" s="3" t="s">
        <v>675</v>
      </c>
      <c r="C1835" s="3" t="s">
        <v>53</v>
      </c>
    </row>
    <row r="1836" spans="1:3" x14ac:dyDescent="0.2">
      <c r="A1836" s="3" t="s">
        <v>673</v>
      </c>
      <c r="B1836" s="3" t="s">
        <v>674</v>
      </c>
      <c r="C1836" s="3" t="s">
        <v>54</v>
      </c>
    </row>
    <row r="1837" spans="1:3" x14ac:dyDescent="0.2">
      <c r="A1837" s="3" t="s">
        <v>673</v>
      </c>
      <c r="B1837" s="3" t="s">
        <v>656</v>
      </c>
      <c r="C1837" s="3" t="s">
        <v>54</v>
      </c>
    </row>
    <row r="1838" spans="1:3" x14ac:dyDescent="0.2">
      <c r="A1838" s="3" t="s">
        <v>673</v>
      </c>
      <c r="B1838" s="3" t="s">
        <v>657</v>
      </c>
      <c r="C1838" s="3" t="s">
        <v>54</v>
      </c>
    </row>
    <row r="1839" spans="1:3" x14ac:dyDescent="0.2">
      <c r="A1839" s="3" t="s">
        <v>673</v>
      </c>
      <c r="B1839" s="3" t="s">
        <v>675</v>
      </c>
      <c r="C1839" s="3" t="s">
        <v>54</v>
      </c>
    </row>
    <row r="1840" spans="1:3" x14ac:dyDescent="0.2">
      <c r="A1840" s="3" t="s">
        <v>673</v>
      </c>
      <c r="B1840" s="3" t="s">
        <v>674</v>
      </c>
      <c r="C1840" s="3" t="s">
        <v>55</v>
      </c>
    </row>
    <row r="1841" spans="1:3" x14ac:dyDescent="0.2">
      <c r="A1841" s="3" t="s">
        <v>673</v>
      </c>
      <c r="B1841" s="3" t="s">
        <v>656</v>
      </c>
      <c r="C1841" s="3" t="s">
        <v>55</v>
      </c>
    </row>
    <row r="1842" spans="1:3" x14ac:dyDescent="0.2">
      <c r="A1842" s="3" t="s">
        <v>673</v>
      </c>
      <c r="B1842" s="3" t="s">
        <v>657</v>
      </c>
      <c r="C1842" s="3" t="s">
        <v>55</v>
      </c>
    </row>
    <row r="1843" spans="1:3" x14ac:dyDescent="0.2">
      <c r="A1843" s="3" t="s">
        <v>673</v>
      </c>
      <c r="B1843" s="3" t="s">
        <v>675</v>
      </c>
      <c r="C1843" s="3" t="s">
        <v>55</v>
      </c>
    </row>
    <row r="1844" spans="1:3" x14ac:dyDescent="0.2">
      <c r="A1844" s="3" t="s">
        <v>673</v>
      </c>
      <c r="B1844" s="3" t="s">
        <v>674</v>
      </c>
      <c r="C1844" s="3" t="s">
        <v>56</v>
      </c>
    </row>
    <row r="1845" spans="1:3" x14ac:dyDescent="0.2">
      <c r="A1845" s="3" t="s">
        <v>673</v>
      </c>
      <c r="B1845" s="3" t="s">
        <v>656</v>
      </c>
      <c r="C1845" s="3" t="s">
        <v>56</v>
      </c>
    </row>
    <row r="1846" spans="1:3" x14ac:dyDescent="0.2">
      <c r="A1846" s="3" t="s">
        <v>673</v>
      </c>
      <c r="B1846" s="3" t="s">
        <v>657</v>
      </c>
      <c r="C1846" s="3" t="s">
        <v>56</v>
      </c>
    </row>
    <row r="1847" spans="1:3" x14ac:dyDescent="0.2">
      <c r="A1847" s="3" t="s">
        <v>673</v>
      </c>
      <c r="B1847" s="3" t="s">
        <v>675</v>
      </c>
      <c r="C1847" s="3" t="s">
        <v>56</v>
      </c>
    </row>
    <row r="1848" spans="1:3" x14ac:dyDescent="0.2">
      <c r="A1848" s="3" t="s">
        <v>673</v>
      </c>
      <c r="B1848" s="3" t="s">
        <v>674</v>
      </c>
      <c r="C1848" s="3" t="s">
        <v>57</v>
      </c>
    </row>
    <row r="1849" spans="1:3" x14ac:dyDescent="0.2">
      <c r="A1849" s="3" t="s">
        <v>673</v>
      </c>
      <c r="B1849" s="3" t="s">
        <v>656</v>
      </c>
      <c r="C1849" s="3" t="s">
        <v>57</v>
      </c>
    </row>
    <row r="1850" spans="1:3" x14ac:dyDescent="0.2">
      <c r="A1850" s="3" t="s">
        <v>673</v>
      </c>
      <c r="B1850" s="3" t="s">
        <v>657</v>
      </c>
      <c r="C1850" s="3" t="s">
        <v>57</v>
      </c>
    </row>
    <row r="1851" spans="1:3" x14ac:dyDescent="0.2">
      <c r="A1851" s="3" t="s">
        <v>673</v>
      </c>
      <c r="B1851" s="3" t="s">
        <v>675</v>
      </c>
      <c r="C1851" s="3" t="s">
        <v>57</v>
      </c>
    </row>
    <row r="1852" spans="1:3" x14ac:dyDescent="0.2">
      <c r="A1852" s="3" t="s">
        <v>676</v>
      </c>
      <c r="B1852" s="3" t="s">
        <v>677</v>
      </c>
      <c r="C1852" s="3" t="s">
        <v>53</v>
      </c>
    </row>
    <row r="1853" spans="1:3" x14ac:dyDescent="0.2">
      <c r="A1853" s="3" t="s">
        <v>676</v>
      </c>
      <c r="B1853" s="3" t="s">
        <v>657</v>
      </c>
      <c r="C1853" s="3" t="s">
        <v>53</v>
      </c>
    </row>
    <row r="1854" spans="1:3" x14ac:dyDescent="0.2">
      <c r="A1854" s="3" t="s">
        <v>676</v>
      </c>
      <c r="B1854" s="3" t="s">
        <v>675</v>
      </c>
      <c r="C1854" s="3" t="s">
        <v>53</v>
      </c>
    </row>
    <row r="1855" spans="1:3" x14ac:dyDescent="0.2">
      <c r="A1855" s="3" t="s">
        <v>676</v>
      </c>
      <c r="B1855" s="3" t="s">
        <v>678</v>
      </c>
      <c r="C1855" s="3" t="s">
        <v>53</v>
      </c>
    </row>
    <row r="1856" spans="1:3" x14ac:dyDescent="0.2">
      <c r="A1856" s="3" t="s">
        <v>676</v>
      </c>
      <c r="B1856" s="3" t="s">
        <v>677</v>
      </c>
      <c r="C1856" s="3" t="s">
        <v>54</v>
      </c>
    </row>
    <row r="1857" spans="1:3" x14ac:dyDescent="0.2">
      <c r="A1857" s="3" t="s">
        <v>676</v>
      </c>
      <c r="B1857" s="3" t="s">
        <v>657</v>
      </c>
      <c r="C1857" s="3" t="s">
        <v>54</v>
      </c>
    </row>
    <row r="1858" spans="1:3" x14ac:dyDescent="0.2">
      <c r="A1858" s="3" t="s">
        <v>676</v>
      </c>
      <c r="B1858" s="3" t="s">
        <v>675</v>
      </c>
      <c r="C1858" s="3" t="s">
        <v>54</v>
      </c>
    </row>
    <row r="1859" spans="1:3" x14ac:dyDescent="0.2">
      <c r="A1859" s="3" t="s">
        <v>676</v>
      </c>
      <c r="B1859" s="3" t="s">
        <v>678</v>
      </c>
      <c r="C1859" s="3" t="s">
        <v>54</v>
      </c>
    </row>
    <row r="1860" spans="1:3" x14ac:dyDescent="0.2">
      <c r="A1860" s="3" t="s">
        <v>676</v>
      </c>
      <c r="B1860" s="3" t="s">
        <v>677</v>
      </c>
      <c r="C1860" s="3" t="s">
        <v>55</v>
      </c>
    </row>
    <row r="1861" spans="1:3" x14ac:dyDescent="0.2">
      <c r="A1861" s="3" t="s">
        <v>676</v>
      </c>
      <c r="B1861" s="3" t="s">
        <v>657</v>
      </c>
      <c r="C1861" s="3" t="s">
        <v>55</v>
      </c>
    </row>
    <row r="1862" spans="1:3" x14ac:dyDescent="0.2">
      <c r="A1862" s="3" t="s">
        <v>676</v>
      </c>
      <c r="B1862" s="3" t="s">
        <v>675</v>
      </c>
      <c r="C1862" s="3" t="s">
        <v>55</v>
      </c>
    </row>
    <row r="1863" spans="1:3" x14ac:dyDescent="0.2">
      <c r="A1863" s="3" t="s">
        <v>676</v>
      </c>
      <c r="B1863" s="3" t="s">
        <v>678</v>
      </c>
      <c r="C1863" s="3" t="s">
        <v>55</v>
      </c>
    </row>
    <row r="1864" spans="1:3" x14ac:dyDescent="0.2">
      <c r="A1864" s="3" t="s">
        <v>676</v>
      </c>
      <c r="B1864" s="3" t="s">
        <v>677</v>
      </c>
      <c r="C1864" s="3" t="s">
        <v>56</v>
      </c>
    </row>
    <row r="1865" spans="1:3" x14ac:dyDescent="0.2">
      <c r="A1865" s="3" t="s">
        <v>676</v>
      </c>
      <c r="B1865" s="3" t="s">
        <v>657</v>
      </c>
      <c r="C1865" s="3" t="s">
        <v>56</v>
      </c>
    </row>
    <row r="1866" spans="1:3" x14ac:dyDescent="0.2">
      <c r="A1866" s="3" t="s">
        <v>676</v>
      </c>
      <c r="B1866" s="3" t="s">
        <v>675</v>
      </c>
      <c r="C1866" s="3" t="s">
        <v>56</v>
      </c>
    </row>
    <row r="1867" spans="1:3" x14ac:dyDescent="0.2">
      <c r="A1867" s="3" t="s">
        <v>676</v>
      </c>
      <c r="B1867" s="3" t="s">
        <v>678</v>
      </c>
      <c r="C1867" s="3" t="s">
        <v>56</v>
      </c>
    </row>
    <row r="1868" spans="1:3" x14ac:dyDescent="0.2">
      <c r="A1868" s="3" t="s">
        <v>676</v>
      </c>
      <c r="B1868" s="3" t="s">
        <v>677</v>
      </c>
      <c r="C1868" s="3" t="s">
        <v>57</v>
      </c>
    </row>
    <row r="1869" spans="1:3" x14ac:dyDescent="0.2">
      <c r="A1869" s="3" t="s">
        <v>676</v>
      </c>
      <c r="B1869" s="3" t="s">
        <v>657</v>
      </c>
      <c r="C1869" s="3" t="s">
        <v>57</v>
      </c>
    </row>
    <row r="1870" spans="1:3" x14ac:dyDescent="0.2">
      <c r="A1870" s="3" t="s">
        <v>676</v>
      </c>
      <c r="B1870" s="3" t="s">
        <v>675</v>
      </c>
      <c r="C1870" s="3" t="s">
        <v>57</v>
      </c>
    </row>
    <row r="1871" spans="1:3" x14ac:dyDescent="0.2">
      <c r="A1871" s="3" t="s">
        <v>676</v>
      </c>
      <c r="B1871" s="3" t="s">
        <v>678</v>
      </c>
      <c r="C1871" s="3" t="s">
        <v>57</v>
      </c>
    </row>
    <row r="1872" spans="1:3" x14ac:dyDescent="0.2">
      <c r="A1872" s="3" t="s">
        <v>679</v>
      </c>
      <c r="B1872" s="3" t="s">
        <v>680</v>
      </c>
      <c r="C1872" s="3" t="s">
        <v>53</v>
      </c>
    </row>
    <row r="1873" spans="1:3" x14ac:dyDescent="0.2">
      <c r="A1873" s="3" t="s">
        <v>679</v>
      </c>
      <c r="B1873" s="3" t="s">
        <v>681</v>
      </c>
      <c r="C1873" s="3" t="s">
        <v>53</v>
      </c>
    </row>
    <row r="1874" spans="1:3" x14ac:dyDescent="0.2">
      <c r="A1874" s="3" t="s">
        <v>679</v>
      </c>
      <c r="B1874" s="3" t="s">
        <v>682</v>
      </c>
      <c r="C1874" s="3" t="s">
        <v>53</v>
      </c>
    </row>
    <row r="1875" spans="1:3" x14ac:dyDescent="0.2">
      <c r="A1875" s="3" t="s">
        <v>679</v>
      </c>
      <c r="B1875" s="3" t="s">
        <v>683</v>
      </c>
      <c r="C1875" s="3" t="s">
        <v>53</v>
      </c>
    </row>
    <row r="1876" spans="1:3" x14ac:dyDescent="0.2">
      <c r="A1876" s="3" t="s">
        <v>679</v>
      </c>
      <c r="B1876" s="3" t="s">
        <v>684</v>
      </c>
      <c r="C1876" s="3" t="s">
        <v>53</v>
      </c>
    </row>
    <row r="1877" spans="1:3" x14ac:dyDescent="0.2">
      <c r="A1877" s="3" t="s">
        <v>679</v>
      </c>
      <c r="B1877" s="3" t="s">
        <v>685</v>
      </c>
      <c r="C1877" s="3" t="s">
        <v>53</v>
      </c>
    </row>
    <row r="1878" spans="1:3" x14ac:dyDescent="0.2">
      <c r="A1878" s="3" t="s">
        <v>679</v>
      </c>
      <c r="B1878" s="3" t="s">
        <v>680</v>
      </c>
      <c r="C1878" s="3" t="s">
        <v>54</v>
      </c>
    </row>
    <row r="1879" spans="1:3" x14ac:dyDescent="0.2">
      <c r="A1879" s="3" t="s">
        <v>679</v>
      </c>
      <c r="B1879" s="3" t="s">
        <v>681</v>
      </c>
      <c r="C1879" s="3" t="s">
        <v>54</v>
      </c>
    </row>
    <row r="1880" spans="1:3" x14ac:dyDescent="0.2">
      <c r="A1880" s="3" t="s">
        <v>679</v>
      </c>
      <c r="B1880" s="3" t="s">
        <v>682</v>
      </c>
      <c r="C1880" s="3" t="s">
        <v>54</v>
      </c>
    </row>
    <row r="1881" spans="1:3" x14ac:dyDescent="0.2">
      <c r="A1881" s="3" t="s">
        <v>679</v>
      </c>
      <c r="B1881" s="3" t="s">
        <v>683</v>
      </c>
      <c r="C1881" s="3" t="s">
        <v>54</v>
      </c>
    </row>
    <row r="1882" spans="1:3" x14ac:dyDescent="0.2">
      <c r="A1882" s="3" t="s">
        <v>679</v>
      </c>
      <c r="B1882" s="3" t="s">
        <v>684</v>
      </c>
      <c r="C1882" s="3" t="s">
        <v>54</v>
      </c>
    </row>
    <row r="1883" spans="1:3" x14ac:dyDescent="0.2">
      <c r="A1883" s="3" t="s">
        <v>679</v>
      </c>
      <c r="B1883" s="3" t="s">
        <v>685</v>
      </c>
      <c r="C1883" s="3" t="s">
        <v>54</v>
      </c>
    </row>
    <row r="1884" spans="1:3" x14ac:dyDescent="0.2">
      <c r="A1884" s="3" t="s">
        <v>679</v>
      </c>
      <c r="B1884" s="3" t="s">
        <v>680</v>
      </c>
      <c r="C1884" s="3" t="s">
        <v>55</v>
      </c>
    </row>
    <row r="1885" spans="1:3" x14ac:dyDescent="0.2">
      <c r="A1885" s="3" t="s">
        <v>679</v>
      </c>
      <c r="B1885" s="3" t="s">
        <v>681</v>
      </c>
      <c r="C1885" s="3" t="s">
        <v>55</v>
      </c>
    </row>
    <row r="1886" spans="1:3" x14ac:dyDescent="0.2">
      <c r="A1886" s="3" t="s">
        <v>679</v>
      </c>
      <c r="B1886" s="3" t="s">
        <v>682</v>
      </c>
      <c r="C1886" s="3" t="s">
        <v>55</v>
      </c>
    </row>
    <row r="1887" spans="1:3" x14ac:dyDescent="0.2">
      <c r="A1887" s="3" t="s">
        <v>679</v>
      </c>
      <c r="B1887" s="3" t="s">
        <v>683</v>
      </c>
      <c r="C1887" s="3" t="s">
        <v>55</v>
      </c>
    </row>
    <row r="1888" spans="1:3" x14ac:dyDescent="0.2">
      <c r="A1888" s="3" t="s">
        <v>679</v>
      </c>
      <c r="B1888" s="3" t="s">
        <v>684</v>
      </c>
      <c r="C1888" s="3" t="s">
        <v>55</v>
      </c>
    </row>
    <row r="1889" spans="1:3" x14ac:dyDescent="0.2">
      <c r="A1889" s="3" t="s">
        <v>679</v>
      </c>
      <c r="B1889" s="3" t="s">
        <v>685</v>
      </c>
      <c r="C1889" s="3" t="s">
        <v>55</v>
      </c>
    </row>
    <row r="1890" spans="1:3" x14ac:dyDescent="0.2">
      <c r="A1890" s="3" t="s">
        <v>679</v>
      </c>
      <c r="B1890" s="3" t="s">
        <v>680</v>
      </c>
      <c r="C1890" s="3" t="s">
        <v>56</v>
      </c>
    </row>
    <row r="1891" spans="1:3" x14ac:dyDescent="0.2">
      <c r="A1891" s="3" t="s">
        <v>679</v>
      </c>
      <c r="B1891" s="3" t="s">
        <v>681</v>
      </c>
      <c r="C1891" s="3" t="s">
        <v>56</v>
      </c>
    </row>
    <row r="1892" spans="1:3" x14ac:dyDescent="0.2">
      <c r="A1892" s="3" t="s">
        <v>679</v>
      </c>
      <c r="B1892" s="3" t="s">
        <v>682</v>
      </c>
      <c r="C1892" s="3" t="s">
        <v>56</v>
      </c>
    </row>
    <row r="1893" spans="1:3" x14ac:dyDescent="0.2">
      <c r="A1893" s="3" t="s">
        <v>679</v>
      </c>
      <c r="B1893" s="3" t="s">
        <v>683</v>
      </c>
      <c r="C1893" s="3" t="s">
        <v>56</v>
      </c>
    </row>
    <row r="1894" spans="1:3" x14ac:dyDescent="0.2">
      <c r="A1894" s="3" t="s">
        <v>679</v>
      </c>
      <c r="B1894" s="3" t="s">
        <v>684</v>
      </c>
      <c r="C1894" s="3" t="s">
        <v>56</v>
      </c>
    </row>
    <row r="1895" spans="1:3" x14ac:dyDescent="0.2">
      <c r="A1895" s="3" t="s">
        <v>679</v>
      </c>
      <c r="B1895" s="3" t="s">
        <v>685</v>
      </c>
      <c r="C1895" s="3" t="s">
        <v>56</v>
      </c>
    </row>
    <row r="1896" spans="1:3" x14ac:dyDescent="0.2">
      <c r="A1896" s="3" t="s">
        <v>679</v>
      </c>
      <c r="B1896" s="3" t="s">
        <v>680</v>
      </c>
      <c r="C1896" s="3" t="s">
        <v>57</v>
      </c>
    </row>
    <row r="1897" spans="1:3" x14ac:dyDescent="0.2">
      <c r="A1897" s="3" t="s">
        <v>679</v>
      </c>
      <c r="B1897" s="3" t="s">
        <v>681</v>
      </c>
      <c r="C1897" s="3" t="s">
        <v>57</v>
      </c>
    </row>
    <row r="1898" spans="1:3" x14ac:dyDescent="0.2">
      <c r="A1898" s="3" t="s">
        <v>679</v>
      </c>
      <c r="B1898" s="3" t="s">
        <v>682</v>
      </c>
      <c r="C1898" s="3" t="s">
        <v>57</v>
      </c>
    </row>
    <row r="1899" spans="1:3" x14ac:dyDescent="0.2">
      <c r="A1899" s="3" t="s">
        <v>679</v>
      </c>
      <c r="B1899" s="3" t="s">
        <v>683</v>
      </c>
      <c r="C1899" s="3" t="s">
        <v>57</v>
      </c>
    </row>
    <row r="1900" spans="1:3" x14ac:dyDescent="0.2">
      <c r="A1900" s="3" t="s">
        <v>679</v>
      </c>
      <c r="B1900" s="3" t="s">
        <v>684</v>
      </c>
      <c r="C1900" s="3" t="s">
        <v>57</v>
      </c>
    </row>
    <row r="1901" spans="1:3" x14ac:dyDescent="0.2">
      <c r="A1901" s="3" t="s">
        <v>679</v>
      </c>
      <c r="B1901" s="3" t="s">
        <v>685</v>
      </c>
      <c r="C1901" s="3" t="s">
        <v>57</v>
      </c>
    </row>
    <row r="1902" spans="1:3" x14ac:dyDescent="0.2">
      <c r="A1902" s="3" t="s">
        <v>2245</v>
      </c>
      <c r="B1902" s="3" t="s">
        <v>2246</v>
      </c>
      <c r="C1902" s="3" t="s">
        <v>53</v>
      </c>
    </row>
    <row r="1903" spans="1:3" x14ac:dyDescent="0.2">
      <c r="A1903" s="3" t="s">
        <v>2245</v>
      </c>
      <c r="B1903" s="3" t="s">
        <v>2247</v>
      </c>
      <c r="C1903" s="3" t="s">
        <v>53</v>
      </c>
    </row>
    <row r="1904" spans="1:3" x14ac:dyDescent="0.2">
      <c r="A1904" s="3" t="s">
        <v>2245</v>
      </c>
      <c r="B1904" s="3" t="s">
        <v>687</v>
      </c>
      <c r="C1904" s="3" t="s">
        <v>53</v>
      </c>
    </row>
    <row r="1905" spans="1:3" x14ac:dyDescent="0.2">
      <c r="A1905" s="3" t="s">
        <v>2245</v>
      </c>
      <c r="B1905" s="3" t="s">
        <v>688</v>
      </c>
      <c r="C1905" s="3" t="s">
        <v>53</v>
      </c>
    </row>
    <row r="1906" spans="1:3" x14ac:dyDescent="0.2">
      <c r="A1906" s="3" t="s">
        <v>2245</v>
      </c>
      <c r="B1906" s="3" t="s">
        <v>2246</v>
      </c>
      <c r="C1906" s="3" t="s">
        <v>54</v>
      </c>
    </row>
    <row r="1907" spans="1:3" x14ac:dyDescent="0.2">
      <c r="A1907" s="3" t="s">
        <v>2245</v>
      </c>
      <c r="B1907" s="3" t="s">
        <v>2247</v>
      </c>
      <c r="C1907" s="3" t="s">
        <v>54</v>
      </c>
    </row>
    <row r="1908" spans="1:3" x14ac:dyDescent="0.2">
      <c r="A1908" s="3" t="s">
        <v>2245</v>
      </c>
      <c r="B1908" s="3" t="s">
        <v>687</v>
      </c>
      <c r="C1908" s="3" t="s">
        <v>54</v>
      </c>
    </row>
    <row r="1909" spans="1:3" x14ac:dyDescent="0.2">
      <c r="A1909" s="3" t="s">
        <v>2245</v>
      </c>
      <c r="B1909" s="3" t="s">
        <v>688</v>
      </c>
      <c r="C1909" s="3" t="s">
        <v>54</v>
      </c>
    </row>
    <row r="1910" spans="1:3" x14ac:dyDescent="0.2">
      <c r="A1910" s="3" t="s">
        <v>2245</v>
      </c>
      <c r="B1910" s="3" t="s">
        <v>2246</v>
      </c>
      <c r="C1910" s="3" t="s">
        <v>55</v>
      </c>
    </row>
    <row r="1911" spans="1:3" x14ac:dyDescent="0.2">
      <c r="A1911" s="3" t="s">
        <v>2245</v>
      </c>
      <c r="B1911" s="3" t="s">
        <v>2247</v>
      </c>
      <c r="C1911" s="3" t="s">
        <v>55</v>
      </c>
    </row>
    <row r="1912" spans="1:3" x14ac:dyDescent="0.2">
      <c r="A1912" s="3" t="s">
        <v>2245</v>
      </c>
      <c r="B1912" s="3" t="s">
        <v>687</v>
      </c>
      <c r="C1912" s="3" t="s">
        <v>55</v>
      </c>
    </row>
    <row r="1913" spans="1:3" x14ac:dyDescent="0.2">
      <c r="A1913" s="3" t="s">
        <v>2245</v>
      </c>
      <c r="B1913" s="3" t="s">
        <v>688</v>
      </c>
      <c r="C1913" s="3" t="s">
        <v>55</v>
      </c>
    </row>
    <row r="1914" spans="1:3" x14ac:dyDescent="0.2">
      <c r="A1914" s="3" t="s">
        <v>2245</v>
      </c>
      <c r="B1914" s="3" t="s">
        <v>2248</v>
      </c>
      <c r="C1914" s="3" t="s">
        <v>55</v>
      </c>
    </row>
    <row r="1915" spans="1:3" x14ac:dyDescent="0.2">
      <c r="A1915" s="3" t="s">
        <v>2245</v>
      </c>
      <c r="B1915" s="3" t="s">
        <v>2246</v>
      </c>
      <c r="C1915" s="3" t="s">
        <v>56</v>
      </c>
    </row>
    <row r="1916" spans="1:3" x14ac:dyDescent="0.2">
      <c r="A1916" s="3" t="s">
        <v>2245</v>
      </c>
      <c r="B1916" s="3" t="s">
        <v>2247</v>
      </c>
      <c r="C1916" s="3" t="s">
        <v>56</v>
      </c>
    </row>
    <row r="1917" spans="1:3" x14ac:dyDescent="0.2">
      <c r="A1917" s="3" t="s">
        <v>2245</v>
      </c>
      <c r="B1917" s="3" t="s">
        <v>687</v>
      </c>
      <c r="C1917" s="3" t="s">
        <v>56</v>
      </c>
    </row>
    <row r="1918" spans="1:3" x14ac:dyDescent="0.2">
      <c r="A1918" s="3" t="s">
        <v>2245</v>
      </c>
      <c r="B1918" s="3" t="s">
        <v>688</v>
      </c>
      <c r="C1918" s="3" t="s">
        <v>56</v>
      </c>
    </row>
    <row r="1919" spans="1:3" x14ac:dyDescent="0.2">
      <c r="A1919" s="3" t="s">
        <v>2245</v>
      </c>
      <c r="B1919" s="3" t="s">
        <v>2248</v>
      </c>
      <c r="C1919" s="3" t="s">
        <v>56</v>
      </c>
    </row>
    <row r="1920" spans="1:3" x14ac:dyDescent="0.2">
      <c r="A1920" s="3" t="s">
        <v>2245</v>
      </c>
      <c r="B1920" s="3" t="s">
        <v>2246</v>
      </c>
      <c r="C1920" s="3" t="s">
        <v>57</v>
      </c>
    </row>
    <row r="1921" spans="1:3" x14ac:dyDescent="0.2">
      <c r="A1921" s="3" t="s">
        <v>2245</v>
      </c>
      <c r="B1921" s="3" t="s">
        <v>2247</v>
      </c>
      <c r="C1921" s="3" t="s">
        <v>57</v>
      </c>
    </row>
    <row r="1922" spans="1:3" x14ac:dyDescent="0.2">
      <c r="A1922" s="3" t="s">
        <v>2245</v>
      </c>
      <c r="B1922" s="3" t="s">
        <v>687</v>
      </c>
      <c r="C1922" s="3" t="s">
        <v>57</v>
      </c>
    </row>
    <row r="1923" spans="1:3" x14ac:dyDescent="0.2">
      <c r="A1923" s="3" t="s">
        <v>2245</v>
      </c>
      <c r="B1923" s="3" t="s">
        <v>688</v>
      </c>
      <c r="C1923" s="3" t="s">
        <v>57</v>
      </c>
    </row>
    <row r="1924" spans="1:3" x14ac:dyDescent="0.2">
      <c r="A1924" s="3" t="s">
        <v>2245</v>
      </c>
      <c r="B1924" s="3" t="s">
        <v>2248</v>
      </c>
      <c r="C1924" s="3" t="s">
        <v>57</v>
      </c>
    </row>
    <row r="1925" spans="1:3" x14ac:dyDescent="0.2">
      <c r="A1925" s="3" t="s">
        <v>2245</v>
      </c>
      <c r="B1925" s="3" t="s">
        <v>689</v>
      </c>
      <c r="C1925" s="3" t="s">
        <v>169</v>
      </c>
    </row>
    <row r="1926" spans="1:3" x14ac:dyDescent="0.2">
      <c r="A1926" s="3" t="s">
        <v>2245</v>
      </c>
      <c r="B1926" s="3" t="s">
        <v>690</v>
      </c>
      <c r="C1926" s="3" t="s">
        <v>169</v>
      </c>
    </row>
    <row r="1927" spans="1:3" x14ac:dyDescent="0.2">
      <c r="A1927" s="3" t="s">
        <v>2245</v>
      </c>
      <c r="B1927" s="3" t="s">
        <v>2249</v>
      </c>
      <c r="C1927" s="3" t="s">
        <v>169</v>
      </c>
    </row>
    <row r="1928" spans="1:3" x14ac:dyDescent="0.2">
      <c r="A1928" s="3" t="s">
        <v>686</v>
      </c>
      <c r="B1928" s="3" t="s">
        <v>687</v>
      </c>
      <c r="C1928" s="3" t="s">
        <v>53</v>
      </c>
    </row>
    <row r="1929" spans="1:3" x14ac:dyDescent="0.2">
      <c r="A1929" s="3" t="s">
        <v>686</v>
      </c>
      <c r="B1929" s="3" t="s">
        <v>688</v>
      </c>
      <c r="C1929" s="3" t="s">
        <v>53</v>
      </c>
    </row>
    <row r="1930" spans="1:3" x14ac:dyDescent="0.2">
      <c r="A1930" s="3" t="s">
        <v>686</v>
      </c>
      <c r="B1930" s="3" t="s">
        <v>687</v>
      </c>
      <c r="C1930" s="3" t="s">
        <v>54</v>
      </c>
    </row>
    <row r="1931" spans="1:3" x14ac:dyDescent="0.2">
      <c r="A1931" s="3" t="s">
        <v>686</v>
      </c>
      <c r="B1931" s="3" t="s">
        <v>688</v>
      </c>
      <c r="C1931" s="3" t="s">
        <v>54</v>
      </c>
    </row>
    <row r="1932" spans="1:3" x14ac:dyDescent="0.2">
      <c r="A1932" s="3" t="s">
        <v>686</v>
      </c>
      <c r="B1932" s="3" t="s">
        <v>687</v>
      </c>
      <c r="C1932" s="3" t="s">
        <v>55</v>
      </c>
    </row>
    <row r="1933" spans="1:3" x14ac:dyDescent="0.2">
      <c r="A1933" s="3" t="s">
        <v>686</v>
      </c>
      <c r="B1933" s="3" t="s">
        <v>688</v>
      </c>
      <c r="C1933" s="3" t="s">
        <v>55</v>
      </c>
    </row>
    <row r="1934" spans="1:3" x14ac:dyDescent="0.2">
      <c r="A1934" s="3" t="s">
        <v>686</v>
      </c>
      <c r="B1934" s="3" t="s">
        <v>687</v>
      </c>
      <c r="C1934" s="3" t="s">
        <v>56</v>
      </c>
    </row>
    <row r="1935" spans="1:3" x14ac:dyDescent="0.2">
      <c r="A1935" s="3" t="s">
        <v>686</v>
      </c>
      <c r="B1935" s="3" t="s">
        <v>688</v>
      </c>
      <c r="C1935" s="3" t="s">
        <v>56</v>
      </c>
    </row>
    <row r="1936" spans="1:3" x14ac:dyDescent="0.2">
      <c r="A1936" s="3" t="s">
        <v>686</v>
      </c>
      <c r="B1936" s="3" t="s">
        <v>687</v>
      </c>
      <c r="C1936" s="3" t="s">
        <v>57</v>
      </c>
    </row>
    <row r="1937" spans="1:3" x14ac:dyDescent="0.2">
      <c r="A1937" s="3" t="s">
        <v>686</v>
      </c>
      <c r="B1937" s="3" t="s">
        <v>688</v>
      </c>
      <c r="C1937" s="3" t="s">
        <v>57</v>
      </c>
    </row>
    <row r="1938" spans="1:3" x14ac:dyDescent="0.2">
      <c r="A1938" s="3" t="s">
        <v>686</v>
      </c>
      <c r="B1938" s="3" t="s">
        <v>689</v>
      </c>
      <c r="C1938" s="3" t="s">
        <v>169</v>
      </c>
    </row>
    <row r="1939" spans="1:3" x14ac:dyDescent="0.2">
      <c r="A1939" s="3" t="s">
        <v>686</v>
      </c>
      <c r="B1939" s="3" t="s">
        <v>690</v>
      </c>
      <c r="C1939" s="3" t="s">
        <v>169</v>
      </c>
    </row>
    <row r="1940" spans="1:3" x14ac:dyDescent="0.2">
      <c r="A1940" s="3" t="s">
        <v>686</v>
      </c>
      <c r="B1940" s="3" t="s">
        <v>337</v>
      </c>
      <c r="C1940" s="3" t="s">
        <v>169</v>
      </c>
    </row>
    <row r="1941" spans="1:3" x14ac:dyDescent="0.2">
      <c r="A1941" s="3" t="s">
        <v>686</v>
      </c>
      <c r="B1941" s="3" t="s">
        <v>338</v>
      </c>
      <c r="C1941" s="3" t="s">
        <v>169</v>
      </c>
    </row>
    <row r="1942" spans="1:3" x14ac:dyDescent="0.2">
      <c r="A1942" s="3" t="s">
        <v>686</v>
      </c>
      <c r="B1942" s="3" t="s">
        <v>339</v>
      </c>
      <c r="C1942" s="3" t="s">
        <v>169</v>
      </c>
    </row>
    <row r="1943" spans="1:3" x14ac:dyDescent="0.2">
      <c r="A1943" s="3" t="s">
        <v>686</v>
      </c>
      <c r="B1943" s="3" t="s">
        <v>340</v>
      </c>
      <c r="C1943" s="3" t="s">
        <v>169</v>
      </c>
    </row>
    <row r="1944" spans="1:3" x14ac:dyDescent="0.2">
      <c r="A1944" s="3" t="s">
        <v>686</v>
      </c>
      <c r="B1944" s="3" t="s">
        <v>691</v>
      </c>
      <c r="C1944" s="3" t="s">
        <v>169</v>
      </c>
    </row>
    <row r="1945" spans="1:3" x14ac:dyDescent="0.2">
      <c r="A1945" s="3" t="s">
        <v>686</v>
      </c>
      <c r="B1945" s="3" t="s">
        <v>692</v>
      </c>
      <c r="C1945" s="3" t="s">
        <v>169</v>
      </c>
    </row>
    <row r="1946" spans="1:3" x14ac:dyDescent="0.2">
      <c r="A1946" s="3" t="s">
        <v>686</v>
      </c>
      <c r="B1946" s="3" t="s">
        <v>693</v>
      </c>
      <c r="C1946" s="3" t="s">
        <v>169</v>
      </c>
    </row>
    <row r="1947" spans="1:3" x14ac:dyDescent="0.2">
      <c r="A1947" s="3" t="s">
        <v>709</v>
      </c>
      <c r="B1947" s="3" t="s">
        <v>710</v>
      </c>
      <c r="C1947" s="3" t="s">
        <v>53</v>
      </c>
    </row>
    <row r="1948" spans="1:3" x14ac:dyDescent="0.2">
      <c r="A1948" s="3" t="s">
        <v>709</v>
      </c>
      <c r="B1948" s="3" t="s">
        <v>711</v>
      </c>
      <c r="C1948" s="3" t="s">
        <v>53</v>
      </c>
    </row>
    <row r="1949" spans="1:3" x14ac:dyDescent="0.2">
      <c r="A1949" s="3" t="s">
        <v>709</v>
      </c>
      <c r="B1949" s="3" t="s">
        <v>710</v>
      </c>
      <c r="C1949" s="3" t="s">
        <v>54</v>
      </c>
    </row>
    <row r="1950" spans="1:3" x14ac:dyDescent="0.2">
      <c r="A1950" s="3" t="s">
        <v>709</v>
      </c>
      <c r="B1950" s="3" t="s">
        <v>711</v>
      </c>
      <c r="C1950" s="3" t="s">
        <v>54</v>
      </c>
    </row>
    <row r="1951" spans="1:3" x14ac:dyDescent="0.2">
      <c r="A1951" s="3" t="s">
        <v>709</v>
      </c>
      <c r="B1951" s="3" t="s">
        <v>710</v>
      </c>
      <c r="C1951" s="3" t="s">
        <v>55</v>
      </c>
    </row>
    <row r="1952" spans="1:3" x14ac:dyDescent="0.2">
      <c r="A1952" s="3" t="s">
        <v>709</v>
      </c>
      <c r="B1952" s="3" t="s">
        <v>711</v>
      </c>
      <c r="C1952" s="3" t="s">
        <v>55</v>
      </c>
    </row>
    <row r="1953" spans="1:3" x14ac:dyDescent="0.2">
      <c r="A1953" s="3" t="s">
        <v>709</v>
      </c>
      <c r="B1953" s="3" t="s">
        <v>710</v>
      </c>
      <c r="C1953" s="3" t="s">
        <v>56</v>
      </c>
    </row>
    <row r="1954" spans="1:3" x14ac:dyDescent="0.2">
      <c r="A1954" s="3" t="s">
        <v>709</v>
      </c>
      <c r="B1954" s="3" t="s">
        <v>711</v>
      </c>
      <c r="C1954" s="3" t="s">
        <v>56</v>
      </c>
    </row>
    <row r="1955" spans="1:3" x14ac:dyDescent="0.2">
      <c r="A1955" s="3" t="s">
        <v>709</v>
      </c>
      <c r="B1955" s="3" t="s">
        <v>710</v>
      </c>
      <c r="C1955" s="3" t="s">
        <v>57</v>
      </c>
    </row>
    <row r="1956" spans="1:3" x14ac:dyDescent="0.2">
      <c r="A1956" s="3" t="s">
        <v>709</v>
      </c>
      <c r="B1956" s="3" t="s">
        <v>711</v>
      </c>
      <c r="C1956" s="3" t="s">
        <v>57</v>
      </c>
    </row>
    <row r="1957" spans="1:3" x14ac:dyDescent="0.2">
      <c r="A1957" s="3" t="s">
        <v>712</v>
      </c>
      <c r="B1957" s="3" t="s">
        <v>713</v>
      </c>
      <c r="C1957" s="3" t="s">
        <v>53</v>
      </c>
    </row>
    <row r="1958" spans="1:3" x14ac:dyDescent="0.2">
      <c r="A1958" s="3" t="s">
        <v>712</v>
      </c>
      <c r="B1958" s="3" t="s">
        <v>711</v>
      </c>
      <c r="C1958" s="3" t="s">
        <v>53</v>
      </c>
    </row>
    <row r="1959" spans="1:3" x14ac:dyDescent="0.2">
      <c r="A1959" s="3" t="s">
        <v>712</v>
      </c>
      <c r="B1959" s="3" t="s">
        <v>713</v>
      </c>
      <c r="C1959" s="3" t="s">
        <v>54</v>
      </c>
    </row>
    <row r="1960" spans="1:3" x14ac:dyDescent="0.2">
      <c r="A1960" s="3" t="s">
        <v>712</v>
      </c>
      <c r="B1960" s="3" t="s">
        <v>711</v>
      </c>
      <c r="C1960" s="3" t="s">
        <v>54</v>
      </c>
    </row>
    <row r="1961" spans="1:3" x14ac:dyDescent="0.2">
      <c r="A1961" s="3" t="s">
        <v>712</v>
      </c>
      <c r="B1961" s="3" t="s">
        <v>713</v>
      </c>
      <c r="C1961" s="3" t="s">
        <v>55</v>
      </c>
    </row>
    <row r="1962" spans="1:3" x14ac:dyDescent="0.2">
      <c r="A1962" s="3" t="s">
        <v>712</v>
      </c>
      <c r="B1962" s="3" t="s">
        <v>711</v>
      </c>
      <c r="C1962" s="3" t="s">
        <v>55</v>
      </c>
    </row>
    <row r="1963" spans="1:3" x14ac:dyDescent="0.2">
      <c r="A1963" s="3" t="s">
        <v>712</v>
      </c>
      <c r="B1963" s="3" t="s">
        <v>713</v>
      </c>
      <c r="C1963" s="3" t="s">
        <v>56</v>
      </c>
    </row>
    <row r="1964" spans="1:3" x14ac:dyDescent="0.2">
      <c r="A1964" s="3" t="s">
        <v>712</v>
      </c>
      <c r="B1964" s="3" t="s">
        <v>711</v>
      </c>
      <c r="C1964" s="3" t="s">
        <v>56</v>
      </c>
    </row>
    <row r="1965" spans="1:3" x14ac:dyDescent="0.2">
      <c r="A1965" s="3" t="s">
        <v>712</v>
      </c>
      <c r="B1965" s="3" t="s">
        <v>713</v>
      </c>
      <c r="C1965" s="3" t="s">
        <v>57</v>
      </c>
    </row>
    <row r="1966" spans="1:3" x14ac:dyDescent="0.2">
      <c r="A1966" s="3" t="s">
        <v>712</v>
      </c>
      <c r="B1966" s="3" t="s">
        <v>711</v>
      </c>
      <c r="C1966" s="3" t="s">
        <v>57</v>
      </c>
    </row>
    <row r="1967" spans="1:3" x14ac:dyDescent="0.2">
      <c r="A1967" s="3" t="s">
        <v>712</v>
      </c>
      <c r="B1967" s="3" t="s">
        <v>714</v>
      </c>
      <c r="C1967" s="3" t="s">
        <v>169</v>
      </c>
    </row>
    <row r="1968" spans="1:3" x14ac:dyDescent="0.2">
      <c r="A1968" s="3" t="s">
        <v>712</v>
      </c>
      <c r="B1968" s="3" t="s">
        <v>715</v>
      </c>
      <c r="C1968" s="3" t="s">
        <v>169</v>
      </c>
    </row>
    <row r="1969" spans="1:3" x14ac:dyDescent="0.2">
      <c r="A1969" s="3" t="s">
        <v>712</v>
      </c>
      <c r="B1969" s="3" t="s">
        <v>716</v>
      </c>
      <c r="C1969" s="3" t="s">
        <v>169</v>
      </c>
    </row>
    <row r="1970" spans="1:3" x14ac:dyDescent="0.2">
      <c r="A1970" s="3" t="s">
        <v>712</v>
      </c>
      <c r="B1970" s="3" t="s">
        <v>717</v>
      </c>
      <c r="C1970" s="3" t="s">
        <v>22</v>
      </c>
    </row>
    <row r="1971" spans="1:3" x14ac:dyDescent="0.2">
      <c r="A1971" s="3" t="s">
        <v>718</v>
      </c>
      <c r="B1971" s="3" t="s">
        <v>719</v>
      </c>
      <c r="C1971" s="3" t="s">
        <v>53</v>
      </c>
    </row>
    <row r="1972" spans="1:3" x14ac:dyDescent="0.2">
      <c r="A1972" s="3" t="s">
        <v>718</v>
      </c>
      <c r="B1972" s="3" t="s">
        <v>720</v>
      </c>
      <c r="C1972" s="3" t="s">
        <v>53</v>
      </c>
    </row>
    <row r="1973" spans="1:3" x14ac:dyDescent="0.2">
      <c r="A1973" s="3" t="s">
        <v>718</v>
      </c>
      <c r="B1973" s="3" t="s">
        <v>721</v>
      </c>
      <c r="C1973" s="3" t="s">
        <v>53</v>
      </c>
    </row>
    <row r="1974" spans="1:3" x14ac:dyDescent="0.2">
      <c r="A1974" s="3" t="s">
        <v>718</v>
      </c>
      <c r="B1974" s="3" t="s">
        <v>722</v>
      </c>
      <c r="C1974" s="3" t="s">
        <v>53</v>
      </c>
    </row>
    <row r="1975" spans="1:3" x14ac:dyDescent="0.2">
      <c r="A1975" s="3" t="s">
        <v>718</v>
      </c>
      <c r="B1975" s="3" t="s">
        <v>723</v>
      </c>
      <c r="C1975" s="3" t="s">
        <v>53</v>
      </c>
    </row>
    <row r="1976" spans="1:3" x14ac:dyDescent="0.2">
      <c r="A1976" s="3" t="s">
        <v>718</v>
      </c>
      <c r="B1976" s="3" t="s">
        <v>724</v>
      </c>
      <c r="C1976" s="3" t="s">
        <v>53</v>
      </c>
    </row>
    <row r="1977" spans="1:3" x14ac:dyDescent="0.2">
      <c r="A1977" s="3" t="s">
        <v>718</v>
      </c>
      <c r="B1977" s="3" t="s">
        <v>725</v>
      </c>
      <c r="C1977" s="3" t="s">
        <v>53</v>
      </c>
    </row>
    <row r="1978" spans="1:3" x14ac:dyDescent="0.2">
      <c r="A1978" s="3" t="s">
        <v>718</v>
      </c>
      <c r="B1978" s="3" t="s">
        <v>726</v>
      </c>
      <c r="C1978" s="3" t="s">
        <v>53</v>
      </c>
    </row>
    <row r="1979" spans="1:3" x14ac:dyDescent="0.2">
      <c r="A1979" s="3" t="s">
        <v>718</v>
      </c>
      <c r="B1979" s="3" t="s">
        <v>727</v>
      </c>
      <c r="C1979" s="3" t="s">
        <v>53</v>
      </c>
    </row>
    <row r="1980" spans="1:3" x14ac:dyDescent="0.2">
      <c r="A1980" s="3" t="s">
        <v>718</v>
      </c>
      <c r="B1980" s="3" t="s">
        <v>728</v>
      </c>
      <c r="C1980" s="3" t="s">
        <v>53</v>
      </c>
    </row>
    <row r="1981" spans="1:3" x14ac:dyDescent="0.2">
      <c r="A1981" s="3" t="s">
        <v>718</v>
      </c>
      <c r="B1981" s="3" t="s">
        <v>729</v>
      </c>
      <c r="C1981" s="3" t="s">
        <v>53</v>
      </c>
    </row>
    <row r="1982" spans="1:3" x14ac:dyDescent="0.2">
      <c r="A1982" s="3" t="s">
        <v>718</v>
      </c>
      <c r="B1982" s="3" t="s">
        <v>730</v>
      </c>
      <c r="C1982" s="3" t="s">
        <v>53</v>
      </c>
    </row>
    <row r="1983" spans="1:3" x14ac:dyDescent="0.2">
      <c r="A1983" s="3" t="s">
        <v>718</v>
      </c>
      <c r="B1983" s="3" t="s">
        <v>719</v>
      </c>
      <c r="C1983" s="3" t="s">
        <v>54</v>
      </c>
    </row>
    <row r="1984" spans="1:3" x14ac:dyDescent="0.2">
      <c r="A1984" s="3" t="s">
        <v>718</v>
      </c>
      <c r="B1984" s="3" t="s">
        <v>720</v>
      </c>
      <c r="C1984" s="3" t="s">
        <v>54</v>
      </c>
    </row>
    <row r="1985" spans="1:3" x14ac:dyDescent="0.2">
      <c r="A1985" s="3" t="s">
        <v>718</v>
      </c>
      <c r="B1985" s="3" t="s">
        <v>721</v>
      </c>
      <c r="C1985" s="3" t="s">
        <v>54</v>
      </c>
    </row>
    <row r="1986" spans="1:3" x14ac:dyDescent="0.2">
      <c r="A1986" s="3" t="s">
        <v>718</v>
      </c>
      <c r="B1986" s="3" t="s">
        <v>722</v>
      </c>
      <c r="C1986" s="3" t="s">
        <v>54</v>
      </c>
    </row>
    <row r="1987" spans="1:3" x14ac:dyDescent="0.2">
      <c r="A1987" s="3" t="s">
        <v>718</v>
      </c>
      <c r="B1987" s="3" t="s">
        <v>723</v>
      </c>
      <c r="C1987" s="3" t="s">
        <v>54</v>
      </c>
    </row>
    <row r="1988" spans="1:3" x14ac:dyDescent="0.2">
      <c r="A1988" s="3" t="s">
        <v>718</v>
      </c>
      <c r="B1988" s="3" t="s">
        <v>724</v>
      </c>
      <c r="C1988" s="3" t="s">
        <v>54</v>
      </c>
    </row>
    <row r="1989" spans="1:3" x14ac:dyDescent="0.2">
      <c r="A1989" s="3" t="s">
        <v>718</v>
      </c>
      <c r="B1989" s="3" t="s">
        <v>725</v>
      </c>
      <c r="C1989" s="3" t="s">
        <v>54</v>
      </c>
    </row>
    <row r="1990" spans="1:3" x14ac:dyDescent="0.2">
      <c r="A1990" s="3" t="s">
        <v>718</v>
      </c>
      <c r="B1990" s="3" t="s">
        <v>726</v>
      </c>
      <c r="C1990" s="3" t="s">
        <v>54</v>
      </c>
    </row>
    <row r="1991" spans="1:3" x14ac:dyDescent="0.2">
      <c r="A1991" s="3" t="s">
        <v>718</v>
      </c>
      <c r="B1991" s="3" t="s">
        <v>727</v>
      </c>
      <c r="C1991" s="3" t="s">
        <v>54</v>
      </c>
    </row>
    <row r="1992" spans="1:3" x14ac:dyDescent="0.2">
      <c r="A1992" s="3" t="s">
        <v>718</v>
      </c>
      <c r="B1992" s="3" t="s">
        <v>728</v>
      </c>
      <c r="C1992" s="3" t="s">
        <v>54</v>
      </c>
    </row>
    <row r="1993" spans="1:3" x14ac:dyDescent="0.2">
      <c r="A1993" s="3" t="s">
        <v>718</v>
      </c>
      <c r="B1993" s="3" t="s">
        <v>729</v>
      </c>
      <c r="C1993" s="3" t="s">
        <v>54</v>
      </c>
    </row>
    <row r="1994" spans="1:3" x14ac:dyDescent="0.2">
      <c r="A1994" s="3" t="s">
        <v>718</v>
      </c>
      <c r="B1994" s="3" t="s">
        <v>730</v>
      </c>
      <c r="C1994" s="3" t="s">
        <v>54</v>
      </c>
    </row>
    <row r="1995" spans="1:3" x14ac:dyDescent="0.2">
      <c r="A1995" s="3" t="s">
        <v>718</v>
      </c>
      <c r="B1995" s="3" t="s">
        <v>719</v>
      </c>
      <c r="C1995" s="3" t="s">
        <v>55</v>
      </c>
    </row>
    <row r="1996" spans="1:3" x14ac:dyDescent="0.2">
      <c r="A1996" s="3" t="s">
        <v>718</v>
      </c>
      <c r="B1996" s="3" t="s">
        <v>720</v>
      </c>
      <c r="C1996" s="3" t="s">
        <v>55</v>
      </c>
    </row>
    <row r="1997" spans="1:3" x14ac:dyDescent="0.2">
      <c r="A1997" s="3" t="s">
        <v>718</v>
      </c>
      <c r="B1997" s="3" t="s">
        <v>721</v>
      </c>
      <c r="C1997" s="3" t="s">
        <v>55</v>
      </c>
    </row>
    <row r="1998" spans="1:3" x14ac:dyDescent="0.2">
      <c r="A1998" s="3" t="s">
        <v>718</v>
      </c>
      <c r="B1998" s="3" t="s">
        <v>722</v>
      </c>
      <c r="C1998" s="3" t="s">
        <v>55</v>
      </c>
    </row>
    <row r="1999" spans="1:3" x14ac:dyDescent="0.2">
      <c r="A1999" s="3" t="s">
        <v>718</v>
      </c>
      <c r="B1999" s="3" t="s">
        <v>723</v>
      </c>
      <c r="C1999" s="3" t="s">
        <v>55</v>
      </c>
    </row>
    <row r="2000" spans="1:3" x14ac:dyDescent="0.2">
      <c r="A2000" s="3" t="s">
        <v>718</v>
      </c>
      <c r="B2000" s="3" t="s">
        <v>724</v>
      </c>
      <c r="C2000" s="3" t="s">
        <v>55</v>
      </c>
    </row>
    <row r="2001" spans="1:3" x14ac:dyDescent="0.2">
      <c r="A2001" s="3" t="s">
        <v>718</v>
      </c>
      <c r="B2001" s="3" t="s">
        <v>725</v>
      </c>
      <c r="C2001" s="3" t="s">
        <v>55</v>
      </c>
    </row>
    <row r="2002" spans="1:3" x14ac:dyDescent="0.2">
      <c r="A2002" s="3" t="s">
        <v>718</v>
      </c>
      <c r="B2002" s="3" t="s">
        <v>726</v>
      </c>
      <c r="C2002" s="3" t="s">
        <v>55</v>
      </c>
    </row>
    <row r="2003" spans="1:3" x14ac:dyDescent="0.2">
      <c r="A2003" s="3" t="s">
        <v>718</v>
      </c>
      <c r="B2003" s="3" t="s">
        <v>727</v>
      </c>
      <c r="C2003" s="3" t="s">
        <v>55</v>
      </c>
    </row>
    <row r="2004" spans="1:3" x14ac:dyDescent="0.2">
      <c r="A2004" s="3" t="s">
        <v>718</v>
      </c>
      <c r="B2004" s="3" t="s">
        <v>728</v>
      </c>
      <c r="C2004" s="3" t="s">
        <v>55</v>
      </c>
    </row>
    <row r="2005" spans="1:3" x14ac:dyDescent="0.2">
      <c r="A2005" s="3" t="s">
        <v>718</v>
      </c>
      <c r="B2005" s="3" t="s">
        <v>729</v>
      </c>
      <c r="C2005" s="3" t="s">
        <v>55</v>
      </c>
    </row>
    <row r="2006" spans="1:3" x14ac:dyDescent="0.2">
      <c r="A2006" s="3" t="s">
        <v>718</v>
      </c>
      <c r="B2006" s="3" t="s">
        <v>719</v>
      </c>
      <c r="C2006" s="3" t="s">
        <v>56</v>
      </c>
    </row>
    <row r="2007" spans="1:3" x14ac:dyDescent="0.2">
      <c r="A2007" s="3" t="s">
        <v>718</v>
      </c>
      <c r="B2007" s="3" t="s">
        <v>720</v>
      </c>
      <c r="C2007" s="3" t="s">
        <v>56</v>
      </c>
    </row>
    <row r="2008" spans="1:3" x14ac:dyDescent="0.2">
      <c r="A2008" s="3" t="s">
        <v>718</v>
      </c>
      <c r="B2008" s="3" t="s">
        <v>721</v>
      </c>
      <c r="C2008" s="3" t="s">
        <v>56</v>
      </c>
    </row>
    <row r="2009" spans="1:3" x14ac:dyDescent="0.2">
      <c r="A2009" s="3" t="s">
        <v>718</v>
      </c>
      <c r="B2009" s="3" t="s">
        <v>722</v>
      </c>
      <c r="C2009" s="3" t="s">
        <v>56</v>
      </c>
    </row>
    <row r="2010" spans="1:3" x14ac:dyDescent="0.2">
      <c r="A2010" s="3" t="s">
        <v>718</v>
      </c>
      <c r="B2010" s="3" t="s">
        <v>723</v>
      </c>
      <c r="C2010" s="3" t="s">
        <v>56</v>
      </c>
    </row>
    <row r="2011" spans="1:3" x14ac:dyDescent="0.2">
      <c r="A2011" s="3" t="s">
        <v>718</v>
      </c>
      <c r="B2011" s="3" t="s">
        <v>724</v>
      </c>
      <c r="C2011" s="3" t="s">
        <v>56</v>
      </c>
    </row>
    <row r="2012" spans="1:3" x14ac:dyDescent="0.2">
      <c r="A2012" s="3" t="s">
        <v>718</v>
      </c>
      <c r="B2012" s="3" t="s">
        <v>725</v>
      </c>
      <c r="C2012" s="3" t="s">
        <v>56</v>
      </c>
    </row>
    <row r="2013" spans="1:3" x14ac:dyDescent="0.2">
      <c r="A2013" s="3" t="s">
        <v>718</v>
      </c>
      <c r="B2013" s="3" t="s">
        <v>726</v>
      </c>
      <c r="C2013" s="3" t="s">
        <v>56</v>
      </c>
    </row>
    <row r="2014" spans="1:3" x14ac:dyDescent="0.2">
      <c r="A2014" s="3" t="s">
        <v>718</v>
      </c>
      <c r="B2014" s="3" t="s">
        <v>727</v>
      </c>
      <c r="C2014" s="3" t="s">
        <v>56</v>
      </c>
    </row>
    <row r="2015" spans="1:3" x14ac:dyDescent="0.2">
      <c r="A2015" s="3" t="s">
        <v>718</v>
      </c>
      <c r="B2015" s="3" t="s">
        <v>728</v>
      </c>
      <c r="C2015" s="3" t="s">
        <v>56</v>
      </c>
    </row>
    <row r="2016" spans="1:3" x14ac:dyDescent="0.2">
      <c r="A2016" s="3" t="s">
        <v>718</v>
      </c>
      <c r="B2016" s="3" t="s">
        <v>729</v>
      </c>
      <c r="C2016" s="3" t="s">
        <v>56</v>
      </c>
    </row>
    <row r="2017" spans="1:3" x14ac:dyDescent="0.2">
      <c r="A2017" s="3" t="s">
        <v>718</v>
      </c>
      <c r="B2017" s="3" t="s">
        <v>719</v>
      </c>
      <c r="C2017" s="3" t="s">
        <v>57</v>
      </c>
    </row>
    <row r="2018" spans="1:3" x14ac:dyDescent="0.2">
      <c r="A2018" s="3" t="s">
        <v>718</v>
      </c>
      <c r="B2018" s="3" t="s">
        <v>720</v>
      </c>
      <c r="C2018" s="3" t="s">
        <v>57</v>
      </c>
    </row>
    <row r="2019" spans="1:3" x14ac:dyDescent="0.2">
      <c r="A2019" s="3" t="s">
        <v>718</v>
      </c>
      <c r="B2019" s="3" t="s">
        <v>721</v>
      </c>
      <c r="C2019" s="3" t="s">
        <v>57</v>
      </c>
    </row>
    <row r="2020" spans="1:3" x14ac:dyDescent="0.2">
      <c r="A2020" s="3" t="s">
        <v>718</v>
      </c>
      <c r="B2020" s="3" t="s">
        <v>722</v>
      </c>
      <c r="C2020" s="3" t="s">
        <v>57</v>
      </c>
    </row>
    <row r="2021" spans="1:3" x14ac:dyDescent="0.2">
      <c r="A2021" s="3" t="s">
        <v>718</v>
      </c>
      <c r="B2021" s="3" t="s">
        <v>723</v>
      </c>
      <c r="C2021" s="3" t="s">
        <v>57</v>
      </c>
    </row>
    <row r="2022" spans="1:3" x14ac:dyDescent="0.2">
      <c r="A2022" s="3" t="s">
        <v>718</v>
      </c>
      <c r="B2022" s="3" t="s">
        <v>724</v>
      </c>
      <c r="C2022" s="3" t="s">
        <v>57</v>
      </c>
    </row>
    <row r="2023" spans="1:3" x14ac:dyDescent="0.2">
      <c r="A2023" s="3" t="s">
        <v>718</v>
      </c>
      <c r="B2023" s="3" t="s">
        <v>725</v>
      </c>
      <c r="C2023" s="3" t="s">
        <v>57</v>
      </c>
    </row>
    <row r="2024" spans="1:3" x14ac:dyDescent="0.2">
      <c r="A2024" s="3" t="s">
        <v>718</v>
      </c>
      <c r="B2024" s="3" t="s">
        <v>726</v>
      </c>
      <c r="C2024" s="3" t="s">
        <v>57</v>
      </c>
    </row>
    <row r="2025" spans="1:3" x14ac:dyDescent="0.2">
      <c r="A2025" s="3" t="s">
        <v>718</v>
      </c>
      <c r="B2025" s="3" t="s">
        <v>727</v>
      </c>
      <c r="C2025" s="3" t="s">
        <v>57</v>
      </c>
    </row>
    <row r="2026" spans="1:3" x14ac:dyDescent="0.2">
      <c r="A2026" s="3" t="s">
        <v>718</v>
      </c>
      <c r="B2026" s="3" t="s">
        <v>728</v>
      </c>
      <c r="C2026" s="3" t="s">
        <v>57</v>
      </c>
    </row>
    <row r="2027" spans="1:3" x14ac:dyDescent="0.2">
      <c r="A2027" s="3" t="s">
        <v>718</v>
      </c>
      <c r="B2027" s="3" t="s">
        <v>729</v>
      </c>
      <c r="C2027" s="3" t="s">
        <v>57</v>
      </c>
    </row>
    <row r="2028" spans="1:3" x14ac:dyDescent="0.2">
      <c r="A2028" s="3" t="s">
        <v>718</v>
      </c>
      <c r="B2028" s="3" t="s">
        <v>731</v>
      </c>
      <c r="C2028" s="3" t="s">
        <v>22</v>
      </c>
    </row>
    <row r="2029" spans="1:3" x14ac:dyDescent="0.2">
      <c r="A2029" s="3" t="s">
        <v>718</v>
      </c>
      <c r="B2029" s="3" t="s">
        <v>732</v>
      </c>
      <c r="C2029" s="3" t="s">
        <v>22</v>
      </c>
    </row>
    <row r="2030" spans="1:3" x14ac:dyDescent="0.2">
      <c r="A2030" s="3" t="s">
        <v>718</v>
      </c>
      <c r="B2030" s="3" t="s">
        <v>733</v>
      </c>
      <c r="C2030" s="3" t="s">
        <v>22</v>
      </c>
    </row>
    <row r="2031" spans="1:3" x14ac:dyDescent="0.2">
      <c r="A2031" s="3" t="s">
        <v>718</v>
      </c>
      <c r="B2031" s="3" t="s">
        <v>734</v>
      </c>
      <c r="C2031" s="3" t="s">
        <v>22</v>
      </c>
    </row>
    <row r="2032" spans="1:3" x14ac:dyDescent="0.2">
      <c r="A2032" s="3" t="s">
        <v>718</v>
      </c>
      <c r="B2032" s="3" t="s">
        <v>470</v>
      </c>
      <c r="C2032" s="3" t="s">
        <v>22</v>
      </c>
    </row>
    <row r="2033" spans="1:3" x14ac:dyDescent="0.2">
      <c r="A2033" s="3" t="s">
        <v>718</v>
      </c>
      <c r="B2033" s="3" t="s">
        <v>735</v>
      </c>
      <c r="C2033" s="3" t="s">
        <v>22</v>
      </c>
    </row>
    <row r="2034" spans="1:3" x14ac:dyDescent="0.2">
      <c r="A2034" s="3" t="s">
        <v>718</v>
      </c>
      <c r="B2034" s="3" t="s">
        <v>736</v>
      </c>
      <c r="C2034" s="3" t="s">
        <v>22</v>
      </c>
    </row>
    <row r="2035" spans="1:3" x14ac:dyDescent="0.2">
      <c r="A2035" s="3" t="s">
        <v>718</v>
      </c>
      <c r="B2035" s="3" t="s">
        <v>737</v>
      </c>
      <c r="C2035" s="3" t="s">
        <v>22</v>
      </c>
    </row>
    <row r="2036" spans="1:3" x14ac:dyDescent="0.2">
      <c r="A2036" s="3" t="s">
        <v>718</v>
      </c>
      <c r="B2036" s="3" t="s">
        <v>479</v>
      </c>
      <c r="C2036" s="3" t="s">
        <v>22</v>
      </c>
    </row>
    <row r="2037" spans="1:3" x14ac:dyDescent="0.2">
      <c r="A2037" s="3" t="s">
        <v>718</v>
      </c>
      <c r="B2037" s="3" t="s">
        <v>738</v>
      </c>
      <c r="C2037" s="3" t="s">
        <v>22</v>
      </c>
    </row>
    <row r="2038" spans="1:3" x14ac:dyDescent="0.2">
      <c r="A2038" s="3" t="s">
        <v>718</v>
      </c>
      <c r="B2038" s="3" t="s">
        <v>739</v>
      </c>
      <c r="C2038" s="3" t="s">
        <v>22</v>
      </c>
    </row>
    <row r="2039" spans="1:3" x14ac:dyDescent="0.2">
      <c r="A2039" s="3" t="s">
        <v>718</v>
      </c>
      <c r="B2039" s="3" t="s">
        <v>480</v>
      </c>
      <c r="C2039" s="3" t="s">
        <v>22</v>
      </c>
    </row>
    <row r="2040" spans="1:3" x14ac:dyDescent="0.2">
      <c r="A2040" s="3" t="s">
        <v>718</v>
      </c>
      <c r="B2040" s="3" t="s">
        <v>481</v>
      </c>
      <c r="C2040" s="3" t="s">
        <v>22</v>
      </c>
    </row>
    <row r="2041" spans="1:3" x14ac:dyDescent="0.2">
      <c r="A2041" s="3" t="s">
        <v>718</v>
      </c>
      <c r="B2041" s="3" t="s">
        <v>740</v>
      </c>
      <c r="C2041" s="3" t="s">
        <v>22</v>
      </c>
    </row>
    <row r="2042" spans="1:3" x14ac:dyDescent="0.2">
      <c r="A2042" s="3" t="s">
        <v>718</v>
      </c>
      <c r="B2042" s="3" t="s">
        <v>280</v>
      </c>
      <c r="C2042" s="3" t="s">
        <v>22</v>
      </c>
    </row>
    <row r="2043" spans="1:3" x14ac:dyDescent="0.2">
      <c r="A2043" s="3" t="s">
        <v>718</v>
      </c>
      <c r="B2043" s="3" t="s">
        <v>281</v>
      </c>
      <c r="C2043" s="3" t="s">
        <v>22</v>
      </c>
    </row>
    <row r="2044" spans="1:3" x14ac:dyDescent="0.2">
      <c r="A2044" s="3" t="s">
        <v>718</v>
      </c>
      <c r="B2044" s="3" t="s">
        <v>282</v>
      </c>
      <c r="C2044" s="3" t="s">
        <v>22</v>
      </c>
    </row>
    <row r="2045" spans="1:3" x14ac:dyDescent="0.2">
      <c r="A2045" s="3" t="s">
        <v>718</v>
      </c>
      <c r="B2045" s="3" t="s">
        <v>283</v>
      </c>
      <c r="C2045" s="3" t="s">
        <v>22</v>
      </c>
    </row>
    <row r="2046" spans="1:3" x14ac:dyDescent="0.2">
      <c r="A2046" s="3" t="s">
        <v>718</v>
      </c>
      <c r="B2046" s="3" t="s">
        <v>741</v>
      </c>
      <c r="C2046" s="3" t="s">
        <v>22</v>
      </c>
    </row>
    <row r="2047" spans="1:3" x14ac:dyDescent="0.2">
      <c r="A2047" s="3" t="s">
        <v>718</v>
      </c>
      <c r="B2047" s="3" t="s">
        <v>742</v>
      </c>
      <c r="C2047" s="3" t="s">
        <v>22</v>
      </c>
    </row>
    <row r="2048" spans="1:3" x14ac:dyDescent="0.2">
      <c r="A2048" s="3" t="s">
        <v>718</v>
      </c>
      <c r="B2048" s="3" t="s">
        <v>743</v>
      </c>
      <c r="C2048" s="3" t="s">
        <v>22</v>
      </c>
    </row>
    <row r="2049" spans="1:3" x14ac:dyDescent="0.2">
      <c r="A2049" s="3" t="s">
        <v>744</v>
      </c>
      <c r="B2049" s="3" t="s">
        <v>199</v>
      </c>
      <c r="C2049" s="3" t="s">
        <v>53</v>
      </c>
    </row>
    <row r="2050" spans="1:3" x14ac:dyDescent="0.2">
      <c r="A2050" s="3" t="s">
        <v>744</v>
      </c>
      <c r="B2050" s="3" t="s">
        <v>221</v>
      </c>
      <c r="C2050" s="3" t="s">
        <v>54</v>
      </c>
    </row>
    <row r="2051" spans="1:3" x14ac:dyDescent="0.2">
      <c r="A2051" s="3" t="s">
        <v>744</v>
      </c>
      <c r="B2051" s="3" t="s">
        <v>199</v>
      </c>
      <c r="C2051" s="3" t="s">
        <v>54</v>
      </c>
    </row>
    <row r="2052" spans="1:3" x14ac:dyDescent="0.2">
      <c r="A2052" s="3" t="s">
        <v>744</v>
      </c>
      <c r="B2052" s="3" t="s">
        <v>221</v>
      </c>
      <c r="C2052" s="3" t="s">
        <v>55</v>
      </c>
    </row>
    <row r="2053" spans="1:3" x14ac:dyDescent="0.2">
      <c r="A2053" s="3" t="s">
        <v>744</v>
      </c>
      <c r="B2053" s="3" t="s">
        <v>221</v>
      </c>
      <c r="C2053" s="3" t="s">
        <v>56</v>
      </c>
    </row>
    <row r="2054" spans="1:3" x14ac:dyDescent="0.2">
      <c r="A2054" s="3" t="s">
        <v>744</v>
      </c>
      <c r="B2054" s="3" t="s">
        <v>199</v>
      </c>
      <c r="C2054" s="3" t="s">
        <v>56</v>
      </c>
    </row>
    <row r="2055" spans="1:3" x14ac:dyDescent="0.2">
      <c r="A2055" s="3" t="s">
        <v>744</v>
      </c>
      <c r="B2055" s="3" t="s">
        <v>221</v>
      </c>
      <c r="C2055" s="3" t="s">
        <v>57</v>
      </c>
    </row>
    <row r="2056" spans="1:3" x14ac:dyDescent="0.2">
      <c r="A2056" s="3" t="s">
        <v>744</v>
      </c>
      <c r="B2056" s="3" t="s">
        <v>199</v>
      </c>
      <c r="C2056" s="3" t="s">
        <v>57</v>
      </c>
    </row>
    <row r="2057" spans="1:3" x14ac:dyDescent="0.2">
      <c r="A2057" s="3" t="s">
        <v>744</v>
      </c>
      <c r="B2057" s="3" t="s">
        <v>745</v>
      </c>
      <c r="C2057" s="3" t="s">
        <v>169</v>
      </c>
    </row>
    <row r="2058" spans="1:3" x14ac:dyDescent="0.2">
      <c r="A2058" s="3" t="s">
        <v>744</v>
      </c>
      <c r="B2058" s="3" t="s">
        <v>733</v>
      </c>
      <c r="C2058" s="3" t="s">
        <v>22</v>
      </c>
    </row>
    <row r="2059" spans="1:3" x14ac:dyDescent="0.2">
      <c r="A2059" s="3" t="s">
        <v>744</v>
      </c>
      <c r="B2059" s="3" t="s">
        <v>734</v>
      </c>
      <c r="C2059" s="3" t="s">
        <v>22</v>
      </c>
    </row>
    <row r="2060" spans="1:3" x14ac:dyDescent="0.2">
      <c r="A2060" s="3" t="s">
        <v>744</v>
      </c>
      <c r="B2060" s="3" t="s">
        <v>741</v>
      </c>
      <c r="C2060" s="3" t="s">
        <v>22</v>
      </c>
    </row>
    <row r="2061" spans="1:3" x14ac:dyDescent="0.2">
      <c r="A2061" s="3" t="s">
        <v>2250</v>
      </c>
      <c r="B2061" s="3" t="s">
        <v>183</v>
      </c>
      <c r="C2061" s="3" t="s">
        <v>53</v>
      </c>
    </row>
    <row r="2062" spans="1:3" x14ac:dyDescent="0.2">
      <c r="A2062" s="3" t="s">
        <v>2250</v>
      </c>
      <c r="B2062" s="3" t="s">
        <v>183</v>
      </c>
      <c r="C2062" s="3" t="s">
        <v>54</v>
      </c>
    </row>
    <row r="2063" spans="1:3" x14ac:dyDescent="0.2">
      <c r="A2063" s="3" t="s">
        <v>2250</v>
      </c>
      <c r="B2063" s="3" t="s">
        <v>183</v>
      </c>
      <c r="C2063" s="3" t="s">
        <v>55</v>
      </c>
    </row>
    <row r="2064" spans="1:3" x14ac:dyDescent="0.2">
      <c r="A2064" s="3" t="s">
        <v>2250</v>
      </c>
      <c r="B2064" s="3" t="s">
        <v>183</v>
      </c>
      <c r="C2064" s="3" t="s">
        <v>56</v>
      </c>
    </row>
    <row r="2065" spans="1:3" x14ac:dyDescent="0.2">
      <c r="A2065" s="3" t="s">
        <v>2250</v>
      </c>
      <c r="B2065" s="3" t="s">
        <v>183</v>
      </c>
      <c r="C2065" s="3" t="s">
        <v>57</v>
      </c>
    </row>
    <row r="2066" spans="1:3" x14ac:dyDescent="0.2">
      <c r="A2066" s="3" t="s">
        <v>2250</v>
      </c>
      <c r="B2066" s="3" t="s">
        <v>295</v>
      </c>
      <c r="C2066" s="3" t="s">
        <v>10</v>
      </c>
    </row>
    <row r="2067" spans="1:3" x14ac:dyDescent="0.2">
      <c r="A2067" s="3" t="s">
        <v>2250</v>
      </c>
      <c r="B2067" s="3" t="s">
        <v>296</v>
      </c>
      <c r="C2067" s="3" t="s">
        <v>10</v>
      </c>
    </row>
    <row r="2068" spans="1:3" x14ac:dyDescent="0.2">
      <c r="A2068" s="3" t="s">
        <v>2250</v>
      </c>
      <c r="B2068" s="3" t="s">
        <v>297</v>
      </c>
      <c r="C2068" s="3" t="s">
        <v>10</v>
      </c>
    </row>
    <row r="2069" spans="1:3" x14ac:dyDescent="0.2">
      <c r="A2069" s="3" t="s">
        <v>746</v>
      </c>
      <c r="B2069" s="3" t="s">
        <v>747</v>
      </c>
      <c r="C2069" s="3" t="s">
        <v>53</v>
      </c>
    </row>
    <row r="2070" spans="1:3" x14ac:dyDescent="0.2">
      <c r="A2070" s="3" t="s">
        <v>746</v>
      </c>
      <c r="B2070" s="3" t="s">
        <v>748</v>
      </c>
      <c r="C2070" s="3" t="s">
        <v>53</v>
      </c>
    </row>
    <row r="2071" spans="1:3" x14ac:dyDescent="0.2">
      <c r="A2071" s="3" t="s">
        <v>746</v>
      </c>
      <c r="B2071" s="3" t="s">
        <v>749</v>
      </c>
      <c r="C2071" s="3" t="s">
        <v>53</v>
      </c>
    </row>
    <row r="2072" spans="1:3" x14ac:dyDescent="0.2">
      <c r="A2072" s="3" t="s">
        <v>746</v>
      </c>
      <c r="B2072" s="3" t="s">
        <v>747</v>
      </c>
      <c r="C2072" s="3" t="s">
        <v>54</v>
      </c>
    </row>
    <row r="2073" spans="1:3" x14ac:dyDescent="0.2">
      <c r="A2073" s="3" t="s">
        <v>746</v>
      </c>
      <c r="B2073" s="3" t="s">
        <v>748</v>
      </c>
      <c r="C2073" s="3" t="s">
        <v>54</v>
      </c>
    </row>
    <row r="2074" spans="1:3" x14ac:dyDescent="0.2">
      <c r="A2074" s="3" t="s">
        <v>746</v>
      </c>
      <c r="B2074" s="3" t="s">
        <v>749</v>
      </c>
      <c r="C2074" s="3" t="s">
        <v>54</v>
      </c>
    </row>
    <row r="2075" spans="1:3" x14ac:dyDescent="0.2">
      <c r="A2075" s="3" t="s">
        <v>746</v>
      </c>
      <c r="B2075" s="3" t="s">
        <v>747</v>
      </c>
      <c r="C2075" s="3" t="s">
        <v>55</v>
      </c>
    </row>
    <row r="2076" spans="1:3" x14ac:dyDescent="0.2">
      <c r="A2076" s="3" t="s">
        <v>746</v>
      </c>
      <c r="B2076" s="3" t="s">
        <v>747</v>
      </c>
      <c r="C2076" s="3" t="s">
        <v>56</v>
      </c>
    </row>
    <row r="2077" spans="1:3" x14ac:dyDescent="0.2">
      <c r="A2077" s="3" t="s">
        <v>746</v>
      </c>
      <c r="B2077" s="3" t="s">
        <v>747</v>
      </c>
      <c r="C2077" s="3" t="s">
        <v>57</v>
      </c>
    </row>
    <row r="2078" spans="1:3" x14ac:dyDescent="0.2">
      <c r="A2078" s="3" t="s">
        <v>750</v>
      </c>
      <c r="B2078" s="3" t="s">
        <v>289</v>
      </c>
      <c r="C2078" s="3" t="s">
        <v>53</v>
      </c>
    </row>
    <row r="2079" spans="1:3" x14ac:dyDescent="0.2">
      <c r="A2079" s="3" t="s">
        <v>750</v>
      </c>
      <c r="B2079" s="3" t="s">
        <v>290</v>
      </c>
      <c r="C2079" s="3" t="s">
        <v>53</v>
      </c>
    </row>
    <row r="2080" spans="1:3" x14ac:dyDescent="0.2">
      <c r="A2080" s="3" t="s">
        <v>750</v>
      </c>
      <c r="B2080" s="3" t="s">
        <v>291</v>
      </c>
      <c r="C2080" s="3" t="s">
        <v>53</v>
      </c>
    </row>
    <row r="2081" spans="1:3" x14ac:dyDescent="0.2">
      <c r="A2081" s="3" t="s">
        <v>750</v>
      </c>
      <c r="B2081" s="3" t="s">
        <v>747</v>
      </c>
      <c r="C2081" s="3" t="s">
        <v>53</v>
      </c>
    </row>
    <row r="2082" spans="1:3" x14ac:dyDescent="0.2">
      <c r="A2082" s="3" t="s">
        <v>750</v>
      </c>
      <c r="B2082" s="3" t="s">
        <v>748</v>
      </c>
      <c r="C2082" s="3" t="s">
        <v>53</v>
      </c>
    </row>
    <row r="2083" spans="1:3" x14ac:dyDescent="0.2">
      <c r="A2083" s="3" t="s">
        <v>750</v>
      </c>
      <c r="B2083" s="3" t="s">
        <v>289</v>
      </c>
      <c r="C2083" s="3" t="s">
        <v>54</v>
      </c>
    </row>
    <row r="2084" spans="1:3" x14ac:dyDescent="0.2">
      <c r="A2084" s="3" t="s">
        <v>750</v>
      </c>
      <c r="B2084" s="3" t="s">
        <v>290</v>
      </c>
      <c r="C2084" s="3" t="s">
        <v>54</v>
      </c>
    </row>
    <row r="2085" spans="1:3" x14ac:dyDescent="0.2">
      <c r="A2085" s="3" t="s">
        <v>750</v>
      </c>
      <c r="B2085" s="3" t="s">
        <v>291</v>
      </c>
      <c r="C2085" s="3" t="s">
        <v>54</v>
      </c>
    </row>
    <row r="2086" spans="1:3" x14ac:dyDescent="0.2">
      <c r="A2086" s="3" t="s">
        <v>750</v>
      </c>
      <c r="B2086" s="3" t="s">
        <v>747</v>
      </c>
      <c r="C2086" s="3" t="s">
        <v>54</v>
      </c>
    </row>
    <row r="2087" spans="1:3" x14ac:dyDescent="0.2">
      <c r="A2087" s="3" t="s">
        <v>750</v>
      </c>
      <c r="B2087" s="3" t="s">
        <v>748</v>
      </c>
      <c r="C2087" s="3" t="s">
        <v>54</v>
      </c>
    </row>
    <row r="2088" spans="1:3" x14ac:dyDescent="0.2">
      <c r="A2088" s="3" t="s">
        <v>750</v>
      </c>
      <c r="B2088" s="3" t="s">
        <v>289</v>
      </c>
      <c r="C2088" s="3" t="s">
        <v>55</v>
      </c>
    </row>
    <row r="2089" spans="1:3" x14ac:dyDescent="0.2">
      <c r="A2089" s="3" t="s">
        <v>750</v>
      </c>
      <c r="B2089" s="3" t="s">
        <v>290</v>
      </c>
      <c r="C2089" s="3" t="s">
        <v>55</v>
      </c>
    </row>
    <row r="2090" spans="1:3" x14ac:dyDescent="0.2">
      <c r="A2090" s="3" t="s">
        <v>750</v>
      </c>
      <c r="B2090" s="3" t="s">
        <v>291</v>
      </c>
      <c r="C2090" s="3" t="s">
        <v>55</v>
      </c>
    </row>
    <row r="2091" spans="1:3" x14ac:dyDescent="0.2">
      <c r="A2091" s="3" t="s">
        <v>750</v>
      </c>
      <c r="B2091" s="3" t="s">
        <v>747</v>
      </c>
      <c r="C2091" s="3" t="s">
        <v>55</v>
      </c>
    </row>
    <row r="2092" spans="1:3" x14ac:dyDescent="0.2">
      <c r="A2092" s="3" t="s">
        <v>750</v>
      </c>
      <c r="B2092" s="3" t="s">
        <v>289</v>
      </c>
      <c r="C2092" s="3" t="s">
        <v>56</v>
      </c>
    </row>
    <row r="2093" spans="1:3" x14ac:dyDescent="0.2">
      <c r="A2093" s="3" t="s">
        <v>750</v>
      </c>
      <c r="B2093" s="3" t="s">
        <v>290</v>
      </c>
      <c r="C2093" s="3" t="s">
        <v>56</v>
      </c>
    </row>
    <row r="2094" spans="1:3" x14ac:dyDescent="0.2">
      <c r="A2094" s="3" t="s">
        <v>750</v>
      </c>
      <c r="B2094" s="3" t="s">
        <v>291</v>
      </c>
      <c r="C2094" s="3" t="s">
        <v>56</v>
      </c>
    </row>
    <row r="2095" spans="1:3" x14ac:dyDescent="0.2">
      <c r="A2095" s="3" t="s">
        <v>750</v>
      </c>
      <c r="B2095" s="3" t="s">
        <v>747</v>
      </c>
      <c r="C2095" s="3" t="s">
        <v>56</v>
      </c>
    </row>
    <row r="2096" spans="1:3" x14ac:dyDescent="0.2">
      <c r="A2096" s="3" t="s">
        <v>750</v>
      </c>
      <c r="B2096" s="3" t="s">
        <v>289</v>
      </c>
      <c r="C2096" s="3" t="s">
        <v>57</v>
      </c>
    </row>
    <row r="2097" spans="1:3" x14ac:dyDescent="0.2">
      <c r="A2097" s="3" t="s">
        <v>750</v>
      </c>
      <c r="B2097" s="3" t="s">
        <v>290</v>
      </c>
      <c r="C2097" s="3" t="s">
        <v>57</v>
      </c>
    </row>
    <row r="2098" spans="1:3" x14ac:dyDescent="0.2">
      <c r="A2098" s="3" t="s">
        <v>750</v>
      </c>
      <c r="B2098" s="3" t="s">
        <v>291</v>
      </c>
      <c r="C2098" s="3" t="s">
        <v>57</v>
      </c>
    </row>
    <row r="2099" spans="1:3" x14ac:dyDescent="0.2">
      <c r="A2099" s="3" t="s">
        <v>750</v>
      </c>
      <c r="B2099" s="3" t="s">
        <v>747</v>
      </c>
      <c r="C2099" s="3" t="s">
        <v>57</v>
      </c>
    </row>
    <row r="2100" spans="1:3" x14ac:dyDescent="0.2">
      <c r="A2100" s="3" t="s">
        <v>752</v>
      </c>
      <c r="B2100" s="3" t="s">
        <v>753</v>
      </c>
      <c r="C2100" s="3" t="s">
        <v>53</v>
      </c>
    </row>
    <row r="2101" spans="1:3" x14ac:dyDescent="0.2">
      <c r="A2101" s="3" t="s">
        <v>752</v>
      </c>
      <c r="B2101" s="3" t="s">
        <v>754</v>
      </c>
      <c r="C2101" s="3" t="s">
        <v>53</v>
      </c>
    </row>
    <row r="2102" spans="1:3" x14ac:dyDescent="0.2">
      <c r="A2102" s="3" t="s">
        <v>752</v>
      </c>
      <c r="B2102" s="3" t="s">
        <v>755</v>
      </c>
      <c r="C2102" s="3" t="s">
        <v>53</v>
      </c>
    </row>
    <row r="2103" spans="1:3" x14ac:dyDescent="0.2">
      <c r="A2103" s="3" t="s">
        <v>752</v>
      </c>
      <c r="B2103" s="3" t="s">
        <v>756</v>
      </c>
      <c r="C2103" s="3" t="s">
        <v>53</v>
      </c>
    </row>
    <row r="2104" spans="1:3" x14ac:dyDescent="0.2">
      <c r="A2104" s="3" t="s">
        <v>752</v>
      </c>
      <c r="B2104" s="3" t="s">
        <v>757</v>
      </c>
      <c r="C2104" s="3" t="s">
        <v>53</v>
      </c>
    </row>
    <row r="2105" spans="1:3" x14ac:dyDescent="0.2">
      <c r="A2105" s="3" t="s">
        <v>752</v>
      </c>
      <c r="B2105" s="3" t="s">
        <v>758</v>
      </c>
      <c r="C2105" s="3" t="s">
        <v>53</v>
      </c>
    </row>
    <row r="2106" spans="1:3" x14ac:dyDescent="0.2">
      <c r="A2106" s="3" t="s">
        <v>752</v>
      </c>
      <c r="B2106" s="3" t="s">
        <v>759</v>
      </c>
      <c r="C2106" s="3" t="s">
        <v>53</v>
      </c>
    </row>
    <row r="2107" spans="1:3" x14ac:dyDescent="0.2">
      <c r="A2107" s="3" t="s">
        <v>752</v>
      </c>
      <c r="B2107" s="3" t="s">
        <v>760</v>
      </c>
      <c r="C2107" s="3" t="s">
        <v>53</v>
      </c>
    </row>
    <row r="2108" spans="1:3" x14ac:dyDescent="0.2">
      <c r="A2108" s="3" t="s">
        <v>752</v>
      </c>
      <c r="B2108" s="3" t="s">
        <v>761</v>
      </c>
      <c r="C2108" s="3" t="s">
        <v>53</v>
      </c>
    </row>
    <row r="2109" spans="1:3" x14ac:dyDescent="0.2">
      <c r="A2109" s="3" t="s">
        <v>752</v>
      </c>
      <c r="B2109" s="3" t="s">
        <v>762</v>
      </c>
      <c r="C2109" s="3" t="s">
        <v>53</v>
      </c>
    </row>
    <row r="2110" spans="1:3" x14ac:dyDescent="0.2">
      <c r="A2110" s="3" t="s">
        <v>752</v>
      </c>
      <c r="B2110" s="3" t="s">
        <v>763</v>
      </c>
      <c r="C2110" s="3" t="s">
        <v>53</v>
      </c>
    </row>
    <row r="2111" spans="1:3" x14ac:dyDescent="0.2">
      <c r="A2111" s="3" t="s">
        <v>752</v>
      </c>
      <c r="B2111" s="3" t="s">
        <v>764</v>
      </c>
      <c r="C2111" s="3" t="s">
        <v>53</v>
      </c>
    </row>
    <row r="2112" spans="1:3" x14ac:dyDescent="0.2">
      <c r="A2112" s="3" t="s">
        <v>752</v>
      </c>
      <c r="B2112" s="3" t="s">
        <v>765</v>
      </c>
      <c r="C2112" s="3" t="s">
        <v>53</v>
      </c>
    </row>
    <row r="2113" spans="1:3" x14ac:dyDescent="0.2">
      <c r="A2113" s="3" t="s">
        <v>752</v>
      </c>
      <c r="B2113" s="3" t="s">
        <v>766</v>
      </c>
      <c r="C2113" s="3" t="s">
        <v>53</v>
      </c>
    </row>
    <row r="2114" spans="1:3" x14ac:dyDescent="0.2">
      <c r="A2114" s="3" t="s">
        <v>752</v>
      </c>
      <c r="B2114" s="3" t="s">
        <v>767</v>
      </c>
      <c r="C2114" s="3" t="s">
        <v>53</v>
      </c>
    </row>
    <row r="2115" spans="1:3" x14ac:dyDescent="0.2">
      <c r="A2115" s="3" t="s">
        <v>752</v>
      </c>
      <c r="B2115" s="3" t="s">
        <v>768</v>
      </c>
      <c r="C2115" s="3" t="s">
        <v>53</v>
      </c>
    </row>
    <row r="2116" spans="1:3" x14ac:dyDescent="0.2">
      <c r="A2116" s="3" t="s">
        <v>752</v>
      </c>
      <c r="B2116" s="3" t="s">
        <v>769</v>
      </c>
      <c r="C2116" s="3" t="s">
        <v>53</v>
      </c>
    </row>
    <row r="2117" spans="1:3" x14ac:dyDescent="0.2">
      <c r="A2117" s="3" t="s">
        <v>752</v>
      </c>
      <c r="B2117" s="3" t="s">
        <v>770</v>
      </c>
      <c r="C2117" s="3" t="s">
        <v>53</v>
      </c>
    </row>
    <row r="2118" spans="1:3" x14ac:dyDescent="0.2">
      <c r="A2118" s="3" t="s">
        <v>752</v>
      </c>
      <c r="B2118" s="3" t="s">
        <v>771</v>
      </c>
      <c r="C2118" s="3" t="s">
        <v>53</v>
      </c>
    </row>
    <row r="2119" spans="1:3" x14ac:dyDescent="0.2">
      <c r="A2119" s="3" t="s">
        <v>752</v>
      </c>
      <c r="B2119" s="3" t="s">
        <v>753</v>
      </c>
      <c r="C2119" s="3" t="s">
        <v>54</v>
      </c>
    </row>
    <row r="2120" spans="1:3" x14ac:dyDescent="0.2">
      <c r="A2120" s="3" t="s">
        <v>752</v>
      </c>
      <c r="B2120" s="3" t="s">
        <v>754</v>
      </c>
      <c r="C2120" s="3" t="s">
        <v>54</v>
      </c>
    </row>
    <row r="2121" spans="1:3" x14ac:dyDescent="0.2">
      <c r="A2121" s="3" t="s">
        <v>752</v>
      </c>
      <c r="B2121" s="3" t="s">
        <v>755</v>
      </c>
      <c r="C2121" s="3" t="s">
        <v>54</v>
      </c>
    </row>
    <row r="2122" spans="1:3" x14ac:dyDescent="0.2">
      <c r="A2122" s="3" t="s">
        <v>752</v>
      </c>
      <c r="B2122" s="3" t="s">
        <v>756</v>
      </c>
      <c r="C2122" s="3" t="s">
        <v>54</v>
      </c>
    </row>
    <row r="2123" spans="1:3" x14ac:dyDescent="0.2">
      <c r="A2123" s="3" t="s">
        <v>752</v>
      </c>
      <c r="B2123" s="3" t="s">
        <v>757</v>
      </c>
      <c r="C2123" s="3" t="s">
        <v>54</v>
      </c>
    </row>
    <row r="2124" spans="1:3" x14ac:dyDescent="0.2">
      <c r="A2124" s="3" t="s">
        <v>752</v>
      </c>
      <c r="B2124" s="3" t="s">
        <v>758</v>
      </c>
      <c r="C2124" s="3" t="s">
        <v>54</v>
      </c>
    </row>
    <row r="2125" spans="1:3" x14ac:dyDescent="0.2">
      <c r="A2125" s="3" t="s">
        <v>752</v>
      </c>
      <c r="B2125" s="3" t="s">
        <v>759</v>
      </c>
      <c r="C2125" s="3" t="s">
        <v>54</v>
      </c>
    </row>
    <row r="2126" spans="1:3" x14ac:dyDescent="0.2">
      <c r="A2126" s="3" t="s">
        <v>752</v>
      </c>
      <c r="B2126" s="3" t="s">
        <v>760</v>
      </c>
      <c r="C2126" s="3" t="s">
        <v>54</v>
      </c>
    </row>
    <row r="2127" spans="1:3" x14ac:dyDescent="0.2">
      <c r="A2127" s="3" t="s">
        <v>752</v>
      </c>
      <c r="B2127" s="3" t="s">
        <v>761</v>
      </c>
      <c r="C2127" s="3" t="s">
        <v>54</v>
      </c>
    </row>
    <row r="2128" spans="1:3" x14ac:dyDescent="0.2">
      <c r="A2128" s="3" t="s">
        <v>752</v>
      </c>
      <c r="B2128" s="3" t="s">
        <v>762</v>
      </c>
      <c r="C2128" s="3" t="s">
        <v>54</v>
      </c>
    </row>
    <row r="2129" spans="1:3" x14ac:dyDescent="0.2">
      <c r="A2129" s="3" t="s">
        <v>752</v>
      </c>
      <c r="B2129" s="3" t="s">
        <v>763</v>
      </c>
      <c r="C2129" s="3" t="s">
        <v>54</v>
      </c>
    </row>
    <row r="2130" spans="1:3" x14ac:dyDescent="0.2">
      <c r="A2130" s="3" t="s">
        <v>752</v>
      </c>
      <c r="B2130" s="3" t="s">
        <v>764</v>
      </c>
      <c r="C2130" s="3" t="s">
        <v>54</v>
      </c>
    </row>
    <row r="2131" spans="1:3" x14ac:dyDescent="0.2">
      <c r="A2131" s="3" t="s">
        <v>752</v>
      </c>
      <c r="B2131" s="3" t="s">
        <v>765</v>
      </c>
      <c r="C2131" s="3" t="s">
        <v>54</v>
      </c>
    </row>
    <row r="2132" spans="1:3" x14ac:dyDescent="0.2">
      <c r="A2132" s="3" t="s">
        <v>752</v>
      </c>
      <c r="B2132" s="3" t="s">
        <v>766</v>
      </c>
      <c r="C2132" s="3" t="s">
        <v>54</v>
      </c>
    </row>
    <row r="2133" spans="1:3" x14ac:dyDescent="0.2">
      <c r="A2133" s="3" t="s">
        <v>752</v>
      </c>
      <c r="B2133" s="3" t="s">
        <v>767</v>
      </c>
      <c r="C2133" s="3" t="s">
        <v>54</v>
      </c>
    </row>
    <row r="2134" spans="1:3" x14ac:dyDescent="0.2">
      <c r="A2134" s="3" t="s">
        <v>752</v>
      </c>
      <c r="B2134" s="3" t="s">
        <v>768</v>
      </c>
      <c r="C2134" s="3" t="s">
        <v>54</v>
      </c>
    </row>
    <row r="2135" spans="1:3" x14ac:dyDescent="0.2">
      <c r="A2135" s="3" t="s">
        <v>752</v>
      </c>
      <c r="B2135" s="3" t="s">
        <v>769</v>
      </c>
      <c r="C2135" s="3" t="s">
        <v>54</v>
      </c>
    </row>
    <row r="2136" spans="1:3" x14ac:dyDescent="0.2">
      <c r="A2136" s="3" t="s">
        <v>752</v>
      </c>
      <c r="B2136" s="3" t="s">
        <v>770</v>
      </c>
      <c r="C2136" s="3" t="s">
        <v>54</v>
      </c>
    </row>
    <row r="2137" spans="1:3" x14ac:dyDescent="0.2">
      <c r="A2137" s="3" t="s">
        <v>752</v>
      </c>
      <c r="B2137" s="3" t="s">
        <v>771</v>
      </c>
      <c r="C2137" s="3" t="s">
        <v>54</v>
      </c>
    </row>
    <row r="2138" spans="1:3" x14ac:dyDescent="0.2">
      <c r="A2138" s="3" t="s">
        <v>752</v>
      </c>
      <c r="B2138" s="3" t="s">
        <v>753</v>
      </c>
      <c r="C2138" s="3" t="s">
        <v>55</v>
      </c>
    </row>
    <row r="2139" spans="1:3" x14ac:dyDescent="0.2">
      <c r="A2139" s="3" t="s">
        <v>752</v>
      </c>
      <c r="B2139" s="3" t="s">
        <v>754</v>
      </c>
      <c r="C2139" s="3" t="s">
        <v>55</v>
      </c>
    </row>
    <row r="2140" spans="1:3" x14ac:dyDescent="0.2">
      <c r="A2140" s="3" t="s">
        <v>752</v>
      </c>
      <c r="B2140" s="3" t="s">
        <v>755</v>
      </c>
      <c r="C2140" s="3" t="s">
        <v>55</v>
      </c>
    </row>
    <row r="2141" spans="1:3" x14ac:dyDescent="0.2">
      <c r="A2141" s="3" t="s">
        <v>752</v>
      </c>
      <c r="B2141" s="3" t="s">
        <v>757</v>
      </c>
      <c r="C2141" s="3" t="s">
        <v>55</v>
      </c>
    </row>
    <row r="2142" spans="1:3" x14ac:dyDescent="0.2">
      <c r="A2142" s="3" t="s">
        <v>752</v>
      </c>
      <c r="B2142" s="3" t="s">
        <v>758</v>
      </c>
      <c r="C2142" s="3" t="s">
        <v>55</v>
      </c>
    </row>
    <row r="2143" spans="1:3" x14ac:dyDescent="0.2">
      <c r="A2143" s="3" t="s">
        <v>752</v>
      </c>
      <c r="B2143" s="3" t="s">
        <v>759</v>
      </c>
      <c r="C2143" s="3" t="s">
        <v>55</v>
      </c>
    </row>
    <row r="2144" spans="1:3" x14ac:dyDescent="0.2">
      <c r="A2144" s="3" t="s">
        <v>752</v>
      </c>
      <c r="B2144" s="3" t="s">
        <v>760</v>
      </c>
      <c r="C2144" s="3" t="s">
        <v>55</v>
      </c>
    </row>
    <row r="2145" spans="1:3" x14ac:dyDescent="0.2">
      <c r="A2145" s="3" t="s">
        <v>752</v>
      </c>
      <c r="B2145" s="3" t="s">
        <v>761</v>
      </c>
      <c r="C2145" s="3" t="s">
        <v>55</v>
      </c>
    </row>
    <row r="2146" spans="1:3" x14ac:dyDescent="0.2">
      <c r="A2146" s="3" t="s">
        <v>752</v>
      </c>
      <c r="B2146" s="3" t="s">
        <v>762</v>
      </c>
      <c r="C2146" s="3" t="s">
        <v>55</v>
      </c>
    </row>
    <row r="2147" spans="1:3" x14ac:dyDescent="0.2">
      <c r="A2147" s="3" t="s">
        <v>752</v>
      </c>
      <c r="B2147" s="3" t="s">
        <v>764</v>
      </c>
      <c r="C2147" s="3" t="s">
        <v>55</v>
      </c>
    </row>
    <row r="2148" spans="1:3" x14ac:dyDescent="0.2">
      <c r="A2148" s="3" t="s">
        <v>752</v>
      </c>
      <c r="B2148" s="3" t="s">
        <v>765</v>
      </c>
      <c r="C2148" s="3" t="s">
        <v>55</v>
      </c>
    </row>
    <row r="2149" spans="1:3" x14ac:dyDescent="0.2">
      <c r="A2149" s="3" t="s">
        <v>752</v>
      </c>
      <c r="B2149" s="3" t="s">
        <v>766</v>
      </c>
      <c r="C2149" s="3" t="s">
        <v>55</v>
      </c>
    </row>
    <row r="2150" spans="1:3" x14ac:dyDescent="0.2">
      <c r="A2150" s="3" t="s">
        <v>752</v>
      </c>
      <c r="B2150" s="3" t="s">
        <v>767</v>
      </c>
      <c r="C2150" s="3" t="s">
        <v>55</v>
      </c>
    </row>
    <row r="2151" spans="1:3" x14ac:dyDescent="0.2">
      <c r="A2151" s="3" t="s">
        <v>752</v>
      </c>
      <c r="B2151" s="3" t="s">
        <v>768</v>
      </c>
      <c r="C2151" s="3" t="s">
        <v>55</v>
      </c>
    </row>
    <row r="2152" spans="1:3" x14ac:dyDescent="0.2">
      <c r="A2152" s="3" t="s">
        <v>752</v>
      </c>
      <c r="B2152" s="3" t="s">
        <v>769</v>
      </c>
      <c r="C2152" s="3" t="s">
        <v>55</v>
      </c>
    </row>
    <row r="2153" spans="1:3" x14ac:dyDescent="0.2">
      <c r="A2153" s="3" t="s">
        <v>752</v>
      </c>
      <c r="B2153" s="3" t="s">
        <v>770</v>
      </c>
      <c r="C2153" s="3" t="s">
        <v>55</v>
      </c>
    </row>
    <row r="2154" spans="1:3" x14ac:dyDescent="0.2">
      <c r="A2154" s="3" t="s">
        <v>752</v>
      </c>
      <c r="B2154" s="3" t="s">
        <v>771</v>
      </c>
      <c r="C2154" s="3" t="s">
        <v>55</v>
      </c>
    </row>
    <row r="2155" spans="1:3" x14ac:dyDescent="0.2">
      <c r="A2155" s="3" t="s">
        <v>752</v>
      </c>
      <c r="B2155" s="3" t="s">
        <v>753</v>
      </c>
      <c r="C2155" s="3" t="s">
        <v>56</v>
      </c>
    </row>
    <row r="2156" spans="1:3" x14ac:dyDescent="0.2">
      <c r="A2156" s="3" t="s">
        <v>752</v>
      </c>
      <c r="B2156" s="3" t="s">
        <v>754</v>
      </c>
      <c r="C2156" s="3" t="s">
        <v>56</v>
      </c>
    </row>
    <row r="2157" spans="1:3" x14ac:dyDescent="0.2">
      <c r="A2157" s="3" t="s">
        <v>752</v>
      </c>
      <c r="B2157" s="3" t="s">
        <v>755</v>
      </c>
      <c r="C2157" s="3" t="s">
        <v>56</v>
      </c>
    </row>
    <row r="2158" spans="1:3" x14ac:dyDescent="0.2">
      <c r="A2158" s="3" t="s">
        <v>752</v>
      </c>
      <c r="B2158" s="3" t="s">
        <v>757</v>
      </c>
      <c r="C2158" s="3" t="s">
        <v>56</v>
      </c>
    </row>
    <row r="2159" spans="1:3" x14ac:dyDescent="0.2">
      <c r="A2159" s="3" t="s">
        <v>752</v>
      </c>
      <c r="B2159" s="3" t="s">
        <v>758</v>
      </c>
      <c r="C2159" s="3" t="s">
        <v>56</v>
      </c>
    </row>
    <row r="2160" spans="1:3" x14ac:dyDescent="0.2">
      <c r="A2160" s="3" t="s">
        <v>752</v>
      </c>
      <c r="B2160" s="3" t="s">
        <v>759</v>
      </c>
      <c r="C2160" s="3" t="s">
        <v>56</v>
      </c>
    </row>
    <row r="2161" spans="1:3" x14ac:dyDescent="0.2">
      <c r="A2161" s="3" t="s">
        <v>752</v>
      </c>
      <c r="B2161" s="3" t="s">
        <v>760</v>
      </c>
      <c r="C2161" s="3" t="s">
        <v>56</v>
      </c>
    </row>
    <row r="2162" spans="1:3" x14ac:dyDescent="0.2">
      <c r="A2162" s="3" t="s">
        <v>752</v>
      </c>
      <c r="B2162" s="3" t="s">
        <v>761</v>
      </c>
      <c r="C2162" s="3" t="s">
        <v>56</v>
      </c>
    </row>
    <row r="2163" spans="1:3" x14ac:dyDescent="0.2">
      <c r="A2163" s="3" t="s">
        <v>752</v>
      </c>
      <c r="B2163" s="3" t="s">
        <v>762</v>
      </c>
      <c r="C2163" s="3" t="s">
        <v>56</v>
      </c>
    </row>
    <row r="2164" spans="1:3" x14ac:dyDescent="0.2">
      <c r="A2164" s="3" t="s">
        <v>752</v>
      </c>
      <c r="B2164" s="3" t="s">
        <v>764</v>
      </c>
      <c r="C2164" s="3" t="s">
        <v>56</v>
      </c>
    </row>
    <row r="2165" spans="1:3" x14ac:dyDescent="0.2">
      <c r="A2165" s="3" t="s">
        <v>752</v>
      </c>
      <c r="B2165" s="3" t="s">
        <v>765</v>
      </c>
      <c r="C2165" s="3" t="s">
        <v>56</v>
      </c>
    </row>
    <row r="2166" spans="1:3" x14ac:dyDescent="0.2">
      <c r="A2166" s="3" t="s">
        <v>752</v>
      </c>
      <c r="B2166" s="3" t="s">
        <v>766</v>
      </c>
      <c r="C2166" s="3" t="s">
        <v>56</v>
      </c>
    </row>
    <row r="2167" spans="1:3" x14ac:dyDescent="0.2">
      <c r="A2167" s="3" t="s">
        <v>752</v>
      </c>
      <c r="B2167" s="3" t="s">
        <v>767</v>
      </c>
      <c r="C2167" s="3" t="s">
        <v>56</v>
      </c>
    </row>
    <row r="2168" spans="1:3" x14ac:dyDescent="0.2">
      <c r="A2168" s="3" t="s">
        <v>752</v>
      </c>
      <c r="B2168" s="3" t="s">
        <v>768</v>
      </c>
      <c r="C2168" s="3" t="s">
        <v>56</v>
      </c>
    </row>
    <row r="2169" spans="1:3" x14ac:dyDescent="0.2">
      <c r="A2169" s="3" t="s">
        <v>752</v>
      </c>
      <c r="B2169" s="3" t="s">
        <v>769</v>
      </c>
      <c r="C2169" s="3" t="s">
        <v>56</v>
      </c>
    </row>
    <row r="2170" spans="1:3" x14ac:dyDescent="0.2">
      <c r="A2170" s="3" t="s">
        <v>752</v>
      </c>
      <c r="B2170" s="3" t="s">
        <v>770</v>
      </c>
      <c r="C2170" s="3" t="s">
        <v>56</v>
      </c>
    </row>
    <row r="2171" spans="1:3" x14ac:dyDescent="0.2">
      <c r="A2171" s="3" t="s">
        <v>752</v>
      </c>
      <c r="B2171" s="3" t="s">
        <v>771</v>
      </c>
      <c r="C2171" s="3" t="s">
        <v>56</v>
      </c>
    </row>
    <row r="2172" spans="1:3" x14ac:dyDescent="0.2">
      <c r="A2172" s="3" t="s">
        <v>752</v>
      </c>
      <c r="B2172" s="3" t="s">
        <v>753</v>
      </c>
      <c r="C2172" s="3" t="s">
        <v>57</v>
      </c>
    </row>
    <row r="2173" spans="1:3" x14ac:dyDescent="0.2">
      <c r="A2173" s="3" t="s">
        <v>752</v>
      </c>
      <c r="B2173" s="3" t="s">
        <v>754</v>
      </c>
      <c r="C2173" s="3" t="s">
        <v>57</v>
      </c>
    </row>
    <row r="2174" spans="1:3" x14ac:dyDescent="0.2">
      <c r="A2174" s="3" t="s">
        <v>752</v>
      </c>
      <c r="B2174" s="3" t="s">
        <v>755</v>
      </c>
      <c r="C2174" s="3" t="s">
        <v>57</v>
      </c>
    </row>
    <row r="2175" spans="1:3" x14ac:dyDescent="0.2">
      <c r="A2175" s="3" t="s">
        <v>752</v>
      </c>
      <c r="B2175" s="3" t="s">
        <v>757</v>
      </c>
      <c r="C2175" s="3" t="s">
        <v>57</v>
      </c>
    </row>
    <row r="2176" spans="1:3" x14ac:dyDescent="0.2">
      <c r="A2176" s="3" t="s">
        <v>752</v>
      </c>
      <c r="B2176" s="3" t="s">
        <v>758</v>
      </c>
      <c r="C2176" s="3" t="s">
        <v>57</v>
      </c>
    </row>
    <row r="2177" spans="1:3" x14ac:dyDescent="0.2">
      <c r="A2177" s="3" t="s">
        <v>752</v>
      </c>
      <c r="B2177" s="3" t="s">
        <v>759</v>
      </c>
      <c r="C2177" s="3" t="s">
        <v>57</v>
      </c>
    </row>
    <row r="2178" spans="1:3" x14ac:dyDescent="0.2">
      <c r="A2178" s="3" t="s">
        <v>752</v>
      </c>
      <c r="B2178" s="3" t="s">
        <v>760</v>
      </c>
      <c r="C2178" s="3" t="s">
        <v>57</v>
      </c>
    </row>
    <row r="2179" spans="1:3" x14ac:dyDescent="0.2">
      <c r="A2179" s="3" t="s">
        <v>752</v>
      </c>
      <c r="B2179" s="3" t="s">
        <v>761</v>
      </c>
      <c r="C2179" s="3" t="s">
        <v>57</v>
      </c>
    </row>
    <row r="2180" spans="1:3" x14ac:dyDescent="0.2">
      <c r="A2180" s="3" t="s">
        <v>752</v>
      </c>
      <c r="B2180" s="3" t="s">
        <v>762</v>
      </c>
      <c r="C2180" s="3" t="s">
        <v>57</v>
      </c>
    </row>
    <row r="2181" spans="1:3" x14ac:dyDescent="0.2">
      <c r="A2181" s="3" t="s">
        <v>752</v>
      </c>
      <c r="B2181" s="3" t="s">
        <v>764</v>
      </c>
      <c r="C2181" s="3" t="s">
        <v>57</v>
      </c>
    </row>
    <row r="2182" spans="1:3" x14ac:dyDescent="0.2">
      <c r="A2182" s="3" t="s">
        <v>752</v>
      </c>
      <c r="B2182" s="3" t="s">
        <v>765</v>
      </c>
      <c r="C2182" s="3" t="s">
        <v>57</v>
      </c>
    </row>
    <row r="2183" spans="1:3" x14ac:dyDescent="0.2">
      <c r="A2183" s="3" t="s">
        <v>752</v>
      </c>
      <c r="B2183" s="3" t="s">
        <v>766</v>
      </c>
      <c r="C2183" s="3" t="s">
        <v>57</v>
      </c>
    </row>
    <row r="2184" spans="1:3" x14ac:dyDescent="0.2">
      <c r="A2184" s="3" t="s">
        <v>752</v>
      </c>
      <c r="B2184" s="3" t="s">
        <v>767</v>
      </c>
      <c r="C2184" s="3" t="s">
        <v>57</v>
      </c>
    </row>
    <row r="2185" spans="1:3" x14ac:dyDescent="0.2">
      <c r="A2185" s="3" t="s">
        <v>752</v>
      </c>
      <c r="B2185" s="3" t="s">
        <v>768</v>
      </c>
      <c r="C2185" s="3" t="s">
        <v>57</v>
      </c>
    </row>
    <row r="2186" spans="1:3" x14ac:dyDescent="0.2">
      <c r="A2186" s="3" t="s">
        <v>752</v>
      </c>
      <c r="B2186" s="3" t="s">
        <v>769</v>
      </c>
      <c r="C2186" s="3" t="s">
        <v>57</v>
      </c>
    </row>
    <row r="2187" spans="1:3" x14ac:dyDescent="0.2">
      <c r="A2187" s="3" t="s">
        <v>752</v>
      </c>
      <c r="B2187" s="3" t="s">
        <v>770</v>
      </c>
      <c r="C2187" s="3" t="s">
        <v>57</v>
      </c>
    </row>
    <row r="2188" spans="1:3" x14ac:dyDescent="0.2">
      <c r="A2188" s="3" t="s">
        <v>752</v>
      </c>
      <c r="B2188" s="3" t="s">
        <v>771</v>
      </c>
      <c r="C2188" s="3" t="s">
        <v>57</v>
      </c>
    </row>
    <row r="2189" spans="1:3" x14ac:dyDescent="0.2">
      <c r="A2189" s="3" t="s">
        <v>752</v>
      </c>
      <c r="B2189" s="3" t="s">
        <v>772</v>
      </c>
      <c r="C2189" s="3" t="s">
        <v>169</v>
      </c>
    </row>
    <row r="2190" spans="1:3" x14ac:dyDescent="0.2">
      <c r="A2190" s="3" t="s">
        <v>752</v>
      </c>
      <c r="B2190" s="3" t="s">
        <v>773</v>
      </c>
      <c r="C2190" s="3" t="s">
        <v>169</v>
      </c>
    </row>
    <row r="2191" spans="1:3" x14ac:dyDescent="0.2">
      <c r="A2191" s="3" t="s">
        <v>774</v>
      </c>
      <c r="B2191" s="3" t="s">
        <v>775</v>
      </c>
      <c r="C2191" s="3" t="s">
        <v>53</v>
      </c>
    </row>
    <row r="2192" spans="1:3" x14ac:dyDescent="0.2">
      <c r="A2192" s="3" t="s">
        <v>774</v>
      </c>
      <c r="B2192" s="3" t="s">
        <v>775</v>
      </c>
      <c r="C2192" s="3" t="s">
        <v>54</v>
      </c>
    </row>
    <row r="2193" spans="1:3" x14ac:dyDescent="0.2">
      <c r="A2193" s="3" t="s">
        <v>774</v>
      </c>
      <c r="B2193" s="3" t="s">
        <v>776</v>
      </c>
      <c r="C2193" s="3" t="s">
        <v>169</v>
      </c>
    </row>
    <row r="2194" spans="1:3" x14ac:dyDescent="0.2">
      <c r="A2194" s="3" t="s">
        <v>774</v>
      </c>
      <c r="B2194" s="3" t="s">
        <v>777</v>
      </c>
      <c r="C2194" s="3" t="s">
        <v>169</v>
      </c>
    </row>
    <row r="2195" spans="1:3" x14ac:dyDescent="0.2">
      <c r="A2195" s="3" t="s">
        <v>778</v>
      </c>
      <c r="B2195" s="3" t="s">
        <v>757</v>
      </c>
      <c r="C2195" s="3" t="s">
        <v>53</v>
      </c>
    </row>
    <row r="2196" spans="1:3" x14ac:dyDescent="0.2">
      <c r="A2196" s="3" t="s">
        <v>778</v>
      </c>
      <c r="B2196" s="3" t="s">
        <v>779</v>
      </c>
      <c r="C2196" s="3" t="s">
        <v>53</v>
      </c>
    </row>
    <row r="2197" spans="1:3" x14ac:dyDescent="0.2">
      <c r="A2197" s="3" t="s">
        <v>778</v>
      </c>
      <c r="B2197" s="3" t="s">
        <v>758</v>
      </c>
      <c r="C2197" s="3" t="s">
        <v>53</v>
      </c>
    </row>
    <row r="2198" spans="1:3" x14ac:dyDescent="0.2">
      <c r="A2198" s="3" t="s">
        <v>778</v>
      </c>
      <c r="B2198" s="3" t="s">
        <v>760</v>
      </c>
      <c r="C2198" s="3" t="s">
        <v>53</v>
      </c>
    </row>
    <row r="2199" spans="1:3" x14ac:dyDescent="0.2">
      <c r="A2199" s="3" t="s">
        <v>778</v>
      </c>
      <c r="B2199" s="3" t="s">
        <v>757</v>
      </c>
      <c r="C2199" s="3" t="s">
        <v>54</v>
      </c>
    </row>
    <row r="2200" spans="1:3" x14ac:dyDescent="0.2">
      <c r="A2200" s="3" t="s">
        <v>778</v>
      </c>
      <c r="B2200" s="3" t="s">
        <v>779</v>
      </c>
      <c r="C2200" s="3" t="s">
        <v>54</v>
      </c>
    </row>
    <row r="2201" spans="1:3" x14ac:dyDescent="0.2">
      <c r="A2201" s="3" t="s">
        <v>778</v>
      </c>
      <c r="B2201" s="3" t="s">
        <v>758</v>
      </c>
      <c r="C2201" s="3" t="s">
        <v>54</v>
      </c>
    </row>
    <row r="2202" spans="1:3" x14ac:dyDescent="0.2">
      <c r="A2202" s="3" t="s">
        <v>778</v>
      </c>
      <c r="B2202" s="3" t="s">
        <v>760</v>
      </c>
      <c r="C2202" s="3" t="s">
        <v>54</v>
      </c>
    </row>
    <row r="2203" spans="1:3" x14ac:dyDescent="0.2">
      <c r="A2203" s="3" t="s">
        <v>778</v>
      </c>
      <c r="B2203" s="3" t="s">
        <v>757</v>
      </c>
      <c r="C2203" s="3" t="s">
        <v>55</v>
      </c>
    </row>
    <row r="2204" spans="1:3" x14ac:dyDescent="0.2">
      <c r="A2204" s="3" t="s">
        <v>778</v>
      </c>
      <c r="B2204" s="3" t="s">
        <v>779</v>
      </c>
      <c r="C2204" s="3" t="s">
        <v>55</v>
      </c>
    </row>
    <row r="2205" spans="1:3" x14ac:dyDescent="0.2">
      <c r="A2205" s="3" t="s">
        <v>778</v>
      </c>
      <c r="B2205" s="3" t="s">
        <v>758</v>
      </c>
      <c r="C2205" s="3" t="s">
        <v>55</v>
      </c>
    </row>
    <row r="2206" spans="1:3" x14ac:dyDescent="0.2">
      <c r="A2206" s="3" t="s">
        <v>778</v>
      </c>
      <c r="B2206" s="3" t="s">
        <v>760</v>
      </c>
      <c r="C2206" s="3" t="s">
        <v>55</v>
      </c>
    </row>
    <row r="2207" spans="1:3" x14ac:dyDescent="0.2">
      <c r="A2207" s="3" t="s">
        <v>778</v>
      </c>
      <c r="B2207" s="3" t="s">
        <v>757</v>
      </c>
      <c r="C2207" s="3" t="s">
        <v>56</v>
      </c>
    </row>
    <row r="2208" spans="1:3" x14ac:dyDescent="0.2">
      <c r="A2208" s="3" t="s">
        <v>778</v>
      </c>
      <c r="B2208" s="3" t="s">
        <v>779</v>
      </c>
      <c r="C2208" s="3" t="s">
        <v>56</v>
      </c>
    </row>
    <row r="2209" spans="1:3" x14ac:dyDescent="0.2">
      <c r="A2209" s="3" t="s">
        <v>778</v>
      </c>
      <c r="B2209" s="3" t="s">
        <v>758</v>
      </c>
      <c r="C2209" s="3" t="s">
        <v>56</v>
      </c>
    </row>
    <row r="2210" spans="1:3" x14ac:dyDescent="0.2">
      <c r="A2210" s="3" t="s">
        <v>778</v>
      </c>
      <c r="B2210" s="3" t="s">
        <v>760</v>
      </c>
      <c r="C2210" s="3" t="s">
        <v>56</v>
      </c>
    </row>
    <row r="2211" spans="1:3" x14ac:dyDescent="0.2">
      <c r="A2211" s="3" t="s">
        <v>778</v>
      </c>
      <c r="B2211" s="3" t="s">
        <v>757</v>
      </c>
      <c r="C2211" s="3" t="s">
        <v>57</v>
      </c>
    </row>
    <row r="2212" spans="1:3" x14ac:dyDescent="0.2">
      <c r="A2212" s="3" t="s">
        <v>778</v>
      </c>
      <c r="B2212" s="3" t="s">
        <v>779</v>
      </c>
      <c r="C2212" s="3" t="s">
        <v>57</v>
      </c>
    </row>
    <row r="2213" spans="1:3" x14ac:dyDescent="0.2">
      <c r="A2213" s="3" t="s">
        <v>778</v>
      </c>
      <c r="B2213" s="3" t="s">
        <v>758</v>
      </c>
      <c r="C2213" s="3" t="s">
        <v>57</v>
      </c>
    </row>
    <row r="2214" spans="1:3" x14ac:dyDescent="0.2">
      <c r="A2214" s="3" t="s">
        <v>778</v>
      </c>
      <c r="B2214" s="3" t="s">
        <v>760</v>
      </c>
      <c r="C2214" s="3" t="s">
        <v>57</v>
      </c>
    </row>
    <row r="2215" spans="1:3" x14ac:dyDescent="0.2">
      <c r="A2215" s="3" t="s">
        <v>778</v>
      </c>
      <c r="B2215" s="3" t="s">
        <v>780</v>
      </c>
      <c r="C2215" s="3" t="s">
        <v>169</v>
      </c>
    </row>
    <row r="2216" spans="1:3" x14ac:dyDescent="0.2">
      <c r="A2216" s="3" t="s">
        <v>778</v>
      </c>
      <c r="B2216" s="3" t="s">
        <v>781</v>
      </c>
      <c r="C2216" s="3" t="s">
        <v>169</v>
      </c>
    </row>
    <row r="2217" spans="1:3" x14ac:dyDescent="0.2">
      <c r="A2217" s="3" t="s">
        <v>778</v>
      </c>
      <c r="B2217" s="3" t="s">
        <v>782</v>
      </c>
      <c r="C2217" s="3" t="s">
        <v>169</v>
      </c>
    </row>
    <row r="2218" spans="1:3" x14ac:dyDescent="0.2">
      <c r="A2218" s="3" t="s">
        <v>778</v>
      </c>
      <c r="B2218" s="3" t="s">
        <v>783</v>
      </c>
      <c r="C2218" s="3" t="s">
        <v>169</v>
      </c>
    </row>
    <row r="2219" spans="1:3" x14ac:dyDescent="0.2">
      <c r="A2219" s="3" t="s">
        <v>778</v>
      </c>
      <c r="B2219" s="3" t="s">
        <v>784</v>
      </c>
      <c r="C2219" s="3" t="s">
        <v>169</v>
      </c>
    </row>
    <row r="2220" spans="1:3" x14ac:dyDescent="0.2">
      <c r="A2220" s="3" t="s">
        <v>778</v>
      </c>
      <c r="B2220" s="3" t="s">
        <v>785</v>
      </c>
      <c r="C2220" s="3" t="s">
        <v>169</v>
      </c>
    </row>
    <row r="2221" spans="1:3" x14ac:dyDescent="0.2">
      <c r="A2221" s="3" t="s">
        <v>778</v>
      </c>
      <c r="B2221" s="3" t="s">
        <v>786</v>
      </c>
      <c r="C2221" s="3" t="s">
        <v>169</v>
      </c>
    </row>
    <row r="2222" spans="1:3" x14ac:dyDescent="0.2">
      <c r="A2222" s="3" t="s">
        <v>778</v>
      </c>
      <c r="B2222" s="3" t="s">
        <v>787</v>
      </c>
      <c r="C2222" s="3" t="s">
        <v>169</v>
      </c>
    </row>
    <row r="2223" spans="1:3" x14ac:dyDescent="0.2">
      <c r="A2223" s="3" t="s">
        <v>778</v>
      </c>
      <c r="B2223" s="3" t="s">
        <v>788</v>
      </c>
      <c r="C2223" s="3" t="s">
        <v>169</v>
      </c>
    </row>
    <row r="2224" spans="1:3" x14ac:dyDescent="0.2">
      <c r="A2224" s="3" t="s">
        <v>778</v>
      </c>
      <c r="B2224" s="3" t="s">
        <v>789</v>
      </c>
      <c r="C2224" s="3" t="s">
        <v>169</v>
      </c>
    </row>
    <row r="2225" spans="1:3" x14ac:dyDescent="0.2">
      <c r="A2225" s="3" t="s">
        <v>778</v>
      </c>
      <c r="B2225" s="3" t="s">
        <v>790</v>
      </c>
      <c r="C2225" s="3" t="s">
        <v>169</v>
      </c>
    </row>
    <row r="2226" spans="1:3" x14ac:dyDescent="0.2">
      <c r="A2226" s="3" t="s">
        <v>778</v>
      </c>
      <c r="B2226" s="3" t="s">
        <v>791</v>
      </c>
      <c r="C2226" s="3" t="s">
        <v>169</v>
      </c>
    </row>
    <row r="2227" spans="1:3" x14ac:dyDescent="0.2">
      <c r="A2227" s="3" t="s">
        <v>792</v>
      </c>
      <c r="B2227" s="3" t="s">
        <v>758</v>
      </c>
      <c r="C2227" s="3" t="s">
        <v>53</v>
      </c>
    </row>
    <row r="2228" spans="1:3" x14ac:dyDescent="0.2">
      <c r="A2228" s="3" t="s">
        <v>792</v>
      </c>
      <c r="B2228" s="3" t="s">
        <v>758</v>
      </c>
      <c r="C2228" s="3" t="s">
        <v>54</v>
      </c>
    </row>
    <row r="2229" spans="1:3" x14ac:dyDescent="0.2">
      <c r="A2229" s="3" t="s">
        <v>792</v>
      </c>
      <c r="B2229" s="3" t="s">
        <v>758</v>
      </c>
      <c r="C2229" s="3" t="s">
        <v>55</v>
      </c>
    </row>
    <row r="2230" spans="1:3" x14ac:dyDescent="0.2">
      <c r="A2230" s="3" t="s">
        <v>792</v>
      </c>
      <c r="B2230" s="3" t="s">
        <v>758</v>
      </c>
      <c r="C2230" s="3" t="s">
        <v>56</v>
      </c>
    </row>
    <row r="2231" spans="1:3" x14ac:dyDescent="0.2">
      <c r="A2231" s="3" t="s">
        <v>792</v>
      </c>
      <c r="B2231" s="3" t="s">
        <v>758</v>
      </c>
      <c r="C2231" s="3" t="s">
        <v>57</v>
      </c>
    </row>
    <row r="2232" spans="1:3" x14ac:dyDescent="0.2">
      <c r="A2232" s="3" t="s">
        <v>793</v>
      </c>
      <c r="B2232" s="3" t="s">
        <v>794</v>
      </c>
      <c r="C2232" s="3" t="s">
        <v>169</v>
      </c>
    </row>
    <row r="2233" spans="1:3" x14ac:dyDescent="0.2">
      <c r="A2233" s="3" t="s">
        <v>795</v>
      </c>
      <c r="B2233" s="3" t="s">
        <v>761</v>
      </c>
      <c r="C2233" s="3" t="s">
        <v>53</v>
      </c>
    </row>
    <row r="2234" spans="1:3" x14ac:dyDescent="0.2">
      <c r="A2234" s="3" t="s">
        <v>795</v>
      </c>
      <c r="B2234" s="3" t="s">
        <v>762</v>
      </c>
      <c r="C2234" s="3" t="s">
        <v>53</v>
      </c>
    </row>
    <row r="2235" spans="1:3" x14ac:dyDescent="0.2">
      <c r="A2235" s="3" t="s">
        <v>795</v>
      </c>
      <c r="B2235" s="3" t="s">
        <v>765</v>
      </c>
      <c r="C2235" s="3" t="s">
        <v>53</v>
      </c>
    </row>
    <row r="2236" spans="1:3" x14ac:dyDescent="0.2">
      <c r="A2236" s="3" t="s">
        <v>795</v>
      </c>
      <c r="B2236" s="3" t="s">
        <v>761</v>
      </c>
      <c r="C2236" s="3" t="s">
        <v>54</v>
      </c>
    </row>
    <row r="2237" spans="1:3" x14ac:dyDescent="0.2">
      <c r="A2237" s="3" t="s">
        <v>795</v>
      </c>
      <c r="B2237" s="3" t="s">
        <v>762</v>
      </c>
      <c r="C2237" s="3" t="s">
        <v>54</v>
      </c>
    </row>
    <row r="2238" spans="1:3" x14ac:dyDescent="0.2">
      <c r="A2238" s="3" t="s">
        <v>795</v>
      </c>
      <c r="B2238" s="3" t="s">
        <v>765</v>
      </c>
      <c r="C2238" s="3" t="s">
        <v>54</v>
      </c>
    </row>
    <row r="2239" spans="1:3" x14ac:dyDescent="0.2">
      <c r="A2239" s="3" t="s">
        <v>795</v>
      </c>
      <c r="B2239" s="3" t="s">
        <v>761</v>
      </c>
      <c r="C2239" s="3" t="s">
        <v>55</v>
      </c>
    </row>
    <row r="2240" spans="1:3" x14ac:dyDescent="0.2">
      <c r="A2240" s="3" t="s">
        <v>795</v>
      </c>
      <c r="B2240" s="3" t="s">
        <v>762</v>
      </c>
      <c r="C2240" s="3" t="s">
        <v>55</v>
      </c>
    </row>
    <row r="2241" spans="1:3" x14ac:dyDescent="0.2">
      <c r="A2241" s="3" t="s">
        <v>795</v>
      </c>
      <c r="B2241" s="3" t="s">
        <v>765</v>
      </c>
      <c r="C2241" s="3" t="s">
        <v>55</v>
      </c>
    </row>
    <row r="2242" spans="1:3" x14ac:dyDescent="0.2">
      <c r="A2242" s="3" t="s">
        <v>795</v>
      </c>
      <c r="B2242" s="3" t="s">
        <v>761</v>
      </c>
      <c r="C2242" s="3" t="s">
        <v>56</v>
      </c>
    </row>
    <row r="2243" spans="1:3" x14ac:dyDescent="0.2">
      <c r="A2243" s="3" t="s">
        <v>795</v>
      </c>
      <c r="B2243" s="3" t="s">
        <v>762</v>
      </c>
      <c r="C2243" s="3" t="s">
        <v>56</v>
      </c>
    </row>
    <row r="2244" spans="1:3" x14ac:dyDescent="0.2">
      <c r="A2244" s="3" t="s">
        <v>795</v>
      </c>
      <c r="B2244" s="3" t="s">
        <v>765</v>
      </c>
      <c r="C2244" s="3" t="s">
        <v>56</v>
      </c>
    </row>
    <row r="2245" spans="1:3" x14ac:dyDescent="0.2">
      <c r="A2245" s="3" t="s">
        <v>795</v>
      </c>
      <c r="B2245" s="3" t="s">
        <v>761</v>
      </c>
      <c r="C2245" s="3" t="s">
        <v>57</v>
      </c>
    </row>
    <row r="2246" spans="1:3" x14ac:dyDescent="0.2">
      <c r="A2246" s="3" t="s">
        <v>795</v>
      </c>
      <c r="B2246" s="3" t="s">
        <v>762</v>
      </c>
      <c r="C2246" s="3" t="s">
        <v>57</v>
      </c>
    </row>
    <row r="2247" spans="1:3" x14ac:dyDescent="0.2">
      <c r="A2247" s="3" t="s">
        <v>795</v>
      </c>
      <c r="B2247" s="3" t="s">
        <v>765</v>
      </c>
      <c r="C2247" s="3" t="s">
        <v>57</v>
      </c>
    </row>
    <row r="2248" spans="1:3" x14ac:dyDescent="0.2">
      <c r="A2248" s="3" t="s">
        <v>795</v>
      </c>
      <c r="B2248" s="3" t="s">
        <v>772</v>
      </c>
      <c r="C2248" s="3" t="s">
        <v>169</v>
      </c>
    </row>
    <row r="2249" spans="1:3" x14ac:dyDescent="0.2">
      <c r="A2249" s="3" t="s">
        <v>795</v>
      </c>
      <c r="B2249" s="3" t="s">
        <v>796</v>
      </c>
      <c r="C2249" s="3" t="s">
        <v>169</v>
      </c>
    </row>
    <row r="2250" spans="1:3" x14ac:dyDescent="0.2">
      <c r="A2250" s="3" t="s">
        <v>795</v>
      </c>
      <c r="B2250" s="3" t="s">
        <v>797</v>
      </c>
      <c r="C2250" s="3" t="s">
        <v>169</v>
      </c>
    </row>
    <row r="2251" spans="1:3" x14ac:dyDescent="0.2">
      <c r="A2251" s="3" t="s">
        <v>795</v>
      </c>
      <c r="B2251" s="3" t="s">
        <v>798</v>
      </c>
      <c r="C2251" s="3" t="s">
        <v>169</v>
      </c>
    </row>
    <row r="2252" spans="1:3" x14ac:dyDescent="0.2">
      <c r="A2252" s="3" t="s">
        <v>795</v>
      </c>
      <c r="B2252" s="3" t="s">
        <v>799</v>
      </c>
      <c r="C2252" s="3" t="s">
        <v>169</v>
      </c>
    </row>
    <row r="2253" spans="1:3" x14ac:dyDescent="0.2">
      <c r="A2253" s="3" t="s">
        <v>795</v>
      </c>
      <c r="B2253" s="3" t="s">
        <v>800</v>
      </c>
      <c r="C2253" s="3" t="s">
        <v>169</v>
      </c>
    </row>
    <row r="2254" spans="1:3" x14ac:dyDescent="0.2">
      <c r="A2254" s="3" t="s">
        <v>795</v>
      </c>
      <c r="B2254" s="3" t="s">
        <v>801</v>
      </c>
      <c r="C2254" s="3" t="s">
        <v>169</v>
      </c>
    </row>
    <row r="2255" spans="1:3" x14ac:dyDescent="0.2">
      <c r="A2255" s="3" t="s">
        <v>802</v>
      </c>
      <c r="B2255" s="3" t="s">
        <v>803</v>
      </c>
      <c r="C2255" s="3" t="s">
        <v>53</v>
      </c>
    </row>
    <row r="2256" spans="1:3" x14ac:dyDescent="0.2">
      <c r="A2256" s="3" t="s">
        <v>802</v>
      </c>
      <c r="B2256" s="3" t="s">
        <v>804</v>
      </c>
      <c r="C2256" s="3" t="s">
        <v>53</v>
      </c>
    </row>
    <row r="2257" spans="1:3" x14ac:dyDescent="0.2">
      <c r="A2257" s="3" t="s">
        <v>802</v>
      </c>
      <c r="B2257" s="3" t="s">
        <v>805</v>
      </c>
      <c r="C2257" s="3" t="s">
        <v>53</v>
      </c>
    </row>
    <row r="2258" spans="1:3" x14ac:dyDescent="0.2">
      <c r="A2258" s="3" t="s">
        <v>802</v>
      </c>
      <c r="B2258" s="3" t="s">
        <v>806</v>
      </c>
      <c r="C2258" s="3" t="s">
        <v>53</v>
      </c>
    </row>
    <row r="2259" spans="1:3" x14ac:dyDescent="0.2">
      <c r="A2259" s="3" t="s">
        <v>802</v>
      </c>
      <c r="B2259" s="3" t="s">
        <v>807</v>
      </c>
      <c r="C2259" s="3" t="s">
        <v>54</v>
      </c>
    </row>
    <row r="2260" spans="1:3" x14ac:dyDescent="0.2">
      <c r="A2260" s="3" t="s">
        <v>802</v>
      </c>
      <c r="B2260" s="3" t="s">
        <v>808</v>
      </c>
      <c r="C2260" s="3" t="s">
        <v>54</v>
      </c>
    </row>
    <row r="2261" spans="1:3" x14ac:dyDescent="0.2">
      <c r="A2261" s="3" t="s">
        <v>802</v>
      </c>
      <c r="B2261" s="3" t="s">
        <v>809</v>
      </c>
      <c r="C2261" s="3" t="s">
        <v>54</v>
      </c>
    </row>
    <row r="2262" spans="1:3" x14ac:dyDescent="0.2">
      <c r="A2262" s="3" t="s">
        <v>802</v>
      </c>
      <c r="B2262" s="3" t="s">
        <v>803</v>
      </c>
      <c r="C2262" s="3" t="s">
        <v>54</v>
      </c>
    </row>
    <row r="2263" spans="1:3" x14ac:dyDescent="0.2">
      <c r="A2263" s="3" t="s">
        <v>802</v>
      </c>
      <c r="B2263" s="3" t="s">
        <v>804</v>
      </c>
      <c r="C2263" s="3" t="s">
        <v>54</v>
      </c>
    </row>
    <row r="2264" spans="1:3" x14ac:dyDescent="0.2">
      <c r="A2264" s="3" t="s">
        <v>802</v>
      </c>
      <c r="B2264" s="3" t="s">
        <v>805</v>
      </c>
      <c r="C2264" s="3" t="s">
        <v>54</v>
      </c>
    </row>
    <row r="2265" spans="1:3" x14ac:dyDescent="0.2">
      <c r="A2265" s="3" t="s">
        <v>802</v>
      </c>
      <c r="B2265" s="3" t="s">
        <v>806</v>
      </c>
      <c r="C2265" s="3" t="s">
        <v>54</v>
      </c>
    </row>
    <row r="2266" spans="1:3" x14ac:dyDescent="0.2">
      <c r="A2266" s="3" t="s">
        <v>802</v>
      </c>
      <c r="B2266" s="3" t="s">
        <v>807</v>
      </c>
      <c r="C2266" s="3" t="s">
        <v>55</v>
      </c>
    </row>
    <row r="2267" spans="1:3" x14ac:dyDescent="0.2">
      <c r="A2267" s="3" t="s">
        <v>802</v>
      </c>
      <c r="B2267" s="3" t="s">
        <v>808</v>
      </c>
      <c r="C2267" s="3" t="s">
        <v>55</v>
      </c>
    </row>
    <row r="2268" spans="1:3" x14ac:dyDescent="0.2">
      <c r="A2268" s="3" t="s">
        <v>802</v>
      </c>
      <c r="B2268" s="3" t="s">
        <v>807</v>
      </c>
      <c r="C2268" s="3" t="s">
        <v>56</v>
      </c>
    </row>
    <row r="2269" spans="1:3" x14ac:dyDescent="0.2">
      <c r="A2269" s="3" t="s">
        <v>802</v>
      </c>
      <c r="B2269" s="3" t="s">
        <v>808</v>
      </c>
      <c r="C2269" s="3" t="s">
        <v>56</v>
      </c>
    </row>
    <row r="2270" spans="1:3" x14ac:dyDescent="0.2">
      <c r="A2270" s="3" t="s">
        <v>802</v>
      </c>
      <c r="B2270" s="3" t="s">
        <v>805</v>
      </c>
      <c r="C2270" s="3" t="s">
        <v>57</v>
      </c>
    </row>
    <row r="2271" spans="1:3" x14ac:dyDescent="0.2">
      <c r="A2271" s="3" t="s">
        <v>802</v>
      </c>
      <c r="B2271" s="3" t="s">
        <v>806</v>
      </c>
      <c r="C2271" s="3" t="s">
        <v>57</v>
      </c>
    </row>
    <row r="2272" spans="1:3" x14ac:dyDescent="0.2">
      <c r="A2272" s="3" t="s">
        <v>802</v>
      </c>
      <c r="B2272" s="3" t="s">
        <v>810</v>
      </c>
      <c r="C2272" s="3" t="s">
        <v>169</v>
      </c>
    </row>
    <row r="2273" spans="1:3" x14ac:dyDescent="0.2">
      <c r="A2273" s="3" t="s">
        <v>802</v>
      </c>
      <c r="B2273" s="3" t="s">
        <v>811</v>
      </c>
      <c r="C2273" s="3" t="s">
        <v>169</v>
      </c>
    </row>
    <row r="2274" spans="1:3" x14ac:dyDescent="0.2">
      <c r="A2274" s="3" t="s">
        <v>812</v>
      </c>
      <c r="B2274" s="3" t="s">
        <v>813</v>
      </c>
      <c r="C2274" s="3" t="s">
        <v>53</v>
      </c>
    </row>
    <row r="2275" spans="1:3" x14ac:dyDescent="0.2">
      <c r="A2275" s="3" t="s">
        <v>812</v>
      </c>
      <c r="B2275" s="3" t="s">
        <v>814</v>
      </c>
      <c r="C2275" s="3" t="s">
        <v>53</v>
      </c>
    </row>
    <row r="2276" spans="1:3" x14ac:dyDescent="0.2">
      <c r="A2276" s="3" t="s">
        <v>812</v>
      </c>
      <c r="B2276" s="3" t="s">
        <v>779</v>
      </c>
      <c r="C2276" s="3" t="s">
        <v>53</v>
      </c>
    </row>
    <row r="2277" spans="1:3" x14ac:dyDescent="0.2">
      <c r="A2277" s="3" t="s">
        <v>812</v>
      </c>
      <c r="B2277" s="3" t="s">
        <v>815</v>
      </c>
      <c r="C2277" s="3" t="s">
        <v>53</v>
      </c>
    </row>
    <row r="2278" spans="1:3" x14ac:dyDescent="0.2">
      <c r="A2278" s="3" t="s">
        <v>812</v>
      </c>
      <c r="B2278" s="3" t="s">
        <v>813</v>
      </c>
      <c r="C2278" s="3" t="s">
        <v>54</v>
      </c>
    </row>
    <row r="2279" spans="1:3" x14ac:dyDescent="0.2">
      <c r="A2279" s="3" t="s">
        <v>812</v>
      </c>
      <c r="B2279" s="3" t="s">
        <v>814</v>
      </c>
      <c r="C2279" s="3" t="s">
        <v>54</v>
      </c>
    </row>
    <row r="2280" spans="1:3" x14ac:dyDescent="0.2">
      <c r="A2280" s="3" t="s">
        <v>812</v>
      </c>
      <c r="B2280" s="3" t="s">
        <v>779</v>
      </c>
      <c r="C2280" s="3" t="s">
        <v>54</v>
      </c>
    </row>
    <row r="2281" spans="1:3" x14ac:dyDescent="0.2">
      <c r="A2281" s="3" t="s">
        <v>812</v>
      </c>
      <c r="B2281" s="3" t="s">
        <v>813</v>
      </c>
      <c r="C2281" s="3" t="s">
        <v>55</v>
      </c>
    </row>
    <row r="2282" spans="1:3" x14ac:dyDescent="0.2">
      <c r="A2282" s="3" t="s">
        <v>812</v>
      </c>
      <c r="B2282" s="3" t="s">
        <v>814</v>
      </c>
      <c r="C2282" s="3" t="s">
        <v>55</v>
      </c>
    </row>
    <row r="2283" spans="1:3" x14ac:dyDescent="0.2">
      <c r="A2283" s="3" t="s">
        <v>812</v>
      </c>
      <c r="B2283" s="3" t="s">
        <v>779</v>
      </c>
      <c r="C2283" s="3" t="s">
        <v>55</v>
      </c>
    </row>
    <row r="2284" spans="1:3" x14ac:dyDescent="0.2">
      <c r="A2284" s="3" t="s">
        <v>812</v>
      </c>
      <c r="B2284" s="3" t="s">
        <v>813</v>
      </c>
      <c r="C2284" s="3" t="s">
        <v>56</v>
      </c>
    </row>
    <row r="2285" spans="1:3" x14ac:dyDescent="0.2">
      <c r="A2285" s="3" t="s">
        <v>812</v>
      </c>
      <c r="B2285" s="3" t="s">
        <v>814</v>
      </c>
      <c r="C2285" s="3" t="s">
        <v>56</v>
      </c>
    </row>
    <row r="2286" spans="1:3" x14ac:dyDescent="0.2">
      <c r="A2286" s="3" t="s">
        <v>812</v>
      </c>
      <c r="B2286" s="3" t="s">
        <v>779</v>
      </c>
      <c r="C2286" s="3" t="s">
        <v>56</v>
      </c>
    </row>
    <row r="2287" spans="1:3" x14ac:dyDescent="0.2">
      <c r="A2287" s="3" t="s">
        <v>812</v>
      </c>
      <c r="B2287" s="3" t="s">
        <v>813</v>
      </c>
      <c r="C2287" s="3" t="s">
        <v>57</v>
      </c>
    </row>
    <row r="2288" spans="1:3" x14ac:dyDescent="0.2">
      <c r="A2288" s="3" t="s">
        <v>812</v>
      </c>
      <c r="B2288" s="3" t="s">
        <v>814</v>
      </c>
      <c r="C2288" s="3" t="s">
        <v>57</v>
      </c>
    </row>
    <row r="2289" spans="1:3" x14ac:dyDescent="0.2">
      <c r="A2289" s="3" t="s">
        <v>812</v>
      </c>
      <c r="B2289" s="3" t="s">
        <v>779</v>
      </c>
      <c r="C2289" s="3" t="s">
        <v>57</v>
      </c>
    </row>
    <row r="2290" spans="1:3" x14ac:dyDescent="0.2">
      <c r="A2290" s="3" t="s">
        <v>812</v>
      </c>
      <c r="B2290" s="3" t="s">
        <v>816</v>
      </c>
      <c r="C2290" s="3" t="s">
        <v>169</v>
      </c>
    </row>
    <row r="2291" spans="1:3" x14ac:dyDescent="0.2">
      <c r="A2291" s="3" t="s">
        <v>817</v>
      </c>
      <c r="B2291" s="3" t="s">
        <v>818</v>
      </c>
      <c r="C2291" s="3" t="s">
        <v>53</v>
      </c>
    </row>
    <row r="2292" spans="1:3" x14ac:dyDescent="0.2">
      <c r="A2292" s="3" t="s">
        <v>817</v>
      </c>
      <c r="B2292" s="3" t="s">
        <v>819</v>
      </c>
      <c r="C2292" s="3" t="s">
        <v>54</v>
      </c>
    </row>
    <row r="2293" spans="1:3" x14ac:dyDescent="0.2">
      <c r="A2293" s="3" t="s">
        <v>817</v>
      </c>
      <c r="B2293" s="3" t="s">
        <v>818</v>
      </c>
      <c r="C2293" s="3" t="s">
        <v>54</v>
      </c>
    </row>
    <row r="2294" spans="1:3" x14ac:dyDescent="0.2">
      <c r="A2294" s="3" t="s">
        <v>817</v>
      </c>
      <c r="B2294" s="3" t="s">
        <v>820</v>
      </c>
      <c r="C2294" s="3" t="s">
        <v>54</v>
      </c>
    </row>
    <row r="2295" spans="1:3" x14ac:dyDescent="0.2">
      <c r="A2295" s="3" t="s">
        <v>817</v>
      </c>
      <c r="B2295" s="3" t="s">
        <v>818</v>
      </c>
      <c r="C2295" s="3" t="s">
        <v>55</v>
      </c>
    </row>
    <row r="2296" spans="1:3" x14ac:dyDescent="0.2">
      <c r="A2296" s="3" t="s">
        <v>817</v>
      </c>
      <c r="B2296" s="3" t="s">
        <v>818</v>
      </c>
      <c r="C2296" s="3" t="s">
        <v>56</v>
      </c>
    </row>
    <row r="2297" spans="1:3" x14ac:dyDescent="0.2">
      <c r="A2297" s="3" t="s">
        <v>817</v>
      </c>
      <c r="B2297" s="3" t="s">
        <v>818</v>
      </c>
      <c r="C2297" s="3" t="s">
        <v>57</v>
      </c>
    </row>
    <row r="2298" spans="1:3" x14ac:dyDescent="0.2">
      <c r="A2298" s="3" t="s">
        <v>817</v>
      </c>
      <c r="B2298" s="3" t="s">
        <v>810</v>
      </c>
      <c r="C2298" s="3" t="s">
        <v>169</v>
      </c>
    </row>
    <row r="2299" spans="1:3" x14ac:dyDescent="0.2">
      <c r="A2299" s="3" t="s">
        <v>817</v>
      </c>
      <c r="B2299" s="3" t="s">
        <v>811</v>
      </c>
      <c r="C2299" s="3" t="s">
        <v>169</v>
      </c>
    </row>
    <row r="2300" spans="1:3" x14ac:dyDescent="0.2">
      <c r="A2300" s="3" t="s">
        <v>821</v>
      </c>
      <c r="B2300" s="3" t="s">
        <v>822</v>
      </c>
      <c r="C2300" s="3" t="s">
        <v>53</v>
      </c>
    </row>
    <row r="2301" spans="1:3" x14ac:dyDescent="0.2">
      <c r="A2301" s="3" t="s">
        <v>821</v>
      </c>
      <c r="B2301" s="3" t="s">
        <v>823</v>
      </c>
      <c r="C2301" s="3" t="s">
        <v>53</v>
      </c>
    </row>
    <row r="2302" spans="1:3" x14ac:dyDescent="0.2">
      <c r="A2302" s="3" t="s">
        <v>821</v>
      </c>
      <c r="B2302" s="3" t="s">
        <v>824</v>
      </c>
      <c r="C2302" s="3" t="s">
        <v>53</v>
      </c>
    </row>
    <row r="2303" spans="1:3" x14ac:dyDescent="0.2">
      <c r="A2303" s="3" t="s">
        <v>821</v>
      </c>
      <c r="B2303" s="3" t="s">
        <v>825</v>
      </c>
      <c r="C2303" s="3" t="s">
        <v>53</v>
      </c>
    </row>
    <row r="2304" spans="1:3" x14ac:dyDescent="0.2">
      <c r="A2304" s="3" t="s">
        <v>821</v>
      </c>
      <c r="B2304" s="3" t="s">
        <v>826</v>
      </c>
      <c r="C2304" s="3" t="s">
        <v>53</v>
      </c>
    </row>
    <row r="2305" spans="1:3" x14ac:dyDescent="0.2">
      <c r="A2305" s="3" t="s">
        <v>821</v>
      </c>
      <c r="B2305" s="3" t="s">
        <v>827</v>
      </c>
      <c r="C2305" s="3" t="s">
        <v>53</v>
      </c>
    </row>
    <row r="2306" spans="1:3" x14ac:dyDescent="0.2">
      <c r="A2306" s="3" t="s">
        <v>821</v>
      </c>
      <c r="B2306" s="3" t="s">
        <v>779</v>
      </c>
      <c r="C2306" s="3" t="s">
        <v>53</v>
      </c>
    </row>
    <row r="2307" spans="1:3" x14ac:dyDescent="0.2">
      <c r="A2307" s="3" t="s">
        <v>821</v>
      </c>
      <c r="B2307" s="3" t="s">
        <v>822</v>
      </c>
      <c r="C2307" s="3" t="s">
        <v>54</v>
      </c>
    </row>
    <row r="2308" spans="1:3" x14ac:dyDescent="0.2">
      <c r="A2308" s="3" t="s">
        <v>821</v>
      </c>
      <c r="B2308" s="3" t="s">
        <v>823</v>
      </c>
      <c r="C2308" s="3" t="s">
        <v>54</v>
      </c>
    </row>
    <row r="2309" spans="1:3" x14ac:dyDescent="0.2">
      <c r="A2309" s="3" t="s">
        <v>821</v>
      </c>
      <c r="B2309" s="3" t="s">
        <v>824</v>
      </c>
      <c r="C2309" s="3" t="s">
        <v>54</v>
      </c>
    </row>
    <row r="2310" spans="1:3" x14ac:dyDescent="0.2">
      <c r="A2310" s="3" t="s">
        <v>821</v>
      </c>
      <c r="B2310" s="3" t="s">
        <v>825</v>
      </c>
      <c r="C2310" s="3" t="s">
        <v>54</v>
      </c>
    </row>
    <row r="2311" spans="1:3" x14ac:dyDescent="0.2">
      <c r="A2311" s="3" t="s">
        <v>821</v>
      </c>
      <c r="B2311" s="3" t="s">
        <v>826</v>
      </c>
      <c r="C2311" s="3" t="s">
        <v>54</v>
      </c>
    </row>
    <row r="2312" spans="1:3" x14ac:dyDescent="0.2">
      <c r="A2312" s="3" t="s">
        <v>821</v>
      </c>
      <c r="B2312" s="3" t="s">
        <v>827</v>
      </c>
      <c r="C2312" s="3" t="s">
        <v>54</v>
      </c>
    </row>
    <row r="2313" spans="1:3" x14ac:dyDescent="0.2">
      <c r="A2313" s="3" t="s">
        <v>821</v>
      </c>
      <c r="B2313" s="3" t="s">
        <v>779</v>
      </c>
      <c r="C2313" s="3" t="s">
        <v>54</v>
      </c>
    </row>
    <row r="2314" spans="1:3" x14ac:dyDescent="0.2">
      <c r="A2314" s="3" t="s">
        <v>821</v>
      </c>
      <c r="B2314" s="3" t="s">
        <v>822</v>
      </c>
      <c r="C2314" s="3" t="s">
        <v>55</v>
      </c>
    </row>
    <row r="2315" spans="1:3" x14ac:dyDescent="0.2">
      <c r="A2315" s="3" t="s">
        <v>821</v>
      </c>
      <c r="B2315" s="3" t="s">
        <v>823</v>
      </c>
      <c r="C2315" s="3" t="s">
        <v>55</v>
      </c>
    </row>
    <row r="2316" spans="1:3" x14ac:dyDescent="0.2">
      <c r="A2316" s="3" t="s">
        <v>821</v>
      </c>
      <c r="B2316" s="3" t="s">
        <v>824</v>
      </c>
      <c r="C2316" s="3" t="s">
        <v>55</v>
      </c>
    </row>
    <row r="2317" spans="1:3" x14ac:dyDescent="0.2">
      <c r="A2317" s="3" t="s">
        <v>821</v>
      </c>
      <c r="B2317" s="3" t="s">
        <v>825</v>
      </c>
      <c r="C2317" s="3" t="s">
        <v>55</v>
      </c>
    </row>
    <row r="2318" spans="1:3" x14ac:dyDescent="0.2">
      <c r="A2318" s="3" t="s">
        <v>821</v>
      </c>
      <c r="B2318" s="3" t="s">
        <v>779</v>
      </c>
      <c r="C2318" s="3" t="s">
        <v>55</v>
      </c>
    </row>
    <row r="2319" spans="1:3" x14ac:dyDescent="0.2">
      <c r="A2319" s="3" t="s">
        <v>821</v>
      </c>
      <c r="B2319" s="3" t="s">
        <v>822</v>
      </c>
      <c r="C2319" s="3" t="s">
        <v>56</v>
      </c>
    </row>
    <row r="2320" spans="1:3" x14ac:dyDescent="0.2">
      <c r="A2320" s="3" t="s">
        <v>821</v>
      </c>
      <c r="B2320" s="3" t="s">
        <v>823</v>
      </c>
      <c r="C2320" s="3" t="s">
        <v>56</v>
      </c>
    </row>
    <row r="2321" spans="1:3" x14ac:dyDescent="0.2">
      <c r="A2321" s="3" t="s">
        <v>821</v>
      </c>
      <c r="B2321" s="3" t="s">
        <v>824</v>
      </c>
      <c r="C2321" s="3" t="s">
        <v>56</v>
      </c>
    </row>
    <row r="2322" spans="1:3" x14ac:dyDescent="0.2">
      <c r="A2322" s="3" t="s">
        <v>821</v>
      </c>
      <c r="B2322" s="3" t="s">
        <v>825</v>
      </c>
      <c r="C2322" s="3" t="s">
        <v>56</v>
      </c>
    </row>
    <row r="2323" spans="1:3" x14ac:dyDescent="0.2">
      <c r="A2323" s="3" t="s">
        <v>821</v>
      </c>
      <c r="B2323" s="3" t="s">
        <v>779</v>
      </c>
      <c r="C2323" s="3" t="s">
        <v>56</v>
      </c>
    </row>
    <row r="2324" spans="1:3" x14ac:dyDescent="0.2">
      <c r="A2324" s="3" t="s">
        <v>821</v>
      </c>
      <c r="B2324" s="3" t="s">
        <v>822</v>
      </c>
      <c r="C2324" s="3" t="s">
        <v>57</v>
      </c>
    </row>
    <row r="2325" spans="1:3" x14ac:dyDescent="0.2">
      <c r="A2325" s="3" t="s">
        <v>821</v>
      </c>
      <c r="B2325" s="3" t="s">
        <v>823</v>
      </c>
      <c r="C2325" s="3" t="s">
        <v>57</v>
      </c>
    </row>
    <row r="2326" spans="1:3" x14ac:dyDescent="0.2">
      <c r="A2326" s="3" t="s">
        <v>821</v>
      </c>
      <c r="B2326" s="3" t="s">
        <v>824</v>
      </c>
      <c r="C2326" s="3" t="s">
        <v>57</v>
      </c>
    </row>
    <row r="2327" spans="1:3" x14ac:dyDescent="0.2">
      <c r="A2327" s="3" t="s">
        <v>821</v>
      </c>
      <c r="B2327" s="3" t="s">
        <v>825</v>
      </c>
      <c r="C2327" s="3" t="s">
        <v>57</v>
      </c>
    </row>
    <row r="2328" spans="1:3" x14ac:dyDescent="0.2">
      <c r="A2328" s="3" t="s">
        <v>821</v>
      </c>
      <c r="B2328" s="3" t="s">
        <v>779</v>
      </c>
      <c r="C2328" s="3" t="s">
        <v>57</v>
      </c>
    </row>
    <row r="2329" spans="1:3" x14ac:dyDescent="0.2">
      <c r="A2329" s="3" t="s">
        <v>821</v>
      </c>
      <c r="B2329" s="3" t="s">
        <v>810</v>
      </c>
      <c r="C2329" s="3" t="s">
        <v>169</v>
      </c>
    </row>
    <row r="2330" spans="1:3" x14ac:dyDescent="0.2">
      <c r="A2330" s="3" t="s">
        <v>821</v>
      </c>
      <c r="B2330" s="3" t="s">
        <v>811</v>
      </c>
      <c r="C2330" s="3" t="s">
        <v>169</v>
      </c>
    </row>
    <row r="2331" spans="1:3" x14ac:dyDescent="0.2">
      <c r="A2331" s="3" t="s">
        <v>828</v>
      </c>
      <c r="B2331" s="3" t="s">
        <v>757</v>
      </c>
      <c r="C2331" s="3" t="s">
        <v>53</v>
      </c>
    </row>
    <row r="2332" spans="1:3" x14ac:dyDescent="0.2">
      <c r="A2332" s="3" t="s">
        <v>828</v>
      </c>
      <c r="B2332" s="3" t="s">
        <v>779</v>
      </c>
      <c r="C2332" s="3" t="s">
        <v>53</v>
      </c>
    </row>
    <row r="2333" spans="1:3" x14ac:dyDescent="0.2">
      <c r="A2333" s="3" t="s">
        <v>828</v>
      </c>
      <c r="B2333" s="3" t="s">
        <v>757</v>
      </c>
      <c r="C2333" s="3" t="s">
        <v>54</v>
      </c>
    </row>
    <row r="2334" spans="1:3" x14ac:dyDescent="0.2">
      <c r="A2334" s="3" t="s">
        <v>828</v>
      </c>
      <c r="B2334" s="3" t="s">
        <v>779</v>
      </c>
      <c r="C2334" s="3" t="s">
        <v>54</v>
      </c>
    </row>
    <row r="2335" spans="1:3" x14ac:dyDescent="0.2">
      <c r="A2335" s="3" t="s">
        <v>828</v>
      </c>
      <c r="B2335" s="3" t="s">
        <v>757</v>
      </c>
      <c r="C2335" s="3" t="s">
        <v>55</v>
      </c>
    </row>
    <row r="2336" spans="1:3" x14ac:dyDescent="0.2">
      <c r="A2336" s="3" t="s">
        <v>828</v>
      </c>
      <c r="B2336" s="3" t="s">
        <v>779</v>
      </c>
      <c r="C2336" s="3" t="s">
        <v>55</v>
      </c>
    </row>
    <row r="2337" spans="1:3" x14ac:dyDescent="0.2">
      <c r="A2337" s="3" t="s">
        <v>828</v>
      </c>
      <c r="B2337" s="3" t="s">
        <v>757</v>
      </c>
      <c r="C2337" s="3" t="s">
        <v>56</v>
      </c>
    </row>
    <row r="2338" spans="1:3" x14ac:dyDescent="0.2">
      <c r="A2338" s="3" t="s">
        <v>828</v>
      </c>
      <c r="B2338" s="3" t="s">
        <v>779</v>
      </c>
      <c r="C2338" s="3" t="s">
        <v>56</v>
      </c>
    </row>
    <row r="2339" spans="1:3" x14ac:dyDescent="0.2">
      <c r="A2339" s="3" t="s">
        <v>828</v>
      </c>
      <c r="B2339" s="3" t="s">
        <v>757</v>
      </c>
      <c r="C2339" s="3" t="s">
        <v>57</v>
      </c>
    </row>
    <row r="2340" spans="1:3" x14ac:dyDescent="0.2">
      <c r="A2340" s="3" t="s">
        <v>828</v>
      </c>
      <c r="B2340" s="3" t="s">
        <v>779</v>
      </c>
      <c r="C2340" s="3" t="s">
        <v>57</v>
      </c>
    </row>
    <row r="2341" spans="1:3" x14ac:dyDescent="0.2">
      <c r="A2341" s="3" t="s">
        <v>828</v>
      </c>
      <c r="B2341" s="3" t="s">
        <v>829</v>
      </c>
      <c r="C2341" s="3" t="s">
        <v>169</v>
      </c>
    </row>
    <row r="2342" spans="1:3" x14ac:dyDescent="0.2">
      <c r="A2342" s="3" t="s">
        <v>828</v>
      </c>
      <c r="B2342" s="3" t="s">
        <v>830</v>
      </c>
      <c r="C2342" s="3" t="s">
        <v>169</v>
      </c>
    </row>
    <row r="2343" spans="1:3" x14ac:dyDescent="0.2">
      <c r="A2343" s="3" t="s">
        <v>831</v>
      </c>
      <c r="B2343" s="3" t="s">
        <v>832</v>
      </c>
      <c r="C2343" s="3" t="s">
        <v>53</v>
      </c>
    </row>
    <row r="2344" spans="1:3" x14ac:dyDescent="0.2">
      <c r="A2344" s="3" t="s">
        <v>831</v>
      </c>
      <c r="B2344" s="3" t="s">
        <v>779</v>
      </c>
      <c r="C2344" s="3" t="s">
        <v>53</v>
      </c>
    </row>
    <row r="2345" spans="1:3" x14ac:dyDescent="0.2">
      <c r="A2345" s="3" t="s">
        <v>831</v>
      </c>
      <c r="B2345" s="3" t="s">
        <v>832</v>
      </c>
      <c r="C2345" s="3" t="s">
        <v>54</v>
      </c>
    </row>
    <row r="2346" spans="1:3" x14ac:dyDescent="0.2">
      <c r="A2346" s="3" t="s">
        <v>831</v>
      </c>
      <c r="B2346" s="3" t="s">
        <v>779</v>
      </c>
      <c r="C2346" s="3" t="s">
        <v>54</v>
      </c>
    </row>
    <row r="2347" spans="1:3" x14ac:dyDescent="0.2">
      <c r="A2347" s="3" t="s">
        <v>831</v>
      </c>
      <c r="B2347" s="3" t="s">
        <v>832</v>
      </c>
      <c r="C2347" s="3" t="s">
        <v>55</v>
      </c>
    </row>
    <row r="2348" spans="1:3" x14ac:dyDescent="0.2">
      <c r="A2348" s="3" t="s">
        <v>831</v>
      </c>
      <c r="B2348" s="3" t="s">
        <v>779</v>
      </c>
      <c r="C2348" s="3" t="s">
        <v>55</v>
      </c>
    </row>
    <row r="2349" spans="1:3" x14ac:dyDescent="0.2">
      <c r="A2349" s="3" t="s">
        <v>831</v>
      </c>
      <c r="B2349" s="3" t="s">
        <v>832</v>
      </c>
      <c r="C2349" s="3" t="s">
        <v>56</v>
      </c>
    </row>
    <row r="2350" spans="1:3" x14ac:dyDescent="0.2">
      <c r="A2350" s="3" t="s">
        <v>831</v>
      </c>
      <c r="B2350" s="3" t="s">
        <v>779</v>
      </c>
      <c r="C2350" s="3" t="s">
        <v>56</v>
      </c>
    </row>
    <row r="2351" spans="1:3" x14ac:dyDescent="0.2">
      <c r="A2351" s="3" t="s">
        <v>831</v>
      </c>
      <c r="B2351" s="3" t="s">
        <v>832</v>
      </c>
      <c r="C2351" s="3" t="s">
        <v>57</v>
      </c>
    </row>
    <row r="2352" spans="1:3" x14ac:dyDescent="0.2">
      <c r="A2352" s="3" t="s">
        <v>831</v>
      </c>
      <c r="B2352" s="3" t="s">
        <v>779</v>
      </c>
      <c r="C2352" s="3" t="s">
        <v>57</v>
      </c>
    </row>
    <row r="2353" spans="1:3" x14ac:dyDescent="0.2">
      <c r="A2353" s="3" t="s">
        <v>831</v>
      </c>
      <c r="B2353" s="3" t="s">
        <v>776</v>
      </c>
      <c r="C2353" s="3" t="s">
        <v>169</v>
      </c>
    </row>
    <row r="2354" spans="1:3" x14ac:dyDescent="0.2">
      <c r="A2354" s="3" t="s">
        <v>831</v>
      </c>
      <c r="B2354" s="3" t="s">
        <v>833</v>
      </c>
      <c r="C2354" s="3" t="s">
        <v>169</v>
      </c>
    </row>
    <row r="2355" spans="1:3" x14ac:dyDescent="0.2">
      <c r="A2355" s="3" t="s">
        <v>831</v>
      </c>
      <c r="B2355" s="3" t="s">
        <v>810</v>
      </c>
      <c r="C2355" s="3" t="s">
        <v>169</v>
      </c>
    </row>
    <row r="2356" spans="1:3" x14ac:dyDescent="0.2">
      <c r="A2356" s="3" t="s">
        <v>831</v>
      </c>
      <c r="B2356" s="3" t="s">
        <v>811</v>
      </c>
      <c r="C2356" s="3" t="s">
        <v>169</v>
      </c>
    </row>
    <row r="2357" spans="1:3" x14ac:dyDescent="0.2">
      <c r="A2357" s="3" t="s">
        <v>835</v>
      </c>
      <c r="B2357" s="3" t="s">
        <v>836</v>
      </c>
      <c r="C2357" s="3" t="s">
        <v>53</v>
      </c>
    </row>
    <row r="2358" spans="1:3" x14ac:dyDescent="0.2">
      <c r="A2358" s="3" t="s">
        <v>835</v>
      </c>
      <c r="B2358" s="3" t="s">
        <v>837</v>
      </c>
      <c r="C2358" s="3" t="s">
        <v>53</v>
      </c>
    </row>
    <row r="2359" spans="1:3" x14ac:dyDescent="0.2">
      <c r="A2359" s="3" t="s">
        <v>835</v>
      </c>
      <c r="B2359" s="3" t="s">
        <v>838</v>
      </c>
      <c r="C2359" s="3" t="s">
        <v>53</v>
      </c>
    </row>
    <row r="2360" spans="1:3" x14ac:dyDescent="0.2">
      <c r="A2360" s="3" t="s">
        <v>835</v>
      </c>
      <c r="B2360" s="3" t="s">
        <v>779</v>
      </c>
      <c r="C2360" s="3" t="s">
        <v>53</v>
      </c>
    </row>
    <row r="2361" spans="1:3" x14ac:dyDescent="0.2">
      <c r="A2361" s="3" t="s">
        <v>835</v>
      </c>
      <c r="B2361" s="3" t="s">
        <v>836</v>
      </c>
      <c r="C2361" s="3" t="s">
        <v>54</v>
      </c>
    </row>
    <row r="2362" spans="1:3" x14ac:dyDescent="0.2">
      <c r="A2362" s="3" t="s">
        <v>835</v>
      </c>
      <c r="B2362" s="3" t="s">
        <v>837</v>
      </c>
      <c r="C2362" s="3" t="s">
        <v>54</v>
      </c>
    </row>
    <row r="2363" spans="1:3" x14ac:dyDescent="0.2">
      <c r="A2363" s="3" t="s">
        <v>835</v>
      </c>
      <c r="B2363" s="3" t="s">
        <v>838</v>
      </c>
      <c r="C2363" s="3" t="s">
        <v>54</v>
      </c>
    </row>
    <row r="2364" spans="1:3" x14ac:dyDescent="0.2">
      <c r="A2364" s="3" t="s">
        <v>835</v>
      </c>
      <c r="B2364" s="3" t="s">
        <v>779</v>
      </c>
      <c r="C2364" s="3" t="s">
        <v>54</v>
      </c>
    </row>
    <row r="2365" spans="1:3" x14ac:dyDescent="0.2">
      <c r="A2365" s="3" t="s">
        <v>835</v>
      </c>
      <c r="B2365" s="3" t="s">
        <v>836</v>
      </c>
      <c r="C2365" s="3" t="s">
        <v>55</v>
      </c>
    </row>
    <row r="2366" spans="1:3" x14ac:dyDescent="0.2">
      <c r="A2366" s="3" t="s">
        <v>835</v>
      </c>
      <c r="B2366" s="3" t="s">
        <v>837</v>
      </c>
      <c r="C2366" s="3" t="s">
        <v>55</v>
      </c>
    </row>
    <row r="2367" spans="1:3" x14ac:dyDescent="0.2">
      <c r="A2367" s="3" t="s">
        <v>835</v>
      </c>
      <c r="B2367" s="3" t="s">
        <v>838</v>
      </c>
      <c r="C2367" s="3" t="s">
        <v>55</v>
      </c>
    </row>
    <row r="2368" spans="1:3" x14ac:dyDescent="0.2">
      <c r="A2368" s="3" t="s">
        <v>835</v>
      </c>
      <c r="B2368" s="3" t="s">
        <v>779</v>
      </c>
      <c r="C2368" s="3" t="s">
        <v>55</v>
      </c>
    </row>
    <row r="2369" spans="1:3" x14ac:dyDescent="0.2">
      <c r="A2369" s="3" t="s">
        <v>835</v>
      </c>
      <c r="B2369" s="3" t="s">
        <v>836</v>
      </c>
      <c r="C2369" s="3" t="s">
        <v>56</v>
      </c>
    </row>
    <row r="2370" spans="1:3" x14ac:dyDescent="0.2">
      <c r="A2370" s="3" t="s">
        <v>835</v>
      </c>
      <c r="B2370" s="3" t="s">
        <v>837</v>
      </c>
      <c r="C2370" s="3" t="s">
        <v>56</v>
      </c>
    </row>
    <row r="2371" spans="1:3" x14ac:dyDescent="0.2">
      <c r="A2371" s="3" t="s">
        <v>835</v>
      </c>
      <c r="B2371" s="3" t="s">
        <v>838</v>
      </c>
      <c r="C2371" s="3" t="s">
        <v>56</v>
      </c>
    </row>
    <row r="2372" spans="1:3" x14ac:dyDescent="0.2">
      <c r="A2372" s="3" t="s">
        <v>835</v>
      </c>
      <c r="B2372" s="3" t="s">
        <v>779</v>
      </c>
      <c r="C2372" s="3" t="s">
        <v>56</v>
      </c>
    </row>
    <row r="2373" spans="1:3" x14ac:dyDescent="0.2">
      <c r="A2373" s="3" t="s">
        <v>835</v>
      </c>
      <c r="B2373" s="3" t="s">
        <v>836</v>
      </c>
      <c r="C2373" s="3" t="s">
        <v>57</v>
      </c>
    </row>
    <row r="2374" spans="1:3" x14ac:dyDescent="0.2">
      <c r="A2374" s="3" t="s">
        <v>835</v>
      </c>
      <c r="B2374" s="3" t="s">
        <v>837</v>
      </c>
      <c r="C2374" s="3" t="s">
        <v>57</v>
      </c>
    </row>
    <row r="2375" spans="1:3" x14ac:dyDescent="0.2">
      <c r="A2375" s="3" t="s">
        <v>835</v>
      </c>
      <c r="B2375" s="3" t="s">
        <v>838</v>
      </c>
      <c r="C2375" s="3" t="s">
        <v>57</v>
      </c>
    </row>
    <row r="2376" spans="1:3" x14ac:dyDescent="0.2">
      <c r="A2376" s="3" t="s">
        <v>835</v>
      </c>
      <c r="B2376" s="3" t="s">
        <v>779</v>
      </c>
      <c r="C2376" s="3" t="s">
        <v>57</v>
      </c>
    </row>
    <row r="2377" spans="1:3" x14ac:dyDescent="0.2">
      <c r="A2377" s="3" t="s">
        <v>835</v>
      </c>
      <c r="B2377" s="3" t="s">
        <v>810</v>
      </c>
      <c r="C2377" s="3" t="s">
        <v>169</v>
      </c>
    </row>
    <row r="2378" spans="1:3" x14ac:dyDescent="0.2">
      <c r="A2378" s="3" t="s">
        <v>835</v>
      </c>
      <c r="B2378" s="3" t="s">
        <v>811</v>
      </c>
      <c r="C2378" s="3" t="s">
        <v>169</v>
      </c>
    </row>
    <row r="2379" spans="1:3" x14ac:dyDescent="0.2">
      <c r="A2379" s="3" t="s">
        <v>839</v>
      </c>
      <c r="B2379" s="3" t="s">
        <v>840</v>
      </c>
      <c r="C2379" s="3" t="s">
        <v>53</v>
      </c>
    </row>
    <row r="2380" spans="1:3" x14ac:dyDescent="0.2">
      <c r="A2380" s="3" t="s">
        <v>839</v>
      </c>
      <c r="B2380" s="3" t="s">
        <v>841</v>
      </c>
      <c r="C2380" s="3" t="s">
        <v>53</v>
      </c>
    </row>
    <row r="2381" spans="1:3" x14ac:dyDescent="0.2">
      <c r="A2381" s="3" t="s">
        <v>839</v>
      </c>
      <c r="B2381" s="3" t="s">
        <v>842</v>
      </c>
      <c r="C2381" s="3" t="s">
        <v>53</v>
      </c>
    </row>
    <row r="2382" spans="1:3" x14ac:dyDescent="0.2">
      <c r="A2382" s="3" t="s">
        <v>839</v>
      </c>
      <c r="B2382" s="3" t="s">
        <v>843</v>
      </c>
      <c r="C2382" s="3" t="s">
        <v>53</v>
      </c>
    </row>
    <row r="2383" spans="1:3" x14ac:dyDescent="0.2">
      <c r="A2383" s="3" t="s">
        <v>839</v>
      </c>
      <c r="B2383" s="3" t="s">
        <v>844</v>
      </c>
      <c r="C2383" s="3" t="s">
        <v>53</v>
      </c>
    </row>
    <row r="2384" spans="1:3" x14ac:dyDescent="0.2">
      <c r="A2384" s="3" t="s">
        <v>839</v>
      </c>
      <c r="B2384" s="3" t="s">
        <v>779</v>
      </c>
      <c r="C2384" s="3" t="s">
        <v>53</v>
      </c>
    </row>
    <row r="2385" spans="1:3" x14ac:dyDescent="0.2">
      <c r="A2385" s="3" t="s">
        <v>839</v>
      </c>
      <c r="B2385" s="3" t="s">
        <v>840</v>
      </c>
      <c r="C2385" s="3" t="s">
        <v>54</v>
      </c>
    </row>
    <row r="2386" spans="1:3" x14ac:dyDescent="0.2">
      <c r="A2386" s="3" t="s">
        <v>839</v>
      </c>
      <c r="B2386" s="3" t="s">
        <v>841</v>
      </c>
      <c r="C2386" s="3" t="s">
        <v>54</v>
      </c>
    </row>
    <row r="2387" spans="1:3" x14ac:dyDescent="0.2">
      <c r="A2387" s="3" t="s">
        <v>839</v>
      </c>
      <c r="B2387" s="3" t="s">
        <v>842</v>
      </c>
      <c r="C2387" s="3" t="s">
        <v>54</v>
      </c>
    </row>
    <row r="2388" spans="1:3" x14ac:dyDescent="0.2">
      <c r="A2388" s="3" t="s">
        <v>839</v>
      </c>
      <c r="B2388" s="3" t="s">
        <v>843</v>
      </c>
      <c r="C2388" s="3" t="s">
        <v>54</v>
      </c>
    </row>
    <row r="2389" spans="1:3" x14ac:dyDescent="0.2">
      <c r="A2389" s="3" t="s">
        <v>839</v>
      </c>
      <c r="B2389" s="3" t="s">
        <v>844</v>
      </c>
      <c r="C2389" s="3" t="s">
        <v>54</v>
      </c>
    </row>
    <row r="2390" spans="1:3" x14ac:dyDescent="0.2">
      <c r="A2390" s="3" t="s">
        <v>839</v>
      </c>
      <c r="B2390" s="3" t="s">
        <v>779</v>
      </c>
      <c r="C2390" s="3" t="s">
        <v>54</v>
      </c>
    </row>
    <row r="2391" spans="1:3" x14ac:dyDescent="0.2">
      <c r="A2391" s="3" t="s">
        <v>839</v>
      </c>
      <c r="B2391" s="3" t="s">
        <v>840</v>
      </c>
      <c r="C2391" s="3" t="s">
        <v>55</v>
      </c>
    </row>
    <row r="2392" spans="1:3" x14ac:dyDescent="0.2">
      <c r="A2392" s="3" t="s">
        <v>839</v>
      </c>
      <c r="B2392" s="3" t="s">
        <v>841</v>
      </c>
      <c r="C2392" s="3" t="s">
        <v>55</v>
      </c>
    </row>
    <row r="2393" spans="1:3" x14ac:dyDescent="0.2">
      <c r="A2393" s="3" t="s">
        <v>839</v>
      </c>
      <c r="B2393" s="3" t="s">
        <v>842</v>
      </c>
      <c r="C2393" s="3" t="s">
        <v>55</v>
      </c>
    </row>
    <row r="2394" spans="1:3" x14ac:dyDescent="0.2">
      <c r="A2394" s="3" t="s">
        <v>839</v>
      </c>
      <c r="B2394" s="3" t="s">
        <v>843</v>
      </c>
      <c r="C2394" s="3" t="s">
        <v>55</v>
      </c>
    </row>
    <row r="2395" spans="1:3" x14ac:dyDescent="0.2">
      <c r="A2395" s="3" t="s">
        <v>839</v>
      </c>
      <c r="B2395" s="3" t="s">
        <v>844</v>
      </c>
      <c r="C2395" s="3" t="s">
        <v>55</v>
      </c>
    </row>
    <row r="2396" spans="1:3" x14ac:dyDescent="0.2">
      <c r="A2396" s="3" t="s">
        <v>839</v>
      </c>
      <c r="B2396" s="3" t="s">
        <v>779</v>
      </c>
      <c r="C2396" s="3" t="s">
        <v>55</v>
      </c>
    </row>
    <row r="2397" spans="1:3" x14ac:dyDescent="0.2">
      <c r="A2397" s="3" t="s">
        <v>839</v>
      </c>
      <c r="B2397" s="3" t="s">
        <v>840</v>
      </c>
      <c r="C2397" s="3" t="s">
        <v>56</v>
      </c>
    </row>
    <row r="2398" spans="1:3" x14ac:dyDescent="0.2">
      <c r="A2398" s="3" t="s">
        <v>839</v>
      </c>
      <c r="B2398" s="3" t="s">
        <v>841</v>
      </c>
      <c r="C2398" s="3" t="s">
        <v>56</v>
      </c>
    </row>
    <row r="2399" spans="1:3" x14ac:dyDescent="0.2">
      <c r="A2399" s="3" t="s">
        <v>839</v>
      </c>
      <c r="B2399" s="3" t="s">
        <v>842</v>
      </c>
      <c r="C2399" s="3" t="s">
        <v>56</v>
      </c>
    </row>
    <row r="2400" spans="1:3" x14ac:dyDescent="0.2">
      <c r="A2400" s="3" t="s">
        <v>839</v>
      </c>
      <c r="B2400" s="3" t="s">
        <v>843</v>
      </c>
      <c r="C2400" s="3" t="s">
        <v>56</v>
      </c>
    </row>
    <row r="2401" spans="1:3" x14ac:dyDescent="0.2">
      <c r="A2401" s="3" t="s">
        <v>839</v>
      </c>
      <c r="B2401" s="3" t="s">
        <v>844</v>
      </c>
      <c r="C2401" s="3" t="s">
        <v>56</v>
      </c>
    </row>
    <row r="2402" spans="1:3" x14ac:dyDescent="0.2">
      <c r="A2402" s="3" t="s">
        <v>839</v>
      </c>
      <c r="B2402" s="3" t="s">
        <v>779</v>
      </c>
      <c r="C2402" s="3" t="s">
        <v>56</v>
      </c>
    </row>
    <row r="2403" spans="1:3" x14ac:dyDescent="0.2">
      <c r="A2403" s="3" t="s">
        <v>839</v>
      </c>
      <c r="B2403" s="3" t="s">
        <v>840</v>
      </c>
      <c r="C2403" s="3" t="s">
        <v>57</v>
      </c>
    </row>
    <row r="2404" spans="1:3" x14ac:dyDescent="0.2">
      <c r="A2404" s="3" t="s">
        <v>839</v>
      </c>
      <c r="B2404" s="3" t="s">
        <v>841</v>
      </c>
      <c r="C2404" s="3" t="s">
        <v>57</v>
      </c>
    </row>
    <row r="2405" spans="1:3" x14ac:dyDescent="0.2">
      <c r="A2405" s="3" t="s">
        <v>839</v>
      </c>
      <c r="B2405" s="3" t="s">
        <v>842</v>
      </c>
      <c r="C2405" s="3" t="s">
        <v>57</v>
      </c>
    </row>
    <row r="2406" spans="1:3" x14ac:dyDescent="0.2">
      <c r="A2406" s="3" t="s">
        <v>839</v>
      </c>
      <c r="B2406" s="3" t="s">
        <v>843</v>
      </c>
      <c r="C2406" s="3" t="s">
        <v>57</v>
      </c>
    </row>
    <row r="2407" spans="1:3" x14ac:dyDescent="0.2">
      <c r="A2407" s="3" t="s">
        <v>839</v>
      </c>
      <c r="B2407" s="3" t="s">
        <v>844</v>
      </c>
      <c r="C2407" s="3" t="s">
        <v>57</v>
      </c>
    </row>
    <row r="2408" spans="1:3" x14ac:dyDescent="0.2">
      <c r="A2408" s="3" t="s">
        <v>839</v>
      </c>
      <c r="B2408" s="3" t="s">
        <v>779</v>
      </c>
      <c r="C2408" s="3" t="s">
        <v>57</v>
      </c>
    </row>
    <row r="2409" spans="1:3" x14ac:dyDescent="0.2">
      <c r="A2409" s="3" t="s">
        <v>839</v>
      </c>
      <c r="B2409" s="3" t="s">
        <v>810</v>
      </c>
      <c r="C2409" s="3" t="s">
        <v>169</v>
      </c>
    </row>
    <row r="2410" spans="1:3" x14ac:dyDescent="0.2">
      <c r="A2410" s="3" t="s">
        <v>839</v>
      </c>
      <c r="B2410" s="3" t="s">
        <v>811</v>
      </c>
      <c r="C2410" s="3" t="s">
        <v>169</v>
      </c>
    </row>
    <row r="2411" spans="1:3" x14ac:dyDescent="0.2">
      <c r="A2411" s="3" t="s">
        <v>2383</v>
      </c>
      <c r="B2411" s="3" t="s">
        <v>844</v>
      </c>
      <c r="C2411" s="3" t="s">
        <v>53</v>
      </c>
    </row>
    <row r="2412" spans="1:3" x14ac:dyDescent="0.2">
      <c r="A2412" s="3" t="s">
        <v>2383</v>
      </c>
      <c r="B2412" s="3" t="s">
        <v>844</v>
      </c>
      <c r="C2412" s="3" t="s">
        <v>54</v>
      </c>
    </row>
    <row r="2413" spans="1:3" x14ac:dyDescent="0.2">
      <c r="A2413" s="3" t="s">
        <v>2383</v>
      </c>
      <c r="B2413" s="3" t="s">
        <v>844</v>
      </c>
      <c r="C2413" s="3" t="s">
        <v>55</v>
      </c>
    </row>
    <row r="2414" spans="1:3" x14ac:dyDescent="0.2">
      <c r="A2414" s="3" t="s">
        <v>2383</v>
      </c>
      <c r="B2414" s="3" t="s">
        <v>844</v>
      </c>
      <c r="C2414" s="3" t="s">
        <v>56</v>
      </c>
    </row>
    <row r="2415" spans="1:3" x14ac:dyDescent="0.2">
      <c r="A2415" s="3" t="s">
        <v>2383</v>
      </c>
      <c r="B2415" s="3" t="s">
        <v>844</v>
      </c>
      <c r="C2415" s="3" t="s">
        <v>57</v>
      </c>
    </row>
    <row r="2416" spans="1:3" x14ac:dyDescent="0.2">
      <c r="A2416" s="3" t="s">
        <v>845</v>
      </c>
      <c r="B2416" s="3" t="s">
        <v>726</v>
      </c>
      <c r="C2416" s="3" t="s">
        <v>53</v>
      </c>
    </row>
    <row r="2417" spans="1:3" x14ac:dyDescent="0.2">
      <c r="A2417" s="3" t="s">
        <v>845</v>
      </c>
      <c r="B2417" s="3" t="s">
        <v>846</v>
      </c>
      <c r="C2417" s="3" t="s">
        <v>53</v>
      </c>
    </row>
    <row r="2418" spans="1:3" x14ac:dyDescent="0.2">
      <c r="A2418" s="3" t="s">
        <v>845</v>
      </c>
      <c r="B2418" s="3" t="s">
        <v>847</v>
      </c>
      <c r="C2418" s="3" t="s">
        <v>53</v>
      </c>
    </row>
    <row r="2419" spans="1:3" x14ac:dyDescent="0.2">
      <c r="A2419" s="3" t="s">
        <v>845</v>
      </c>
      <c r="B2419" s="3" t="s">
        <v>779</v>
      </c>
      <c r="C2419" s="3" t="s">
        <v>53</v>
      </c>
    </row>
    <row r="2420" spans="1:3" x14ac:dyDescent="0.2">
      <c r="A2420" s="3" t="s">
        <v>845</v>
      </c>
      <c r="B2420" s="3" t="s">
        <v>726</v>
      </c>
      <c r="C2420" s="3" t="s">
        <v>54</v>
      </c>
    </row>
    <row r="2421" spans="1:3" x14ac:dyDescent="0.2">
      <c r="A2421" s="3" t="s">
        <v>845</v>
      </c>
      <c r="B2421" s="3" t="s">
        <v>846</v>
      </c>
      <c r="C2421" s="3" t="s">
        <v>54</v>
      </c>
    </row>
    <row r="2422" spans="1:3" x14ac:dyDescent="0.2">
      <c r="A2422" s="3" t="s">
        <v>845</v>
      </c>
      <c r="B2422" s="3" t="s">
        <v>847</v>
      </c>
      <c r="C2422" s="3" t="s">
        <v>54</v>
      </c>
    </row>
    <row r="2423" spans="1:3" x14ac:dyDescent="0.2">
      <c r="A2423" s="3" t="s">
        <v>845</v>
      </c>
      <c r="B2423" s="3" t="s">
        <v>779</v>
      </c>
      <c r="C2423" s="3" t="s">
        <v>54</v>
      </c>
    </row>
    <row r="2424" spans="1:3" x14ac:dyDescent="0.2">
      <c r="A2424" s="3" t="s">
        <v>845</v>
      </c>
      <c r="B2424" s="3" t="s">
        <v>726</v>
      </c>
      <c r="C2424" s="3" t="s">
        <v>55</v>
      </c>
    </row>
    <row r="2425" spans="1:3" x14ac:dyDescent="0.2">
      <c r="A2425" s="3" t="s">
        <v>845</v>
      </c>
      <c r="B2425" s="3" t="s">
        <v>846</v>
      </c>
      <c r="C2425" s="3" t="s">
        <v>55</v>
      </c>
    </row>
    <row r="2426" spans="1:3" x14ac:dyDescent="0.2">
      <c r="A2426" s="3" t="s">
        <v>845</v>
      </c>
      <c r="B2426" s="3" t="s">
        <v>779</v>
      </c>
      <c r="C2426" s="3" t="s">
        <v>55</v>
      </c>
    </row>
    <row r="2427" spans="1:3" x14ac:dyDescent="0.2">
      <c r="A2427" s="3" t="s">
        <v>845</v>
      </c>
      <c r="B2427" s="3" t="s">
        <v>726</v>
      </c>
      <c r="C2427" s="3" t="s">
        <v>56</v>
      </c>
    </row>
    <row r="2428" spans="1:3" x14ac:dyDescent="0.2">
      <c r="A2428" s="3" t="s">
        <v>845</v>
      </c>
      <c r="B2428" s="3" t="s">
        <v>846</v>
      </c>
      <c r="C2428" s="3" t="s">
        <v>56</v>
      </c>
    </row>
    <row r="2429" spans="1:3" x14ac:dyDescent="0.2">
      <c r="A2429" s="3" t="s">
        <v>845</v>
      </c>
      <c r="B2429" s="3" t="s">
        <v>779</v>
      </c>
      <c r="C2429" s="3" t="s">
        <v>56</v>
      </c>
    </row>
    <row r="2430" spans="1:3" x14ac:dyDescent="0.2">
      <c r="A2430" s="3" t="s">
        <v>845</v>
      </c>
      <c r="B2430" s="3" t="s">
        <v>726</v>
      </c>
      <c r="C2430" s="3" t="s">
        <v>57</v>
      </c>
    </row>
    <row r="2431" spans="1:3" x14ac:dyDescent="0.2">
      <c r="A2431" s="3" t="s">
        <v>845</v>
      </c>
      <c r="B2431" s="3" t="s">
        <v>846</v>
      </c>
      <c r="C2431" s="3" t="s">
        <v>57</v>
      </c>
    </row>
    <row r="2432" spans="1:3" x14ac:dyDescent="0.2">
      <c r="A2432" s="3" t="s">
        <v>845</v>
      </c>
      <c r="B2432" s="3" t="s">
        <v>779</v>
      </c>
      <c r="C2432" s="3" t="s">
        <v>57</v>
      </c>
    </row>
    <row r="2433" spans="1:3" x14ac:dyDescent="0.2">
      <c r="A2433" s="3" t="s">
        <v>845</v>
      </c>
      <c r="B2433" s="3" t="s">
        <v>810</v>
      </c>
      <c r="C2433" s="3" t="s">
        <v>169</v>
      </c>
    </row>
    <row r="2434" spans="1:3" x14ac:dyDescent="0.2">
      <c r="A2434" s="3" t="s">
        <v>845</v>
      </c>
      <c r="B2434" s="3" t="s">
        <v>811</v>
      </c>
      <c r="C2434" s="3" t="s">
        <v>169</v>
      </c>
    </row>
    <row r="2435" spans="1:3" x14ac:dyDescent="0.2">
      <c r="A2435" s="3" t="s">
        <v>2384</v>
      </c>
      <c r="B2435" s="3" t="s">
        <v>964</v>
      </c>
      <c r="C2435" s="3" t="s">
        <v>53</v>
      </c>
    </row>
    <row r="2436" spans="1:3" x14ac:dyDescent="0.2">
      <c r="A2436" s="3" t="s">
        <v>2384</v>
      </c>
      <c r="B2436" s="3" t="s">
        <v>1564</v>
      </c>
      <c r="C2436" s="3" t="s">
        <v>53</v>
      </c>
    </row>
    <row r="2437" spans="1:3" x14ac:dyDescent="0.2">
      <c r="A2437" s="3" t="s">
        <v>2384</v>
      </c>
      <c r="B2437" s="3" t="s">
        <v>964</v>
      </c>
      <c r="C2437" s="3" t="s">
        <v>54</v>
      </c>
    </row>
    <row r="2438" spans="1:3" x14ac:dyDescent="0.2">
      <c r="A2438" s="3" t="s">
        <v>2384</v>
      </c>
      <c r="B2438" s="3" t="s">
        <v>1564</v>
      </c>
      <c r="C2438" s="3" t="s">
        <v>54</v>
      </c>
    </row>
    <row r="2439" spans="1:3" x14ac:dyDescent="0.2">
      <c r="A2439" s="3" t="s">
        <v>2384</v>
      </c>
      <c r="B2439" s="3" t="s">
        <v>964</v>
      </c>
      <c r="C2439" s="3" t="s">
        <v>55</v>
      </c>
    </row>
    <row r="2440" spans="1:3" x14ac:dyDescent="0.2">
      <c r="A2440" s="3" t="s">
        <v>2384</v>
      </c>
      <c r="B2440" s="3" t="s">
        <v>1564</v>
      </c>
      <c r="C2440" s="3" t="s">
        <v>55</v>
      </c>
    </row>
    <row r="2441" spans="1:3" x14ac:dyDescent="0.2">
      <c r="A2441" s="3" t="s">
        <v>2384</v>
      </c>
      <c r="B2441" s="3" t="s">
        <v>964</v>
      </c>
      <c r="C2441" s="3" t="s">
        <v>56</v>
      </c>
    </row>
    <row r="2442" spans="1:3" x14ac:dyDescent="0.2">
      <c r="A2442" s="3" t="s">
        <v>2384</v>
      </c>
      <c r="B2442" s="3" t="s">
        <v>1564</v>
      </c>
      <c r="C2442" s="3" t="s">
        <v>56</v>
      </c>
    </row>
    <row r="2443" spans="1:3" x14ac:dyDescent="0.2">
      <c r="A2443" s="3" t="s">
        <v>2384</v>
      </c>
      <c r="B2443" s="3" t="s">
        <v>964</v>
      </c>
      <c r="C2443" s="3" t="s">
        <v>57</v>
      </c>
    </row>
    <row r="2444" spans="1:3" x14ac:dyDescent="0.2">
      <c r="A2444" s="3" t="s">
        <v>2384</v>
      </c>
      <c r="B2444" s="3" t="s">
        <v>1564</v>
      </c>
      <c r="C2444" s="3" t="s">
        <v>57</v>
      </c>
    </row>
    <row r="2445" spans="1:3" x14ac:dyDescent="0.2">
      <c r="A2445" s="3" t="s">
        <v>848</v>
      </c>
      <c r="B2445" s="3" t="s">
        <v>849</v>
      </c>
      <c r="C2445" s="3" t="s">
        <v>53</v>
      </c>
    </row>
    <row r="2446" spans="1:3" x14ac:dyDescent="0.2">
      <c r="A2446" s="3" t="s">
        <v>848</v>
      </c>
      <c r="B2446" s="3" t="s">
        <v>850</v>
      </c>
      <c r="C2446" s="3" t="s">
        <v>53</v>
      </c>
    </row>
    <row r="2447" spans="1:3" x14ac:dyDescent="0.2">
      <c r="A2447" s="3" t="s">
        <v>848</v>
      </c>
      <c r="B2447" s="3" t="s">
        <v>851</v>
      </c>
      <c r="C2447" s="3" t="s">
        <v>53</v>
      </c>
    </row>
    <row r="2448" spans="1:3" x14ac:dyDescent="0.2">
      <c r="A2448" s="3" t="s">
        <v>848</v>
      </c>
      <c r="B2448" s="3" t="s">
        <v>779</v>
      </c>
      <c r="C2448" s="3" t="s">
        <v>53</v>
      </c>
    </row>
    <row r="2449" spans="1:3" x14ac:dyDescent="0.2">
      <c r="A2449" s="3" t="s">
        <v>848</v>
      </c>
      <c r="B2449" s="3" t="s">
        <v>849</v>
      </c>
      <c r="C2449" s="3" t="s">
        <v>54</v>
      </c>
    </row>
    <row r="2450" spans="1:3" x14ac:dyDescent="0.2">
      <c r="A2450" s="3" t="s">
        <v>848</v>
      </c>
      <c r="B2450" s="3" t="s">
        <v>850</v>
      </c>
      <c r="C2450" s="3" t="s">
        <v>54</v>
      </c>
    </row>
    <row r="2451" spans="1:3" x14ac:dyDescent="0.2">
      <c r="A2451" s="3" t="s">
        <v>848</v>
      </c>
      <c r="B2451" s="3" t="s">
        <v>851</v>
      </c>
      <c r="C2451" s="3" t="s">
        <v>54</v>
      </c>
    </row>
    <row r="2452" spans="1:3" x14ac:dyDescent="0.2">
      <c r="A2452" s="3" t="s">
        <v>848</v>
      </c>
      <c r="B2452" s="3" t="s">
        <v>779</v>
      </c>
      <c r="C2452" s="3" t="s">
        <v>54</v>
      </c>
    </row>
    <row r="2453" spans="1:3" x14ac:dyDescent="0.2">
      <c r="A2453" s="3" t="s">
        <v>848</v>
      </c>
      <c r="B2453" s="3" t="s">
        <v>849</v>
      </c>
      <c r="C2453" s="3" t="s">
        <v>55</v>
      </c>
    </row>
    <row r="2454" spans="1:3" x14ac:dyDescent="0.2">
      <c r="A2454" s="3" t="s">
        <v>848</v>
      </c>
      <c r="B2454" s="3" t="s">
        <v>850</v>
      </c>
      <c r="C2454" s="3" t="s">
        <v>55</v>
      </c>
    </row>
    <row r="2455" spans="1:3" x14ac:dyDescent="0.2">
      <c r="A2455" s="3" t="s">
        <v>848</v>
      </c>
      <c r="B2455" s="3" t="s">
        <v>851</v>
      </c>
      <c r="C2455" s="3" t="s">
        <v>55</v>
      </c>
    </row>
    <row r="2456" spans="1:3" x14ac:dyDescent="0.2">
      <c r="A2456" s="3" t="s">
        <v>848</v>
      </c>
      <c r="B2456" s="3" t="s">
        <v>779</v>
      </c>
      <c r="C2456" s="3" t="s">
        <v>55</v>
      </c>
    </row>
    <row r="2457" spans="1:3" x14ac:dyDescent="0.2">
      <c r="A2457" s="3" t="s">
        <v>848</v>
      </c>
      <c r="B2457" s="3" t="s">
        <v>849</v>
      </c>
      <c r="C2457" s="3" t="s">
        <v>56</v>
      </c>
    </row>
    <row r="2458" spans="1:3" x14ac:dyDescent="0.2">
      <c r="A2458" s="3" t="s">
        <v>848</v>
      </c>
      <c r="B2458" s="3" t="s">
        <v>850</v>
      </c>
      <c r="C2458" s="3" t="s">
        <v>56</v>
      </c>
    </row>
    <row r="2459" spans="1:3" x14ac:dyDescent="0.2">
      <c r="A2459" s="3" t="s">
        <v>848</v>
      </c>
      <c r="B2459" s="3" t="s">
        <v>851</v>
      </c>
      <c r="C2459" s="3" t="s">
        <v>56</v>
      </c>
    </row>
    <row r="2460" spans="1:3" x14ac:dyDescent="0.2">
      <c r="A2460" s="3" t="s">
        <v>848</v>
      </c>
      <c r="B2460" s="3" t="s">
        <v>779</v>
      </c>
      <c r="C2460" s="3" t="s">
        <v>56</v>
      </c>
    </row>
    <row r="2461" spans="1:3" x14ac:dyDescent="0.2">
      <c r="A2461" s="3" t="s">
        <v>848</v>
      </c>
      <c r="B2461" s="3" t="s">
        <v>849</v>
      </c>
      <c r="C2461" s="3" t="s">
        <v>57</v>
      </c>
    </row>
    <row r="2462" spans="1:3" x14ac:dyDescent="0.2">
      <c r="A2462" s="3" t="s">
        <v>848</v>
      </c>
      <c r="B2462" s="3" t="s">
        <v>850</v>
      </c>
      <c r="C2462" s="3" t="s">
        <v>57</v>
      </c>
    </row>
    <row r="2463" spans="1:3" x14ac:dyDescent="0.2">
      <c r="A2463" s="3" t="s">
        <v>848</v>
      </c>
      <c r="B2463" s="3" t="s">
        <v>851</v>
      </c>
      <c r="C2463" s="3" t="s">
        <v>57</v>
      </c>
    </row>
    <row r="2464" spans="1:3" x14ac:dyDescent="0.2">
      <c r="A2464" s="3" t="s">
        <v>848</v>
      </c>
      <c r="B2464" s="3" t="s">
        <v>779</v>
      </c>
      <c r="C2464" s="3" t="s">
        <v>57</v>
      </c>
    </row>
    <row r="2465" spans="1:3" x14ac:dyDescent="0.2">
      <c r="A2465" s="3" t="s">
        <v>852</v>
      </c>
      <c r="B2465" s="3" t="s">
        <v>760</v>
      </c>
      <c r="C2465" s="3" t="s">
        <v>53</v>
      </c>
    </row>
    <row r="2466" spans="1:3" x14ac:dyDescent="0.2">
      <c r="A2466" s="3" t="s">
        <v>852</v>
      </c>
      <c r="B2466" s="3" t="s">
        <v>760</v>
      </c>
      <c r="C2466" s="3" t="s">
        <v>54</v>
      </c>
    </row>
    <row r="2467" spans="1:3" x14ac:dyDescent="0.2">
      <c r="A2467" s="3" t="s">
        <v>852</v>
      </c>
      <c r="B2467" s="3" t="s">
        <v>760</v>
      </c>
      <c r="C2467" s="3" t="s">
        <v>55</v>
      </c>
    </row>
    <row r="2468" spans="1:3" x14ac:dyDescent="0.2">
      <c r="A2468" s="3" t="s">
        <v>852</v>
      </c>
      <c r="B2468" s="3" t="s">
        <v>760</v>
      </c>
      <c r="C2468" s="3" t="s">
        <v>56</v>
      </c>
    </row>
    <row r="2469" spans="1:3" x14ac:dyDescent="0.2">
      <c r="A2469" s="3" t="s">
        <v>852</v>
      </c>
      <c r="B2469" s="3" t="s">
        <v>760</v>
      </c>
      <c r="C2469" s="3" t="s">
        <v>57</v>
      </c>
    </row>
    <row r="2470" spans="1:3" x14ac:dyDescent="0.2">
      <c r="A2470" s="3" t="s">
        <v>852</v>
      </c>
      <c r="B2470" s="3" t="s">
        <v>776</v>
      </c>
      <c r="C2470" s="3" t="s">
        <v>169</v>
      </c>
    </row>
    <row r="2471" spans="1:3" x14ac:dyDescent="0.2">
      <c r="A2471" s="3" t="s">
        <v>852</v>
      </c>
      <c r="B2471" s="3" t="s">
        <v>810</v>
      </c>
      <c r="C2471" s="3" t="s">
        <v>169</v>
      </c>
    </row>
    <row r="2472" spans="1:3" x14ac:dyDescent="0.2">
      <c r="A2472" s="3" t="s">
        <v>852</v>
      </c>
      <c r="B2472" s="3" t="s">
        <v>811</v>
      </c>
      <c r="C2472" s="3" t="s">
        <v>169</v>
      </c>
    </row>
    <row r="2473" spans="1:3" x14ac:dyDescent="0.2">
      <c r="A2473" s="3" t="s">
        <v>852</v>
      </c>
      <c r="B2473" s="3" t="s">
        <v>853</v>
      </c>
      <c r="C2473" s="3" t="s">
        <v>169</v>
      </c>
    </row>
    <row r="2474" spans="1:3" x14ac:dyDescent="0.2">
      <c r="A2474" s="3" t="s">
        <v>852</v>
      </c>
      <c r="B2474" s="3" t="s">
        <v>854</v>
      </c>
      <c r="C2474" s="3" t="s">
        <v>169</v>
      </c>
    </row>
    <row r="2475" spans="1:3" x14ac:dyDescent="0.2">
      <c r="A2475" s="3" t="s">
        <v>855</v>
      </c>
      <c r="B2475" s="3" t="s">
        <v>856</v>
      </c>
      <c r="C2475" s="3" t="s">
        <v>169</v>
      </c>
    </row>
    <row r="2476" spans="1:3" x14ac:dyDescent="0.2">
      <c r="A2476" s="3" t="s">
        <v>855</v>
      </c>
      <c r="B2476" s="3" t="s">
        <v>853</v>
      </c>
      <c r="C2476" s="3" t="s">
        <v>169</v>
      </c>
    </row>
    <row r="2477" spans="1:3" x14ac:dyDescent="0.2">
      <c r="A2477" s="3" t="s">
        <v>855</v>
      </c>
      <c r="B2477" s="3" t="s">
        <v>857</v>
      </c>
      <c r="C2477" s="3" t="s">
        <v>169</v>
      </c>
    </row>
    <row r="2478" spans="1:3" x14ac:dyDescent="0.2">
      <c r="A2478" s="3" t="s">
        <v>858</v>
      </c>
      <c r="B2478" s="3" t="s">
        <v>760</v>
      </c>
      <c r="C2478" s="3" t="s">
        <v>53</v>
      </c>
    </row>
    <row r="2479" spans="1:3" x14ac:dyDescent="0.2">
      <c r="A2479" s="3" t="s">
        <v>858</v>
      </c>
      <c r="B2479" s="3" t="s">
        <v>760</v>
      </c>
      <c r="C2479" s="3" t="s">
        <v>54</v>
      </c>
    </row>
    <row r="2480" spans="1:3" x14ac:dyDescent="0.2">
      <c r="A2480" s="3" t="s">
        <v>858</v>
      </c>
      <c r="B2480" s="3" t="s">
        <v>760</v>
      </c>
      <c r="C2480" s="3" t="s">
        <v>55</v>
      </c>
    </row>
    <row r="2481" spans="1:3" x14ac:dyDescent="0.2">
      <c r="A2481" s="3" t="s">
        <v>858</v>
      </c>
      <c r="B2481" s="3" t="s">
        <v>760</v>
      </c>
      <c r="C2481" s="3" t="s">
        <v>56</v>
      </c>
    </row>
    <row r="2482" spans="1:3" x14ac:dyDescent="0.2">
      <c r="A2482" s="3" t="s">
        <v>858</v>
      </c>
      <c r="B2482" s="3" t="s">
        <v>760</v>
      </c>
      <c r="C2482" s="3" t="s">
        <v>57</v>
      </c>
    </row>
    <row r="2483" spans="1:3" x14ac:dyDescent="0.2">
      <c r="A2483" s="3" t="s">
        <v>858</v>
      </c>
      <c r="B2483" s="3" t="s">
        <v>859</v>
      </c>
      <c r="C2483" s="3" t="s">
        <v>169</v>
      </c>
    </row>
    <row r="2484" spans="1:3" x14ac:dyDescent="0.2">
      <c r="A2484" s="3" t="s">
        <v>858</v>
      </c>
      <c r="B2484" s="3" t="s">
        <v>860</v>
      </c>
      <c r="C2484" s="3" t="s">
        <v>169</v>
      </c>
    </row>
    <row r="2485" spans="1:3" x14ac:dyDescent="0.2">
      <c r="A2485" s="3" t="s">
        <v>858</v>
      </c>
      <c r="B2485" s="3" t="s">
        <v>861</v>
      </c>
      <c r="C2485" s="3" t="s">
        <v>169</v>
      </c>
    </row>
    <row r="2486" spans="1:3" x14ac:dyDescent="0.2">
      <c r="A2486" s="3" t="s">
        <v>858</v>
      </c>
      <c r="B2486" s="3" t="s">
        <v>862</v>
      </c>
      <c r="C2486" s="3" t="s">
        <v>169</v>
      </c>
    </row>
    <row r="2487" spans="1:3" x14ac:dyDescent="0.2">
      <c r="A2487" s="3" t="s">
        <v>858</v>
      </c>
      <c r="B2487" s="3" t="s">
        <v>798</v>
      </c>
      <c r="C2487" s="3" t="s">
        <v>169</v>
      </c>
    </row>
    <row r="2488" spans="1:3" x14ac:dyDescent="0.2">
      <c r="A2488" s="3" t="s">
        <v>863</v>
      </c>
      <c r="B2488" s="3" t="s">
        <v>864</v>
      </c>
      <c r="C2488" s="3" t="s">
        <v>53</v>
      </c>
    </row>
    <row r="2489" spans="1:3" x14ac:dyDescent="0.2">
      <c r="A2489" s="3" t="s">
        <v>863</v>
      </c>
      <c r="B2489" s="3" t="s">
        <v>865</v>
      </c>
      <c r="C2489" s="3" t="s">
        <v>53</v>
      </c>
    </row>
    <row r="2490" spans="1:3" x14ac:dyDescent="0.2">
      <c r="A2490" s="3" t="s">
        <v>863</v>
      </c>
      <c r="B2490" s="3" t="s">
        <v>866</v>
      </c>
      <c r="C2490" s="3" t="s">
        <v>53</v>
      </c>
    </row>
    <row r="2491" spans="1:3" x14ac:dyDescent="0.2">
      <c r="A2491" s="3" t="s">
        <v>863</v>
      </c>
      <c r="B2491" s="3" t="s">
        <v>779</v>
      </c>
      <c r="C2491" s="3" t="s">
        <v>53</v>
      </c>
    </row>
    <row r="2492" spans="1:3" x14ac:dyDescent="0.2">
      <c r="A2492" s="3" t="s">
        <v>863</v>
      </c>
      <c r="B2492" s="3" t="s">
        <v>864</v>
      </c>
      <c r="C2492" s="3" t="s">
        <v>54</v>
      </c>
    </row>
    <row r="2493" spans="1:3" x14ac:dyDescent="0.2">
      <c r="A2493" s="3" t="s">
        <v>863</v>
      </c>
      <c r="B2493" s="3" t="s">
        <v>865</v>
      </c>
      <c r="C2493" s="3" t="s">
        <v>54</v>
      </c>
    </row>
    <row r="2494" spans="1:3" x14ac:dyDescent="0.2">
      <c r="A2494" s="3" t="s">
        <v>863</v>
      </c>
      <c r="B2494" s="3" t="s">
        <v>866</v>
      </c>
      <c r="C2494" s="3" t="s">
        <v>54</v>
      </c>
    </row>
    <row r="2495" spans="1:3" x14ac:dyDescent="0.2">
      <c r="A2495" s="3" t="s">
        <v>863</v>
      </c>
      <c r="B2495" s="3" t="s">
        <v>779</v>
      </c>
      <c r="C2495" s="3" t="s">
        <v>54</v>
      </c>
    </row>
    <row r="2496" spans="1:3" x14ac:dyDescent="0.2">
      <c r="A2496" s="3" t="s">
        <v>863</v>
      </c>
      <c r="B2496" s="3" t="s">
        <v>864</v>
      </c>
      <c r="C2496" s="3" t="s">
        <v>55</v>
      </c>
    </row>
    <row r="2497" spans="1:3" x14ac:dyDescent="0.2">
      <c r="A2497" s="3" t="s">
        <v>863</v>
      </c>
      <c r="B2497" s="3" t="s">
        <v>865</v>
      </c>
      <c r="C2497" s="3" t="s">
        <v>55</v>
      </c>
    </row>
    <row r="2498" spans="1:3" x14ac:dyDescent="0.2">
      <c r="A2498" s="3" t="s">
        <v>863</v>
      </c>
      <c r="B2498" s="3" t="s">
        <v>866</v>
      </c>
      <c r="C2498" s="3" t="s">
        <v>55</v>
      </c>
    </row>
    <row r="2499" spans="1:3" x14ac:dyDescent="0.2">
      <c r="A2499" s="3" t="s">
        <v>863</v>
      </c>
      <c r="B2499" s="3" t="s">
        <v>779</v>
      </c>
      <c r="C2499" s="3" t="s">
        <v>55</v>
      </c>
    </row>
    <row r="2500" spans="1:3" x14ac:dyDescent="0.2">
      <c r="A2500" s="3" t="s">
        <v>863</v>
      </c>
      <c r="B2500" s="3" t="s">
        <v>864</v>
      </c>
      <c r="C2500" s="3" t="s">
        <v>56</v>
      </c>
    </row>
    <row r="2501" spans="1:3" x14ac:dyDescent="0.2">
      <c r="A2501" s="3" t="s">
        <v>863</v>
      </c>
      <c r="B2501" s="3" t="s">
        <v>865</v>
      </c>
      <c r="C2501" s="3" t="s">
        <v>56</v>
      </c>
    </row>
    <row r="2502" spans="1:3" x14ac:dyDescent="0.2">
      <c r="A2502" s="3" t="s">
        <v>863</v>
      </c>
      <c r="B2502" s="3" t="s">
        <v>866</v>
      </c>
      <c r="C2502" s="3" t="s">
        <v>56</v>
      </c>
    </row>
    <row r="2503" spans="1:3" x14ac:dyDescent="0.2">
      <c r="A2503" s="3" t="s">
        <v>863</v>
      </c>
      <c r="B2503" s="3" t="s">
        <v>779</v>
      </c>
      <c r="C2503" s="3" t="s">
        <v>56</v>
      </c>
    </row>
    <row r="2504" spans="1:3" x14ac:dyDescent="0.2">
      <c r="A2504" s="3" t="s">
        <v>863</v>
      </c>
      <c r="B2504" s="3" t="s">
        <v>864</v>
      </c>
      <c r="C2504" s="3" t="s">
        <v>57</v>
      </c>
    </row>
    <row r="2505" spans="1:3" x14ac:dyDescent="0.2">
      <c r="A2505" s="3" t="s">
        <v>863</v>
      </c>
      <c r="B2505" s="3" t="s">
        <v>865</v>
      </c>
      <c r="C2505" s="3" t="s">
        <v>57</v>
      </c>
    </row>
    <row r="2506" spans="1:3" x14ac:dyDescent="0.2">
      <c r="A2506" s="3" t="s">
        <v>863</v>
      </c>
      <c r="B2506" s="3" t="s">
        <v>866</v>
      </c>
      <c r="C2506" s="3" t="s">
        <v>57</v>
      </c>
    </row>
    <row r="2507" spans="1:3" x14ac:dyDescent="0.2">
      <c r="A2507" s="3" t="s">
        <v>863</v>
      </c>
      <c r="B2507" s="3" t="s">
        <v>779</v>
      </c>
      <c r="C2507" s="3" t="s">
        <v>57</v>
      </c>
    </row>
    <row r="2508" spans="1:3" x14ac:dyDescent="0.2">
      <c r="A2508" s="3" t="s">
        <v>863</v>
      </c>
      <c r="B2508" s="3" t="s">
        <v>867</v>
      </c>
      <c r="C2508" s="3" t="s">
        <v>22</v>
      </c>
    </row>
    <row r="2509" spans="1:3" x14ac:dyDescent="0.2">
      <c r="A2509" s="3" t="s">
        <v>868</v>
      </c>
      <c r="B2509" s="3" t="s">
        <v>869</v>
      </c>
      <c r="C2509" s="3" t="s">
        <v>53</v>
      </c>
    </row>
    <row r="2510" spans="1:3" x14ac:dyDescent="0.2">
      <c r="A2510" s="3" t="s">
        <v>868</v>
      </c>
      <c r="B2510" s="3" t="s">
        <v>870</v>
      </c>
      <c r="C2510" s="3" t="s">
        <v>53</v>
      </c>
    </row>
    <row r="2511" spans="1:3" x14ac:dyDescent="0.2">
      <c r="A2511" s="3" t="s">
        <v>868</v>
      </c>
      <c r="B2511" s="3" t="s">
        <v>871</v>
      </c>
      <c r="C2511" s="3" t="s">
        <v>53</v>
      </c>
    </row>
    <row r="2512" spans="1:3" x14ac:dyDescent="0.2">
      <c r="A2512" s="3" t="s">
        <v>868</v>
      </c>
      <c r="B2512" s="3" t="s">
        <v>869</v>
      </c>
      <c r="C2512" s="3" t="s">
        <v>54</v>
      </c>
    </row>
    <row r="2513" spans="1:3" x14ac:dyDescent="0.2">
      <c r="A2513" s="3" t="s">
        <v>868</v>
      </c>
      <c r="B2513" s="3" t="s">
        <v>870</v>
      </c>
      <c r="C2513" s="3" t="s">
        <v>54</v>
      </c>
    </row>
    <row r="2514" spans="1:3" x14ac:dyDescent="0.2">
      <c r="A2514" s="3" t="s">
        <v>868</v>
      </c>
      <c r="B2514" s="3" t="s">
        <v>871</v>
      </c>
      <c r="C2514" s="3" t="s">
        <v>54</v>
      </c>
    </row>
    <row r="2515" spans="1:3" x14ac:dyDescent="0.2">
      <c r="A2515" s="3" t="s">
        <v>868</v>
      </c>
      <c r="B2515" s="3" t="s">
        <v>869</v>
      </c>
      <c r="C2515" s="3" t="s">
        <v>55</v>
      </c>
    </row>
    <row r="2516" spans="1:3" x14ac:dyDescent="0.2">
      <c r="A2516" s="3" t="s">
        <v>868</v>
      </c>
      <c r="B2516" s="3" t="s">
        <v>870</v>
      </c>
      <c r="C2516" s="3" t="s">
        <v>55</v>
      </c>
    </row>
    <row r="2517" spans="1:3" x14ac:dyDescent="0.2">
      <c r="A2517" s="3" t="s">
        <v>868</v>
      </c>
      <c r="B2517" s="3" t="s">
        <v>871</v>
      </c>
      <c r="C2517" s="3" t="s">
        <v>55</v>
      </c>
    </row>
    <row r="2518" spans="1:3" x14ac:dyDescent="0.2">
      <c r="A2518" s="3" t="s">
        <v>868</v>
      </c>
      <c r="B2518" s="3" t="s">
        <v>869</v>
      </c>
      <c r="C2518" s="3" t="s">
        <v>56</v>
      </c>
    </row>
    <row r="2519" spans="1:3" x14ac:dyDescent="0.2">
      <c r="A2519" s="3" t="s">
        <v>868</v>
      </c>
      <c r="B2519" s="3" t="s">
        <v>870</v>
      </c>
      <c r="C2519" s="3" t="s">
        <v>56</v>
      </c>
    </row>
    <row r="2520" spans="1:3" x14ac:dyDescent="0.2">
      <c r="A2520" s="3" t="s">
        <v>868</v>
      </c>
      <c r="B2520" s="3" t="s">
        <v>871</v>
      </c>
      <c r="C2520" s="3" t="s">
        <v>56</v>
      </c>
    </row>
    <row r="2521" spans="1:3" x14ac:dyDescent="0.2">
      <c r="A2521" s="3" t="s">
        <v>868</v>
      </c>
      <c r="B2521" s="3" t="s">
        <v>869</v>
      </c>
      <c r="C2521" s="3" t="s">
        <v>57</v>
      </c>
    </row>
    <row r="2522" spans="1:3" x14ac:dyDescent="0.2">
      <c r="A2522" s="3" t="s">
        <v>868</v>
      </c>
      <c r="B2522" s="3" t="s">
        <v>870</v>
      </c>
      <c r="C2522" s="3" t="s">
        <v>57</v>
      </c>
    </row>
    <row r="2523" spans="1:3" x14ac:dyDescent="0.2">
      <c r="A2523" s="3" t="s">
        <v>868</v>
      </c>
      <c r="B2523" s="3" t="s">
        <v>871</v>
      </c>
      <c r="C2523" s="3" t="s">
        <v>57</v>
      </c>
    </row>
    <row r="2524" spans="1:3" x14ac:dyDescent="0.2">
      <c r="A2524" s="3" t="s">
        <v>868</v>
      </c>
      <c r="B2524" s="3" t="s">
        <v>872</v>
      </c>
      <c r="C2524" s="3" t="s">
        <v>22</v>
      </c>
    </row>
    <row r="2525" spans="1:3" x14ac:dyDescent="0.2">
      <c r="A2525" s="3" t="s">
        <v>868</v>
      </c>
      <c r="B2525" s="3" t="s">
        <v>867</v>
      </c>
      <c r="C2525" s="3" t="s">
        <v>22</v>
      </c>
    </row>
    <row r="2526" spans="1:3" x14ac:dyDescent="0.2">
      <c r="A2526" s="3" t="s">
        <v>873</v>
      </c>
      <c r="B2526" s="3" t="s">
        <v>874</v>
      </c>
      <c r="C2526" s="3" t="s">
        <v>53</v>
      </c>
    </row>
    <row r="2527" spans="1:3" x14ac:dyDescent="0.2">
      <c r="A2527" s="3" t="s">
        <v>873</v>
      </c>
      <c r="B2527" s="3" t="s">
        <v>875</v>
      </c>
      <c r="C2527" s="3" t="s">
        <v>53</v>
      </c>
    </row>
    <row r="2528" spans="1:3" x14ac:dyDescent="0.2">
      <c r="A2528" s="3" t="s">
        <v>873</v>
      </c>
      <c r="B2528" s="3" t="s">
        <v>876</v>
      </c>
      <c r="C2528" s="3" t="s">
        <v>53</v>
      </c>
    </row>
    <row r="2529" spans="1:3" x14ac:dyDescent="0.2">
      <c r="A2529" s="3" t="s">
        <v>873</v>
      </c>
      <c r="B2529" s="3" t="s">
        <v>874</v>
      </c>
      <c r="C2529" s="3" t="s">
        <v>54</v>
      </c>
    </row>
    <row r="2530" spans="1:3" x14ac:dyDescent="0.2">
      <c r="A2530" s="3" t="s">
        <v>873</v>
      </c>
      <c r="B2530" s="3" t="s">
        <v>875</v>
      </c>
      <c r="C2530" s="3" t="s">
        <v>54</v>
      </c>
    </row>
    <row r="2531" spans="1:3" x14ac:dyDescent="0.2">
      <c r="A2531" s="3" t="s">
        <v>873</v>
      </c>
      <c r="B2531" s="3" t="s">
        <v>876</v>
      </c>
      <c r="C2531" s="3" t="s">
        <v>54</v>
      </c>
    </row>
    <row r="2532" spans="1:3" x14ac:dyDescent="0.2">
      <c r="A2532" s="3" t="s">
        <v>873</v>
      </c>
      <c r="B2532" s="3" t="s">
        <v>874</v>
      </c>
      <c r="C2532" s="3" t="s">
        <v>55</v>
      </c>
    </row>
    <row r="2533" spans="1:3" x14ac:dyDescent="0.2">
      <c r="A2533" s="3" t="s">
        <v>873</v>
      </c>
      <c r="B2533" s="3" t="s">
        <v>875</v>
      </c>
      <c r="C2533" s="3" t="s">
        <v>55</v>
      </c>
    </row>
    <row r="2534" spans="1:3" x14ac:dyDescent="0.2">
      <c r="A2534" s="3" t="s">
        <v>873</v>
      </c>
      <c r="B2534" s="3" t="s">
        <v>876</v>
      </c>
      <c r="C2534" s="3" t="s">
        <v>55</v>
      </c>
    </row>
    <row r="2535" spans="1:3" x14ac:dyDescent="0.2">
      <c r="A2535" s="3" t="s">
        <v>873</v>
      </c>
      <c r="B2535" s="3" t="s">
        <v>874</v>
      </c>
      <c r="C2535" s="3" t="s">
        <v>56</v>
      </c>
    </row>
    <row r="2536" spans="1:3" x14ac:dyDescent="0.2">
      <c r="A2536" s="3" t="s">
        <v>873</v>
      </c>
      <c r="B2536" s="3" t="s">
        <v>875</v>
      </c>
      <c r="C2536" s="3" t="s">
        <v>56</v>
      </c>
    </row>
    <row r="2537" spans="1:3" x14ac:dyDescent="0.2">
      <c r="A2537" s="3" t="s">
        <v>873</v>
      </c>
      <c r="B2537" s="3" t="s">
        <v>876</v>
      </c>
      <c r="C2537" s="3" t="s">
        <v>56</v>
      </c>
    </row>
    <row r="2538" spans="1:3" x14ac:dyDescent="0.2">
      <c r="A2538" s="3" t="s">
        <v>873</v>
      </c>
      <c r="B2538" s="3" t="s">
        <v>874</v>
      </c>
      <c r="C2538" s="3" t="s">
        <v>57</v>
      </c>
    </row>
    <row r="2539" spans="1:3" x14ac:dyDescent="0.2">
      <c r="A2539" s="3" t="s">
        <v>873</v>
      </c>
      <c r="B2539" s="3" t="s">
        <v>875</v>
      </c>
      <c r="C2539" s="3" t="s">
        <v>57</v>
      </c>
    </row>
    <row r="2540" spans="1:3" x14ac:dyDescent="0.2">
      <c r="A2540" s="3" t="s">
        <v>873</v>
      </c>
      <c r="B2540" s="3" t="s">
        <v>876</v>
      </c>
      <c r="C2540" s="3" t="s">
        <v>57</v>
      </c>
    </row>
    <row r="2541" spans="1:3" x14ac:dyDescent="0.2">
      <c r="A2541" s="3" t="s">
        <v>873</v>
      </c>
      <c r="B2541" s="3" t="s">
        <v>877</v>
      </c>
      <c r="C2541" s="3" t="s">
        <v>169</v>
      </c>
    </row>
    <row r="2542" spans="1:3" x14ac:dyDescent="0.2">
      <c r="A2542" s="3" t="s">
        <v>873</v>
      </c>
      <c r="B2542" s="3" t="s">
        <v>878</v>
      </c>
      <c r="C2542" s="3" t="s">
        <v>169</v>
      </c>
    </row>
    <row r="2543" spans="1:3" x14ac:dyDescent="0.2">
      <c r="A2543" s="3" t="s">
        <v>879</v>
      </c>
      <c r="B2543" s="3" t="s">
        <v>880</v>
      </c>
      <c r="C2543" s="3" t="s">
        <v>53</v>
      </c>
    </row>
    <row r="2544" spans="1:3" x14ac:dyDescent="0.2">
      <c r="A2544" s="3" t="s">
        <v>879</v>
      </c>
      <c r="B2544" s="3" t="s">
        <v>881</v>
      </c>
      <c r="C2544" s="3" t="s">
        <v>53</v>
      </c>
    </row>
    <row r="2545" spans="1:3" x14ac:dyDescent="0.2">
      <c r="A2545" s="3" t="s">
        <v>879</v>
      </c>
      <c r="B2545" s="3" t="s">
        <v>882</v>
      </c>
      <c r="C2545" s="3" t="s">
        <v>53</v>
      </c>
    </row>
    <row r="2546" spans="1:3" x14ac:dyDescent="0.2">
      <c r="A2546" s="3" t="s">
        <v>879</v>
      </c>
      <c r="B2546" s="3" t="s">
        <v>883</v>
      </c>
      <c r="C2546" s="3" t="s">
        <v>53</v>
      </c>
    </row>
    <row r="2547" spans="1:3" x14ac:dyDescent="0.2">
      <c r="A2547" s="3" t="s">
        <v>879</v>
      </c>
      <c r="B2547" s="3" t="s">
        <v>884</v>
      </c>
      <c r="C2547" s="3" t="s">
        <v>53</v>
      </c>
    </row>
    <row r="2548" spans="1:3" x14ac:dyDescent="0.2">
      <c r="A2548" s="3" t="s">
        <v>879</v>
      </c>
      <c r="B2548" s="3" t="s">
        <v>880</v>
      </c>
      <c r="C2548" s="3" t="s">
        <v>54</v>
      </c>
    </row>
    <row r="2549" spans="1:3" x14ac:dyDescent="0.2">
      <c r="A2549" s="3" t="s">
        <v>879</v>
      </c>
      <c r="B2549" s="3" t="s">
        <v>881</v>
      </c>
      <c r="C2549" s="3" t="s">
        <v>54</v>
      </c>
    </row>
    <row r="2550" spans="1:3" x14ac:dyDescent="0.2">
      <c r="A2550" s="3" t="s">
        <v>879</v>
      </c>
      <c r="B2550" s="3" t="s">
        <v>882</v>
      </c>
      <c r="C2550" s="3" t="s">
        <v>54</v>
      </c>
    </row>
    <row r="2551" spans="1:3" x14ac:dyDescent="0.2">
      <c r="A2551" s="3" t="s">
        <v>879</v>
      </c>
      <c r="B2551" s="3" t="s">
        <v>883</v>
      </c>
      <c r="C2551" s="3" t="s">
        <v>54</v>
      </c>
    </row>
    <row r="2552" spans="1:3" x14ac:dyDescent="0.2">
      <c r="A2552" s="3" t="s">
        <v>879</v>
      </c>
      <c r="B2552" s="3" t="s">
        <v>884</v>
      </c>
      <c r="C2552" s="3" t="s">
        <v>54</v>
      </c>
    </row>
    <row r="2553" spans="1:3" x14ac:dyDescent="0.2">
      <c r="A2553" s="3" t="s">
        <v>879</v>
      </c>
      <c r="B2553" s="3" t="s">
        <v>880</v>
      </c>
      <c r="C2553" s="3" t="s">
        <v>55</v>
      </c>
    </row>
    <row r="2554" spans="1:3" x14ac:dyDescent="0.2">
      <c r="A2554" s="3" t="s">
        <v>879</v>
      </c>
      <c r="B2554" s="3" t="s">
        <v>881</v>
      </c>
      <c r="C2554" s="3" t="s">
        <v>55</v>
      </c>
    </row>
    <row r="2555" spans="1:3" x14ac:dyDescent="0.2">
      <c r="A2555" s="3" t="s">
        <v>879</v>
      </c>
      <c r="B2555" s="3" t="s">
        <v>882</v>
      </c>
      <c r="C2555" s="3" t="s">
        <v>55</v>
      </c>
    </row>
    <row r="2556" spans="1:3" x14ac:dyDescent="0.2">
      <c r="A2556" s="3" t="s">
        <v>879</v>
      </c>
      <c r="B2556" s="3" t="s">
        <v>883</v>
      </c>
      <c r="C2556" s="3" t="s">
        <v>55</v>
      </c>
    </row>
    <row r="2557" spans="1:3" x14ac:dyDescent="0.2">
      <c r="A2557" s="3" t="s">
        <v>879</v>
      </c>
      <c r="B2557" s="3" t="s">
        <v>884</v>
      </c>
      <c r="C2557" s="3" t="s">
        <v>55</v>
      </c>
    </row>
    <row r="2558" spans="1:3" x14ac:dyDescent="0.2">
      <c r="A2558" s="3" t="s">
        <v>879</v>
      </c>
      <c r="B2558" s="3" t="s">
        <v>880</v>
      </c>
      <c r="C2558" s="3" t="s">
        <v>56</v>
      </c>
    </row>
    <row r="2559" spans="1:3" x14ac:dyDescent="0.2">
      <c r="A2559" s="3" t="s">
        <v>879</v>
      </c>
      <c r="B2559" s="3" t="s">
        <v>881</v>
      </c>
      <c r="C2559" s="3" t="s">
        <v>56</v>
      </c>
    </row>
    <row r="2560" spans="1:3" x14ac:dyDescent="0.2">
      <c r="A2560" s="3" t="s">
        <v>879</v>
      </c>
      <c r="B2560" s="3" t="s">
        <v>882</v>
      </c>
      <c r="C2560" s="3" t="s">
        <v>56</v>
      </c>
    </row>
    <row r="2561" spans="1:3" x14ac:dyDescent="0.2">
      <c r="A2561" s="3" t="s">
        <v>879</v>
      </c>
      <c r="B2561" s="3" t="s">
        <v>883</v>
      </c>
      <c r="C2561" s="3" t="s">
        <v>56</v>
      </c>
    </row>
    <row r="2562" spans="1:3" x14ac:dyDescent="0.2">
      <c r="A2562" s="3" t="s">
        <v>879</v>
      </c>
      <c r="B2562" s="3" t="s">
        <v>884</v>
      </c>
      <c r="C2562" s="3" t="s">
        <v>56</v>
      </c>
    </row>
    <row r="2563" spans="1:3" x14ac:dyDescent="0.2">
      <c r="A2563" s="3" t="s">
        <v>879</v>
      </c>
      <c r="B2563" s="3" t="s">
        <v>880</v>
      </c>
      <c r="C2563" s="3" t="s">
        <v>57</v>
      </c>
    </row>
    <row r="2564" spans="1:3" x14ac:dyDescent="0.2">
      <c r="A2564" s="3" t="s">
        <v>879</v>
      </c>
      <c r="B2564" s="3" t="s">
        <v>881</v>
      </c>
      <c r="C2564" s="3" t="s">
        <v>57</v>
      </c>
    </row>
    <row r="2565" spans="1:3" x14ac:dyDescent="0.2">
      <c r="A2565" s="3" t="s">
        <v>879</v>
      </c>
      <c r="B2565" s="3" t="s">
        <v>882</v>
      </c>
      <c r="C2565" s="3" t="s">
        <v>57</v>
      </c>
    </row>
    <row r="2566" spans="1:3" x14ac:dyDescent="0.2">
      <c r="A2566" s="3" t="s">
        <v>879</v>
      </c>
      <c r="B2566" s="3" t="s">
        <v>883</v>
      </c>
      <c r="C2566" s="3" t="s">
        <v>57</v>
      </c>
    </row>
    <row r="2567" spans="1:3" x14ac:dyDescent="0.2">
      <c r="A2567" s="3" t="s">
        <v>879</v>
      </c>
      <c r="B2567" s="3" t="s">
        <v>884</v>
      </c>
      <c r="C2567" s="3" t="s">
        <v>57</v>
      </c>
    </row>
    <row r="2568" spans="1:3" x14ac:dyDescent="0.2">
      <c r="A2568" s="3" t="s">
        <v>885</v>
      </c>
      <c r="B2568" s="3" t="s">
        <v>886</v>
      </c>
      <c r="C2568" s="3" t="s">
        <v>53</v>
      </c>
    </row>
    <row r="2569" spans="1:3" x14ac:dyDescent="0.2">
      <c r="A2569" s="3" t="s">
        <v>885</v>
      </c>
      <c r="B2569" s="3" t="s">
        <v>887</v>
      </c>
      <c r="C2569" s="3" t="s">
        <v>53</v>
      </c>
    </row>
    <row r="2570" spans="1:3" x14ac:dyDescent="0.2">
      <c r="A2570" s="3" t="s">
        <v>885</v>
      </c>
      <c r="B2570" s="3" t="s">
        <v>888</v>
      </c>
      <c r="C2570" s="3" t="s">
        <v>53</v>
      </c>
    </row>
    <row r="2571" spans="1:3" x14ac:dyDescent="0.2">
      <c r="A2571" s="3" t="s">
        <v>885</v>
      </c>
      <c r="B2571" s="3" t="s">
        <v>871</v>
      </c>
      <c r="C2571" s="3" t="s">
        <v>53</v>
      </c>
    </row>
    <row r="2572" spans="1:3" x14ac:dyDescent="0.2">
      <c r="A2572" s="3" t="s">
        <v>885</v>
      </c>
      <c r="B2572" s="3" t="s">
        <v>889</v>
      </c>
      <c r="C2572" s="3" t="s">
        <v>53</v>
      </c>
    </row>
    <row r="2573" spans="1:3" x14ac:dyDescent="0.2">
      <c r="A2573" s="3" t="s">
        <v>885</v>
      </c>
      <c r="B2573" s="3" t="s">
        <v>890</v>
      </c>
      <c r="C2573" s="3" t="s">
        <v>53</v>
      </c>
    </row>
    <row r="2574" spans="1:3" x14ac:dyDescent="0.2">
      <c r="A2574" s="3" t="s">
        <v>885</v>
      </c>
      <c r="B2574" s="3" t="s">
        <v>886</v>
      </c>
      <c r="C2574" s="3" t="s">
        <v>54</v>
      </c>
    </row>
    <row r="2575" spans="1:3" x14ac:dyDescent="0.2">
      <c r="A2575" s="3" t="s">
        <v>885</v>
      </c>
      <c r="B2575" s="3" t="s">
        <v>887</v>
      </c>
      <c r="C2575" s="3" t="s">
        <v>54</v>
      </c>
    </row>
    <row r="2576" spans="1:3" x14ac:dyDescent="0.2">
      <c r="A2576" s="3" t="s">
        <v>885</v>
      </c>
      <c r="B2576" s="3" t="s">
        <v>888</v>
      </c>
      <c r="C2576" s="3" t="s">
        <v>54</v>
      </c>
    </row>
    <row r="2577" spans="1:3" x14ac:dyDescent="0.2">
      <c r="A2577" s="3" t="s">
        <v>885</v>
      </c>
      <c r="B2577" s="3" t="s">
        <v>871</v>
      </c>
      <c r="C2577" s="3" t="s">
        <v>54</v>
      </c>
    </row>
    <row r="2578" spans="1:3" x14ac:dyDescent="0.2">
      <c r="A2578" s="3" t="s">
        <v>885</v>
      </c>
      <c r="B2578" s="3" t="s">
        <v>889</v>
      </c>
      <c r="C2578" s="3" t="s">
        <v>54</v>
      </c>
    </row>
    <row r="2579" spans="1:3" x14ac:dyDescent="0.2">
      <c r="A2579" s="3" t="s">
        <v>885</v>
      </c>
      <c r="B2579" s="3" t="s">
        <v>890</v>
      </c>
      <c r="C2579" s="3" t="s">
        <v>54</v>
      </c>
    </row>
    <row r="2580" spans="1:3" x14ac:dyDescent="0.2">
      <c r="A2580" s="3" t="s">
        <v>885</v>
      </c>
      <c r="B2580" s="3" t="s">
        <v>886</v>
      </c>
      <c r="C2580" s="3" t="s">
        <v>55</v>
      </c>
    </row>
    <row r="2581" spans="1:3" x14ac:dyDescent="0.2">
      <c r="A2581" s="3" t="s">
        <v>885</v>
      </c>
      <c r="B2581" s="3" t="s">
        <v>887</v>
      </c>
      <c r="C2581" s="3" t="s">
        <v>55</v>
      </c>
    </row>
    <row r="2582" spans="1:3" x14ac:dyDescent="0.2">
      <c r="A2582" s="3" t="s">
        <v>885</v>
      </c>
      <c r="B2582" s="3" t="s">
        <v>888</v>
      </c>
      <c r="C2582" s="3" t="s">
        <v>55</v>
      </c>
    </row>
    <row r="2583" spans="1:3" x14ac:dyDescent="0.2">
      <c r="A2583" s="3" t="s">
        <v>885</v>
      </c>
      <c r="B2583" s="3" t="s">
        <v>871</v>
      </c>
      <c r="C2583" s="3" t="s">
        <v>55</v>
      </c>
    </row>
    <row r="2584" spans="1:3" x14ac:dyDescent="0.2">
      <c r="A2584" s="3" t="s">
        <v>885</v>
      </c>
      <c r="B2584" s="3" t="s">
        <v>889</v>
      </c>
      <c r="C2584" s="3" t="s">
        <v>55</v>
      </c>
    </row>
    <row r="2585" spans="1:3" x14ac:dyDescent="0.2">
      <c r="A2585" s="3" t="s">
        <v>885</v>
      </c>
      <c r="B2585" s="3" t="s">
        <v>890</v>
      </c>
      <c r="C2585" s="3" t="s">
        <v>55</v>
      </c>
    </row>
    <row r="2586" spans="1:3" x14ac:dyDescent="0.2">
      <c r="A2586" s="3" t="s">
        <v>885</v>
      </c>
      <c r="B2586" s="3" t="s">
        <v>886</v>
      </c>
      <c r="C2586" s="3" t="s">
        <v>56</v>
      </c>
    </row>
    <row r="2587" spans="1:3" x14ac:dyDescent="0.2">
      <c r="A2587" s="3" t="s">
        <v>885</v>
      </c>
      <c r="B2587" s="3" t="s">
        <v>887</v>
      </c>
      <c r="C2587" s="3" t="s">
        <v>56</v>
      </c>
    </row>
    <row r="2588" spans="1:3" x14ac:dyDescent="0.2">
      <c r="A2588" s="3" t="s">
        <v>885</v>
      </c>
      <c r="B2588" s="3" t="s">
        <v>888</v>
      </c>
      <c r="C2588" s="3" t="s">
        <v>56</v>
      </c>
    </row>
    <row r="2589" spans="1:3" x14ac:dyDescent="0.2">
      <c r="A2589" s="3" t="s">
        <v>885</v>
      </c>
      <c r="B2589" s="3" t="s">
        <v>871</v>
      </c>
      <c r="C2589" s="3" t="s">
        <v>56</v>
      </c>
    </row>
    <row r="2590" spans="1:3" x14ac:dyDescent="0.2">
      <c r="A2590" s="3" t="s">
        <v>885</v>
      </c>
      <c r="B2590" s="3" t="s">
        <v>889</v>
      </c>
      <c r="C2590" s="3" t="s">
        <v>56</v>
      </c>
    </row>
    <row r="2591" spans="1:3" x14ac:dyDescent="0.2">
      <c r="A2591" s="3" t="s">
        <v>885</v>
      </c>
      <c r="B2591" s="3" t="s">
        <v>890</v>
      </c>
      <c r="C2591" s="3" t="s">
        <v>56</v>
      </c>
    </row>
    <row r="2592" spans="1:3" x14ac:dyDescent="0.2">
      <c r="A2592" s="3" t="s">
        <v>885</v>
      </c>
      <c r="B2592" s="3" t="s">
        <v>886</v>
      </c>
      <c r="C2592" s="3" t="s">
        <v>57</v>
      </c>
    </row>
    <row r="2593" spans="1:3" x14ac:dyDescent="0.2">
      <c r="A2593" s="3" t="s">
        <v>885</v>
      </c>
      <c r="B2593" s="3" t="s">
        <v>887</v>
      </c>
      <c r="C2593" s="3" t="s">
        <v>57</v>
      </c>
    </row>
    <row r="2594" spans="1:3" x14ac:dyDescent="0.2">
      <c r="A2594" s="3" t="s">
        <v>885</v>
      </c>
      <c r="B2594" s="3" t="s">
        <v>888</v>
      </c>
      <c r="C2594" s="3" t="s">
        <v>57</v>
      </c>
    </row>
    <row r="2595" spans="1:3" x14ac:dyDescent="0.2">
      <c r="A2595" s="3" t="s">
        <v>885</v>
      </c>
      <c r="B2595" s="3" t="s">
        <v>871</v>
      </c>
      <c r="C2595" s="3" t="s">
        <v>57</v>
      </c>
    </row>
    <row r="2596" spans="1:3" x14ac:dyDescent="0.2">
      <c r="A2596" s="3" t="s">
        <v>885</v>
      </c>
      <c r="B2596" s="3" t="s">
        <v>889</v>
      </c>
      <c r="C2596" s="3" t="s">
        <v>57</v>
      </c>
    </row>
    <row r="2597" spans="1:3" x14ac:dyDescent="0.2">
      <c r="A2597" s="3" t="s">
        <v>885</v>
      </c>
      <c r="B2597" s="3" t="s">
        <v>890</v>
      </c>
      <c r="C2597" s="3" t="s">
        <v>57</v>
      </c>
    </row>
    <row r="2598" spans="1:3" x14ac:dyDescent="0.2">
      <c r="A2598" s="3" t="s">
        <v>885</v>
      </c>
      <c r="B2598" s="3" t="s">
        <v>891</v>
      </c>
      <c r="C2598" s="3" t="s">
        <v>169</v>
      </c>
    </row>
    <row r="2599" spans="1:3" x14ac:dyDescent="0.2">
      <c r="A2599" s="3" t="s">
        <v>892</v>
      </c>
      <c r="B2599" s="3" t="s">
        <v>893</v>
      </c>
      <c r="C2599" s="3" t="s">
        <v>10</v>
      </c>
    </row>
    <row r="2600" spans="1:3" x14ac:dyDescent="0.2">
      <c r="A2600" s="3" t="s">
        <v>894</v>
      </c>
      <c r="B2600" s="3" t="s">
        <v>893</v>
      </c>
      <c r="C2600" s="3" t="s">
        <v>10</v>
      </c>
    </row>
    <row r="2601" spans="1:3" x14ac:dyDescent="0.2">
      <c r="A2601" s="3" t="s">
        <v>895</v>
      </c>
      <c r="B2601" s="3" t="s">
        <v>896</v>
      </c>
      <c r="C2601" s="3" t="s">
        <v>53</v>
      </c>
    </row>
    <row r="2602" spans="1:3" x14ac:dyDescent="0.2">
      <c r="A2602" s="3" t="s">
        <v>895</v>
      </c>
      <c r="B2602" s="3" t="s">
        <v>870</v>
      </c>
      <c r="C2602" s="3" t="s">
        <v>53</v>
      </c>
    </row>
    <row r="2603" spans="1:3" x14ac:dyDescent="0.2">
      <c r="A2603" s="3" t="s">
        <v>895</v>
      </c>
      <c r="B2603" s="3" t="s">
        <v>897</v>
      </c>
      <c r="C2603" s="3" t="s">
        <v>53</v>
      </c>
    </row>
    <row r="2604" spans="1:3" x14ac:dyDescent="0.2">
      <c r="A2604" s="3" t="s">
        <v>895</v>
      </c>
      <c r="B2604" s="3" t="s">
        <v>896</v>
      </c>
      <c r="C2604" s="3" t="s">
        <v>54</v>
      </c>
    </row>
    <row r="2605" spans="1:3" x14ac:dyDescent="0.2">
      <c r="A2605" s="3" t="s">
        <v>895</v>
      </c>
      <c r="B2605" s="3" t="s">
        <v>870</v>
      </c>
      <c r="C2605" s="3" t="s">
        <v>54</v>
      </c>
    </row>
    <row r="2606" spans="1:3" x14ac:dyDescent="0.2">
      <c r="A2606" s="3" t="s">
        <v>895</v>
      </c>
      <c r="B2606" s="3" t="s">
        <v>897</v>
      </c>
      <c r="C2606" s="3" t="s">
        <v>54</v>
      </c>
    </row>
    <row r="2607" spans="1:3" x14ac:dyDescent="0.2">
      <c r="A2607" s="3" t="s">
        <v>895</v>
      </c>
      <c r="B2607" s="3" t="s">
        <v>896</v>
      </c>
      <c r="C2607" s="3" t="s">
        <v>55</v>
      </c>
    </row>
    <row r="2608" spans="1:3" x14ac:dyDescent="0.2">
      <c r="A2608" s="3" t="s">
        <v>895</v>
      </c>
      <c r="B2608" s="3" t="s">
        <v>870</v>
      </c>
      <c r="C2608" s="3" t="s">
        <v>55</v>
      </c>
    </row>
    <row r="2609" spans="1:3" x14ac:dyDescent="0.2">
      <c r="A2609" s="3" t="s">
        <v>895</v>
      </c>
      <c r="B2609" s="3" t="s">
        <v>897</v>
      </c>
      <c r="C2609" s="3" t="s">
        <v>55</v>
      </c>
    </row>
    <row r="2610" spans="1:3" x14ac:dyDescent="0.2">
      <c r="A2610" s="3" t="s">
        <v>895</v>
      </c>
      <c r="B2610" s="3" t="s">
        <v>896</v>
      </c>
      <c r="C2610" s="3" t="s">
        <v>56</v>
      </c>
    </row>
    <row r="2611" spans="1:3" x14ac:dyDescent="0.2">
      <c r="A2611" s="3" t="s">
        <v>895</v>
      </c>
      <c r="B2611" s="3" t="s">
        <v>870</v>
      </c>
      <c r="C2611" s="3" t="s">
        <v>56</v>
      </c>
    </row>
    <row r="2612" spans="1:3" x14ac:dyDescent="0.2">
      <c r="A2612" s="3" t="s">
        <v>895</v>
      </c>
      <c r="B2612" s="3" t="s">
        <v>897</v>
      </c>
      <c r="C2612" s="3" t="s">
        <v>56</v>
      </c>
    </row>
    <row r="2613" spans="1:3" x14ac:dyDescent="0.2">
      <c r="A2613" s="3" t="s">
        <v>895</v>
      </c>
      <c r="B2613" s="3" t="s">
        <v>896</v>
      </c>
      <c r="C2613" s="3" t="s">
        <v>57</v>
      </c>
    </row>
    <row r="2614" spans="1:3" x14ac:dyDescent="0.2">
      <c r="A2614" s="3" t="s">
        <v>895</v>
      </c>
      <c r="B2614" s="3" t="s">
        <v>870</v>
      </c>
      <c r="C2614" s="3" t="s">
        <v>57</v>
      </c>
    </row>
    <row r="2615" spans="1:3" x14ac:dyDescent="0.2">
      <c r="A2615" s="3" t="s">
        <v>895</v>
      </c>
      <c r="B2615" s="3" t="s">
        <v>897</v>
      </c>
      <c r="C2615" s="3" t="s">
        <v>57</v>
      </c>
    </row>
    <row r="2616" spans="1:3" x14ac:dyDescent="0.2">
      <c r="A2616" s="3" t="s">
        <v>895</v>
      </c>
      <c r="B2616" s="3" t="s">
        <v>617</v>
      </c>
      <c r="C2616" s="3" t="s">
        <v>10</v>
      </c>
    </row>
    <row r="2617" spans="1:3" x14ac:dyDescent="0.2">
      <c r="A2617" s="3" t="s">
        <v>895</v>
      </c>
      <c r="B2617" s="3" t="s">
        <v>617</v>
      </c>
      <c r="C2617" s="3" t="s">
        <v>11</v>
      </c>
    </row>
    <row r="2618" spans="1:3" x14ac:dyDescent="0.2">
      <c r="A2618" s="3" t="s">
        <v>2385</v>
      </c>
      <c r="B2618" s="3" t="s">
        <v>890</v>
      </c>
      <c r="C2618" s="3" t="s">
        <v>53</v>
      </c>
    </row>
    <row r="2619" spans="1:3" x14ac:dyDescent="0.2">
      <c r="A2619" s="3" t="s">
        <v>2385</v>
      </c>
      <c r="B2619" s="3" t="s">
        <v>890</v>
      </c>
      <c r="C2619" s="3" t="s">
        <v>54</v>
      </c>
    </row>
    <row r="2620" spans="1:3" x14ac:dyDescent="0.2">
      <c r="A2620" s="3" t="s">
        <v>2385</v>
      </c>
      <c r="B2620" s="3" t="s">
        <v>890</v>
      </c>
      <c r="C2620" s="3" t="s">
        <v>55</v>
      </c>
    </row>
    <row r="2621" spans="1:3" x14ac:dyDescent="0.2">
      <c r="A2621" s="3" t="s">
        <v>2385</v>
      </c>
      <c r="B2621" s="3" t="s">
        <v>890</v>
      </c>
      <c r="C2621" s="3" t="s">
        <v>56</v>
      </c>
    </row>
    <row r="2622" spans="1:3" x14ac:dyDescent="0.2">
      <c r="A2622" s="3" t="s">
        <v>2385</v>
      </c>
      <c r="B2622" s="3" t="s">
        <v>890</v>
      </c>
      <c r="C2622" s="3" t="s">
        <v>57</v>
      </c>
    </row>
    <row r="2623" spans="1:3" x14ac:dyDescent="0.2">
      <c r="A2623" s="3" t="s">
        <v>898</v>
      </c>
      <c r="B2623" s="3" t="s">
        <v>869</v>
      </c>
      <c r="C2623" s="3" t="s">
        <v>53</v>
      </c>
    </row>
    <row r="2624" spans="1:3" x14ac:dyDescent="0.2">
      <c r="A2624" s="3" t="s">
        <v>898</v>
      </c>
      <c r="B2624" s="3" t="s">
        <v>899</v>
      </c>
      <c r="C2624" s="3" t="s">
        <v>53</v>
      </c>
    </row>
    <row r="2625" spans="1:3" x14ac:dyDescent="0.2">
      <c r="A2625" s="3" t="s">
        <v>898</v>
      </c>
      <c r="B2625" s="3" t="s">
        <v>900</v>
      </c>
      <c r="C2625" s="3" t="s">
        <v>53</v>
      </c>
    </row>
    <row r="2626" spans="1:3" x14ac:dyDescent="0.2">
      <c r="A2626" s="3" t="s">
        <v>898</v>
      </c>
      <c r="B2626" s="3" t="s">
        <v>901</v>
      </c>
      <c r="C2626" s="3" t="s">
        <v>53</v>
      </c>
    </row>
    <row r="2627" spans="1:3" x14ac:dyDescent="0.2">
      <c r="A2627" s="3" t="s">
        <v>898</v>
      </c>
      <c r="B2627" s="3" t="s">
        <v>887</v>
      </c>
      <c r="C2627" s="3" t="s">
        <v>53</v>
      </c>
    </row>
    <row r="2628" spans="1:3" x14ac:dyDescent="0.2">
      <c r="A2628" s="3" t="s">
        <v>898</v>
      </c>
      <c r="B2628" s="3" t="s">
        <v>902</v>
      </c>
      <c r="C2628" s="3" t="s">
        <v>53</v>
      </c>
    </row>
    <row r="2629" spans="1:3" x14ac:dyDescent="0.2">
      <c r="A2629" s="3" t="s">
        <v>898</v>
      </c>
      <c r="B2629" s="3" t="s">
        <v>684</v>
      </c>
      <c r="C2629" s="3" t="s">
        <v>53</v>
      </c>
    </row>
    <row r="2630" spans="1:3" x14ac:dyDescent="0.2">
      <c r="A2630" s="3" t="s">
        <v>898</v>
      </c>
      <c r="B2630" s="3" t="s">
        <v>903</v>
      </c>
      <c r="C2630" s="3" t="s">
        <v>53</v>
      </c>
    </row>
    <row r="2631" spans="1:3" x14ac:dyDescent="0.2">
      <c r="A2631" s="3" t="s">
        <v>898</v>
      </c>
      <c r="B2631" s="3" t="s">
        <v>904</v>
      </c>
      <c r="C2631" s="3" t="s">
        <v>53</v>
      </c>
    </row>
    <row r="2632" spans="1:3" x14ac:dyDescent="0.2">
      <c r="A2632" s="3" t="s">
        <v>898</v>
      </c>
      <c r="B2632" s="3" t="s">
        <v>905</v>
      </c>
      <c r="C2632" s="3" t="s">
        <v>53</v>
      </c>
    </row>
    <row r="2633" spans="1:3" x14ac:dyDescent="0.2">
      <c r="A2633" s="3" t="s">
        <v>898</v>
      </c>
      <c r="B2633" s="3" t="s">
        <v>906</v>
      </c>
      <c r="C2633" s="3" t="s">
        <v>53</v>
      </c>
    </row>
    <row r="2634" spans="1:3" x14ac:dyDescent="0.2">
      <c r="A2634" s="3" t="s">
        <v>898</v>
      </c>
      <c r="B2634" s="3" t="s">
        <v>907</v>
      </c>
      <c r="C2634" s="3" t="s">
        <v>53</v>
      </c>
    </row>
    <row r="2635" spans="1:3" x14ac:dyDescent="0.2">
      <c r="A2635" s="3" t="s">
        <v>898</v>
      </c>
      <c r="B2635" s="3" t="s">
        <v>869</v>
      </c>
      <c r="C2635" s="3" t="s">
        <v>54</v>
      </c>
    </row>
    <row r="2636" spans="1:3" x14ac:dyDescent="0.2">
      <c r="A2636" s="3" t="s">
        <v>898</v>
      </c>
      <c r="B2636" s="3" t="s">
        <v>899</v>
      </c>
      <c r="C2636" s="3" t="s">
        <v>54</v>
      </c>
    </row>
    <row r="2637" spans="1:3" x14ac:dyDescent="0.2">
      <c r="A2637" s="3" t="s">
        <v>898</v>
      </c>
      <c r="B2637" s="3" t="s">
        <v>900</v>
      </c>
      <c r="C2637" s="3" t="s">
        <v>54</v>
      </c>
    </row>
    <row r="2638" spans="1:3" x14ac:dyDescent="0.2">
      <c r="A2638" s="3" t="s">
        <v>898</v>
      </c>
      <c r="B2638" s="3" t="s">
        <v>901</v>
      </c>
      <c r="C2638" s="3" t="s">
        <v>54</v>
      </c>
    </row>
    <row r="2639" spans="1:3" x14ac:dyDescent="0.2">
      <c r="A2639" s="3" t="s">
        <v>898</v>
      </c>
      <c r="B2639" s="3" t="s">
        <v>887</v>
      </c>
      <c r="C2639" s="3" t="s">
        <v>54</v>
      </c>
    </row>
    <row r="2640" spans="1:3" x14ac:dyDescent="0.2">
      <c r="A2640" s="3" t="s">
        <v>898</v>
      </c>
      <c r="B2640" s="3" t="s">
        <v>902</v>
      </c>
      <c r="C2640" s="3" t="s">
        <v>54</v>
      </c>
    </row>
    <row r="2641" spans="1:3" x14ac:dyDescent="0.2">
      <c r="A2641" s="3" t="s">
        <v>898</v>
      </c>
      <c r="B2641" s="3" t="s">
        <v>684</v>
      </c>
      <c r="C2641" s="3" t="s">
        <v>54</v>
      </c>
    </row>
    <row r="2642" spans="1:3" x14ac:dyDescent="0.2">
      <c r="A2642" s="3" t="s">
        <v>898</v>
      </c>
      <c r="B2642" s="3" t="s">
        <v>903</v>
      </c>
      <c r="C2642" s="3" t="s">
        <v>54</v>
      </c>
    </row>
    <row r="2643" spans="1:3" x14ac:dyDescent="0.2">
      <c r="A2643" s="3" t="s">
        <v>898</v>
      </c>
      <c r="B2643" s="3" t="s">
        <v>904</v>
      </c>
      <c r="C2643" s="3" t="s">
        <v>54</v>
      </c>
    </row>
    <row r="2644" spans="1:3" x14ac:dyDescent="0.2">
      <c r="A2644" s="3" t="s">
        <v>898</v>
      </c>
      <c r="B2644" s="3" t="s">
        <v>905</v>
      </c>
      <c r="C2644" s="3" t="s">
        <v>54</v>
      </c>
    </row>
    <row r="2645" spans="1:3" x14ac:dyDescent="0.2">
      <c r="A2645" s="3" t="s">
        <v>898</v>
      </c>
      <c r="B2645" s="3" t="s">
        <v>906</v>
      </c>
      <c r="C2645" s="3" t="s">
        <v>54</v>
      </c>
    </row>
    <row r="2646" spans="1:3" x14ac:dyDescent="0.2">
      <c r="A2646" s="3" t="s">
        <v>898</v>
      </c>
      <c r="B2646" s="3" t="s">
        <v>907</v>
      </c>
      <c r="C2646" s="3" t="s">
        <v>54</v>
      </c>
    </row>
    <row r="2647" spans="1:3" x14ac:dyDescent="0.2">
      <c r="A2647" s="3" t="s">
        <v>898</v>
      </c>
      <c r="B2647" s="3" t="s">
        <v>869</v>
      </c>
      <c r="C2647" s="3" t="s">
        <v>55</v>
      </c>
    </row>
    <row r="2648" spans="1:3" x14ac:dyDescent="0.2">
      <c r="A2648" s="3" t="s">
        <v>898</v>
      </c>
      <c r="B2648" s="3" t="s">
        <v>899</v>
      </c>
      <c r="C2648" s="3" t="s">
        <v>55</v>
      </c>
    </row>
    <row r="2649" spans="1:3" x14ac:dyDescent="0.2">
      <c r="A2649" s="3" t="s">
        <v>898</v>
      </c>
      <c r="B2649" s="3" t="s">
        <v>900</v>
      </c>
      <c r="C2649" s="3" t="s">
        <v>55</v>
      </c>
    </row>
    <row r="2650" spans="1:3" x14ac:dyDescent="0.2">
      <c r="A2650" s="3" t="s">
        <v>898</v>
      </c>
      <c r="B2650" s="3" t="s">
        <v>901</v>
      </c>
      <c r="C2650" s="3" t="s">
        <v>55</v>
      </c>
    </row>
    <row r="2651" spans="1:3" x14ac:dyDescent="0.2">
      <c r="A2651" s="3" t="s">
        <v>898</v>
      </c>
      <c r="B2651" s="3" t="s">
        <v>887</v>
      </c>
      <c r="C2651" s="3" t="s">
        <v>55</v>
      </c>
    </row>
    <row r="2652" spans="1:3" x14ac:dyDescent="0.2">
      <c r="A2652" s="3" t="s">
        <v>898</v>
      </c>
      <c r="B2652" s="3" t="s">
        <v>902</v>
      </c>
      <c r="C2652" s="3" t="s">
        <v>55</v>
      </c>
    </row>
    <row r="2653" spans="1:3" x14ac:dyDescent="0.2">
      <c r="A2653" s="3" t="s">
        <v>898</v>
      </c>
      <c r="B2653" s="3" t="s">
        <v>684</v>
      </c>
      <c r="C2653" s="3" t="s">
        <v>55</v>
      </c>
    </row>
    <row r="2654" spans="1:3" x14ac:dyDescent="0.2">
      <c r="A2654" s="3" t="s">
        <v>898</v>
      </c>
      <c r="B2654" s="3" t="s">
        <v>903</v>
      </c>
      <c r="C2654" s="3" t="s">
        <v>55</v>
      </c>
    </row>
    <row r="2655" spans="1:3" x14ac:dyDescent="0.2">
      <c r="A2655" s="3" t="s">
        <v>898</v>
      </c>
      <c r="B2655" s="3" t="s">
        <v>904</v>
      </c>
      <c r="C2655" s="3" t="s">
        <v>55</v>
      </c>
    </row>
    <row r="2656" spans="1:3" x14ac:dyDescent="0.2">
      <c r="A2656" s="3" t="s">
        <v>898</v>
      </c>
      <c r="B2656" s="3" t="s">
        <v>905</v>
      </c>
      <c r="C2656" s="3" t="s">
        <v>55</v>
      </c>
    </row>
    <row r="2657" spans="1:3" x14ac:dyDescent="0.2">
      <c r="A2657" s="3" t="s">
        <v>898</v>
      </c>
      <c r="B2657" s="3" t="s">
        <v>906</v>
      </c>
      <c r="C2657" s="3" t="s">
        <v>55</v>
      </c>
    </row>
    <row r="2658" spans="1:3" x14ac:dyDescent="0.2">
      <c r="A2658" s="3" t="s">
        <v>898</v>
      </c>
      <c r="B2658" s="3" t="s">
        <v>907</v>
      </c>
      <c r="C2658" s="3" t="s">
        <v>55</v>
      </c>
    </row>
    <row r="2659" spans="1:3" x14ac:dyDescent="0.2">
      <c r="A2659" s="3" t="s">
        <v>898</v>
      </c>
      <c r="B2659" s="3" t="s">
        <v>869</v>
      </c>
      <c r="C2659" s="3" t="s">
        <v>56</v>
      </c>
    </row>
    <row r="2660" spans="1:3" x14ac:dyDescent="0.2">
      <c r="A2660" s="3" t="s">
        <v>898</v>
      </c>
      <c r="B2660" s="3" t="s">
        <v>899</v>
      </c>
      <c r="C2660" s="3" t="s">
        <v>56</v>
      </c>
    </row>
    <row r="2661" spans="1:3" x14ac:dyDescent="0.2">
      <c r="A2661" s="3" t="s">
        <v>898</v>
      </c>
      <c r="B2661" s="3" t="s">
        <v>900</v>
      </c>
      <c r="C2661" s="3" t="s">
        <v>56</v>
      </c>
    </row>
    <row r="2662" spans="1:3" x14ac:dyDescent="0.2">
      <c r="A2662" s="3" t="s">
        <v>898</v>
      </c>
      <c r="B2662" s="3" t="s">
        <v>901</v>
      </c>
      <c r="C2662" s="3" t="s">
        <v>56</v>
      </c>
    </row>
    <row r="2663" spans="1:3" x14ac:dyDescent="0.2">
      <c r="A2663" s="3" t="s">
        <v>898</v>
      </c>
      <c r="B2663" s="3" t="s">
        <v>887</v>
      </c>
      <c r="C2663" s="3" t="s">
        <v>56</v>
      </c>
    </row>
    <row r="2664" spans="1:3" x14ac:dyDescent="0.2">
      <c r="A2664" s="3" t="s">
        <v>898</v>
      </c>
      <c r="B2664" s="3" t="s">
        <v>902</v>
      </c>
      <c r="C2664" s="3" t="s">
        <v>56</v>
      </c>
    </row>
    <row r="2665" spans="1:3" x14ac:dyDescent="0.2">
      <c r="A2665" s="3" t="s">
        <v>898</v>
      </c>
      <c r="B2665" s="3" t="s">
        <v>684</v>
      </c>
      <c r="C2665" s="3" t="s">
        <v>56</v>
      </c>
    </row>
    <row r="2666" spans="1:3" x14ac:dyDescent="0.2">
      <c r="A2666" s="3" t="s">
        <v>898</v>
      </c>
      <c r="B2666" s="3" t="s">
        <v>903</v>
      </c>
      <c r="C2666" s="3" t="s">
        <v>56</v>
      </c>
    </row>
    <row r="2667" spans="1:3" x14ac:dyDescent="0.2">
      <c r="A2667" s="3" t="s">
        <v>898</v>
      </c>
      <c r="B2667" s="3" t="s">
        <v>904</v>
      </c>
      <c r="C2667" s="3" t="s">
        <v>56</v>
      </c>
    </row>
    <row r="2668" spans="1:3" x14ac:dyDescent="0.2">
      <c r="A2668" s="3" t="s">
        <v>898</v>
      </c>
      <c r="B2668" s="3" t="s">
        <v>905</v>
      </c>
      <c r="C2668" s="3" t="s">
        <v>56</v>
      </c>
    </row>
    <row r="2669" spans="1:3" x14ac:dyDescent="0.2">
      <c r="A2669" s="3" t="s">
        <v>898</v>
      </c>
      <c r="B2669" s="3" t="s">
        <v>906</v>
      </c>
      <c r="C2669" s="3" t="s">
        <v>56</v>
      </c>
    </row>
    <row r="2670" spans="1:3" x14ac:dyDescent="0.2">
      <c r="A2670" s="3" t="s">
        <v>898</v>
      </c>
      <c r="B2670" s="3" t="s">
        <v>907</v>
      </c>
      <c r="C2670" s="3" t="s">
        <v>56</v>
      </c>
    </row>
    <row r="2671" spans="1:3" x14ac:dyDescent="0.2">
      <c r="A2671" s="3" t="s">
        <v>898</v>
      </c>
      <c r="B2671" s="3" t="s">
        <v>869</v>
      </c>
      <c r="C2671" s="3" t="s">
        <v>57</v>
      </c>
    </row>
    <row r="2672" spans="1:3" x14ac:dyDescent="0.2">
      <c r="A2672" s="3" t="s">
        <v>898</v>
      </c>
      <c r="B2672" s="3" t="s">
        <v>899</v>
      </c>
      <c r="C2672" s="3" t="s">
        <v>57</v>
      </c>
    </row>
    <row r="2673" spans="1:3" x14ac:dyDescent="0.2">
      <c r="A2673" s="3" t="s">
        <v>898</v>
      </c>
      <c r="B2673" s="3" t="s">
        <v>900</v>
      </c>
      <c r="C2673" s="3" t="s">
        <v>57</v>
      </c>
    </row>
    <row r="2674" spans="1:3" x14ac:dyDescent="0.2">
      <c r="A2674" s="3" t="s">
        <v>898</v>
      </c>
      <c r="B2674" s="3" t="s">
        <v>901</v>
      </c>
      <c r="C2674" s="3" t="s">
        <v>57</v>
      </c>
    </row>
    <row r="2675" spans="1:3" x14ac:dyDescent="0.2">
      <c r="A2675" s="3" t="s">
        <v>898</v>
      </c>
      <c r="B2675" s="3" t="s">
        <v>887</v>
      </c>
      <c r="C2675" s="3" t="s">
        <v>57</v>
      </c>
    </row>
    <row r="2676" spans="1:3" x14ac:dyDescent="0.2">
      <c r="A2676" s="3" t="s">
        <v>898</v>
      </c>
      <c r="B2676" s="3" t="s">
        <v>902</v>
      </c>
      <c r="C2676" s="3" t="s">
        <v>57</v>
      </c>
    </row>
    <row r="2677" spans="1:3" x14ac:dyDescent="0.2">
      <c r="A2677" s="3" t="s">
        <v>898</v>
      </c>
      <c r="B2677" s="3" t="s">
        <v>684</v>
      </c>
      <c r="C2677" s="3" t="s">
        <v>57</v>
      </c>
    </row>
    <row r="2678" spans="1:3" x14ac:dyDescent="0.2">
      <c r="A2678" s="3" t="s">
        <v>898</v>
      </c>
      <c r="B2678" s="3" t="s">
        <v>903</v>
      </c>
      <c r="C2678" s="3" t="s">
        <v>57</v>
      </c>
    </row>
    <row r="2679" spans="1:3" x14ac:dyDescent="0.2">
      <c r="A2679" s="3" t="s">
        <v>898</v>
      </c>
      <c r="B2679" s="3" t="s">
        <v>904</v>
      </c>
      <c r="C2679" s="3" t="s">
        <v>57</v>
      </c>
    </row>
    <row r="2680" spans="1:3" x14ac:dyDescent="0.2">
      <c r="A2680" s="3" t="s">
        <v>898</v>
      </c>
      <c r="B2680" s="3" t="s">
        <v>908</v>
      </c>
      <c r="C2680" s="3" t="s">
        <v>57</v>
      </c>
    </row>
    <row r="2681" spans="1:3" x14ac:dyDescent="0.2">
      <c r="A2681" s="3" t="s">
        <v>898</v>
      </c>
      <c r="B2681" s="3" t="s">
        <v>905</v>
      </c>
      <c r="C2681" s="3" t="s">
        <v>57</v>
      </c>
    </row>
    <row r="2682" spans="1:3" x14ac:dyDescent="0.2">
      <c r="A2682" s="3" t="s">
        <v>898</v>
      </c>
      <c r="B2682" s="3" t="s">
        <v>906</v>
      </c>
      <c r="C2682" s="3" t="s">
        <v>57</v>
      </c>
    </row>
    <row r="2683" spans="1:3" x14ac:dyDescent="0.2">
      <c r="A2683" s="3" t="s">
        <v>898</v>
      </c>
      <c r="B2683" s="3" t="s">
        <v>907</v>
      </c>
      <c r="C2683" s="3" t="s">
        <v>57</v>
      </c>
    </row>
    <row r="2684" spans="1:3" x14ac:dyDescent="0.2">
      <c r="A2684" s="3" t="s">
        <v>909</v>
      </c>
      <c r="B2684" s="3" t="s">
        <v>887</v>
      </c>
      <c r="C2684" s="3" t="s">
        <v>53</v>
      </c>
    </row>
    <row r="2685" spans="1:3" x14ac:dyDescent="0.2">
      <c r="A2685" s="3" t="s">
        <v>909</v>
      </c>
      <c r="B2685" s="3" t="s">
        <v>887</v>
      </c>
      <c r="C2685" s="3" t="s">
        <v>54</v>
      </c>
    </row>
    <row r="2686" spans="1:3" x14ac:dyDescent="0.2">
      <c r="A2686" s="3" t="s">
        <v>909</v>
      </c>
      <c r="B2686" s="3" t="s">
        <v>887</v>
      </c>
      <c r="C2686" s="3" t="s">
        <v>55</v>
      </c>
    </row>
    <row r="2687" spans="1:3" x14ac:dyDescent="0.2">
      <c r="A2687" s="3" t="s">
        <v>909</v>
      </c>
      <c r="B2687" s="3" t="s">
        <v>887</v>
      </c>
      <c r="C2687" s="3" t="s">
        <v>56</v>
      </c>
    </row>
    <row r="2688" spans="1:3" x14ac:dyDescent="0.2">
      <c r="A2688" s="3" t="s">
        <v>909</v>
      </c>
      <c r="B2688" s="3" t="s">
        <v>887</v>
      </c>
      <c r="C2688" s="3" t="s">
        <v>57</v>
      </c>
    </row>
    <row r="2689" spans="1:3" x14ac:dyDescent="0.2">
      <c r="A2689" s="3" t="s">
        <v>910</v>
      </c>
      <c r="B2689" s="3" t="s">
        <v>911</v>
      </c>
      <c r="C2689" s="3" t="s">
        <v>53</v>
      </c>
    </row>
    <row r="2690" spans="1:3" x14ac:dyDescent="0.2">
      <c r="A2690" s="3" t="s">
        <v>910</v>
      </c>
      <c r="B2690" s="3" t="s">
        <v>912</v>
      </c>
      <c r="C2690" s="3" t="s">
        <v>53</v>
      </c>
    </row>
    <row r="2691" spans="1:3" x14ac:dyDescent="0.2">
      <c r="A2691" s="3" t="s">
        <v>910</v>
      </c>
      <c r="B2691" s="3" t="s">
        <v>321</v>
      </c>
      <c r="C2691" s="3" t="s">
        <v>53</v>
      </c>
    </row>
    <row r="2692" spans="1:3" x14ac:dyDescent="0.2">
      <c r="A2692" s="3" t="s">
        <v>910</v>
      </c>
      <c r="B2692" s="3" t="s">
        <v>911</v>
      </c>
      <c r="C2692" s="3" t="s">
        <v>54</v>
      </c>
    </row>
    <row r="2693" spans="1:3" x14ac:dyDescent="0.2">
      <c r="A2693" s="3" t="s">
        <v>910</v>
      </c>
      <c r="B2693" s="3" t="s">
        <v>912</v>
      </c>
      <c r="C2693" s="3" t="s">
        <v>54</v>
      </c>
    </row>
    <row r="2694" spans="1:3" x14ac:dyDescent="0.2">
      <c r="A2694" s="3" t="s">
        <v>910</v>
      </c>
      <c r="B2694" s="3" t="s">
        <v>321</v>
      </c>
      <c r="C2694" s="3" t="s">
        <v>54</v>
      </c>
    </row>
    <row r="2695" spans="1:3" x14ac:dyDescent="0.2">
      <c r="A2695" s="3" t="s">
        <v>910</v>
      </c>
      <c r="B2695" s="3" t="s">
        <v>911</v>
      </c>
      <c r="C2695" s="3" t="s">
        <v>55</v>
      </c>
    </row>
    <row r="2696" spans="1:3" x14ac:dyDescent="0.2">
      <c r="A2696" s="3" t="s">
        <v>910</v>
      </c>
      <c r="B2696" s="3" t="s">
        <v>912</v>
      </c>
      <c r="C2696" s="3" t="s">
        <v>55</v>
      </c>
    </row>
    <row r="2697" spans="1:3" x14ac:dyDescent="0.2">
      <c r="A2697" s="3" t="s">
        <v>910</v>
      </c>
      <c r="B2697" s="3" t="s">
        <v>321</v>
      </c>
      <c r="C2697" s="3" t="s">
        <v>55</v>
      </c>
    </row>
    <row r="2698" spans="1:3" x14ac:dyDescent="0.2">
      <c r="A2698" s="3" t="s">
        <v>910</v>
      </c>
      <c r="B2698" s="3" t="s">
        <v>911</v>
      </c>
      <c r="C2698" s="3" t="s">
        <v>56</v>
      </c>
    </row>
    <row r="2699" spans="1:3" x14ac:dyDescent="0.2">
      <c r="A2699" s="3" t="s">
        <v>910</v>
      </c>
      <c r="B2699" s="3" t="s">
        <v>912</v>
      </c>
      <c r="C2699" s="3" t="s">
        <v>56</v>
      </c>
    </row>
    <row r="2700" spans="1:3" x14ac:dyDescent="0.2">
      <c r="A2700" s="3" t="s">
        <v>910</v>
      </c>
      <c r="B2700" s="3" t="s">
        <v>321</v>
      </c>
      <c r="C2700" s="3" t="s">
        <v>56</v>
      </c>
    </row>
    <row r="2701" spans="1:3" x14ac:dyDescent="0.2">
      <c r="A2701" s="3" t="s">
        <v>910</v>
      </c>
      <c r="B2701" s="3" t="s">
        <v>911</v>
      </c>
      <c r="C2701" s="3" t="s">
        <v>57</v>
      </c>
    </row>
    <row r="2702" spans="1:3" x14ac:dyDescent="0.2">
      <c r="A2702" s="3" t="s">
        <v>910</v>
      </c>
      <c r="B2702" s="3" t="s">
        <v>912</v>
      </c>
      <c r="C2702" s="3" t="s">
        <v>57</v>
      </c>
    </row>
    <row r="2703" spans="1:3" x14ac:dyDescent="0.2">
      <c r="A2703" s="3" t="s">
        <v>910</v>
      </c>
      <c r="B2703" s="3" t="s">
        <v>321</v>
      </c>
      <c r="C2703" s="3" t="s">
        <v>57</v>
      </c>
    </row>
    <row r="2704" spans="1:3" x14ac:dyDescent="0.2">
      <c r="A2704" s="3" t="s">
        <v>910</v>
      </c>
      <c r="B2704" s="3" t="s">
        <v>913</v>
      </c>
      <c r="C2704" s="3" t="s">
        <v>169</v>
      </c>
    </row>
    <row r="2705" spans="1:3" x14ac:dyDescent="0.2">
      <c r="A2705" s="3" t="s">
        <v>910</v>
      </c>
      <c r="B2705" s="3" t="s">
        <v>409</v>
      </c>
      <c r="C2705" s="3" t="s">
        <v>169</v>
      </c>
    </row>
    <row r="2706" spans="1:3" x14ac:dyDescent="0.2">
      <c r="A2706" s="3" t="s">
        <v>910</v>
      </c>
      <c r="B2706" s="3" t="s">
        <v>410</v>
      </c>
      <c r="C2706" s="3" t="s">
        <v>169</v>
      </c>
    </row>
    <row r="2707" spans="1:3" x14ac:dyDescent="0.2">
      <c r="A2707" s="3" t="s">
        <v>914</v>
      </c>
      <c r="B2707" s="3" t="s">
        <v>321</v>
      </c>
      <c r="C2707" s="3" t="s">
        <v>53</v>
      </c>
    </row>
    <row r="2708" spans="1:3" x14ac:dyDescent="0.2">
      <c r="A2708" s="3" t="s">
        <v>914</v>
      </c>
      <c r="B2708" s="3" t="s">
        <v>321</v>
      </c>
      <c r="C2708" s="3" t="s">
        <v>54</v>
      </c>
    </row>
    <row r="2709" spans="1:3" x14ac:dyDescent="0.2">
      <c r="A2709" s="3" t="s">
        <v>914</v>
      </c>
      <c r="B2709" s="3" t="s">
        <v>321</v>
      </c>
      <c r="C2709" s="3" t="s">
        <v>55</v>
      </c>
    </row>
    <row r="2710" spans="1:3" x14ac:dyDescent="0.2">
      <c r="A2710" s="3" t="s">
        <v>914</v>
      </c>
      <c r="B2710" s="3" t="s">
        <v>321</v>
      </c>
      <c r="C2710" s="3" t="s">
        <v>56</v>
      </c>
    </row>
    <row r="2711" spans="1:3" x14ac:dyDescent="0.2">
      <c r="A2711" s="3" t="s">
        <v>914</v>
      </c>
      <c r="B2711" s="3" t="s">
        <v>321</v>
      </c>
      <c r="C2711" s="3" t="s">
        <v>57</v>
      </c>
    </row>
    <row r="2712" spans="1:3" x14ac:dyDescent="0.2">
      <c r="A2712" s="3" t="s">
        <v>914</v>
      </c>
      <c r="B2712" s="3" t="s">
        <v>347</v>
      </c>
      <c r="C2712" s="3" t="s">
        <v>22</v>
      </c>
    </row>
    <row r="2713" spans="1:3" x14ac:dyDescent="0.2">
      <c r="A2713" s="3" t="s">
        <v>914</v>
      </c>
      <c r="B2713" s="3" t="s">
        <v>356</v>
      </c>
      <c r="C2713" s="3" t="s">
        <v>22</v>
      </c>
    </row>
    <row r="2714" spans="1:3" x14ac:dyDescent="0.2">
      <c r="A2714" s="3" t="s">
        <v>915</v>
      </c>
      <c r="B2714" s="3" t="s">
        <v>916</v>
      </c>
      <c r="C2714" s="3" t="s">
        <v>53</v>
      </c>
    </row>
    <row r="2715" spans="1:3" x14ac:dyDescent="0.2">
      <c r="A2715" s="3" t="s">
        <v>915</v>
      </c>
      <c r="B2715" s="3" t="s">
        <v>917</v>
      </c>
      <c r="C2715" s="3" t="s">
        <v>53</v>
      </c>
    </row>
    <row r="2716" spans="1:3" x14ac:dyDescent="0.2">
      <c r="A2716" s="3" t="s">
        <v>915</v>
      </c>
      <c r="B2716" s="3" t="s">
        <v>916</v>
      </c>
      <c r="C2716" s="3" t="s">
        <v>54</v>
      </c>
    </row>
    <row r="2717" spans="1:3" x14ac:dyDescent="0.2">
      <c r="A2717" s="3" t="s">
        <v>915</v>
      </c>
      <c r="B2717" s="3" t="s">
        <v>917</v>
      </c>
      <c r="C2717" s="3" t="s">
        <v>54</v>
      </c>
    </row>
    <row r="2718" spans="1:3" x14ac:dyDescent="0.2">
      <c r="A2718" s="3" t="s">
        <v>915</v>
      </c>
      <c r="B2718" s="3" t="s">
        <v>916</v>
      </c>
      <c r="C2718" s="3" t="s">
        <v>55</v>
      </c>
    </row>
    <row r="2719" spans="1:3" x14ac:dyDescent="0.2">
      <c r="A2719" s="3" t="s">
        <v>915</v>
      </c>
      <c r="B2719" s="3" t="s">
        <v>917</v>
      </c>
      <c r="C2719" s="3" t="s">
        <v>55</v>
      </c>
    </row>
    <row r="2720" spans="1:3" x14ac:dyDescent="0.2">
      <c r="A2720" s="3" t="s">
        <v>915</v>
      </c>
      <c r="B2720" s="3" t="s">
        <v>916</v>
      </c>
      <c r="C2720" s="3" t="s">
        <v>56</v>
      </c>
    </row>
    <row r="2721" spans="1:3" x14ac:dyDescent="0.2">
      <c r="A2721" s="3" t="s">
        <v>915</v>
      </c>
      <c r="B2721" s="3" t="s">
        <v>917</v>
      </c>
      <c r="C2721" s="3" t="s">
        <v>56</v>
      </c>
    </row>
    <row r="2722" spans="1:3" x14ac:dyDescent="0.2">
      <c r="A2722" s="3" t="s">
        <v>915</v>
      </c>
      <c r="B2722" s="3" t="s">
        <v>916</v>
      </c>
      <c r="C2722" s="3" t="s">
        <v>57</v>
      </c>
    </row>
    <row r="2723" spans="1:3" x14ac:dyDescent="0.2">
      <c r="A2723" s="3" t="s">
        <v>915</v>
      </c>
      <c r="B2723" s="3" t="s">
        <v>917</v>
      </c>
      <c r="C2723" s="3" t="s">
        <v>57</v>
      </c>
    </row>
    <row r="2724" spans="1:3" x14ac:dyDescent="0.2">
      <c r="A2724" s="3" t="s">
        <v>915</v>
      </c>
      <c r="B2724" s="3" t="s">
        <v>360</v>
      </c>
      <c r="C2724" s="3" t="s">
        <v>22</v>
      </c>
    </row>
    <row r="2725" spans="1:3" x14ac:dyDescent="0.2">
      <c r="A2725" s="3" t="s">
        <v>918</v>
      </c>
      <c r="B2725" s="3" t="s">
        <v>919</v>
      </c>
      <c r="C2725" s="3" t="s">
        <v>53</v>
      </c>
    </row>
    <row r="2726" spans="1:3" x14ac:dyDescent="0.2">
      <c r="A2726" s="3" t="s">
        <v>918</v>
      </c>
      <c r="B2726" s="3" t="s">
        <v>920</v>
      </c>
      <c r="C2726" s="3" t="s">
        <v>53</v>
      </c>
    </row>
    <row r="2727" spans="1:3" x14ac:dyDescent="0.2">
      <c r="A2727" s="3" t="s">
        <v>918</v>
      </c>
      <c r="B2727" s="3" t="s">
        <v>407</v>
      </c>
      <c r="C2727" s="3" t="s">
        <v>53</v>
      </c>
    </row>
    <row r="2728" spans="1:3" x14ac:dyDescent="0.2">
      <c r="A2728" s="3" t="s">
        <v>918</v>
      </c>
      <c r="B2728" s="3" t="s">
        <v>919</v>
      </c>
      <c r="C2728" s="3" t="s">
        <v>54</v>
      </c>
    </row>
    <row r="2729" spans="1:3" x14ac:dyDescent="0.2">
      <c r="A2729" s="3" t="s">
        <v>918</v>
      </c>
      <c r="B2729" s="3" t="s">
        <v>920</v>
      </c>
      <c r="C2729" s="3" t="s">
        <v>54</v>
      </c>
    </row>
    <row r="2730" spans="1:3" x14ac:dyDescent="0.2">
      <c r="A2730" s="3" t="s">
        <v>918</v>
      </c>
      <c r="B2730" s="3" t="s">
        <v>407</v>
      </c>
      <c r="C2730" s="3" t="s">
        <v>54</v>
      </c>
    </row>
    <row r="2731" spans="1:3" x14ac:dyDescent="0.2">
      <c r="A2731" s="3" t="s">
        <v>918</v>
      </c>
      <c r="B2731" s="3" t="s">
        <v>919</v>
      </c>
      <c r="C2731" s="3" t="s">
        <v>55</v>
      </c>
    </row>
    <row r="2732" spans="1:3" x14ac:dyDescent="0.2">
      <c r="A2732" s="3" t="s">
        <v>918</v>
      </c>
      <c r="B2732" s="3" t="s">
        <v>920</v>
      </c>
      <c r="C2732" s="3" t="s">
        <v>55</v>
      </c>
    </row>
    <row r="2733" spans="1:3" x14ac:dyDescent="0.2">
      <c r="A2733" s="3" t="s">
        <v>918</v>
      </c>
      <c r="B2733" s="3" t="s">
        <v>407</v>
      </c>
      <c r="C2733" s="3" t="s">
        <v>55</v>
      </c>
    </row>
    <row r="2734" spans="1:3" x14ac:dyDescent="0.2">
      <c r="A2734" s="3" t="s">
        <v>918</v>
      </c>
      <c r="B2734" s="3" t="s">
        <v>919</v>
      </c>
      <c r="C2734" s="3" t="s">
        <v>56</v>
      </c>
    </row>
    <row r="2735" spans="1:3" x14ac:dyDescent="0.2">
      <c r="A2735" s="3" t="s">
        <v>918</v>
      </c>
      <c r="B2735" s="3" t="s">
        <v>920</v>
      </c>
      <c r="C2735" s="3" t="s">
        <v>56</v>
      </c>
    </row>
    <row r="2736" spans="1:3" x14ac:dyDescent="0.2">
      <c r="A2736" s="3" t="s">
        <v>918</v>
      </c>
      <c r="B2736" s="3" t="s">
        <v>407</v>
      </c>
      <c r="C2736" s="3" t="s">
        <v>56</v>
      </c>
    </row>
    <row r="2737" spans="1:3" x14ac:dyDescent="0.2">
      <c r="A2737" s="3" t="s">
        <v>918</v>
      </c>
      <c r="B2737" s="3" t="s">
        <v>919</v>
      </c>
      <c r="C2737" s="3" t="s">
        <v>57</v>
      </c>
    </row>
    <row r="2738" spans="1:3" x14ac:dyDescent="0.2">
      <c r="A2738" s="3" t="s">
        <v>918</v>
      </c>
      <c r="B2738" s="3" t="s">
        <v>920</v>
      </c>
      <c r="C2738" s="3" t="s">
        <v>57</v>
      </c>
    </row>
    <row r="2739" spans="1:3" x14ac:dyDescent="0.2">
      <c r="A2739" s="3" t="s">
        <v>918</v>
      </c>
      <c r="B2739" s="3" t="s">
        <v>407</v>
      </c>
      <c r="C2739" s="3" t="s">
        <v>57</v>
      </c>
    </row>
    <row r="2740" spans="1:3" x14ac:dyDescent="0.2">
      <c r="A2740" s="3" t="s">
        <v>921</v>
      </c>
      <c r="B2740" s="3" t="s">
        <v>922</v>
      </c>
      <c r="C2740" s="3" t="s">
        <v>53</v>
      </c>
    </row>
    <row r="2741" spans="1:3" x14ac:dyDescent="0.2">
      <c r="A2741" s="3" t="s">
        <v>921</v>
      </c>
      <c r="B2741" s="3" t="s">
        <v>923</v>
      </c>
      <c r="C2741" s="3" t="s">
        <v>53</v>
      </c>
    </row>
    <row r="2742" spans="1:3" x14ac:dyDescent="0.2">
      <c r="A2742" s="3" t="s">
        <v>921</v>
      </c>
      <c r="B2742" s="3" t="s">
        <v>924</v>
      </c>
      <c r="C2742" s="3" t="s">
        <v>53</v>
      </c>
    </row>
    <row r="2743" spans="1:3" x14ac:dyDescent="0.2">
      <c r="A2743" s="3" t="s">
        <v>921</v>
      </c>
      <c r="B2743" s="3" t="s">
        <v>925</v>
      </c>
      <c r="C2743" s="3" t="s">
        <v>53</v>
      </c>
    </row>
    <row r="2744" spans="1:3" x14ac:dyDescent="0.2">
      <c r="A2744" s="3" t="s">
        <v>921</v>
      </c>
      <c r="B2744" s="3" t="s">
        <v>926</v>
      </c>
      <c r="C2744" s="3" t="s">
        <v>53</v>
      </c>
    </row>
    <row r="2745" spans="1:3" x14ac:dyDescent="0.2">
      <c r="A2745" s="3" t="s">
        <v>921</v>
      </c>
      <c r="B2745" s="3" t="s">
        <v>927</v>
      </c>
      <c r="C2745" s="3" t="s">
        <v>53</v>
      </c>
    </row>
    <row r="2746" spans="1:3" x14ac:dyDescent="0.2">
      <c r="A2746" s="3" t="s">
        <v>921</v>
      </c>
      <c r="B2746" s="3" t="s">
        <v>928</v>
      </c>
      <c r="C2746" s="3" t="s">
        <v>53</v>
      </c>
    </row>
    <row r="2747" spans="1:3" x14ac:dyDescent="0.2">
      <c r="A2747" s="3" t="s">
        <v>921</v>
      </c>
      <c r="B2747" s="3" t="s">
        <v>929</v>
      </c>
      <c r="C2747" s="3" t="s">
        <v>53</v>
      </c>
    </row>
    <row r="2748" spans="1:3" x14ac:dyDescent="0.2">
      <c r="A2748" s="3" t="s">
        <v>921</v>
      </c>
      <c r="B2748" s="3" t="s">
        <v>930</v>
      </c>
      <c r="C2748" s="3" t="s">
        <v>53</v>
      </c>
    </row>
    <row r="2749" spans="1:3" x14ac:dyDescent="0.2">
      <c r="A2749" s="3" t="s">
        <v>921</v>
      </c>
      <c r="B2749" s="3" t="s">
        <v>922</v>
      </c>
      <c r="C2749" s="3" t="s">
        <v>54</v>
      </c>
    </row>
    <row r="2750" spans="1:3" x14ac:dyDescent="0.2">
      <c r="A2750" s="3" t="s">
        <v>921</v>
      </c>
      <c r="B2750" s="3" t="s">
        <v>923</v>
      </c>
      <c r="C2750" s="3" t="s">
        <v>54</v>
      </c>
    </row>
    <row r="2751" spans="1:3" x14ac:dyDescent="0.2">
      <c r="A2751" s="3" t="s">
        <v>921</v>
      </c>
      <c r="B2751" s="3" t="s">
        <v>924</v>
      </c>
      <c r="C2751" s="3" t="s">
        <v>54</v>
      </c>
    </row>
    <row r="2752" spans="1:3" x14ac:dyDescent="0.2">
      <c r="A2752" s="3" t="s">
        <v>921</v>
      </c>
      <c r="B2752" s="3" t="s">
        <v>925</v>
      </c>
      <c r="C2752" s="3" t="s">
        <v>54</v>
      </c>
    </row>
    <row r="2753" spans="1:3" x14ac:dyDescent="0.2">
      <c r="A2753" s="3" t="s">
        <v>921</v>
      </c>
      <c r="B2753" s="3" t="s">
        <v>926</v>
      </c>
      <c r="C2753" s="3" t="s">
        <v>54</v>
      </c>
    </row>
    <row r="2754" spans="1:3" x14ac:dyDescent="0.2">
      <c r="A2754" s="3" t="s">
        <v>921</v>
      </c>
      <c r="B2754" s="3" t="s">
        <v>927</v>
      </c>
      <c r="C2754" s="3" t="s">
        <v>54</v>
      </c>
    </row>
    <row r="2755" spans="1:3" x14ac:dyDescent="0.2">
      <c r="A2755" s="3" t="s">
        <v>921</v>
      </c>
      <c r="B2755" s="3" t="s">
        <v>928</v>
      </c>
      <c r="C2755" s="3" t="s">
        <v>54</v>
      </c>
    </row>
    <row r="2756" spans="1:3" x14ac:dyDescent="0.2">
      <c r="A2756" s="3" t="s">
        <v>921</v>
      </c>
      <c r="B2756" s="3" t="s">
        <v>929</v>
      </c>
      <c r="C2756" s="3" t="s">
        <v>54</v>
      </c>
    </row>
    <row r="2757" spans="1:3" x14ac:dyDescent="0.2">
      <c r="A2757" s="3" t="s">
        <v>921</v>
      </c>
      <c r="B2757" s="3" t="s">
        <v>930</v>
      </c>
      <c r="C2757" s="3" t="s">
        <v>54</v>
      </c>
    </row>
    <row r="2758" spans="1:3" x14ac:dyDescent="0.2">
      <c r="A2758" s="3" t="s">
        <v>921</v>
      </c>
      <c r="B2758" s="3" t="s">
        <v>922</v>
      </c>
      <c r="C2758" s="3" t="s">
        <v>55</v>
      </c>
    </row>
    <row r="2759" spans="1:3" x14ac:dyDescent="0.2">
      <c r="A2759" s="3" t="s">
        <v>921</v>
      </c>
      <c r="B2759" s="3" t="s">
        <v>923</v>
      </c>
      <c r="C2759" s="3" t="s">
        <v>55</v>
      </c>
    </row>
    <row r="2760" spans="1:3" x14ac:dyDescent="0.2">
      <c r="A2760" s="3" t="s">
        <v>921</v>
      </c>
      <c r="B2760" s="3" t="s">
        <v>924</v>
      </c>
      <c r="C2760" s="3" t="s">
        <v>55</v>
      </c>
    </row>
    <row r="2761" spans="1:3" x14ac:dyDescent="0.2">
      <c r="A2761" s="3" t="s">
        <v>921</v>
      </c>
      <c r="B2761" s="3" t="s">
        <v>925</v>
      </c>
      <c r="C2761" s="3" t="s">
        <v>55</v>
      </c>
    </row>
    <row r="2762" spans="1:3" x14ac:dyDescent="0.2">
      <c r="A2762" s="3" t="s">
        <v>921</v>
      </c>
      <c r="B2762" s="3" t="s">
        <v>926</v>
      </c>
      <c r="C2762" s="3" t="s">
        <v>55</v>
      </c>
    </row>
    <row r="2763" spans="1:3" x14ac:dyDescent="0.2">
      <c r="A2763" s="3" t="s">
        <v>921</v>
      </c>
      <c r="B2763" s="3" t="s">
        <v>927</v>
      </c>
      <c r="C2763" s="3" t="s">
        <v>55</v>
      </c>
    </row>
    <row r="2764" spans="1:3" x14ac:dyDescent="0.2">
      <c r="A2764" s="3" t="s">
        <v>921</v>
      </c>
      <c r="B2764" s="3" t="s">
        <v>928</v>
      </c>
      <c r="C2764" s="3" t="s">
        <v>55</v>
      </c>
    </row>
    <row r="2765" spans="1:3" x14ac:dyDescent="0.2">
      <c r="A2765" s="3" t="s">
        <v>921</v>
      </c>
      <c r="B2765" s="3" t="s">
        <v>929</v>
      </c>
      <c r="C2765" s="3" t="s">
        <v>55</v>
      </c>
    </row>
    <row r="2766" spans="1:3" x14ac:dyDescent="0.2">
      <c r="A2766" s="3" t="s">
        <v>921</v>
      </c>
      <c r="B2766" s="3" t="s">
        <v>930</v>
      </c>
      <c r="C2766" s="3" t="s">
        <v>55</v>
      </c>
    </row>
    <row r="2767" spans="1:3" x14ac:dyDescent="0.2">
      <c r="A2767" s="3" t="s">
        <v>921</v>
      </c>
      <c r="B2767" s="3" t="s">
        <v>922</v>
      </c>
      <c r="C2767" s="3" t="s">
        <v>56</v>
      </c>
    </row>
    <row r="2768" spans="1:3" x14ac:dyDescent="0.2">
      <c r="A2768" s="3" t="s">
        <v>921</v>
      </c>
      <c r="B2768" s="3" t="s">
        <v>923</v>
      </c>
      <c r="C2768" s="3" t="s">
        <v>56</v>
      </c>
    </row>
    <row r="2769" spans="1:3" x14ac:dyDescent="0.2">
      <c r="A2769" s="3" t="s">
        <v>921</v>
      </c>
      <c r="B2769" s="3" t="s">
        <v>924</v>
      </c>
      <c r="C2769" s="3" t="s">
        <v>56</v>
      </c>
    </row>
    <row r="2770" spans="1:3" x14ac:dyDescent="0.2">
      <c r="A2770" s="3" t="s">
        <v>921</v>
      </c>
      <c r="B2770" s="3" t="s">
        <v>925</v>
      </c>
      <c r="C2770" s="3" t="s">
        <v>56</v>
      </c>
    </row>
    <row r="2771" spans="1:3" x14ac:dyDescent="0.2">
      <c r="A2771" s="3" t="s">
        <v>921</v>
      </c>
      <c r="B2771" s="3" t="s">
        <v>926</v>
      </c>
      <c r="C2771" s="3" t="s">
        <v>56</v>
      </c>
    </row>
    <row r="2772" spans="1:3" x14ac:dyDescent="0.2">
      <c r="A2772" s="3" t="s">
        <v>921</v>
      </c>
      <c r="B2772" s="3" t="s">
        <v>927</v>
      </c>
      <c r="C2772" s="3" t="s">
        <v>56</v>
      </c>
    </row>
    <row r="2773" spans="1:3" x14ac:dyDescent="0.2">
      <c r="A2773" s="3" t="s">
        <v>921</v>
      </c>
      <c r="B2773" s="3" t="s">
        <v>928</v>
      </c>
      <c r="C2773" s="3" t="s">
        <v>56</v>
      </c>
    </row>
    <row r="2774" spans="1:3" x14ac:dyDescent="0.2">
      <c r="A2774" s="3" t="s">
        <v>921</v>
      </c>
      <c r="B2774" s="3" t="s">
        <v>929</v>
      </c>
      <c r="C2774" s="3" t="s">
        <v>56</v>
      </c>
    </row>
    <row r="2775" spans="1:3" x14ac:dyDescent="0.2">
      <c r="A2775" s="3" t="s">
        <v>921</v>
      </c>
      <c r="B2775" s="3" t="s">
        <v>930</v>
      </c>
      <c r="C2775" s="3" t="s">
        <v>56</v>
      </c>
    </row>
    <row r="2776" spans="1:3" x14ac:dyDescent="0.2">
      <c r="A2776" s="3" t="s">
        <v>921</v>
      </c>
      <c r="B2776" s="3" t="s">
        <v>922</v>
      </c>
      <c r="C2776" s="3" t="s">
        <v>57</v>
      </c>
    </row>
    <row r="2777" spans="1:3" x14ac:dyDescent="0.2">
      <c r="A2777" s="3" t="s">
        <v>921</v>
      </c>
      <c r="B2777" s="3" t="s">
        <v>923</v>
      </c>
      <c r="C2777" s="3" t="s">
        <v>57</v>
      </c>
    </row>
    <row r="2778" spans="1:3" x14ac:dyDescent="0.2">
      <c r="A2778" s="3" t="s">
        <v>921</v>
      </c>
      <c r="B2778" s="3" t="s">
        <v>924</v>
      </c>
      <c r="C2778" s="3" t="s">
        <v>57</v>
      </c>
    </row>
    <row r="2779" spans="1:3" x14ac:dyDescent="0.2">
      <c r="A2779" s="3" t="s">
        <v>921</v>
      </c>
      <c r="B2779" s="3" t="s">
        <v>925</v>
      </c>
      <c r="C2779" s="3" t="s">
        <v>57</v>
      </c>
    </row>
    <row r="2780" spans="1:3" x14ac:dyDescent="0.2">
      <c r="A2780" s="3" t="s">
        <v>921</v>
      </c>
      <c r="B2780" s="3" t="s">
        <v>926</v>
      </c>
      <c r="C2780" s="3" t="s">
        <v>57</v>
      </c>
    </row>
    <row r="2781" spans="1:3" x14ac:dyDescent="0.2">
      <c r="A2781" s="3" t="s">
        <v>921</v>
      </c>
      <c r="B2781" s="3" t="s">
        <v>927</v>
      </c>
      <c r="C2781" s="3" t="s">
        <v>57</v>
      </c>
    </row>
    <row r="2782" spans="1:3" x14ac:dyDescent="0.2">
      <c r="A2782" s="3" t="s">
        <v>921</v>
      </c>
      <c r="B2782" s="3" t="s">
        <v>928</v>
      </c>
      <c r="C2782" s="3" t="s">
        <v>57</v>
      </c>
    </row>
    <row r="2783" spans="1:3" x14ac:dyDescent="0.2">
      <c r="A2783" s="3" t="s">
        <v>921</v>
      </c>
      <c r="B2783" s="3" t="s">
        <v>929</v>
      </c>
      <c r="C2783" s="3" t="s">
        <v>57</v>
      </c>
    </row>
    <row r="2784" spans="1:3" x14ac:dyDescent="0.2">
      <c r="A2784" s="3" t="s">
        <v>921</v>
      </c>
      <c r="B2784" s="3" t="s">
        <v>930</v>
      </c>
      <c r="C2784" s="3" t="s">
        <v>57</v>
      </c>
    </row>
    <row r="2785" spans="1:3" x14ac:dyDescent="0.2">
      <c r="A2785" s="3" t="s">
        <v>921</v>
      </c>
      <c r="B2785" s="3" t="s">
        <v>931</v>
      </c>
      <c r="C2785" s="3" t="s">
        <v>10</v>
      </c>
    </row>
    <row r="2786" spans="1:3" x14ac:dyDescent="0.2">
      <c r="A2786" s="3" t="s">
        <v>921</v>
      </c>
      <c r="B2786" s="3" t="s">
        <v>932</v>
      </c>
      <c r="C2786" s="3" t="s">
        <v>10</v>
      </c>
    </row>
    <row r="2787" spans="1:3" x14ac:dyDescent="0.2">
      <c r="A2787" s="3" t="s">
        <v>921</v>
      </c>
      <c r="B2787" s="3" t="s">
        <v>933</v>
      </c>
      <c r="C2787" s="3" t="s">
        <v>10</v>
      </c>
    </row>
    <row r="2788" spans="1:3" x14ac:dyDescent="0.2">
      <c r="A2788" s="3" t="s">
        <v>921</v>
      </c>
      <c r="B2788" s="3" t="s">
        <v>934</v>
      </c>
      <c r="C2788" s="3" t="s">
        <v>10</v>
      </c>
    </row>
    <row r="2789" spans="1:3" x14ac:dyDescent="0.2">
      <c r="A2789" s="3" t="s">
        <v>921</v>
      </c>
      <c r="B2789" s="3" t="s">
        <v>935</v>
      </c>
      <c r="C2789" s="3" t="s">
        <v>10</v>
      </c>
    </row>
    <row r="2790" spans="1:3" x14ac:dyDescent="0.2">
      <c r="A2790" s="3" t="s">
        <v>921</v>
      </c>
      <c r="B2790" s="3" t="s">
        <v>936</v>
      </c>
      <c r="C2790" s="3" t="s">
        <v>10</v>
      </c>
    </row>
    <row r="2791" spans="1:3" x14ac:dyDescent="0.2">
      <c r="A2791" s="3" t="s">
        <v>921</v>
      </c>
      <c r="B2791" s="3" t="s">
        <v>937</v>
      </c>
      <c r="C2791" s="3" t="s">
        <v>10</v>
      </c>
    </row>
    <row r="2792" spans="1:3" x14ac:dyDescent="0.2">
      <c r="A2792" s="3" t="s">
        <v>921</v>
      </c>
      <c r="B2792" s="3" t="s">
        <v>938</v>
      </c>
      <c r="C2792" s="3" t="s">
        <v>10</v>
      </c>
    </row>
    <row r="2793" spans="1:3" x14ac:dyDescent="0.2">
      <c r="A2793" s="3" t="s">
        <v>921</v>
      </c>
      <c r="B2793" s="3" t="s">
        <v>939</v>
      </c>
      <c r="C2793" s="3" t="s">
        <v>10</v>
      </c>
    </row>
    <row r="2794" spans="1:3" x14ac:dyDescent="0.2">
      <c r="A2794" s="3" t="s">
        <v>921</v>
      </c>
      <c r="B2794" s="3" t="s">
        <v>940</v>
      </c>
      <c r="C2794" s="3" t="s">
        <v>10</v>
      </c>
    </row>
    <row r="2795" spans="1:3" x14ac:dyDescent="0.2">
      <c r="A2795" s="3" t="s">
        <v>921</v>
      </c>
      <c r="B2795" s="3" t="s">
        <v>931</v>
      </c>
      <c r="C2795" s="3" t="s">
        <v>11</v>
      </c>
    </row>
    <row r="2796" spans="1:3" x14ac:dyDescent="0.2">
      <c r="A2796" s="3" t="s">
        <v>921</v>
      </c>
      <c r="B2796" s="3" t="s">
        <v>932</v>
      </c>
      <c r="C2796" s="3" t="s">
        <v>11</v>
      </c>
    </row>
    <row r="2797" spans="1:3" x14ac:dyDescent="0.2">
      <c r="A2797" s="3" t="s">
        <v>921</v>
      </c>
      <c r="B2797" s="3" t="s">
        <v>933</v>
      </c>
      <c r="C2797" s="3" t="s">
        <v>11</v>
      </c>
    </row>
    <row r="2798" spans="1:3" x14ac:dyDescent="0.2">
      <c r="A2798" s="3" t="s">
        <v>921</v>
      </c>
      <c r="B2798" s="3" t="s">
        <v>934</v>
      </c>
      <c r="C2798" s="3" t="s">
        <v>11</v>
      </c>
    </row>
    <row r="2799" spans="1:3" x14ac:dyDescent="0.2">
      <c r="A2799" s="3" t="s">
        <v>921</v>
      </c>
      <c r="B2799" s="3" t="s">
        <v>935</v>
      </c>
      <c r="C2799" s="3" t="s">
        <v>11</v>
      </c>
    </row>
    <row r="2800" spans="1:3" x14ac:dyDescent="0.2">
      <c r="A2800" s="3" t="s">
        <v>921</v>
      </c>
      <c r="B2800" s="3" t="s">
        <v>941</v>
      </c>
      <c r="C2800" s="3" t="s">
        <v>11</v>
      </c>
    </row>
    <row r="2801" spans="1:3" x14ac:dyDescent="0.2">
      <c r="A2801" s="3" t="s">
        <v>921</v>
      </c>
      <c r="B2801" s="3" t="s">
        <v>942</v>
      </c>
      <c r="C2801" s="3" t="s">
        <v>22</v>
      </c>
    </row>
    <row r="2802" spans="1:3" x14ac:dyDescent="0.2">
      <c r="A2802" s="3" t="s">
        <v>943</v>
      </c>
      <c r="B2802" s="3" t="s">
        <v>923</v>
      </c>
      <c r="C2802" s="3" t="s">
        <v>53</v>
      </c>
    </row>
    <row r="2803" spans="1:3" x14ac:dyDescent="0.2">
      <c r="A2803" s="3" t="s">
        <v>943</v>
      </c>
      <c r="B2803" s="3" t="s">
        <v>924</v>
      </c>
      <c r="C2803" s="3" t="s">
        <v>53</v>
      </c>
    </row>
    <row r="2804" spans="1:3" x14ac:dyDescent="0.2">
      <c r="A2804" s="3" t="s">
        <v>943</v>
      </c>
      <c r="B2804" s="3" t="s">
        <v>925</v>
      </c>
      <c r="C2804" s="3" t="s">
        <v>53</v>
      </c>
    </row>
    <row r="2805" spans="1:3" x14ac:dyDescent="0.2">
      <c r="A2805" s="3" t="s">
        <v>943</v>
      </c>
      <c r="B2805" s="3" t="s">
        <v>926</v>
      </c>
      <c r="C2805" s="3" t="s">
        <v>53</v>
      </c>
    </row>
    <row r="2806" spans="1:3" x14ac:dyDescent="0.2">
      <c r="A2806" s="3" t="s">
        <v>943</v>
      </c>
      <c r="B2806" s="3" t="s">
        <v>944</v>
      </c>
      <c r="C2806" s="3" t="s">
        <v>53</v>
      </c>
    </row>
    <row r="2807" spans="1:3" x14ac:dyDescent="0.2">
      <c r="A2807" s="3" t="s">
        <v>943</v>
      </c>
      <c r="B2807" s="3" t="s">
        <v>945</v>
      </c>
      <c r="C2807" s="3" t="s">
        <v>53</v>
      </c>
    </row>
    <row r="2808" spans="1:3" x14ac:dyDescent="0.2">
      <c r="A2808" s="3" t="s">
        <v>943</v>
      </c>
      <c r="B2808" s="3" t="s">
        <v>927</v>
      </c>
      <c r="C2808" s="3" t="s">
        <v>53</v>
      </c>
    </row>
    <row r="2809" spans="1:3" x14ac:dyDescent="0.2">
      <c r="A2809" s="3" t="s">
        <v>943</v>
      </c>
      <c r="B2809" s="3" t="s">
        <v>929</v>
      </c>
      <c r="C2809" s="3" t="s">
        <v>53</v>
      </c>
    </row>
    <row r="2810" spans="1:3" x14ac:dyDescent="0.2">
      <c r="A2810" s="3" t="s">
        <v>943</v>
      </c>
      <c r="B2810" s="3" t="s">
        <v>946</v>
      </c>
      <c r="C2810" s="3" t="s">
        <v>53</v>
      </c>
    </row>
    <row r="2811" spans="1:3" x14ac:dyDescent="0.2">
      <c r="A2811" s="3" t="s">
        <v>943</v>
      </c>
      <c r="B2811" s="3" t="s">
        <v>947</v>
      </c>
      <c r="C2811" s="3" t="s">
        <v>53</v>
      </c>
    </row>
    <row r="2812" spans="1:3" x14ac:dyDescent="0.2">
      <c r="A2812" s="3" t="s">
        <v>943</v>
      </c>
      <c r="B2812" s="3" t="s">
        <v>948</v>
      </c>
      <c r="C2812" s="3" t="s">
        <v>53</v>
      </c>
    </row>
    <row r="2813" spans="1:3" x14ac:dyDescent="0.2">
      <c r="A2813" s="3" t="s">
        <v>943</v>
      </c>
      <c r="B2813" s="3" t="s">
        <v>949</v>
      </c>
      <c r="C2813" s="3" t="s">
        <v>53</v>
      </c>
    </row>
    <row r="2814" spans="1:3" x14ac:dyDescent="0.2">
      <c r="A2814" s="3" t="s">
        <v>943</v>
      </c>
      <c r="B2814" s="3" t="s">
        <v>950</v>
      </c>
      <c r="C2814" s="3" t="s">
        <v>53</v>
      </c>
    </row>
    <row r="2815" spans="1:3" x14ac:dyDescent="0.2">
      <c r="A2815" s="3" t="s">
        <v>943</v>
      </c>
      <c r="B2815" s="3" t="s">
        <v>923</v>
      </c>
      <c r="C2815" s="3" t="s">
        <v>54</v>
      </c>
    </row>
    <row r="2816" spans="1:3" x14ac:dyDescent="0.2">
      <c r="A2816" s="3" t="s">
        <v>943</v>
      </c>
      <c r="B2816" s="3" t="s">
        <v>924</v>
      </c>
      <c r="C2816" s="3" t="s">
        <v>54</v>
      </c>
    </row>
    <row r="2817" spans="1:3" x14ac:dyDescent="0.2">
      <c r="A2817" s="3" t="s">
        <v>943</v>
      </c>
      <c r="B2817" s="3" t="s">
        <v>925</v>
      </c>
      <c r="C2817" s="3" t="s">
        <v>54</v>
      </c>
    </row>
    <row r="2818" spans="1:3" x14ac:dyDescent="0.2">
      <c r="A2818" s="3" t="s">
        <v>943</v>
      </c>
      <c r="B2818" s="3" t="s">
        <v>926</v>
      </c>
      <c r="C2818" s="3" t="s">
        <v>54</v>
      </c>
    </row>
    <row r="2819" spans="1:3" x14ac:dyDescent="0.2">
      <c r="A2819" s="3" t="s">
        <v>943</v>
      </c>
      <c r="B2819" s="3" t="s">
        <v>944</v>
      </c>
      <c r="C2819" s="3" t="s">
        <v>54</v>
      </c>
    </row>
    <row r="2820" spans="1:3" x14ac:dyDescent="0.2">
      <c r="A2820" s="3" t="s">
        <v>943</v>
      </c>
      <c r="B2820" s="3" t="s">
        <v>945</v>
      </c>
      <c r="C2820" s="3" t="s">
        <v>54</v>
      </c>
    </row>
    <row r="2821" spans="1:3" x14ac:dyDescent="0.2">
      <c r="A2821" s="3" t="s">
        <v>943</v>
      </c>
      <c r="B2821" s="3" t="s">
        <v>927</v>
      </c>
      <c r="C2821" s="3" t="s">
        <v>54</v>
      </c>
    </row>
    <row r="2822" spans="1:3" x14ac:dyDescent="0.2">
      <c r="A2822" s="3" t="s">
        <v>943</v>
      </c>
      <c r="B2822" s="3" t="s">
        <v>929</v>
      </c>
      <c r="C2822" s="3" t="s">
        <v>54</v>
      </c>
    </row>
    <row r="2823" spans="1:3" x14ac:dyDescent="0.2">
      <c r="A2823" s="3" t="s">
        <v>943</v>
      </c>
      <c r="B2823" s="3" t="s">
        <v>946</v>
      </c>
      <c r="C2823" s="3" t="s">
        <v>54</v>
      </c>
    </row>
    <row r="2824" spans="1:3" x14ac:dyDescent="0.2">
      <c r="A2824" s="3" t="s">
        <v>943</v>
      </c>
      <c r="B2824" s="3" t="s">
        <v>947</v>
      </c>
      <c r="C2824" s="3" t="s">
        <v>54</v>
      </c>
    </row>
    <row r="2825" spans="1:3" x14ac:dyDescent="0.2">
      <c r="A2825" s="3" t="s">
        <v>943</v>
      </c>
      <c r="B2825" s="3" t="s">
        <v>948</v>
      </c>
      <c r="C2825" s="3" t="s">
        <v>54</v>
      </c>
    </row>
    <row r="2826" spans="1:3" x14ac:dyDescent="0.2">
      <c r="A2826" s="3" t="s">
        <v>943</v>
      </c>
      <c r="B2826" s="3" t="s">
        <v>949</v>
      </c>
      <c r="C2826" s="3" t="s">
        <v>54</v>
      </c>
    </row>
    <row r="2827" spans="1:3" x14ac:dyDescent="0.2">
      <c r="A2827" s="3" t="s">
        <v>943</v>
      </c>
      <c r="B2827" s="3" t="s">
        <v>950</v>
      </c>
      <c r="C2827" s="3" t="s">
        <v>54</v>
      </c>
    </row>
    <row r="2828" spans="1:3" x14ac:dyDescent="0.2">
      <c r="A2828" s="3" t="s">
        <v>943</v>
      </c>
      <c r="B2828" s="3" t="s">
        <v>923</v>
      </c>
      <c r="C2828" s="3" t="s">
        <v>55</v>
      </c>
    </row>
    <row r="2829" spans="1:3" x14ac:dyDescent="0.2">
      <c r="A2829" s="3" t="s">
        <v>943</v>
      </c>
      <c r="B2829" s="3" t="s">
        <v>924</v>
      </c>
      <c r="C2829" s="3" t="s">
        <v>55</v>
      </c>
    </row>
    <row r="2830" spans="1:3" x14ac:dyDescent="0.2">
      <c r="A2830" s="3" t="s">
        <v>943</v>
      </c>
      <c r="B2830" s="3" t="s">
        <v>925</v>
      </c>
      <c r="C2830" s="3" t="s">
        <v>55</v>
      </c>
    </row>
    <row r="2831" spans="1:3" x14ac:dyDescent="0.2">
      <c r="A2831" s="3" t="s">
        <v>943</v>
      </c>
      <c r="B2831" s="3" t="s">
        <v>926</v>
      </c>
      <c r="C2831" s="3" t="s">
        <v>55</v>
      </c>
    </row>
    <row r="2832" spans="1:3" x14ac:dyDescent="0.2">
      <c r="A2832" s="3" t="s">
        <v>943</v>
      </c>
      <c r="B2832" s="3" t="s">
        <v>944</v>
      </c>
      <c r="C2832" s="3" t="s">
        <v>55</v>
      </c>
    </row>
    <row r="2833" spans="1:3" x14ac:dyDescent="0.2">
      <c r="A2833" s="3" t="s">
        <v>943</v>
      </c>
      <c r="B2833" s="3" t="s">
        <v>945</v>
      </c>
      <c r="C2833" s="3" t="s">
        <v>55</v>
      </c>
    </row>
    <row r="2834" spans="1:3" x14ac:dyDescent="0.2">
      <c r="A2834" s="3" t="s">
        <v>943</v>
      </c>
      <c r="B2834" s="3" t="s">
        <v>927</v>
      </c>
      <c r="C2834" s="3" t="s">
        <v>55</v>
      </c>
    </row>
    <row r="2835" spans="1:3" x14ac:dyDescent="0.2">
      <c r="A2835" s="3" t="s">
        <v>943</v>
      </c>
      <c r="B2835" s="3" t="s">
        <v>929</v>
      </c>
      <c r="C2835" s="3" t="s">
        <v>55</v>
      </c>
    </row>
    <row r="2836" spans="1:3" x14ac:dyDescent="0.2">
      <c r="A2836" s="3" t="s">
        <v>943</v>
      </c>
      <c r="B2836" s="3" t="s">
        <v>946</v>
      </c>
      <c r="C2836" s="3" t="s">
        <v>55</v>
      </c>
    </row>
    <row r="2837" spans="1:3" x14ac:dyDescent="0.2">
      <c r="A2837" s="3" t="s">
        <v>943</v>
      </c>
      <c r="B2837" s="3" t="s">
        <v>947</v>
      </c>
      <c r="C2837" s="3" t="s">
        <v>55</v>
      </c>
    </row>
    <row r="2838" spans="1:3" x14ac:dyDescent="0.2">
      <c r="A2838" s="3" t="s">
        <v>943</v>
      </c>
      <c r="B2838" s="3" t="s">
        <v>948</v>
      </c>
      <c r="C2838" s="3" t="s">
        <v>55</v>
      </c>
    </row>
    <row r="2839" spans="1:3" x14ac:dyDescent="0.2">
      <c r="A2839" s="3" t="s">
        <v>943</v>
      </c>
      <c r="B2839" s="3" t="s">
        <v>949</v>
      </c>
      <c r="C2839" s="3" t="s">
        <v>55</v>
      </c>
    </row>
    <row r="2840" spans="1:3" x14ac:dyDescent="0.2">
      <c r="A2840" s="3" t="s">
        <v>943</v>
      </c>
      <c r="B2840" s="3" t="s">
        <v>950</v>
      </c>
      <c r="C2840" s="3" t="s">
        <v>55</v>
      </c>
    </row>
    <row r="2841" spans="1:3" x14ac:dyDescent="0.2">
      <c r="A2841" s="3" t="s">
        <v>943</v>
      </c>
      <c r="B2841" s="3" t="s">
        <v>923</v>
      </c>
      <c r="C2841" s="3" t="s">
        <v>56</v>
      </c>
    </row>
    <row r="2842" spans="1:3" x14ac:dyDescent="0.2">
      <c r="A2842" s="3" t="s">
        <v>943</v>
      </c>
      <c r="B2842" s="3" t="s">
        <v>924</v>
      </c>
      <c r="C2842" s="3" t="s">
        <v>56</v>
      </c>
    </row>
    <row r="2843" spans="1:3" x14ac:dyDescent="0.2">
      <c r="A2843" s="3" t="s">
        <v>943</v>
      </c>
      <c r="B2843" s="3" t="s">
        <v>925</v>
      </c>
      <c r="C2843" s="3" t="s">
        <v>56</v>
      </c>
    </row>
    <row r="2844" spans="1:3" x14ac:dyDescent="0.2">
      <c r="A2844" s="3" t="s">
        <v>943</v>
      </c>
      <c r="B2844" s="3" t="s">
        <v>926</v>
      </c>
      <c r="C2844" s="3" t="s">
        <v>56</v>
      </c>
    </row>
    <row r="2845" spans="1:3" x14ac:dyDescent="0.2">
      <c r="A2845" s="3" t="s">
        <v>943</v>
      </c>
      <c r="B2845" s="3" t="s">
        <v>944</v>
      </c>
      <c r="C2845" s="3" t="s">
        <v>56</v>
      </c>
    </row>
    <row r="2846" spans="1:3" x14ac:dyDescent="0.2">
      <c r="A2846" s="3" t="s">
        <v>943</v>
      </c>
      <c r="B2846" s="3" t="s">
        <v>945</v>
      </c>
      <c r="C2846" s="3" t="s">
        <v>56</v>
      </c>
    </row>
    <row r="2847" spans="1:3" x14ac:dyDescent="0.2">
      <c r="A2847" s="3" t="s">
        <v>943</v>
      </c>
      <c r="B2847" s="3" t="s">
        <v>927</v>
      </c>
      <c r="C2847" s="3" t="s">
        <v>56</v>
      </c>
    </row>
    <row r="2848" spans="1:3" x14ac:dyDescent="0.2">
      <c r="A2848" s="3" t="s">
        <v>943</v>
      </c>
      <c r="B2848" s="3" t="s">
        <v>929</v>
      </c>
      <c r="C2848" s="3" t="s">
        <v>56</v>
      </c>
    </row>
    <row r="2849" spans="1:3" x14ac:dyDescent="0.2">
      <c r="A2849" s="3" t="s">
        <v>943</v>
      </c>
      <c r="B2849" s="3" t="s">
        <v>946</v>
      </c>
      <c r="C2849" s="3" t="s">
        <v>56</v>
      </c>
    </row>
    <row r="2850" spans="1:3" x14ac:dyDescent="0.2">
      <c r="A2850" s="3" t="s">
        <v>943</v>
      </c>
      <c r="B2850" s="3" t="s">
        <v>947</v>
      </c>
      <c r="C2850" s="3" t="s">
        <v>56</v>
      </c>
    </row>
    <row r="2851" spans="1:3" x14ac:dyDescent="0.2">
      <c r="A2851" s="3" t="s">
        <v>943</v>
      </c>
      <c r="B2851" s="3" t="s">
        <v>948</v>
      </c>
      <c r="C2851" s="3" t="s">
        <v>56</v>
      </c>
    </row>
    <row r="2852" spans="1:3" x14ac:dyDescent="0.2">
      <c r="A2852" s="3" t="s">
        <v>943</v>
      </c>
      <c r="B2852" s="3" t="s">
        <v>949</v>
      </c>
      <c r="C2852" s="3" t="s">
        <v>56</v>
      </c>
    </row>
    <row r="2853" spans="1:3" x14ac:dyDescent="0.2">
      <c r="A2853" s="3" t="s">
        <v>943</v>
      </c>
      <c r="B2853" s="3" t="s">
        <v>950</v>
      </c>
      <c r="C2853" s="3" t="s">
        <v>56</v>
      </c>
    </row>
    <row r="2854" spans="1:3" x14ac:dyDescent="0.2">
      <c r="A2854" s="3" t="s">
        <v>943</v>
      </c>
      <c r="B2854" s="3" t="s">
        <v>923</v>
      </c>
      <c r="C2854" s="3" t="s">
        <v>57</v>
      </c>
    </row>
    <row r="2855" spans="1:3" x14ac:dyDescent="0.2">
      <c r="A2855" s="3" t="s">
        <v>943</v>
      </c>
      <c r="B2855" s="3" t="s">
        <v>924</v>
      </c>
      <c r="C2855" s="3" t="s">
        <v>57</v>
      </c>
    </row>
    <row r="2856" spans="1:3" x14ac:dyDescent="0.2">
      <c r="A2856" s="3" t="s">
        <v>943</v>
      </c>
      <c r="B2856" s="3" t="s">
        <v>925</v>
      </c>
      <c r="C2856" s="3" t="s">
        <v>57</v>
      </c>
    </row>
    <row r="2857" spans="1:3" x14ac:dyDescent="0.2">
      <c r="A2857" s="3" t="s">
        <v>943</v>
      </c>
      <c r="B2857" s="3" t="s">
        <v>926</v>
      </c>
      <c r="C2857" s="3" t="s">
        <v>57</v>
      </c>
    </row>
    <row r="2858" spans="1:3" x14ac:dyDescent="0.2">
      <c r="A2858" s="3" t="s">
        <v>943</v>
      </c>
      <c r="B2858" s="3" t="s">
        <v>944</v>
      </c>
      <c r="C2858" s="3" t="s">
        <v>57</v>
      </c>
    </row>
    <row r="2859" spans="1:3" x14ac:dyDescent="0.2">
      <c r="A2859" s="3" t="s">
        <v>943</v>
      </c>
      <c r="B2859" s="3" t="s">
        <v>945</v>
      </c>
      <c r="C2859" s="3" t="s">
        <v>57</v>
      </c>
    </row>
    <row r="2860" spans="1:3" x14ac:dyDescent="0.2">
      <c r="A2860" s="3" t="s">
        <v>943</v>
      </c>
      <c r="B2860" s="3" t="s">
        <v>927</v>
      </c>
      <c r="C2860" s="3" t="s">
        <v>57</v>
      </c>
    </row>
    <row r="2861" spans="1:3" x14ac:dyDescent="0.2">
      <c r="A2861" s="3" t="s">
        <v>943</v>
      </c>
      <c r="B2861" s="3" t="s">
        <v>929</v>
      </c>
      <c r="C2861" s="3" t="s">
        <v>57</v>
      </c>
    </row>
    <row r="2862" spans="1:3" x14ac:dyDescent="0.2">
      <c r="A2862" s="3" t="s">
        <v>943</v>
      </c>
      <c r="B2862" s="3" t="s">
        <v>946</v>
      </c>
      <c r="C2862" s="3" t="s">
        <v>57</v>
      </c>
    </row>
    <row r="2863" spans="1:3" x14ac:dyDescent="0.2">
      <c r="A2863" s="3" t="s">
        <v>943</v>
      </c>
      <c r="B2863" s="3" t="s">
        <v>947</v>
      </c>
      <c r="C2863" s="3" t="s">
        <v>57</v>
      </c>
    </row>
    <row r="2864" spans="1:3" x14ac:dyDescent="0.2">
      <c r="A2864" s="3" t="s">
        <v>943</v>
      </c>
      <c r="B2864" s="3" t="s">
        <v>948</v>
      </c>
      <c r="C2864" s="3" t="s">
        <v>57</v>
      </c>
    </row>
    <row r="2865" spans="1:3" x14ac:dyDescent="0.2">
      <c r="A2865" s="3" t="s">
        <v>943</v>
      </c>
      <c r="B2865" s="3" t="s">
        <v>949</v>
      </c>
      <c r="C2865" s="3" t="s">
        <v>57</v>
      </c>
    </row>
    <row r="2866" spans="1:3" x14ac:dyDescent="0.2">
      <c r="A2866" s="3" t="s">
        <v>943</v>
      </c>
      <c r="B2866" s="3" t="s">
        <v>950</v>
      </c>
      <c r="C2866" s="3" t="s">
        <v>57</v>
      </c>
    </row>
    <row r="2867" spans="1:3" x14ac:dyDescent="0.2">
      <c r="A2867" s="3" t="s">
        <v>943</v>
      </c>
      <c r="B2867" s="3" t="s">
        <v>951</v>
      </c>
      <c r="C2867" s="3" t="s">
        <v>169</v>
      </c>
    </row>
    <row r="2868" spans="1:3" x14ac:dyDescent="0.2">
      <c r="A2868" s="3" t="s">
        <v>943</v>
      </c>
      <c r="B2868" s="3" t="s">
        <v>952</v>
      </c>
      <c r="C2868" s="3" t="s">
        <v>169</v>
      </c>
    </row>
    <row r="2869" spans="1:3" x14ac:dyDescent="0.2">
      <c r="A2869" s="3" t="s">
        <v>943</v>
      </c>
      <c r="B2869" s="3" t="s">
        <v>953</v>
      </c>
      <c r="C2869" s="3" t="s">
        <v>169</v>
      </c>
    </row>
    <row r="2870" spans="1:3" x14ac:dyDescent="0.2">
      <c r="A2870" s="3" t="s">
        <v>943</v>
      </c>
      <c r="B2870" s="3" t="s">
        <v>954</v>
      </c>
      <c r="C2870" s="3" t="s">
        <v>169</v>
      </c>
    </row>
    <row r="2871" spans="1:3" x14ac:dyDescent="0.2">
      <c r="A2871" s="3" t="s">
        <v>943</v>
      </c>
      <c r="B2871" s="3" t="s">
        <v>955</v>
      </c>
      <c r="C2871" s="3" t="s">
        <v>169</v>
      </c>
    </row>
    <row r="2872" spans="1:3" x14ac:dyDescent="0.2">
      <c r="A2872" s="3" t="s">
        <v>943</v>
      </c>
      <c r="B2872" s="3" t="s">
        <v>956</v>
      </c>
      <c r="C2872" s="3" t="s">
        <v>169</v>
      </c>
    </row>
    <row r="2873" spans="1:3" x14ac:dyDescent="0.2">
      <c r="A2873" s="3" t="s">
        <v>943</v>
      </c>
      <c r="B2873" s="3" t="s">
        <v>957</v>
      </c>
      <c r="C2873" s="3" t="s">
        <v>169</v>
      </c>
    </row>
    <row r="2874" spans="1:3" x14ac:dyDescent="0.2">
      <c r="A2874" s="3" t="s">
        <v>943</v>
      </c>
      <c r="B2874" s="3" t="s">
        <v>958</v>
      </c>
      <c r="C2874" s="3" t="s">
        <v>169</v>
      </c>
    </row>
    <row r="2875" spans="1:3" x14ac:dyDescent="0.2">
      <c r="A2875" s="3" t="s">
        <v>943</v>
      </c>
      <c r="B2875" s="3" t="s">
        <v>959</v>
      </c>
      <c r="C2875" s="3" t="s">
        <v>169</v>
      </c>
    </row>
    <row r="2876" spans="1:3" x14ac:dyDescent="0.2">
      <c r="A2876" s="3" t="s">
        <v>943</v>
      </c>
      <c r="B2876" s="3" t="s">
        <v>960</v>
      </c>
      <c r="C2876" s="3" t="s">
        <v>169</v>
      </c>
    </row>
    <row r="2877" spans="1:3" x14ac:dyDescent="0.2">
      <c r="A2877" s="3" t="s">
        <v>943</v>
      </c>
      <c r="B2877" s="3" t="s">
        <v>961</v>
      </c>
      <c r="C2877" s="3" t="s">
        <v>169</v>
      </c>
    </row>
    <row r="2878" spans="1:3" x14ac:dyDescent="0.2">
      <c r="A2878" s="3" t="s">
        <v>943</v>
      </c>
      <c r="B2878" s="3" t="s">
        <v>962</v>
      </c>
      <c r="C2878" s="3" t="s">
        <v>169</v>
      </c>
    </row>
    <row r="2879" spans="1:3" x14ac:dyDescent="0.2">
      <c r="A2879" s="3" t="s">
        <v>963</v>
      </c>
      <c r="B2879" s="3" t="s">
        <v>964</v>
      </c>
      <c r="C2879" s="3" t="s">
        <v>53</v>
      </c>
    </row>
    <row r="2880" spans="1:3" x14ac:dyDescent="0.2">
      <c r="A2880" s="3" t="s">
        <v>963</v>
      </c>
      <c r="B2880" s="3" t="s">
        <v>965</v>
      </c>
      <c r="C2880" s="3" t="s">
        <v>53</v>
      </c>
    </row>
    <row r="2881" spans="1:3" x14ac:dyDescent="0.2">
      <c r="A2881" s="3" t="s">
        <v>963</v>
      </c>
      <c r="B2881" s="3" t="s">
        <v>966</v>
      </c>
      <c r="C2881" s="3" t="s">
        <v>53</v>
      </c>
    </row>
    <row r="2882" spans="1:3" x14ac:dyDescent="0.2">
      <c r="A2882" s="3" t="s">
        <v>963</v>
      </c>
      <c r="B2882" s="3" t="s">
        <v>967</v>
      </c>
      <c r="C2882" s="3" t="s">
        <v>53</v>
      </c>
    </row>
    <row r="2883" spans="1:3" x14ac:dyDescent="0.2">
      <c r="A2883" s="3" t="s">
        <v>963</v>
      </c>
      <c r="B2883" s="3" t="s">
        <v>723</v>
      </c>
      <c r="C2883" s="3" t="s">
        <v>53</v>
      </c>
    </row>
    <row r="2884" spans="1:3" x14ac:dyDescent="0.2">
      <c r="A2884" s="3" t="s">
        <v>963</v>
      </c>
      <c r="B2884" s="3" t="s">
        <v>724</v>
      </c>
      <c r="C2884" s="3" t="s">
        <v>53</v>
      </c>
    </row>
    <row r="2885" spans="1:3" x14ac:dyDescent="0.2">
      <c r="A2885" s="3" t="s">
        <v>963</v>
      </c>
      <c r="B2885" s="3" t="s">
        <v>725</v>
      </c>
      <c r="C2885" s="3" t="s">
        <v>53</v>
      </c>
    </row>
    <row r="2886" spans="1:3" x14ac:dyDescent="0.2">
      <c r="A2886" s="3" t="s">
        <v>963</v>
      </c>
      <c r="B2886" s="3" t="s">
        <v>968</v>
      </c>
      <c r="C2886" s="3" t="s">
        <v>53</v>
      </c>
    </row>
    <row r="2887" spans="1:3" x14ac:dyDescent="0.2">
      <c r="A2887" s="3" t="s">
        <v>963</v>
      </c>
      <c r="B2887" s="3" t="s">
        <v>969</v>
      </c>
      <c r="C2887" s="3" t="s">
        <v>53</v>
      </c>
    </row>
    <row r="2888" spans="1:3" x14ac:dyDescent="0.2">
      <c r="A2888" s="3" t="s">
        <v>963</v>
      </c>
      <c r="B2888" s="3" t="s">
        <v>970</v>
      </c>
      <c r="C2888" s="3" t="s">
        <v>53</v>
      </c>
    </row>
    <row r="2889" spans="1:3" x14ac:dyDescent="0.2">
      <c r="A2889" s="3" t="s">
        <v>963</v>
      </c>
      <c r="B2889" s="3" t="s">
        <v>971</v>
      </c>
      <c r="C2889" s="3" t="s">
        <v>53</v>
      </c>
    </row>
    <row r="2890" spans="1:3" x14ac:dyDescent="0.2">
      <c r="A2890" s="3" t="s">
        <v>963</v>
      </c>
      <c r="B2890" s="3" t="s">
        <v>972</v>
      </c>
      <c r="C2890" s="3" t="s">
        <v>53</v>
      </c>
    </row>
    <row r="2891" spans="1:3" x14ac:dyDescent="0.2">
      <c r="A2891" s="3" t="s">
        <v>963</v>
      </c>
      <c r="B2891" s="3" t="s">
        <v>973</v>
      </c>
      <c r="C2891" s="3" t="s">
        <v>53</v>
      </c>
    </row>
    <row r="2892" spans="1:3" x14ac:dyDescent="0.2">
      <c r="A2892" s="3" t="s">
        <v>963</v>
      </c>
      <c r="B2892" s="3" t="s">
        <v>974</v>
      </c>
      <c r="C2892" s="3" t="s">
        <v>53</v>
      </c>
    </row>
    <row r="2893" spans="1:3" x14ac:dyDescent="0.2">
      <c r="A2893" s="3" t="s">
        <v>963</v>
      </c>
      <c r="B2893" s="3" t="s">
        <v>975</v>
      </c>
      <c r="C2893" s="3" t="s">
        <v>53</v>
      </c>
    </row>
    <row r="2894" spans="1:3" x14ac:dyDescent="0.2">
      <c r="A2894" s="3" t="s">
        <v>963</v>
      </c>
      <c r="B2894" s="3" t="s">
        <v>976</v>
      </c>
      <c r="C2894" s="3" t="s">
        <v>53</v>
      </c>
    </row>
    <row r="2895" spans="1:3" x14ac:dyDescent="0.2">
      <c r="A2895" s="3" t="s">
        <v>963</v>
      </c>
      <c r="B2895" s="3" t="s">
        <v>977</v>
      </c>
      <c r="C2895" s="3" t="s">
        <v>53</v>
      </c>
    </row>
    <row r="2896" spans="1:3" x14ac:dyDescent="0.2">
      <c r="A2896" s="3" t="s">
        <v>963</v>
      </c>
      <c r="B2896" s="3" t="s">
        <v>978</v>
      </c>
      <c r="C2896" s="3" t="s">
        <v>53</v>
      </c>
    </row>
    <row r="2897" spans="1:3" x14ac:dyDescent="0.2">
      <c r="A2897" s="3" t="s">
        <v>963</v>
      </c>
      <c r="B2897" s="3" t="s">
        <v>979</v>
      </c>
      <c r="C2897" s="3" t="s">
        <v>53</v>
      </c>
    </row>
    <row r="2898" spans="1:3" x14ac:dyDescent="0.2">
      <c r="A2898" s="3" t="s">
        <v>963</v>
      </c>
      <c r="B2898" s="3" t="s">
        <v>980</v>
      </c>
      <c r="C2898" s="3" t="s">
        <v>53</v>
      </c>
    </row>
    <row r="2899" spans="1:3" x14ac:dyDescent="0.2">
      <c r="A2899" s="3" t="s">
        <v>963</v>
      </c>
      <c r="B2899" s="3" t="s">
        <v>981</v>
      </c>
      <c r="C2899" s="3" t="s">
        <v>53</v>
      </c>
    </row>
    <row r="2900" spans="1:3" x14ac:dyDescent="0.2">
      <c r="A2900" s="3" t="s">
        <v>963</v>
      </c>
      <c r="B2900" s="3" t="s">
        <v>982</v>
      </c>
      <c r="C2900" s="3" t="s">
        <v>53</v>
      </c>
    </row>
    <row r="2901" spans="1:3" x14ac:dyDescent="0.2">
      <c r="A2901" s="3" t="s">
        <v>963</v>
      </c>
      <c r="B2901" s="3" t="s">
        <v>983</v>
      </c>
      <c r="C2901" s="3" t="s">
        <v>53</v>
      </c>
    </row>
    <row r="2902" spans="1:3" x14ac:dyDescent="0.2">
      <c r="A2902" s="3" t="s">
        <v>963</v>
      </c>
      <c r="B2902" s="3" t="s">
        <v>984</v>
      </c>
      <c r="C2902" s="3" t="s">
        <v>53</v>
      </c>
    </row>
    <row r="2903" spans="1:3" x14ac:dyDescent="0.2">
      <c r="A2903" s="3" t="s">
        <v>963</v>
      </c>
      <c r="B2903" s="3" t="s">
        <v>985</v>
      </c>
      <c r="C2903" s="3" t="s">
        <v>53</v>
      </c>
    </row>
    <row r="2904" spans="1:3" x14ac:dyDescent="0.2">
      <c r="A2904" s="3" t="s">
        <v>963</v>
      </c>
      <c r="B2904" s="3" t="s">
        <v>986</v>
      </c>
      <c r="C2904" s="3" t="s">
        <v>53</v>
      </c>
    </row>
    <row r="2905" spans="1:3" x14ac:dyDescent="0.2">
      <c r="A2905" s="3" t="s">
        <v>963</v>
      </c>
      <c r="B2905" s="3" t="s">
        <v>987</v>
      </c>
      <c r="C2905" s="3" t="s">
        <v>53</v>
      </c>
    </row>
    <row r="2906" spans="1:3" x14ac:dyDescent="0.2">
      <c r="A2906" s="3" t="s">
        <v>963</v>
      </c>
      <c r="B2906" s="3" t="s">
        <v>988</v>
      </c>
      <c r="C2906" s="3" t="s">
        <v>53</v>
      </c>
    </row>
    <row r="2907" spans="1:3" x14ac:dyDescent="0.2">
      <c r="A2907" s="3" t="s">
        <v>963</v>
      </c>
      <c r="B2907" s="3" t="s">
        <v>989</v>
      </c>
      <c r="C2907" s="3" t="s">
        <v>53</v>
      </c>
    </row>
    <row r="2908" spans="1:3" x14ac:dyDescent="0.2">
      <c r="A2908" s="3" t="s">
        <v>963</v>
      </c>
      <c r="B2908" s="3" t="s">
        <v>990</v>
      </c>
      <c r="C2908" s="3" t="s">
        <v>53</v>
      </c>
    </row>
    <row r="2909" spans="1:3" x14ac:dyDescent="0.2">
      <c r="A2909" s="3" t="s">
        <v>963</v>
      </c>
      <c r="B2909" s="3" t="s">
        <v>991</v>
      </c>
      <c r="C2909" s="3" t="s">
        <v>53</v>
      </c>
    </row>
    <row r="2910" spans="1:3" x14ac:dyDescent="0.2">
      <c r="A2910" s="3" t="s">
        <v>963</v>
      </c>
      <c r="B2910" s="3" t="s">
        <v>992</v>
      </c>
      <c r="C2910" s="3" t="s">
        <v>53</v>
      </c>
    </row>
    <row r="2911" spans="1:3" x14ac:dyDescent="0.2">
      <c r="A2911" s="3" t="s">
        <v>963</v>
      </c>
      <c r="B2911" s="3" t="s">
        <v>964</v>
      </c>
      <c r="C2911" s="3" t="s">
        <v>54</v>
      </c>
    </row>
    <row r="2912" spans="1:3" x14ac:dyDescent="0.2">
      <c r="A2912" s="3" t="s">
        <v>963</v>
      </c>
      <c r="B2912" s="3" t="s">
        <v>965</v>
      </c>
      <c r="C2912" s="3" t="s">
        <v>54</v>
      </c>
    </row>
    <row r="2913" spans="1:3" x14ac:dyDescent="0.2">
      <c r="A2913" s="3" t="s">
        <v>963</v>
      </c>
      <c r="B2913" s="3" t="s">
        <v>966</v>
      </c>
      <c r="C2913" s="3" t="s">
        <v>54</v>
      </c>
    </row>
    <row r="2914" spans="1:3" x14ac:dyDescent="0.2">
      <c r="A2914" s="3" t="s">
        <v>963</v>
      </c>
      <c r="B2914" s="3" t="s">
        <v>967</v>
      </c>
      <c r="C2914" s="3" t="s">
        <v>54</v>
      </c>
    </row>
    <row r="2915" spans="1:3" x14ac:dyDescent="0.2">
      <c r="A2915" s="3" t="s">
        <v>963</v>
      </c>
      <c r="B2915" s="3" t="s">
        <v>723</v>
      </c>
      <c r="C2915" s="3" t="s">
        <v>54</v>
      </c>
    </row>
    <row r="2916" spans="1:3" x14ac:dyDescent="0.2">
      <c r="A2916" s="3" t="s">
        <v>963</v>
      </c>
      <c r="B2916" s="3" t="s">
        <v>724</v>
      </c>
      <c r="C2916" s="3" t="s">
        <v>54</v>
      </c>
    </row>
    <row r="2917" spans="1:3" x14ac:dyDescent="0.2">
      <c r="A2917" s="3" t="s">
        <v>963</v>
      </c>
      <c r="B2917" s="3" t="s">
        <v>725</v>
      </c>
      <c r="C2917" s="3" t="s">
        <v>54</v>
      </c>
    </row>
    <row r="2918" spans="1:3" x14ac:dyDescent="0.2">
      <c r="A2918" s="3" t="s">
        <v>963</v>
      </c>
      <c r="B2918" s="3" t="s">
        <v>968</v>
      </c>
      <c r="C2918" s="3" t="s">
        <v>54</v>
      </c>
    </row>
    <row r="2919" spans="1:3" x14ac:dyDescent="0.2">
      <c r="A2919" s="3" t="s">
        <v>963</v>
      </c>
      <c r="B2919" s="3" t="s">
        <v>969</v>
      </c>
      <c r="C2919" s="3" t="s">
        <v>54</v>
      </c>
    </row>
    <row r="2920" spans="1:3" x14ac:dyDescent="0.2">
      <c r="A2920" s="3" t="s">
        <v>963</v>
      </c>
      <c r="B2920" s="3" t="s">
        <v>970</v>
      </c>
      <c r="C2920" s="3" t="s">
        <v>54</v>
      </c>
    </row>
    <row r="2921" spans="1:3" x14ac:dyDescent="0.2">
      <c r="A2921" s="3" t="s">
        <v>963</v>
      </c>
      <c r="B2921" s="3" t="s">
        <v>971</v>
      </c>
      <c r="C2921" s="3" t="s">
        <v>54</v>
      </c>
    </row>
    <row r="2922" spans="1:3" x14ac:dyDescent="0.2">
      <c r="A2922" s="3" t="s">
        <v>963</v>
      </c>
      <c r="B2922" s="3" t="s">
        <v>972</v>
      </c>
      <c r="C2922" s="3" t="s">
        <v>54</v>
      </c>
    </row>
    <row r="2923" spans="1:3" x14ac:dyDescent="0.2">
      <c r="A2923" s="3" t="s">
        <v>963</v>
      </c>
      <c r="B2923" s="3" t="s">
        <v>973</v>
      </c>
      <c r="C2923" s="3" t="s">
        <v>54</v>
      </c>
    </row>
    <row r="2924" spans="1:3" x14ac:dyDescent="0.2">
      <c r="A2924" s="3" t="s">
        <v>963</v>
      </c>
      <c r="B2924" s="3" t="s">
        <v>974</v>
      </c>
      <c r="C2924" s="3" t="s">
        <v>54</v>
      </c>
    </row>
    <row r="2925" spans="1:3" x14ac:dyDescent="0.2">
      <c r="A2925" s="3" t="s">
        <v>963</v>
      </c>
      <c r="B2925" s="3" t="s">
        <v>975</v>
      </c>
      <c r="C2925" s="3" t="s">
        <v>54</v>
      </c>
    </row>
    <row r="2926" spans="1:3" x14ac:dyDescent="0.2">
      <c r="A2926" s="3" t="s">
        <v>963</v>
      </c>
      <c r="B2926" s="3" t="s">
        <v>976</v>
      </c>
      <c r="C2926" s="3" t="s">
        <v>54</v>
      </c>
    </row>
    <row r="2927" spans="1:3" x14ac:dyDescent="0.2">
      <c r="A2927" s="3" t="s">
        <v>963</v>
      </c>
      <c r="B2927" s="3" t="s">
        <v>977</v>
      </c>
      <c r="C2927" s="3" t="s">
        <v>54</v>
      </c>
    </row>
    <row r="2928" spans="1:3" x14ac:dyDescent="0.2">
      <c r="A2928" s="3" t="s">
        <v>963</v>
      </c>
      <c r="B2928" s="3" t="s">
        <v>978</v>
      </c>
      <c r="C2928" s="3" t="s">
        <v>54</v>
      </c>
    </row>
    <row r="2929" spans="1:3" x14ac:dyDescent="0.2">
      <c r="A2929" s="3" t="s">
        <v>963</v>
      </c>
      <c r="B2929" s="3" t="s">
        <v>979</v>
      </c>
      <c r="C2929" s="3" t="s">
        <v>54</v>
      </c>
    </row>
    <row r="2930" spans="1:3" x14ac:dyDescent="0.2">
      <c r="A2930" s="3" t="s">
        <v>963</v>
      </c>
      <c r="B2930" s="3" t="s">
        <v>980</v>
      </c>
      <c r="C2930" s="3" t="s">
        <v>54</v>
      </c>
    </row>
    <row r="2931" spans="1:3" x14ac:dyDescent="0.2">
      <c r="A2931" s="3" t="s">
        <v>963</v>
      </c>
      <c r="B2931" s="3" t="s">
        <v>981</v>
      </c>
      <c r="C2931" s="3" t="s">
        <v>54</v>
      </c>
    </row>
    <row r="2932" spans="1:3" x14ac:dyDescent="0.2">
      <c r="A2932" s="3" t="s">
        <v>963</v>
      </c>
      <c r="B2932" s="3" t="s">
        <v>982</v>
      </c>
      <c r="C2932" s="3" t="s">
        <v>54</v>
      </c>
    </row>
    <row r="2933" spans="1:3" x14ac:dyDescent="0.2">
      <c r="A2933" s="3" t="s">
        <v>963</v>
      </c>
      <c r="B2933" s="3" t="s">
        <v>983</v>
      </c>
      <c r="C2933" s="3" t="s">
        <v>54</v>
      </c>
    </row>
    <row r="2934" spans="1:3" x14ac:dyDescent="0.2">
      <c r="A2934" s="3" t="s">
        <v>963</v>
      </c>
      <c r="B2934" s="3" t="s">
        <v>984</v>
      </c>
      <c r="C2934" s="3" t="s">
        <v>54</v>
      </c>
    </row>
    <row r="2935" spans="1:3" x14ac:dyDescent="0.2">
      <c r="A2935" s="3" t="s">
        <v>963</v>
      </c>
      <c r="B2935" s="3" t="s">
        <v>985</v>
      </c>
      <c r="C2935" s="3" t="s">
        <v>54</v>
      </c>
    </row>
    <row r="2936" spans="1:3" x14ac:dyDescent="0.2">
      <c r="A2936" s="3" t="s">
        <v>963</v>
      </c>
      <c r="B2936" s="3" t="s">
        <v>986</v>
      </c>
      <c r="C2936" s="3" t="s">
        <v>54</v>
      </c>
    </row>
    <row r="2937" spans="1:3" x14ac:dyDescent="0.2">
      <c r="A2937" s="3" t="s">
        <v>963</v>
      </c>
      <c r="B2937" s="3" t="s">
        <v>987</v>
      </c>
      <c r="C2937" s="3" t="s">
        <v>54</v>
      </c>
    </row>
    <row r="2938" spans="1:3" x14ac:dyDescent="0.2">
      <c r="A2938" s="3" t="s">
        <v>963</v>
      </c>
      <c r="B2938" s="3" t="s">
        <v>988</v>
      </c>
      <c r="C2938" s="3" t="s">
        <v>54</v>
      </c>
    </row>
    <row r="2939" spans="1:3" x14ac:dyDescent="0.2">
      <c r="A2939" s="3" t="s">
        <v>963</v>
      </c>
      <c r="B2939" s="3" t="s">
        <v>989</v>
      </c>
      <c r="C2939" s="3" t="s">
        <v>54</v>
      </c>
    </row>
    <row r="2940" spans="1:3" x14ac:dyDescent="0.2">
      <c r="A2940" s="3" t="s">
        <v>963</v>
      </c>
      <c r="B2940" s="3" t="s">
        <v>990</v>
      </c>
      <c r="C2940" s="3" t="s">
        <v>54</v>
      </c>
    </row>
    <row r="2941" spans="1:3" x14ac:dyDescent="0.2">
      <c r="A2941" s="3" t="s">
        <v>963</v>
      </c>
      <c r="B2941" s="3" t="s">
        <v>991</v>
      </c>
      <c r="C2941" s="3" t="s">
        <v>54</v>
      </c>
    </row>
    <row r="2942" spans="1:3" x14ac:dyDescent="0.2">
      <c r="A2942" s="3" t="s">
        <v>963</v>
      </c>
      <c r="B2942" s="3" t="s">
        <v>992</v>
      </c>
      <c r="C2942" s="3" t="s">
        <v>54</v>
      </c>
    </row>
    <row r="2943" spans="1:3" x14ac:dyDescent="0.2">
      <c r="A2943" s="3" t="s">
        <v>963</v>
      </c>
      <c r="B2943" s="3" t="s">
        <v>964</v>
      </c>
      <c r="C2943" s="3" t="s">
        <v>55</v>
      </c>
    </row>
    <row r="2944" spans="1:3" x14ac:dyDescent="0.2">
      <c r="A2944" s="3" t="s">
        <v>963</v>
      </c>
      <c r="B2944" s="3" t="s">
        <v>965</v>
      </c>
      <c r="C2944" s="3" t="s">
        <v>55</v>
      </c>
    </row>
    <row r="2945" spans="1:3" x14ac:dyDescent="0.2">
      <c r="A2945" s="3" t="s">
        <v>963</v>
      </c>
      <c r="B2945" s="3" t="s">
        <v>966</v>
      </c>
      <c r="C2945" s="3" t="s">
        <v>55</v>
      </c>
    </row>
    <row r="2946" spans="1:3" x14ac:dyDescent="0.2">
      <c r="A2946" s="3" t="s">
        <v>963</v>
      </c>
      <c r="B2946" s="3" t="s">
        <v>967</v>
      </c>
      <c r="C2946" s="3" t="s">
        <v>55</v>
      </c>
    </row>
    <row r="2947" spans="1:3" x14ac:dyDescent="0.2">
      <c r="A2947" s="3" t="s">
        <v>963</v>
      </c>
      <c r="B2947" s="3" t="s">
        <v>723</v>
      </c>
      <c r="C2947" s="3" t="s">
        <v>55</v>
      </c>
    </row>
    <row r="2948" spans="1:3" x14ac:dyDescent="0.2">
      <c r="A2948" s="3" t="s">
        <v>963</v>
      </c>
      <c r="B2948" s="3" t="s">
        <v>724</v>
      </c>
      <c r="C2948" s="3" t="s">
        <v>55</v>
      </c>
    </row>
    <row r="2949" spans="1:3" x14ac:dyDescent="0.2">
      <c r="A2949" s="3" t="s">
        <v>963</v>
      </c>
      <c r="B2949" s="3" t="s">
        <v>725</v>
      </c>
      <c r="C2949" s="3" t="s">
        <v>55</v>
      </c>
    </row>
    <row r="2950" spans="1:3" x14ac:dyDescent="0.2">
      <c r="A2950" s="3" t="s">
        <v>963</v>
      </c>
      <c r="B2950" s="3" t="s">
        <v>968</v>
      </c>
      <c r="C2950" s="3" t="s">
        <v>55</v>
      </c>
    </row>
    <row r="2951" spans="1:3" x14ac:dyDescent="0.2">
      <c r="A2951" s="3" t="s">
        <v>963</v>
      </c>
      <c r="B2951" s="3" t="s">
        <v>969</v>
      </c>
      <c r="C2951" s="3" t="s">
        <v>55</v>
      </c>
    </row>
    <row r="2952" spans="1:3" x14ac:dyDescent="0.2">
      <c r="A2952" s="3" t="s">
        <v>963</v>
      </c>
      <c r="B2952" s="3" t="s">
        <v>970</v>
      </c>
      <c r="C2952" s="3" t="s">
        <v>55</v>
      </c>
    </row>
    <row r="2953" spans="1:3" x14ac:dyDescent="0.2">
      <c r="A2953" s="3" t="s">
        <v>963</v>
      </c>
      <c r="B2953" s="3" t="s">
        <v>971</v>
      </c>
      <c r="C2953" s="3" t="s">
        <v>55</v>
      </c>
    </row>
    <row r="2954" spans="1:3" x14ac:dyDescent="0.2">
      <c r="A2954" s="3" t="s">
        <v>963</v>
      </c>
      <c r="B2954" s="3" t="s">
        <v>972</v>
      </c>
      <c r="C2954" s="3" t="s">
        <v>55</v>
      </c>
    </row>
    <row r="2955" spans="1:3" x14ac:dyDescent="0.2">
      <c r="A2955" s="3" t="s">
        <v>963</v>
      </c>
      <c r="B2955" s="3" t="s">
        <v>973</v>
      </c>
      <c r="C2955" s="3" t="s">
        <v>55</v>
      </c>
    </row>
    <row r="2956" spans="1:3" x14ac:dyDescent="0.2">
      <c r="A2956" s="3" t="s">
        <v>963</v>
      </c>
      <c r="B2956" s="3" t="s">
        <v>974</v>
      </c>
      <c r="C2956" s="3" t="s">
        <v>55</v>
      </c>
    </row>
    <row r="2957" spans="1:3" x14ac:dyDescent="0.2">
      <c r="A2957" s="3" t="s">
        <v>963</v>
      </c>
      <c r="B2957" s="3" t="s">
        <v>979</v>
      </c>
      <c r="C2957" s="3" t="s">
        <v>55</v>
      </c>
    </row>
    <row r="2958" spans="1:3" x14ac:dyDescent="0.2">
      <c r="A2958" s="3" t="s">
        <v>963</v>
      </c>
      <c r="B2958" s="3" t="s">
        <v>984</v>
      </c>
      <c r="C2958" s="3" t="s">
        <v>55</v>
      </c>
    </row>
    <row r="2959" spans="1:3" x14ac:dyDescent="0.2">
      <c r="A2959" s="3" t="s">
        <v>963</v>
      </c>
      <c r="B2959" s="3" t="s">
        <v>985</v>
      </c>
      <c r="C2959" s="3" t="s">
        <v>55</v>
      </c>
    </row>
    <row r="2960" spans="1:3" x14ac:dyDescent="0.2">
      <c r="A2960" s="3" t="s">
        <v>963</v>
      </c>
      <c r="B2960" s="3" t="s">
        <v>986</v>
      </c>
      <c r="C2960" s="3" t="s">
        <v>55</v>
      </c>
    </row>
    <row r="2961" spans="1:3" x14ac:dyDescent="0.2">
      <c r="A2961" s="3" t="s">
        <v>963</v>
      </c>
      <c r="B2961" s="3" t="s">
        <v>987</v>
      </c>
      <c r="C2961" s="3" t="s">
        <v>55</v>
      </c>
    </row>
    <row r="2962" spans="1:3" x14ac:dyDescent="0.2">
      <c r="A2962" s="3" t="s">
        <v>963</v>
      </c>
      <c r="B2962" s="3" t="s">
        <v>988</v>
      </c>
      <c r="C2962" s="3" t="s">
        <v>55</v>
      </c>
    </row>
    <row r="2963" spans="1:3" x14ac:dyDescent="0.2">
      <c r="A2963" s="3" t="s">
        <v>963</v>
      </c>
      <c r="B2963" s="3" t="s">
        <v>989</v>
      </c>
      <c r="C2963" s="3" t="s">
        <v>55</v>
      </c>
    </row>
    <row r="2964" spans="1:3" x14ac:dyDescent="0.2">
      <c r="A2964" s="3" t="s">
        <v>963</v>
      </c>
      <c r="B2964" s="3" t="s">
        <v>991</v>
      </c>
      <c r="C2964" s="3" t="s">
        <v>55</v>
      </c>
    </row>
    <row r="2965" spans="1:3" x14ac:dyDescent="0.2">
      <c r="A2965" s="3" t="s">
        <v>963</v>
      </c>
      <c r="B2965" s="3" t="s">
        <v>992</v>
      </c>
      <c r="C2965" s="3" t="s">
        <v>55</v>
      </c>
    </row>
    <row r="2966" spans="1:3" x14ac:dyDescent="0.2">
      <c r="A2966" s="3" t="s">
        <v>963</v>
      </c>
      <c r="B2966" s="3" t="s">
        <v>964</v>
      </c>
      <c r="C2966" s="3" t="s">
        <v>56</v>
      </c>
    </row>
    <row r="2967" spans="1:3" x14ac:dyDescent="0.2">
      <c r="A2967" s="3" t="s">
        <v>963</v>
      </c>
      <c r="B2967" s="3" t="s">
        <v>965</v>
      </c>
      <c r="C2967" s="3" t="s">
        <v>56</v>
      </c>
    </row>
    <row r="2968" spans="1:3" x14ac:dyDescent="0.2">
      <c r="A2968" s="3" t="s">
        <v>963</v>
      </c>
      <c r="B2968" s="3" t="s">
        <v>966</v>
      </c>
      <c r="C2968" s="3" t="s">
        <v>56</v>
      </c>
    </row>
    <row r="2969" spans="1:3" x14ac:dyDescent="0.2">
      <c r="A2969" s="3" t="s">
        <v>963</v>
      </c>
      <c r="B2969" s="3" t="s">
        <v>967</v>
      </c>
      <c r="C2969" s="3" t="s">
        <v>56</v>
      </c>
    </row>
    <row r="2970" spans="1:3" x14ac:dyDescent="0.2">
      <c r="A2970" s="3" t="s">
        <v>963</v>
      </c>
      <c r="B2970" s="3" t="s">
        <v>723</v>
      </c>
      <c r="C2970" s="3" t="s">
        <v>56</v>
      </c>
    </row>
    <row r="2971" spans="1:3" x14ac:dyDescent="0.2">
      <c r="A2971" s="3" t="s">
        <v>963</v>
      </c>
      <c r="B2971" s="3" t="s">
        <v>724</v>
      </c>
      <c r="C2971" s="3" t="s">
        <v>56</v>
      </c>
    </row>
    <row r="2972" spans="1:3" x14ac:dyDescent="0.2">
      <c r="A2972" s="3" t="s">
        <v>963</v>
      </c>
      <c r="B2972" s="3" t="s">
        <v>725</v>
      </c>
      <c r="C2972" s="3" t="s">
        <v>56</v>
      </c>
    </row>
    <row r="2973" spans="1:3" x14ac:dyDescent="0.2">
      <c r="A2973" s="3" t="s">
        <v>963</v>
      </c>
      <c r="B2973" s="3" t="s">
        <v>968</v>
      </c>
      <c r="C2973" s="3" t="s">
        <v>56</v>
      </c>
    </row>
    <row r="2974" spans="1:3" x14ac:dyDescent="0.2">
      <c r="A2974" s="3" t="s">
        <v>963</v>
      </c>
      <c r="B2974" s="3" t="s">
        <v>969</v>
      </c>
      <c r="C2974" s="3" t="s">
        <v>56</v>
      </c>
    </row>
    <row r="2975" spans="1:3" x14ac:dyDescent="0.2">
      <c r="A2975" s="3" t="s">
        <v>963</v>
      </c>
      <c r="B2975" s="3" t="s">
        <v>970</v>
      </c>
      <c r="C2975" s="3" t="s">
        <v>56</v>
      </c>
    </row>
    <row r="2976" spans="1:3" x14ac:dyDescent="0.2">
      <c r="A2976" s="3" t="s">
        <v>963</v>
      </c>
      <c r="B2976" s="3" t="s">
        <v>971</v>
      </c>
      <c r="C2976" s="3" t="s">
        <v>56</v>
      </c>
    </row>
    <row r="2977" spans="1:3" x14ac:dyDescent="0.2">
      <c r="A2977" s="3" t="s">
        <v>963</v>
      </c>
      <c r="B2977" s="3" t="s">
        <v>972</v>
      </c>
      <c r="C2977" s="3" t="s">
        <v>56</v>
      </c>
    </row>
    <row r="2978" spans="1:3" x14ac:dyDescent="0.2">
      <c r="A2978" s="3" t="s">
        <v>963</v>
      </c>
      <c r="B2978" s="3" t="s">
        <v>973</v>
      </c>
      <c r="C2978" s="3" t="s">
        <v>56</v>
      </c>
    </row>
    <row r="2979" spans="1:3" x14ac:dyDescent="0.2">
      <c r="A2979" s="3" t="s">
        <v>963</v>
      </c>
      <c r="B2979" s="3" t="s">
        <v>974</v>
      </c>
      <c r="C2979" s="3" t="s">
        <v>56</v>
      </c>
    </row>
    <row r="2980" spans="1:3" x14ac:dyDescent="0.2">
      <c r="A2980" s="3" t="s">
        <v>963</v>
      </c>
      <c r="B2980" s="3" t="s">
        <v>984</v>
      </c>
      <c r="C2980" s="3" t="s">
        <v>56</v>
      </c>
    </row>
    <row r="2981" spans="1:3" x14ac:dyDescent="0.2">
      <c r="A2981" s="3" t="s">
        <v>963</v>
      </c>
      <c r="B2981" s="3" t="s">
        <v>985</v>
      </c>
      <c r="C2981" s="3" t="s">
        <v>56</v>
      </c>
    </row>
    <row r="2982" spans="1:3" x14ac:dyDescent="0.2">
      <c r="A2982" s="3" t="s">
        <v>963</v>
      </c>
      <c r="B2982" s="3" t="s">
        <v>986</v>
      </c>
      <c r="C2982" s="3" t="s">
        <v>56</v>
      </c>
    </row>
    <row r="2983" spans="1:3" x14ac:dyDescent="0.2">
      <c r="A2983" s="3" t="s">
        <v>963</v>
      </c>
      <c r="B2983" s="3" t="s">
        <v>987</v>
      </c>
      <c r="C2983" s="3" t="s">
        <v>56</v>
      </c>
    </row>
    <row r="2984" spans="1:3" x14ac:dyDescent="0.2">
      <c r="A2984" s="3" t="s">
        <v>963</v>
      </c>
      <c r="B2984" s="3" t="s">
        <v>988</v>
      </c>
      <c r="C2984" s="3" t="s">
        <v>56</v>
      </c>
    </row>
    <row r="2985" spans="1:3" x14ac:dyDescent="0.2">
      <c r="A2985" s="3" t="s">
        <v>963</v>
      </c>
      <c r="B2985" s="3" t="s">
        <v>989</v>
      </c>
      <c r="C2985" s="3" t="s">
        <v>56</v>
      </c>
    </row>
    <row r="2986" spans="1:3" x14ac:dyDescent="0.2">
      <c r="A2986" s="3" t="s">
        <v>963</v>
      </c>
      <c r="B2986" s="3" t="s">
        <v>991</v>
      </c>
      <c r="C2986" s="3" t="s">
        <v>56</v>
      </c>
    </row>
    <row r="2987" spans="1:3" x14ac:dyDescent="0.2">
      <c r="A2987" s="3" t="s">
        <v>963</v>
      </c>
      <c r="B2987" s="3" t="s">
        <v>992</v>
      </c>
      <c r="C2987" s="3" t="s">
        <v>56</v>
      </c>
    </row>
    <row r="2988" spans="1:3" x14ac:dyDescent="0.2">
      <c r="A2988" s="3" t="s">
        <v>963</v>
      </c>
      <c r="B2988" s="3" t="s">
        <v>964</v>
      </c>
      <c r="C2988" s="3" t="s">
        <v>57</v>
      </c>
    </row>
    <row r="2989" spans="1:3" x14ac:dyDescent="0.2">
      <c r="A2989" s="3" t="s">
        <v>963</v>
      </c>
      <c r="B2989" s="3" t="s">
        <v>965</v>
      </c>
      <c r="C2989" s="3" t="s">
        <v>57</v>
      </c>
    </row>
    <row r="2990" spans="1:3" x14ac:dyDescent="0.2">
      <c r="A2990" s="3" t="s">
        <v>963</v>
      </c>
      <c r="B2990" s="3" t="s">
        <v>966</v>
      </c>
      <c r="C2990" s="3" t="s">
        <v>57</v>
      </c>
    </row>
    <row r="2991" spans="1:3" x14ac:dyDescent="0.2">
      <c r="A2991" s="3" t="s">
        <v>963</v>
      </c>
      <c r="B2991" s="3" t="s">
        <v>967</v>
      </c>
      <c r="C2991" s="3" t="s">
        <v>57</v>
      </c>
    </row>
    <row r="2992" spans="1:3" x14ac:dyDescent="0.2">
      <c r="A2992" s="3" t="s">
        <v>963</v>
      </c>
      <c r="B2992" s="3" t="s">
        <v>723</v>
      </c>
      <c r="C2992" s="3" t="s">
        <v>57</v>
      </c>
    </row>
    <row r="2993" spans="1:3" x14ac:dyDescent="0.2">
      <c r="A2993" s="3" t="s">
        <v>963</v>
      </c>
      <c r="B2993" s="3" t="s">
        <v>724</v>
      </c>
      <c r="C2993" s="3" t="s">
        <v>57</v>
      </c>
    </row>
    <row r="2994" spans="1:3" x14ac:dyDescent="0.2">
      <c r="A2994" s="3" t="s">
        <v>963</v>
      </c>
      <c r="B2994" s="3" t="s">
        <v>725</v>
      </c>
      <c r="C2994" s="3" t="s">
        <v>57</v>
      </c>
    </row>
    <row r="2995" spans="1:3" x14ac:dyDescent="0.2">
      <c r="A2995" s="3" t="s">
        <v>963</v>
      </c>
      <c r="B2995" s="3" t="s">
        <v>968</v>
      </c>
      <c r="C2995" s="3" t="s">
        <v>57</v>
      </c>
    </row>
    <row r="2996" spans="1:3" x14ac:dyDescent="0.2">
      <c r="A2996" s="3" t="s">
        <v>963</v>
      </c>
      <c r="B2996" s="3" t="s">
        <v>969</v>
      </c>
      <c r="C2996" s="3" t="s">
        <v>57</v>
      </c>
    </row>
    <row r="2997" spans="1:3" x14ac:dyDescent="0.2">
      <c r="A2997" s="3" t="s">
        <v>963</v>
      </c>
      <c r="B2997" s="3" t="s">
        <v>970</v>
      </c>
      <c r="C2997" s="3" t="s">
        <v>57</v>
      </c>
    </row>
    <row r="2998" spans="1:3" x14ac:dyDescent="0.2">
      <c r="A2998" s="3" t="s">
        <v>963</v>
      </c>
      <c r="B2998" s="3" t="s">
        <v>971</v>
      </c>
      <c r="C2998" s="3" t="s">
        <v>57</v>
      </c>
    </row>
    <row r="2999" spans="1:3" x14ac:dyDescent="0.2">
      <c r="A2999" s="3" t="s">
        <v>963</v>
      </c>
      <c r="B2999" s="3" t="s">
        <v>972</v>
      </c>
      <c r="C2999" s="3" t="s">
        <v>57</v>
      </c>
    </row>
    <row r="3000" spans="1:3" x14ac:dyDescent="0.2">
      <c r="A3000" s="3" t="s">
        <v>963</v>
      </c>
      <c r="B3000" s="3" t="s">
        <v>973</v>
      </c>
      <c r="C3000" s="3" t="s">
        <v>57</v>
      </c>
    </row>
    <row r="3001" spans="1:3" x14ac:dyDescent="0.2">
      <c r="A3001" s="3" t="s">
        <v>963</v>
      </c>
      <c r="B3001" s="3" t="s">
        <v>974</v>
      </c>
      <c r="C3001" s="3" t="s">
        <v>57</v>
      </c>
    </row>
    <row r="3002" spans="1:3" x14ac:dyDescent="0.2">
      <c r="A3002" s="3" t="s">
        <v>963</v>
      </c>
      <c r="B3002" s="3" t="s">
        <v>979</v>
      </c>
      <c r="C3002" s="3" t="s">
        <v>57</v>
      </c>
    </row>
    <row r="3003" spans="1:3" x14ac:dyDescent="0.2">
      <c r="A3003" s="3" t="s">
        <v>963</v>
      </c>
      <c r="B3003" s="3" t="s">
        <v>984</v>
      </c>
      <c r="C3003" s="3" t="s">
        <v>57</v>
      </c>
    </row>
    <row r="3004" spans="1:3" x14ac:dyDescent="0.2">
      <c r="A3004" s="3" t="s">
        <v>963</v>
      </c>
      <c r="B3004" s="3" t="s">
        <v>985</v>
      </c>
      <c r="C3004" s="3" t="s">
        <v>57</v>
      </c>
    </row>
    <row r="3005" spans="1:3" x14ac:dyDescent="0.2">
      <c r="A3005" s="3" t="s">
        <v>963</v>
      </c>
      <c r="B3005" s="3" t="s">
        <v>986</v>
      </c>
      <c r="C3005" s="3" t="s">
        <v>57</v>
      </c>
    </row>
    <row r="3006" spans="1:3" x14ac:dyDescent="0.2">
      <c r="A3006" s="3" t="s">
        <v>963</v>
      </c>
      <c r="B3006" s="3" t="s">
        <v>987</v>
      </c>
      <c r="C3006" s="3" t="s">
        <v>57</v>
      </c>
    </row>
    <row r="3007" spans="1:3" x14ac:dyDescent="0.2">
      <c r="A3007" s="3" t="s">
        <v>963</v>
      </c>
      <c r="B3007" s="3" t="s">
        <v>988</v>
      </c>
      <c r="C3007" s="3" t="s">
        <v>57</v>
      </c>
    </row>
    <row r="3008" spans="1:3" x14ac:dyDescent="0.2">
      <c r="A3008" s="3" t="s">
        <v>963</v>
      </c>
      <c r="B3008" s="3" t="s">
        <v>989</v>
      </c>
      <c r="C3008" s="3" t="s">
        <v>57</v>
      </c>
    </row>
    <row r="3009" spans="1:3" x14ac:dyDescent="0.2">
      <c r="A3009" s="3" t="s">
        <v>963</v>
      </c>
      <c r="B3009" s="3" t="s">
        <v>991</v>
      </c>
      <c r="C3009" s="3" t="s">
        <v>57</v>
      </c>
    </row>
    <row r="3010" spans="1:3" x14ac:dyDescent="0.2">
      <c r="A3010" s="3" t="s">
        <v>963</v>
      </c>
      <c r="B3010" s="3" t="s">
        <v>992</v>
      </c>
      <c r="C3010" s="3" t="s">
        <v>57</v>
      </c>
    </row>
    <row r="3011" spans="1:3" x14ac:dyDescent="0.2">
      <c r="A3011" s="3" t="s">
        <v>963</v>
      </c>
      <c r="B3011" s="3" t="s">
        <v>931</v>
      </c>
      <c r="C3011" s="3" t="s">
        <v>10</v>
      </c>
    </row>
    <row r="3012" spans="1:3" x14ac:dyDescent="0.2">
      <c r="A3012" s="3" t="s">
        <v>963</v>
      </c>
      <c r="B3012" s="3" t="s">
        <v>931</v>
      </c>
      <c r="C3012" s="3" t="s">
        <v>11</v>
      </c>
    </row>
    <row r="3013" spans="1:3" x14ac:dyDescent="0.2">
      <c r="A3013" s="3" t="s">
        <v>993</v>
      </c>
      <c r="B3013" s="3" t="s">
        <v>994</v>
      </c>
      <c r="C3013" s="3" t="s">
        <v>53</v>
      </c>
    </row>
    <row r="3014" spans="1:3" x14ac:dyDescent="0.2">
      <c r="A3014" s="3" t="s">
        <v>993</v>
      </c>
      <c r="B3014" s="3" t="s">
        <v>926</v>
      </c>
      <c r="C3014" s="3" t="s">
        <v>53</v>
      </c>
    </row>
    <row r="3015" spans="1:3" x14ac:dyDescent="0.2">
      <c r="A3015" s="3" t="s">
        <v>993</v>
      </c>
      <c r="B3015" s="3" t="s">
        <v>944</v>
      </c>
      <c r="C3015" s="3" t="s">
        <v>53</v>
      </c>
    </row>
    <row r="3016" spans="1:3" x14ac:dyDescent="0.2">
      <c r="A3016" s="3" t="s">
        <v>993</v>
      </c>
      <c r="B3016" s="3" t="s">
        <v>974</v>
      </c>
      <c r="C3016" s="3" t="s">
        <v>53</v>
      </c>
    </row>
    <row r="3017" spans="1:3" x14ac:dyDescent="0.2">
      <c r="A3017" s="3" t="s">
        <v>993</v>
      </c>
      <c r="B3017" s="3" t="s">
        <v>946</v>
      </c>
      <c r="C3017" s="3" t="s">
        <v>53</v>
      </c>
    </row>
    <row r="3018" spans="1:3" x14ac:dyDescent="0.2">
      <c r="A3018" s="3" t="s">
        <v>993</v>
      </c>
      <c r="B3018" s="3" t="s">
        <v>994</v>
      </c>
      <c r="C3018" s="3" t="s">
        <v>54</v>
      </c>
    </row>
    <row r="3019" spans="1:3" x14ac:dyDescent="0.2">
      <c r="A3019" s="3" t="s">
        <v>993</v>
      </c>
      <c r="B3019" s="3" t="s">
        <v>926</v>
      </c>
      <c r="C3019" s="3" t="s">
        <v>54</v>
      </c>
    </row>
    <row r="3020" spans="1:3" x14ac:dyDescent="0.2">
      <c r="A3020" s="3" t="s">
        <v>993</v>
      </c>
      <c r="B3020" s="3" t="s">
        <v>944</v>
      </c>
      <c r="C3020" s="3" t="s">
        <v>54</v>
      </c>
    </row>
    <row r="3021" spans="1:3" x14ac:dyDescent="0.2">
      <c r="A3021" s="3" t="s">
        <v>993</v>
      </c>
      <c r="B3021" s="3" t="s">
        <v>974</v>
      </c>
      <c r="C3021" s="3" t="s">
        <v>54</v>
      </c>
    </row>
    <row r="3022" spans="1:3" x14ac:dyDescent="0.2">
      <c r="A3022" s="3" t="s">
        <v>993</v>
      </c>
      <c r="B3022" s="3" t="s">
        <v>946</v>
      </c>
      <c r="C3022" s="3" t="s">
        <v>54</v>
      </c>
    </row>
    <row r="3023" spans="1:3" x14ac:dyDescent="0.2">
      <c r="A3023" s="3" t="s">
        <v>993</v>
      </c>
      <c r="B3023" s="3" t="s">
        <v>994</v>
      </c>
      <c r="C3023" s="3" t="s">
        <v>55</v>
      </c>
    </row>
    <row r="3024" spans="1:3" x14ac:dyDescent="0.2">
      <c r="A3024" s="3" t="s">
        <v>993</v>
      </c>
      <c r="B3024" s="3" t="s">
        <v>926</v>
      </c>
      <c r="C3024" s="3" t="s">
        <v>55</v>
      </c>
    </row>
    <row r="3025" spans="1:3" x14ac:dyDescent="0.2">
      <c r="A3025" s="3" t="s">
        <v>993</v>
      </c>
      <c r="B3025" s="3" t="s">
        <v>944</v>
      </c>
      <c r="C3025" s="3" t="s">
        <v>55</v>
      </c>
    </row>
    <row r="3026" spans="1:3" x14ac:dyDescent="0.2">
      <c r="A3026" s="3" t="s">
        <v>993</v>
      </c>
      <c r="B3026" s="3" t="s">
        <v>974</v>
      </c>
      <c r="C3026" s="3" t="s">
        <v>55</v>
      </c>
    </row>
    <row r="3027" spans="1:3" x14ac:dyDescent="0.2">
      <c r="A3027" s="3" t="s">
        <v>993</v>
      </c>
      <c r="B3027" s="3" t="s">
        <v>946</v>
      </c>
      <c r="C3027" s="3" t="s">
        <v>55</v>
      </c>
    </row>
    <row r="3028" spans="1:3" x14ac:dyDescent="0.2">
      <c r="A3028" s="3" t="s">
        <v>993</v>
      </c>
      <c r="B3028" s="3" t="s">
        <v>994</v>
      </c>
      <c r="C3028" s="3" t="s">
        <v>56</v>
      </c>
    </row>
    <row r="3029" spans="1:3" x14ac:dyDescent="0.2">
      <c r="A3029" s="3" t="s">
        <v>993</v>
      </c>
      <c r="B3029" s="3" t="s">
        <v>926</v>
      </c>
      <c r="C3029" s="3" t="s">
        <v>56</v>
      </c>
    </row>
    <row r="3030" spans="1:3" x14ac:dyDescent="0.2">
      <c r="A3030" s="3" t="s">
        <v>993</v>
      </c>
      <c r="B3030" s="3" t="s">
        <v>944</v>
      </c>
      <c r="C3030" s="3" t="s">
        <v>56</v>
      </c>
    </row>
    <row r="3031" spans="1:3" x14ac:dyDescent="0.2">
      <c r="A3031" s="3" t="s">
        <v>993</v>
      </c>
      <c r="B3031" s="3" t="s">
        <v>974</v>
      </c>
      <c r="C3031" s="3" t="s">
        <v>56</v>
      </c>
    </row>
    <row r="3032" spans="1:3" x14ac:dyDescent="0.2">
      <c r="A3032" s="3" t="s">
        <v>993</v>
      </c>
      <c r="B3032" s="3" t="s">
        <v>946</v>
      </c>
      <c r="C3032" s="3" t="s">
        <v>56</v>
      </c>
    </row>
    <row r="3033" spans="1:3" x14ac:dyDescent="0.2">
      <c r="A3033" s="3" t="s">
        <v>993</v>
      </c>
      <c r="B3033" s="3" t="s">
        <v>994</v>
      </c>
      <c r="C3033" s="3" t="s">
        <v>57</v>
      </c>
    </row>
    <row r="3034" spans="1:3" x14ac:dyDescent="0.2">
      <c r="A3034" s="3" t="s">
        <v>993</v>
      </c>
      <c r="B3034" s="3" t="s">
        <v>926</v>
      </c>
      <c r="C3034" s="3" t="s">
        <v>57</v>
      </c>
    </row>
    <row r="3035" spans="1:3" x14ac:dyDescent="0.2">
      <c r="A3035" s="3" t="s">
        <v>993</v>
      </c>
      <c r="B3035" s="3" t="s">
        <v>944</v>
      </c>
      <c r="C3035" s="3" t="s">
        <v>57</v>
      </c>
    </row>
    <row r="3036" spans="1:3" x14ac:dyDescent="0.2">
      <c r="A3036" s="3" t="s">
        <v>993</v>
      </c>
      <c r="B3036" s="3" t="s">
        <v>974</v>
      </c>
      <c r="C3036" s="3" t="s">
        <v>57</v>
      </c>
    </row>
    <row r="3037" spans="1:3" x14ac:dyDescent="0.2">
      <c r="A3037" s="3" t="s">
        <v>993</v>
      </c>
      <c r="B3037" s="3" t="s">
        <v>946</v>
      </c>
      <c r="C3037" s="3" t="s">
        <v>57</v>
      </c>
    </row>
    <row r="3038" spans="1:3" x14ac:dyDescent="0.2">
      <c r="A3038" s="3" t="s">
        <v>995</v>
      </c>
      <c r="B3038" s="3" t="s">
        <v>928</v>
      </c>
      <c r="C3038" s="3" t="s">
        <v>53</v>
      </c>
    </row>
    <row r="3039" spans="1:3" x14ac:dyDescent="0.2">
      <c r="A3039" s="3" t="s">
        <v>995</v>
      </c>
      <c r="B3039" s="3" t="s">
        <v>928</v>
      </c>
      <c r="C3039" s="3" t="s">
        <v>54</v>
      </c>
    </row>
    <row r="3040" spans="1:3" x14ac:dyDescent="0.2">
      <c r="A3040" s="3" t="s">
        <v>995</v>
      </c>
      <c r="B3040" s="3" t="s">
        <v>928</v>
      </c>
      <c r="C3040" s="3" t="s">
        <v>55</v>
      </c>
    </row>
    <row r="3041" spans="1:3" x14ac:dyDescent="0.2">
      <c r="A3041" s="3" t="s">
        <v>995</v>
      </c>
      <c r="B3041" s="3" t="s">
        <v>928</v>
      </c>
      <c r="C3041" s="3" t="s">
        <v>56</v>
      </c>
    </row>
    <row r="3042" spans="1:3" x14ac:dyDescent="0.2">
      <c r="A3042" s="3" t="s">
        <v>995</v>
      </c>
      <c r="B3042" s="3" t="s">
        <v>928</v>
      </c>
      <c r="C3042" s="3" t="s">
        <v>57</v>
      </c>
    </row>
    <row r="3043" spans="1:3" x14ac:dyDescent="0.2">
      <c r="A3043" s="3" t="s">
        <v>996</v>
      </c>
      <c r="B3043" s="3" t="s">
        <v>887</v>
      </c>
      <c r="C3043" s="3" t="s">
        <v>53</v>
      </c>
    </row>
    <row r="3044" spans="1:3" x14ac:dyDescent="0.2">
      <c r="A3044" s="3" t="s">
        <v>996</v>
      </c>
      <c r="B3044" s="3" t="s">
        <v>887</v>
      </c>
      <c r="C3044" s="3" t="s">
        <v>54</v>
      </c>
    </row>
    <row r="3045" spans="1:3" x14ac:dyDescent="0.2">
      <c r="A3045" s="3" t="s">
        <v>996</v>
      </c>
      <c r="B3045" s="3" t="s">
        <v>887</v>
      </c>
      <c r="C3045" s="3" t="s">
        <v>55</v>
      </c>
    </row>
    <row r="3046" spans="1:3" x14ac:dyDescent="0.2">
      <c r="A3046" s="3" t="s">
        <v>996</v>
      </c>
      <c r="B3046" s="3" t="s">
        <v>887</v>
      </c>
      <c r="C3046" s="3" t="s">
        <v>56</v>
      </c>
    </row>
    <row r="3047" spans="1:3" x14ac:dyDescent="0.2">
      <c r="A3047" s="3" t="s">
        <v>996</v>
      </c>
      <c r="B3047" s="3" t="s">
        <v>887</v>
      </c>
      <c r="C3047" s="3" t="s">
        <v>57</v>
      </c>
    </row>
    <row r="3048" spans="1:3" x14ac:dyDescent="0.2">
      <c r="A3048" s="3" t="s">
        <v>996</v>
      </c>
      <c r="B3048" s="3" t="s">
        <v>935</v>
      </c>
      <c r="C3048" s="3" t="s">
        <v>10</v>
      </c>
    </row>
    <row r="3049" spans="1:3" x14ac:dyDescent="0.2">
      <c r="A3049" s="3" t="s">
        <v>996</v>
      </c>
      <c r="B3049" s="3" t="s">
        <v>939</v>
      </c>
      <c r="C3049" s="3" t="s">
        <v>10</v>
      </c>
    </row>
    <row r="3050" spans="1:3" x14ac:dyDescent="0.2">
      <c r="A3050" s="3" t="s">
        <v>996</v>
      </c>
      <c r="B3050" s="3" t="s">
        <v>935</v>
      </c>
      <c r="C3050" s="3" t="s">
        <v>11</v>
      </c>
    </row>
    <row r="3051" spans="1:3" x14ac:dyDescent="0.2">
      <c r="A3051" s="3" t="s">
        <v>997</v>
      </c>
      <c r="B3051" s="3" t="s">
        <v>998</v>
      </c>
      <c r="C3051" s="3" t="s">
        <v>53</v>
      </c>
    </row>
    <row r="3052" spans="1:3" x14ac:dyDescent="0.2">
      <c r="A3052" s="3" t="s">
        <v>997</v>
      </c>
      <c r="B3052" s="3" t="s">
        <v>999</v>
      </c>
      <c r="C3052" s="3" t="s">
        <v>53</v>
      </c>
    </row>
    <row r="3053" spans="1:3" x14ac:dyDescent="0.2">
      <c r="A3053" s="3" t="s">
        <v>997</v>
      </c>
      <c r="B3053" s="3" t="s">
        <v>1000</v>
      </c>
      <c r="C3053" s="3" t="s">
        <v>53</v>
      </c>
    </row>
    <row r="3054" spans="1:3" x14ac:dyDescent="0.2">
      <c r="A3054" s="3" t="s">
        <v>997</v>
      </c>
      <c r="B3054" s="3" t="s">
        <v>1001</v>
      </c>
      <c r="C3054" s="3" t="s">
        <v>53</v>
      </c>
    </row>
    <row r="3055" spans="1:3" x14ac:dyDescent="0.2">
      <c r="A3055" s="3" t="s">
        <v>997</v>
      </c>
      <c r="B3055" s="3" t="s">
        <v>1002</v>
      </c>
      <c r="C3055" s="3" t="s">
        <v>53</v>
      </c>
    </row>
    <row r="3056" spans="1:3" x14ac:dyDescent="0.2">
      <c r="A3056" s="3" t="s">
        <v>997</v>
      </c>
      <c r="B3056" s="3" t="s">
        <v>720</v>
      </c>
      <c r="C3056" s="3" t="s">
        <v>53</v>
      </c>
    </row>
    <row r="3057" spans="1:3" x14ac:dyDescent="0.2">
      <c r="A3057" s="3" t="s">
        <v>997</v>
      </c>
      <c r="B3057" s="3" t="s">
        <v>721</v>
      </c>
      <c r="C3057" s="3" t="s">
        <v>53</v>
      </c>
    </row>
    <row r="3058" spans="1:3" x14ac:dyDescent="0.2">
      <c r="A3058" s="3" t="s">
        <v>997</v>
      </c>
      <c r="B3058" s="3" t="s">
        <v>722</v>
      </c>
      <c r="C3058" s="3" t="s">
        <v>53</v>
      </c>
    </row>
    <row r="3059" spans="1:3" x14ac:dyDescent="0.2">
      <c r="A3059" s="3" t="s">
        <v>997</v>
      </c>
      <c r="B3059" s="3" t="s">
        <v>1003</v>
      </c>
      <c r="C3059" s="3" t="s">
        <v>53</v>
      </c>
    </row>
    <row r="3060" spans="1:3" x14ac:dyDescent="0.2">
      <c r="A3060" s="3" t="s">
        <v>997</v>
      </c>
      <c r="B3060" s="3" t="s">
        <v>1004</v>
      </c>
      <c r="C3060" s="3" t="s">
        <v>53</v>
      </c>
    </row>
    <row r="3061" spans="1:3" x14ac:dyDescent="0.2">
      <c r="A3061" s="3" t="s">
        <v>997</v>
      </c>
      <c r="B3061" s="3" t="s">
        <v>1005</v>
      </c>
      <c r="C3061" s="3" t="s">
        <v>53</v>
      </c>
    </row>
    <row r="3062" spans="1:3" x14ac:dyDescent="0.2">
      <c r="A3062" s="3" t="s">
        <v>997</v>
      </c>
      <c r="B3062" s="3" t="s">
        <v>1006</v>
      </c>
      <c r="C3062" s="3" t="s">
        <v>53</v>
      </c>
    </row>
    <row r="3063" spans="1:3" x14ac:dyDescent="0.2">
      <c r="A3063" s="3" t="s">
        <v>997</v>
      </c>
      <c r="B3063" s="3" t="s">
        <v>880</v>
      </c>
      <c r="C3063" s="3" t="s">
        <v>53</v>
      </c>
    </row>
    <row r="3064" spans="1:3" x14ac:dyDescent="0.2">
      <c r="A3064" s="3" t="s">
        <v>997</v>
      </c>
      <c r="B3064" s="3" t="s">
        <v>881</v>
      </c>
      <c r="C3064" s="3" t="s">
        <v>53</v>
      </c>
    </row>
    <row r="3065" spans="1:3" x14ac:dyDescent="0.2">
      <c r="A3065" s="3" t="s">
        <v>997</v>
      </c>
      <c r="B3065" s="3" t="s">
        <v>922</v>
      </c>
      <c r="C3065" s="3" t="s">
        <v>53</v>
      </c>
    </row>
    <row r="3066" spans="1:3" x14ac:dyDescent="0.2">
      <c r="A3066" s="3" t="s">
        <v>997</v>
      </c>
      <c r="B3066" s="3" t="s">
        <v>923</v>
      </c>
      <c r="C3066" s="3" t="s">
        <v>53</v>
      </c>
    </row>
    <row r="3067" spans="1:3" x14ac:dyDescent="0.2">
      <c r="A3067" s="3" t="s">
        <v>997</v>
      </c>
      <c r="B3067" s="3" t="s">
        <v>924</v>
      </c>
      <c r="C3067" s="3" t="s">
        <v>53</v>
      </c>
    </row>
    <row r="3068" spans="1:3" x14ac:dyDescent="0.2">
      <c r="A3068" s="3" t="s">
        <v>997</v>
      </c>
      <c r="B3068" s="3" t="s">
        <v>925</v>
      </c>
      <c r="C3068" s="3" t="s">
        <v>53</v>
      </c>
    </row>
    <row r="3069" spans="1:3" x14ac:dyDescent="0.2">
      <c r="A3069" s="3" t="s">
        <v>997</v>
      </c>
      <c r="B3069" s="3" t="s">
        <v>1007</v>
      </c>
      <c r="C3069" s="3" t="s">
        <v>53</v>
      </c>
    </row>
    <row r="3070" spans="1:3" x14ac:dyDescent="0.2">
      <c r="A3070" s="3" t="s">
        <v>997</v>
      </c>
      <c r="B3070" s="3" t="s">
        <v>1008</v>
      </c>
      <c r="C3070" s="3" t="s">
        <v>53</v>
      </c>
    </row>
    <row r="3071" spans="1:3" x14ac:dyDescent="0.2">
      <c r="A3071" s="3" t="s">
        <v>997</v>
      </c>
      <c r="B3071" s="3" t="s">
        <v>1009</v>
      </c>
      <c r="C3071" s="3" t="s">
        <v>53</v>
      </c>
    </row>
    <row r="3072" spans="1:3" x14ac:dyDescent="0.2">
      <c r="A3072" s="3" t="s">
        <v>997</v>
      </c>
      <c r="B3072" s="3" t="s">
        <v>1010</v>
      </c>
      <c r="C3072" s="3" t="s">
        <v>53</v>
      </c>
    </row>
    <row r="3073" spans="1:3" x14ac:dyDescent="0.2">
      <c r="A3073" s="3" t="s">
        <v>997</v>
      </c>
      <c r="B3073" s="3" t="s">
        <v>1011</v>
      </c>
      <c r="C3073" s="3" t="s">
        <v>53</v>
      </c>
    </row>
    <row r="3074" spans="1:3" x14ac:dyDescent="0.2">
      <c r="A3074" s="3" t="s">
        <v>997</v>
      </c>
      <c r="B3074" s="3" t="s">
        <v>1012</v>
      </c>
      <c r="C3074" s="3" t="s">
        <v>53</v>
      </c>
    </row>
    <row r="3075" spans="1:3" x14ac:dyDescent="0.2">
      <c r="A3075" s="3" t="s">
        <v>997</v>
      </c>
      <c r="B3075" s="3" t="s">
        <v>1013</v>
      </c>
      <c r="C3075" s="3" t="s">
        <v>53</v>
      </c>
    </row>
    <row r="3076" spans="1:3" x14ac:dyDescent="0.2">
      <c r="A3076" s="3" t="s">
        <v>997</v>
      </c>
      <c r="B3076" s="3" t="s">
        <v>1014</v>
      </c>
      <c r="C3076" s="3" t="s">
        <v>53</v>
      </c>
    </row>
    <row r="3077" spans="1:3" x14ac:dyDescent="0.2">
      <c r="A3077" s="3" t="s">
        <v>997</v>
      </c>
      <c r="B3077" s="3" t="s">
        <v>1015</v>
      </c>
      <c r="C3077" s="3" t="s">
        <v>53</v>
      </c>
    </row>
    <row r="3078" spans="1:3" x14ac:dyDescent="0.2">
      <c r="A3078" s="3" t="s">
        <v>997</v>
      </c>
      <c r="B3078" s="3" t="s">
        <v>1016</v>
      </c>
      <c r="C3078" s="3" t="s">
        <v>53</v>
      </c>
    </row>
    <row r="3079" spans="1:3" x14ac:dyDescent="0.2">
      <c r="A3079" s="3" t="s">
        <v>997</v>
      </c>
      <c r="B3079" s="3" t="s">
        <v>1017</v>
      </c>
      <c r="C3079" s="3" t="s">
        <v>53</v>
      </c>
    </row>
    <row r="3080" spans="1:3" x14ac:dyDescent="0.2">
      <c r="A3080" s="3" t="s">
        <v>997</v>
      </c>
      <c r="B3080" s="3" t="s">
        <v>1018</v>
      </c>
      <c r="C3080" s="3" t="s">
        <v>53</v>
      </c>
    </row>
    <row r="3081" spans="1:3" x14ac:dyDescent="0.2">
      <c r="A3081" s="3" t="s">
        <v>997</v>
      </c>
      <c r="B3081" s="3" t="s">
        <v>1019</v>
      </c>
      <c r="C3081" s="3" t="s">
        <v>53</v>
      </c>
    </row>
    <row r="3082" spans="1:3" x14ac:dyDescent="0.2">
      <c r="A3082" s="3" t="s">
        <v>997</v>
      </c>
      <c r="B3082" s="3" t="s">
        <v>1020</v>
      </c>
      <c r="C3082" s="3" t="s">
        <v>53</v>
      </c>
    </row>
    <row r="3083" spans="1:3" x14ac:dyDescent="0.2">
      <c r="A3083" s="3" t="s">
        <v>997</v>
      </c>
      <c r="B3083" s="3" t="s">
        <v>882</v>
      </c>
      <c r="C3083" s="3" t="s">
        <v>53</v>
      </c>
    </row>
    <row r="3084" spans="1:3" x14ac:dyDescent="0.2">
      <c r="A3084" s="3" t="s">
        <v>997</v>
      </c>
      <c r="B3084" s="3" t="s">
        <v>1021</v>
      </c>
      <c r="C3084" s="3" t="s">
        <v>53</v>
      </c>
    </row>
    <row r="3085" spans="1:3" x14ac:dyDescent="0.2">
      <c r="A3085" s="3" t="s">
        <v>997</v>
      </c>
      <c r="B3085" s="3" t="s">
        <v>1022</v>
      </c>
      <c r="C3085" s="3" t="s">
        <v>53</v>
      </c>
    </row>
    <row r="3086" spans="1:3" x14ac:dyDescent="0.2">
      <c r="A3086" s="3" t="s">
        <v>997</v>
      </c>
      <c r="B3086" s="3" t="s">
        <v>1023</v>
      </c>
      <c r="C3086" s="3" t="s">
        <v>53</v>
      </c>
    </row>
    <row r="3087" spans="1:3" x14ac:dyDescent="0.2">
      <c r="A3087" s="3" t="s">
        <v>997</v>
      </c>
      <c r="B3087" s="3" t="s">
        <v>1024</v>
      </c>
      <c r="C3087" s="3" t="s">
        <v>53</v>
      </c>
    </row>
    <row r="3088" spans="1:3" x14ac:dyDescent="0.2">
      <c r="A3088" s="3" t="s">
        <v>997</v>
      </c>
      <c r="B3088" s="3" t="s">
        <v>1025</v>
      </c>
      <c r="C3088" s="3" t="s">
        <v>53</v>
      </c>
    </row>
    <row r="3089" spans="1:3" x14ac:dyDescent="0.2">
      <c r="A3089" s="3" t="s">
        <v>997</v>
      </c>
      <c r="B3089" s="3" t="s">
        <v>1026</v>
      </c>
      <c r="C3089" s="3" t="s">
        <v>53</v>
      </c>
    </row>
    <row r="3090" spans="1:3" x14ac:dyDescent="0.2">
      <c r="A3090" s="3" t="s">
        <v>997</v>
      </c>
      <c r="B3090" s="3" t="s">
        <v>1027</v>
      </c>
      <c r="C3090" s="3" t="s">
        <v>53</v>
      </c>
    </row>
    <row r="3091" spans="1:3" x14ac:dyDescent="0.2">
      <c r="A3091" s="3" t="s">
        <v>997</v>
      </c>
      <c r="B3091" s="3" t="s">
        <v>1028</v>
      </c>
      <c r="C3091" s="3" t="s">
        <v>53</v>
      </c>
    </row>
    <row r="3092" spans="1:3" x14ac:dyDescent="0.2">
      <c r="A3092" s="3" t="s">
        <v>997</v>
      </c>
      <c r="B3092" s="3" t="s">
        <v>1029</v>
      </c>
      <c r="C3092" s="3" t="s">
        <v>53</v>
      </c>
    </row>
    <row r="3093" spans="1:3" x14ac:dyDescent="0.2">
      <c r="A3093" s="3" t="s">
        <v>997</v>
      </c>
      <c r="B3093" s="3" t="s">
        <v>1030</v>
      </c>
      <c r="C3093" s="3" t="s">
        <v>53</v>
      </c>
    </row>
    <row r="3094" spans="1:3" x14ac:dyDescent="0.2">
      <c r="A3094" s="3" t="s">
        <v>997</v>
      </c>
      <c r="B3094" s="3" t="s">
        <v>1031</v>
      </c>
      <c r="C3094" s="3" t="s">
        <v>53</v>
      </c>
    </row>
    <row r="3095" spans="1:3" x14ac:dyDescent="0.2">
      <c r="A3095" s="3" t="s">
        <v>997</v>
      </c>
      <c r="B3095" s="3" t="s">
        <v>1032</v>
      </c>
      <c r="C3095" s="3" t="s">
        <v>53</v>
      </c>
    </row>
    <row r="3096" spans="1:3" x14ac:dyDescent="0.2">
      <c r="A3096" s="3" t="s">
        <v>997</v>
      </c>
      <c r="B3096" s="3" t="s">
        <v>1033</v>
      </c>
      <c r="C3096" s="3" t="s">
        <v>53</v>
      </c>
    </row>
    <row r="3097" spans="1:3" x14ac:dyDescent="0.2">
      <c r="A3097" s="3" t="s">
        <v>997</v>
      </c>
      <c r="B3097" s="3" t="s">
        <v>998</v>
      </c>
      <c r="C3097" s="3" t="s">
        <v>54</v>
      </c>
    </row>
    <row r="3098" spans="1:3" x14ac:dyDescent="0.2">
      <c r="A3098" s="3" t="s">
        <v>997</v>
      </c>
      <c r="B3098" s="3" t="s">
        <v>999</v>
      </c>
      <c r="C3098" s="3" t="s">
        <v>54</v>
      </c>
    </row>
    <row r="3099" spans="1:3" x14ac:dyDescent="0.2">
      <c r="A3099" s="3" t="s">
        <v>997</v>
      </c>
      <c r="B3099" s="3" t="s">
        <v>1000</v>
      </c>
      <c r="C3099" s="3" t="s">
        <v>54</v>
      </c>
    </row>
    <row r="3100" spans="1:3" x14ac:dyDescent="0.2">
      <c r="A3100" s="3" t="s">
        <v>997</v>
      </c>
      <c r="B3100" s="3" t="s">
        <v>1001</v>
      </c>
      <c r="C3100" s="3" t="s">
        <v>54</v>
      </c>
    </row>
    <row r="3101" spans="1:3" x14ac:dyDescent="0.2">
      <c r="A3101" s="3" t="s">
        <v>997</v>
      </c>
      <c r="B3101" s="3" t="s">
        <v>1002</v>
      </c>
      <c r="C3101" s="3" t="s">
        <v>54</v>
      </c>
    </row>
    <row r="3102" spans="1:3" x14ac:dyDescent="0.2">
      <c r="A3102" s="3" t="s">
        <v>997</v>
      </c>
      <c r="B3102" s="3" t="s">
        <v>720</v>
      </c>
      <c r="C3102" s="3" t="s">
        <v>54</v>
      </c>
    </row>
    <row r="3103" spans="1:3" x14ac:dyDescent="0.2">
      <c r="A3103" s="3" t="s">
        <v>997</v>
      </c>
      <c r="B3103" s="3" t="s">
        <v>721</v>
      </c>
      <c r="C3103" s="3" t="s">
        <v>54</v>
      </c>
    </row>
    <row r="3104" spans="1:3" x14ac:dyDescent="0.2">
      <c r="A3104" s="3" t="s">
        <v>997</v>
      </c>
      <c r="B3104" s="3" t="s">
        <v>722</v>
      </c>
      <c r="C3104" s="3" t="s">
        <v>54</v>
      </c>
    </row>
    <row r="3105" spans="1:3" x14ac:dyDescent="0.2">
      <c r="A3105" s="3" t="s">
        <v>997</v>
      </c>
      <c r="B3105" s="3" t="s">
        <v>1003</v>
      </c>
      <c r="C3105" s="3" t="s">
        <v>54</v>
      </c>
    </row>
    <row r="3106" spans="1:3" x14ac:dyDescent="0.2">
      <c r="A3106" s="3" t="s">
        <v>997</v>
      </c>
      <c r="B3106" s="3" t="s">
        <v>1004</v>
      </c>
      <c r="C3106" s="3" t="s">
        <v>54</v>
      </c>
    </row>
    <row r="3107" spans="1:3" x14ac:dyDescent="0.2">
      <c r="A3107" s="3" t="s">
        <v>997</v>
      </c>
      <c r="B3107" s="3" t="s">
        <v>1005</v>
      </c>
      <c r="C3107" s="3" t="s">
        <v>54</v>
      </c>
    </row>
    <row r="3108" spans="1:3" x14ac:dyDescent="0.2">
      <c r="A3108" s="3" t="s">
        <v>997</v>
      </c>
      <c r="B3108" s="3" t="s">
        <v>1006</v>
      </c>
      <c r="C3108" s="3" t="s">
        <v>54</v>
      </c>
    </row>
    <row r="3109" spans="1:3" x14ac:dyDescent="0.2">
      <c r="A3109" s="3" t="s">
        <v>997</v>
      </c>
      <c r="B3109" s="3" t="s">
        <v>880</v>
      </c>
      <c r="C3109" s="3" t="s">
        <v>54</v>
      </c>
    </row>
    <row r="3110" spans="1:3" x14ac:dyDescent="0.2">
      <c r="A3110" s="3" t="s">
        <v>997</v>
      </c>
      <c r="B3110" s="3" t="s">
        <v>881</v>
      </c>
      <c r="C3110" s="3" t="s">
        <v>54</v>
      </c>
    </row>
    <row r="3111" spans="1:3" x14ac:dyDescent="0.2">
      <c r="A3111" s="3" t="s">
        <v>997</v>
      </c>
      <c r="B3111" s="3" t="s">
        <v>922</v>
      </c>
      <c r="C3111" s="3" t="s">
        <v>54</v>
      </c>
    </row>
    <row r="3112" spans="1:3" x14ac:dyDescent="0.2">
      <c r="A3112" s="3" t="s">
        <v>997</v>
      </c>
      <c r="B3112" s="3" t="s">
        <v>923</v>
      </c>
      <c r="C3112" s="3" t="s">
        <v>54</v>
      </c>
    </row>
    <row r="3113" spans="1:3" x14ac:dyDescent="0.2">
      <c r="A3113" s="3" t="s">
        <v>997</v>
      </c>
      <c r="B3113" s="3" t="s">
        <v>924</v>
      </c>
      <c r="C3113" s="3" t="s">
        <v>54</v>
      </c>
    </row>
    <row r="3114" spans="1:3" x14ac:dyDescent="0.2">
      <c r="A3114" s="3" t="s">
        <v>997</v>
      </c>
      <c r="B3114" s="3" t="s">
        <v>925</v>
      </c>
      <c r="C3114" s="3" t="s">
        <v>54</v>
      </c>
    </row>
    <row r="3115" spans="1:3" x14ac:dyDescent="0.2">
      <c r="A3115" s="3" t="s">
        <v>997</v>
      </c>
      <c r="B3115" s="3" t="s">
        <v>1007</v>
      </c>
      <c r="C3115" s="3" t="s">
        <v>54</v>
      </c>
    </row>
    <row r="3116" spans="1:3" x14ac:dyDescent="0.2">
      <c r="A3116" s="3" t="s">
        <v>997</v>
      </c>
      <c r="B3116" s="3" t="s">
        <v>1008</v>
      </c>
      <c r="C3116" s="3" t="s">
        <v>54</v>
      </c>
    </row>
    <row r="3117" spans="1:3" x14ac:dyDescent="0.2">
      <c r="A3117" s="3" t="s">
        <v>997</v>
      </c>
      <c r="B3117" s="3" t="s">
        <v>1009</v>
      </c>
      <c r="C3117" s="3" t="s">
        <v>54</v>
      </c>
    </row>
    <row r="3118" spans="1:3" x14ac:dyDescent="0.2">
      <c r="A3118" s="3" t="s">
        <v>997</v>
      </c>
      <c r="B3118" s="3" t="s">
        <v>1010</v>
      </c>
      <c r="C3118" s="3" t="s">
        <v>54</v>
      </c>
    </row>
    <row r="3119" spans="1:3" x14ac:dyDescent="0.2">
      <c r="A3119" s="3" t="s">
        <v>997</v>
      </c>
      <c r="B3119" s="3" t="s">
        <v>1011</v>
      </c>
      <c r="C3119" s="3" t="s">
        <v>54</v>
      </c>
    </row>
    <row r="3120" spans="1:3" x14ac:dyDescent="0.2">
      <c r="A3120" s="3" t="s">
        <v>997</v>
      </c>
      <c r="B3120" s="3" t="s">
        <v>1012</v>
      </c>
      <c r="C3120" s="3" t="s">
        <v>54</v>
      </c>
    </row>
    <row r="3121" spans="1:3" x14ac:dyDescent="0.2">
      <c r="A3121" s="3" t="s">
        <v>997</v>
      </c>
      <c r="B3121" s="3" t="s">
        <v>1013</v>
      </c>
      <c r="C3121" s="3" t="s">
        <v>54</v>
      </c>
    </row>
    <row r="3122" spans="1:3" x14ac:dyDescent="0.2">
      <c r="A3122" s="3" t="s">
        <v>997</v>
      </c>
      <c r="B3122" s="3" t="s">
        <v>1014</v>
      </c>
      <c r="C3122" s="3" t="s">
        <v>54</v>
      </c>
    </row>
    <row r="3123" spans="1:3" x14ac:dyDescent="0.2">
      <c r="A3123" s="3" t="s">
        <v>997</v>
      </c>
      <c r="B3123" s="3" t="s">
        <v>1015</v>
      </c>
      <c r="C3123" s="3" t="s">
        <v>54</v>
      </c>
    </row>
    <row r="3124" spans="1:3" x14ac:dyDescent="0.2">
      <c r="A3124" s="3" t="s">
        <v>997</v>
      </c>
      <c r="B3124" s="3" t="s">
        <v>1016</v>
      </c>
      <c r="C3124" s="3" t="s">
        <v>54</v>
      </c>
    </row>
    <row r="3125" spans="1:3" x14ac:dyDescent="0.2">
      <c r="A3125" s="3" t="s">
        <v>997</v>
      </c>
      <c r="B3125" s="3" t="s">
        <v>1017</v>
      </c>
      <c r="C3125" s="3" t="s">
        <v>54</v>
      </c>
    </row>
    <row r="3126" spans="1:3" x14ac:dyDescent="0.2">
      <c r="A3126" s="3" t="s">
        <v>997</v>
      </c>
      <c r="B3126" s="3" t="s">
        <v>1018</v>
      </c>
      <c r="C3126" s="3" t="s">
        <v>54</v>
      </c>
    </row>
    <row r="3127" spans="1:3" x14ac:dyDescent="0.2">
      <c r="A3127" s="3" t="s">
        <v>997</v>
      </c>
      <c r="B3127" s="3" t="s">
        <v>1019</v>
      </c>
      <c r="C3127" s="3" t="s">
        <v>54</v>
      </c>
    </row>
    <row r="3128" spans="1:3" x14ac:dyDescent="0.2">
      <c r="A3128" s="3" t="s">
        <v>997</v>
      </c>
      <c r="B3128" s="3" t="s">
        <v>1020</v>
      </c>
      <c r="C3128" s="3" t="s">
        <v>54</v>
      </c>
    </row>
    <row r="3129" spans="1:3" x14ac:dyDescent="0.2">
      <c r="A3129" s="3" t="s">
        <v>997</v>
      </c>
      <c r="B3129" s="3" t="s">
        <v>882</v>
      </c>
      <c r="C3129" s="3" t="s">
        <v>54</v>
      </c>
    </row>
    <row r="3130" spans="1:3" x14ac:dyDescent="0.2">
      <c r="A3130" s="3" t="s">
        <v>997</v>
      </c>
      <c r="B3130" s="3" t="s">
        <v>1021</v>
      </c>
      <c r="C3130" s="3" t="s">
        <v>54</v>
      </c>
    </row>
    <row r="3131" spans="1:3" x14ac:dyDescent="0.2">
      <c r="A3131" s="3" t="s">
        <v>997</v>
      </c>
      <c r="B3131" s="3" t="s">
        <v>1022</v>
      </c>
      <c r="C3131" s="3" t="s">
        <v>54</v>
      </c>
    </row>
    <row r="3132" spans="1:3" x14ac:dyDescent="0.2">
      <c r="A3132" s="3" t="s">
        <v>997</v>
      </c>
      <c r="B3132" s="3" t="s">
        <v>1023</v>
      </c>
      <c r="C3132" s="3" t="s">
        <v>54</v>
      </c>
    </row>
    <row r="3133" spans="1:3" x14ac:dyDescent="0.2">
      <c r="A3133" s="3" t="s">
        <v>997</v>
      </c>
      <c r="B3133" s="3" t="s">
        <v>1024</v>
      </c>
      <c r="C3133" s="3" t="s">
        <v>54</v>
      </c>
    </row>
    <row r="3134" spans="1:3" x14ac:dyDescent="0.2">
      <c r="A3134" s="3" t="s">
        <v>997</v>
      </c>
      <c r="B3134" s="3" t="s">
        <v>1025</v>
      </c>
      <c r="C3134" s="3" t="s">
        <v>54</v>
      </c>
    </row>
    <row r="3135" spans="1:3" x14ac:dyDescent="0.2">
      <c r="A3135" s="3" t="s">
        <v>997</v>
      </c>
      <c r="B3135" s="3" t="s">
        <v>1026</v>
      </c>
      <c r="C3135" s="3" t="s">
        <v>54</v>
      </c>
    </row>
    <row r="3136" spans="1:3" x14ac:dyDescent="0.2">
      <c r="A3136" s="3" t="s">
        <v>997</v>
      </c>
      <c r="B3136" s="3" t="s">
        <v>1027</v>
      </c>
      <c r="C3136" s="3" t="s">
        <v>54</v>
      </c>
    </row>
    <row r="3137" spans="1:3" x14ac:dyDescent="0.2">
      <c r="A3137" s="3" t="s">
        <v>997</v>
      </c>
      <c r="B3137" s="3" t="s">
        <v>1028</v>
      </c>
      <c r="C3137" s="3" t="s">
        <v>54</v>
      </c>
    </row>
    <row r="3138" spans="1:3" x14ac:dyDescent="0.2">
      <c r="A3138" s="3" t="s">
        <v>997</v>
      </c>
      <c r="B3138" s="3" t="s">
        <v>1029</v>
      </c>
      <c r="C3138" s="3" t="s">
        <v>54</v>
      </c>
    </row>
    <row r="3139" spans="1:3" x14ac:dyDescent="0.2">
      <c r="A3139" s="3" t="s">
        <v>997</v>
      </c>
      <c r="B3139" s="3" t="s">
        <v>1034</v>
      </c>
      <c r="C3139" s="3" t="s">
        <v>54</v>
      </c>
    </row>
    <row r="3140" spans="1:3" x14ac:dyDescent="0.2">
      <c r="A3140" s="3" t="s">
        <v>997</v>
      </c>
      <c r="B3140" s="3" t="s">
        <v>1035</v>
      </c>
      <c r="C3140" s="3" t="s">
        <v>54</v>
      </c>
    </row>
    <row r="3141" spans="1:3" x14ac:dyDescent="0.2">
      <c r="A3141" s="3" t="s">
        <v>997</v>
      </c>
      <c r="B3141" s="3" t="s">
        <v>1030</v>
      </c>
      <c r="C3141" s="3" t="s">
        <v>54</v>
      </c>
    </row>
    <row r="3142" spans="1:3" x14ac:dyDescent="0.2">
      <c r="A3142" s="3" t="s">
        <v>997</v>
      </c>
      <c r="B3142" s="3" t="s">
        <v>1031</v>
      </c>
      <c r="C3142" s="3" t="s">
        <v>54</v>
      </c>
    </row>
    <row r="3143" spans="1:3" x14ac:dyDescent="0.2">
      <c r="A3143" s="3" t="s">
        <v>997</v>
      </c>
      <c r="B3143" s="3" t="s">
        <v>1032</v>
      </c>
      <c r="C3143" s="3" t="s">
        <v>54</v>
      </c>
    </row>
    <row r="3144" spans="1:3" x14ac:dyDescent="0.2">
      <c r="A3144" s="3" t="s">
        <v>997</v>
      </c>
      <c r="B3144" s="3" t="s">
        <v>1033</v>
      </c>
      <c r="C3144" s="3" t="s">
        <v>54</v>
      </c>
    </row>
    <row r="3145" spans="1:3" x14ac:dyDescent="0.2">
      <c r="A3145" s="3" t="s">
        <v>997</v>
      </c>
      <c r="B3145" s="3" t="s">
        <v>998</v>
      </c>
      <c r="C3145" s="3" t="s">
        <v>55</v>
      </c>
    </row>
    <row r="3146" spans="1:3" x14ac:dyDescent="0.2">
      <c r="A3146" s="3" t="s">
        <v>997</v>
      </c>
      <c r="B3146" s="3" t="s">
        <v>999</v>
      </c>
      <c r="C3146" s="3" t="s">
        <v>55</v>
      </c>
    </row>
    <row r="3147" spans="1:3" x14ac:dyDescent="0.2">
      <c r="A3147" s="3" t="s">
        <v>997</v>
      </c>
      <c r="B3147" s="3" t="s">
        <v>1000</v>
      </c>
      <c r="C3147" s="3" t="s">
        <v>55</v>
      </c>
    </row>
    <row r="3148" spans="1:3" x14ac:dyDescent="0.2">
      <c r="A3148" s="3" t="s">
        <v>997</v>
      </c>
      <c r="B3148" s="3" t="s">
        <v>1001</v>
      </c>
      <c r="C3148" s="3" t="s">
        <v>55</v>
      </c>
    </row>
    <row r="3149" spans="1:3" x14ac:dyDescent="0.2">
      <c r="A3149" s="3" t="s">
        <v>997</v>
      </c>
      <c r="B3149" s="3" t="s">
        <v>1002</v>
      </c>
      <c r="C3149" s="3" t="s">
        <v>55</v>
      </c>
    </row>
    <row r="3150" spans="1:3" x14ac:dyDescent="0.2">
      <c r="A3150" s="3" t="s">
        <v>997</v>
      </c>
      <c r="B3150" s="3" t="s">
        <v>720</v>
      </c>
      <c r="C3150" s="3" t="s">
        <v>55</v>
      </c>
    </row>
    <row r="3151" spans="1:3" x14ac:dyDescent="0.2">
      <c r="A3151" s="3" t="s">
        <v>997</v>
      </c>
      <c r="B3151" s="3" t="s">
        <v>721</v>
      </c>
      <c r="C3151" s="3" t="s">
        <v>55</v>
      </c>
    </row>
    <row r="3152" spans="1:3" x14ac:dyDescent="0.2">
      <c r="A3152" s="3" t="s">
        <v>997</v>
      </c>
      <c r="B3152" s="3" t="s">
        <v>722</v>
      </c>
      <c r="C3152" s="3" t="s">
        <v>55</v>
      </c>
    </row>
    <row r="3153" spans="1:3" x14ac:dyDescent="0.2">
      <c r="A3153" s="3" t="s">
        <v>997</v>
      </c>
      <c r="B3153" s="3" t="s">
        <v>1003</v>
      </c>
      <c r="C3153" s="3" t="s">
        <v>55</v>
      </c>
    </row>
    <row r="3154" spans="1:3" x14ac:dyDescent="0.2">
      <c r="A3154" s="3" t="s">
        <v>997</v>
      </c>
      <c r="B3154" s="3" t="s">
        <v>1004</v>
      </c>
      <c r="C3154" s="3" t="s">
        <v>55</v>
      </c>
    </row>
    <row r="3155" spans="1:3" x14ac:dyDescent="0.2">
      <c r="A3155" s="3" t="s">
        <v>997</v>
      </c>
      <c r="B3155" s="3" t="s">
        <v>1005</v>
      </c>
      <c r="C3155" s="3" t="s">
        <v>55</v>
      </c>
    </row>
    <row r="3156" spans="1:3" x14ac:dyDescent="0.2">
      <c r="A3156" s="3" t="s">
        <v>997</v>
      </c>
      <c r="B3156" s="3" t="s">
        <v>1006</v>
      </c>
      <c r="C3156" s="3" t="s">
        <v>55</v>
      </c>
    </row>
    <row r="3157" spans="1:3" x14ac:dyDescent="0.2">
      <c r="A3157" s="3" t="s">
        <v>997</v>
      </c>
      <c r="B3157" s="3" t="s">
        <v>880</v>
      </c>
      <c r="C3157" s="3" t="s">
        <v>55</v>
      </c>
    </row>
    <row r="3158" spans="1:3" x14ac:dyDescent="0.2">
      <c r="A3158" s="3" t="s">
        <v>997</v>
      </c>
      <c r="B3158" s="3" t="s">
        <v>881</v>
      </c>
      <c r="C3158" s="3" t="s">
        <v>55</v>
      </c>
    </row>
    <row r="3159" spans="1:3" x14ac:dyDescent="0.2">
      <c r="A3159" s="3" t="s">
        <v>997</v>
      </c>
      <c r="B3159" s="3" t="s">
        <v>922</v>
      </c>
      <c r="C3159" s="3" t="s">
        <v>55</v>
      </c>
    </row>
    <row r="3160" spans="1:3" x14ac:dyDescent="0.2">
      <c r="A3160" s="3" t="s">
        <v>997</v>
      </c>
      <c r="B3160" s="3" t="s">
        <v>923</v>
      </c>
      <c r="C3160" s="3" t="s">
        <v>55</v>
      </c>
    </row>
    <row r="3161" spans="1:3" x14ac:dyDescent="0.2">
      <c r="A3161" s="3" t="s">
        <v>997</v>
      </c>
      <c r="B3161" s="3" t="s">
        <v>924</v>
      </c>
      <c r="C3161" s="3" t="s">
        <v>55</v>
      </c>
    </row>
    <row r="3162" spans="1:3" x14ac:dyDescent="0.2">
      <c r="A3162" s="3" t="s">
        <v>997</v>
      </c>
      <c r="B3162" s="3" t="s">
        <v>925</v>
      </c>
      <c r="C3162" s="3" t="s">
        <v>55</v>
      </c>
    </row>
    <row r="3163" spans="1:3" x14ac:dyDescent="0.2">
      <c r="A3163" s="3" t="s">
        <v>997</v>
      </c>
      <c r="B3163" s="3" t="s">
        <v>1007</v>
      </c>
      <c r="C3163" s="3" t="s">
        <v>55</v>
      </c>
    </row>
    <row r="3164" spans="1:3" x14ac:dyDescent="0.2">
      <c r="A3164" s="3" t="s">
        <v>997</v>
      </c>
      <c r="B3164" s="3" t="s">
        <v>1008</v>
      </c>
      <c r="C3164" s="3" t="s">
        <v>55</v>
      </c>
    </row>
    <row r="3165" spans="1:3" x14ac:dyDescent="0.2">
      <c r="A3165" s="3" t="s">
        <v>997</v>
      </c>
      <c r="B3165" s="3" t="s">
        <v>1009</v>
      </c>
      <c r="C3165" s="3" t="s">
        <v>55</v>
      </c>
    </row>
    <row r="3166" spans="1:3" x14ac:dyDescent="0.2">
      <c r="A3166" s="3" t="s">
        <v>997</v>
      </c>
      <c r="B3166" s="3" t="s">
        <v>1010</v>
      </c>
      <c r="C3166" s="3" t="s">
        <v>55</v>
      </c>
    </row>
    <row r="3167" spans="1:3" x14ac:dyDescent="0.2">
      <c r="A3167" s="3" t="s">
        <v>997</v>
      </c>
      <c r="B3167" s="3" t="s">
        <v>1011</v>
      </c>
      <c r="C3167" s="3" t="s">
        <v>55</v>
      </c>
    </row>
    <row r="3168" spans="1:3" x14ac:dyDescent="0.2">
      <c r="A3168" s="3" t="s">
        <v>997</v>
      </c>
      <c r="B3168" s="3" t="s">
        <v>1012</v>
      </c>
      <c r="C3168" s="3" t="s">
        <v>55</v>
      </c>
    </row>
    <row r="3169" spans="1:3" x14ac:dyDescent="0.2">
      <c r="A3169" s="3" t="s">
        <v>997</v>
      </c>
      <c r="B3169" s="3" t="s">
        <v>1013</v>
      </c>
      <c r="C3169" s="3" t="s">
        <v>55</v>
      </c>
    </row>
    <row r="3170" spans="1:3" x14ac:dyDescent="0.2">
      <c r="A3170" s="3" t="s">
        <v>997</v>
      </c>
      <c r="B3170" s="3" t="s">
        <v>1014</v>
      </c>
      <c r="C3170" s="3" t="s">
        <v>55</v>
      </c>
    </row>
    <row r="3171" spans="1:3" x14ac:dyDescent="0.2">
      <c r="A3171" s="3" t="s">
        <v>997</v>
      </c>
      <c r="B3171" s="3" t="s">
        <v>1015</v>
      </c>
      <c r="C3171" s="3" t="s">
        <v>55</v>
      </c>
    </row>
    <row r="3172" spans="1:3" x14ac:dyDescent="0.2">
      <c r="A3172" s="3" t="s">
        <v>997</v>
      </c>
      <c r="B3172" s="3" t="s">
        <v>1016</v>
      </c>
      <c r="C3172" s="3" t="s">
        <v>55</v>
      </c>
    </row>
    <row r="3173" spans="1:3" x14ac:dyDescent="0.2">
      <c r="A3173" s="3" t="s">
        <v>997</v>
      </c>
      <c r="B3173" s="3" t="s">
        <v>1017</v>
      </c>
      <c r="C3173" s="3" t="s">
        <v>55</v>
      </c>
    </row>
    <row r="3174" spans="1:3" x14ac:dyDescent="0.2">
      <c r="A3174" s="3" t="s">
        <v>997</v>
      </c>
      <c r="B3174" s="3" t="s">
        <v>1018</v>
      </c>
      <c r="C3174" s="3" t="s">
        <v>55</v>
      </c>
    </row>
    <row r="3175" spans="1:3" x14ac:dyDescent="0.2">
      <c r="A3175" s="3" t="s">
        <v>997</v>
      </c>
      <c r="B3175" s="3" t="s">
        <v>1019</v>
      </c>
      <c r="C3175" s="3" t="s">
        <v>55</v>
      </c>
    </row>
    <row r="3176" spans="1:3" x14ac:dyDescent="0.2">
      <c r="A3176" s="3" t="s">
        <v>997</v>
      </c>
      <c r="B3176" s="3" t="s">
        <v>1020</v>
      </c>
      <c r="C3176" s="3" t="s">
        <v>55</v>
      </c>
    </row>
    <row r="3177" spans="1:3" x14ac:dyDescent="0.2">
      <c r="A3177" s="3" t="s">
        <v>997</v>
      </c>
      <c r="B3177" s="3" t="s">
        <v>882</v>
      </c>
      <c r="C3177" s="3" t="s">
        <v>55</v>
      </c>
    </row>
    <row r="3178" spans="1:3" x14ac:dyDescent="0.2">
      <c r="A3178" s="3" t="s">
        <v>997</v>
      </c>
      <c r="B3178" s="3" t="s">
        <v>1021</v>
      </c>
      <c r="C3178" s="3" t="s">
        <v>55</v>
      </c>
    </row>
    <row r="3179" spans="1:3" x14ac:dyDescent="0.2">
      <c r="A3179" s="3" t="s">
        <v>997</v>
      </c>
      <c r="B3179" s="3" t="s">
        <v>1022</v>
      </c>
      <c r="C3179" s="3" t="s">
        <v>55</v>
      </c>
    </row>
    <row r="3180" spans="1:3" x14ac:dyDescent="0.2">
      <c r="A3180" s="3" t="s">
        <v>997</v>
      </c>
      <c r="B3180" s="3" t="s">
        <v>1023</v>
      </c>
      <c r="C3180" s="3" t="s">
        <v>55</v>
      </c>
    </row>
    <row r="3181" spans="1:3" x14ac:dyDescent="0.2">
      <c r="A3181" s="3" t="s">
        <v>997</v>
      </c>
      <c r="B3181" s="3" t="s">
        <v>1034</v>
      </c>
      <c r="C3181" s="3" t="s">
        <v>55</v>
      </c>
    </row>
    <row r="3182" spans="1:3" x14ac:dyDescent="0.2">
      <c r="A3182" s="3" t="s">
        <v>997</v>
      </c>
      <c r="B3182" s="3" t="s">
        <v>1035</v>
      </c>
      <c r="C3182" s="3" t="s">
        <v>55</v>
      </c>
    </row>
    <row r="3183" spans="1:3" x14ac:dyDescent="0.2">
      <c r="A3183" s="3" t="s">
        <v>997</v>
      </c>
      <c r="B3183" s="3" t="s">
        <v>1030</v>
      </c>
      <c r="C3183" s="3" t="s">
        <v>55</v>
      </c>
    </row>
    <row r="3184" spans="1:3" x14ac:dyDescent="0.2">
      <c r="A3184" s="3" t="s">
        <v>997</v>
      </c>
      <c r="B3184" s="3" t="s">
        <v>998</v>
      </c>
      <c r="C3184" s="3" t="s">
        <v>56</v>
      </c>
    </row>
    <row r="3185" spans="1:3" x14ac:dyDescent="0.2">
      <c r="A3185" s="3" t="s">
        <v>997</v>
      </c>
      <c r="B3185" s="3" t="s">
        <v>999</v>
      </c>
      <c r="C3185" s="3" t="s">
        <v>56</v>
      </c>
    </row>
    <row r="3186" spans="1:3" x14ac:dyDescent="0.2">
      <c r="A3186" s="3" t="s">
        <v>997</v>
      </c>
      <c r="B3186" s="3" t="s">
        <v>1000</v>
      </c>
      <c r="C3186" s="3" t="s">
        <v>56</v>
      </c>
    </row>
    <row r="3187" spans="1:3" x14ac:dyDescent="0.2">
      <c r="A3187" s="3" t="s">
        <v>997</v>
      </c>
      <c r="B3187" s="3" t="s">
        <v>1001</v>
      </c>
      <c r="C3187" s="3" t="s">
        <v>56</v>
      </c>
    </row>
    <row r="3188" spans="1:3" x14ac:dyDescent="0.2">
      <c r="A3188" s="3" t="s">
        <v>997</v>
      </c>
      <c r="B3188" s="3" t="s">
        <v>1002</v>
      </c>
      <c r="C3188" s="3" t="s">
        <v>56</v>
      </c>
    </row>
    <row r="3189" spans="1:3" x14ac:dyDescent="0.2">
      <c r="A3189" s="3" t="s">
        <v>997</v>
      </c>
      <c r="B3189" s="3" t="s">
        <v>720</v>
      </c>
      <c r="C3189" s="3" t="s">
        <v>56</v>
      </c>
    </row>
    <row r="3190" spans="1:3" x14ac:dyDescent="0.2">
      <c r="A3190" s="3" t="s">
        <v>997</v>
      </c>
      <c r="B3190" s="3" t="s">
        <v>721</v>
      </c>
      <c r="C3190" s="3" t="s">
        <v>56</v>
      </c>
    </row>
    <row r="3191" spans="1:3" x14ac:dyDescent="0.2">
      <c r="A3191" s="3" t="s">
        <v>997</v>
      </c>
      <c r="B3191" s="3" t="s">
        <v>722</v>
      </c>
      <c r="C3191" s="3" t="s">
        <v>56</v>
      </c>
    </row>
    <row r="3192" spans="1:3" x14ac:dyDescent="0.2">
      <c r="A3192" s="3" t="s">
        <v>997</v>
      </c>
      <c r="B3192" s="3" t="s">
        <v>1003</v>
      </c>
      <c r="C3192" s="3" t="s">
        <v>56</v>
      </c>
    </row>
    <row r="3193" spans="1:3" x14ac:dyDescent="0.2">
      <c r="A3193" s="3" t="s">
        <v>997</v>
      </c>
      <c r="B3193" s="3" t="s">
        <v>1004</v>
      </c>
      <c r="C3193" s="3" t="s">
        <v>56</v>
      </c>
    </row>
    <row r="3194" spans="1:3" x14ac:dyDescent="0.2">
      <c r="A3194" s="3" t="s">
        <v>997</v>
      </c>
      <c r="B3194" s="3" t="s">
        <v>1005</v>
      </c>
      <c r="C3194" s="3" t="s">
        <v>56</v>
      </c>
    </row>
    <row r="3195" spans="1:3" x14ac:dyDescent="0.2">
      <c r="A3195" s="3" t="s">
        <v>997</v>
      </c>
      <c r="B3195" s="3" t="s">
        <v>1006</v>
      </c>
      <c r="C3195" s="3" t="s">
        <v>56</v>
      </c>
    </row>
    <row r="3196" spans="1:3" x14ac:dyDescent="0.2">
      <c r="A3196" s="3" t="s">
        <v>997</v>
      </c>
      <c r="B3196" s="3" t="s">
        <v>880</v>
      </c>
      <c r="C3196" s="3" t="s">
        <v>56</v>
      </c>
    </row>
    <row r="3197" spans="1:3" x14ac:dyDescent="0.2">
      <c r="A3197" s="3" t="s">
        <v>997</v>
      </c>
      <c r="B3197" s="3" t="s">
        <v>881</v>
      </c>
      <c r="C3197" s="3" t="s">
        <v>56</v>
      </c>
    </row>
    <row r="3198" spans="1:3" x14ac:dyDescent="0.2">
      <c r="A3198" s="3" t="s">
        <v>997</v>
      </c>
      <c r="B3198" s="3" t="s">
        <v>922</v>
      </c>
      <c r="C3198" s="3" t="s">
        <v>56</v>
      </c>
    </row>
    <row r="3199" spans="1:3" x14ac:dyDescent="0.2">
      <c r="A3199" s="3" t="s">
        <v>997</v>
      </c>
      <c r="B3199" s="3" t="s">
        <v>923</v>
      </c>
      <c r="C3199" s="3" t="s">
        <v>56</v>
      </c>
    </row>
    <row r="3200" spans="1:3" x14ac:dyDescent="0.2">
      <c r="A3200" s="3" t="s">
        <v>997</v>
      </c>
      <c r="B3200" s="3" t="s">
        <v>924</v>
      </c>
      <c r="C3200" s="3" t="s">
        <v>56</v>
      </c>
    </row>
    <row r="3201" spans="1:3" x14ac:dyDescent="0.2">
      <c r="A3201" s="3" t="s">
        <v>997</v>
      </c>
      <c r="B3201" s="3" t="s">
        <v>925</v>
      </c>
      <c r="C3201" s="3" t="s">
        <v>56</v>
      </c>
    </row>
    <row r="3202" spans="1:3" x14ac:dyDescent="0.2">
      <c r="A3202" s="3" t="s">
        <v>997</v>
      </c>
      <c r="B3202" s="3" t="s">
        <v>1007</v>
      </c>
      <c r="C3202" s="3" t="s">
        <v>56</v>
      </c>
    </row>
    <row r="3203" spans="1:3" x14ac:dyDescent="0.2">
      <c r="A3203" s="3" t="s">
        <v>997</v>
      </c>
      <c r="B3203" s="3" t="s">
        <v>1008</v>
      </c>
      <c r="C3203" s="3" t="s">
        <v>56</v>
      </c>
    </row>
    <row r="3204" spans="1:3" x14ac:dyDescent="0.2">
      <c r="A3204" s="3" t="s">
        <v>997</v>
      </c>
      <c r="B3204" s="3" t="s">
        <v>1009</v>
      </c>
      <c r="C3204" s="3" t="s">
        <v>56</v>
      </c>
    </row>
    <row r="3205" spans="1:3" x14ac:dyDescent="0.2">
      <c r="A3205" s="3" t="s">
        <v>997</v>
      </c>
      <c r="B3205" s="3" t="s">
        <v>1010</v>
      </c>
      <c r="C3205" s="3" t="s">
        <v>56</v>
      </c>
    </row>
    <row r="3206" spans="1:3" x14ac:dyDescent="0.2">
      <c r="A3206" s="3" t="s">
        <v>997</v>
      </c>
      <c r="B3206" s="3" t="s">
        <v>1011</v>
      </c>
      <c r="C3206" s="3" t="s">
        <v>56</v>
      </c>
    </row>
    <row r="3207" spans="1:3" x14ac:dyDescent="0.2">
      <c r="A3207" s="3" t="s">
        <v>997</v>
      </c>
      <c r="B3207" s="3" t="s">
        <v>1012</v>
      </c>
      <c r="C3207" s="3" t="s">
        <v>56</v>
      </c>
    </row>
    <row r="3208" spans="1:3" x14ac:dyDescent="0.2">
      <c r="A3208" s="3" t="s">
        <v>997</v>
      </c>
      <c r="B3208" s="3" t="s">
        <v>1013</v>
      </c>
      <c r="C3208" s="3" t="s">
        <v>56</v>
      </c>
    </row>
    <row r="3209" spans="1:3" x14ac:dyDescent="0.2">
      <c r="A3209" s="3" t="s">
        <v>997</v>
      </c>
      <c r="B3209" s="3" t="s">
        <v>1014</v>
      </c>
      <c r="C3209" s="3" t="s">
        <v>56</v>
      </c>
    </row>
    <row r="3210" spans="1:3" x14ac:dyDescent="0.2">
      <c r="A3210" s="3" t="s">
        <v>997</v>
      </c>
      <c r="B3210" s="3" t="s">
        <v>1015</v>
      </c>
      <c r="C3210" s="3" t="s">
        <v>56</v>
      </c>
    </row>
    <row r="3211" spans="1:3" x14ac:dyDescent="0.2">
      <c r="A3211" s="3" t="s">
        <v>997</v>
      </c>
      <c r="B3211" s="3" t="s">
        <v>1016</v>
      </c>
      <c r="C3211" s="3" t="s">
        <v>56</v>
      </c>
    </row>
    <row r="3212" spans="1:3" x14ac:dyDescent="0.2">
      <c r="A3212" s="3" t="s">
        <v>997</v>
      </c>
      <c r="B3212" s="3" t="s">
        <v>1017</v>
      </c>
      <c r="C3212" s="3" t="s">
        <v>56</v>
      </c>
    </row>
    <row r="3213" spans="1:3" x14ac:dyDescent="0.2">
      <c r="A3213" s="3" t="s">
        <v>997</v>
      </c>
      <c r="B3213" s="3" t="s">
        <v>1018</v>
      </c>
      <c r="C3213" s="3" t="s">
        <v>56</v>
      </c>
    </row>
    <row r="3214" spans="1:3" x14ac:dyDescent="0.2">
      <c r="A3214" s="3" t="s">
        <v>997</v>
      </c>
      <c r="B3214" s="3" t="s">
        <v>1019</v>
      </c>
      <c r="C3214" s="3" t="s">
        <v>56</v>
      </c>
    </row>
    <row r="3215" spans="1:3" x14ac:dyDescent="0.2">
      <c r="A3215" s="3" t="s">
        <v>997</v>
      </c>
      <c r="B3215" s="3" t="s">
        <v>1020</v>
      </c>
      <c r="C3215" s="3" t="s">
        <v>56</v>
      </c>
    </row>
    <row r="3216" spans="1:3" x14ac:dyDescent="0.2">
      <c r="A3216" s="3" t="s">
        <v>997</v>
      </c>
      <c r="B3216" s="3" t="s">
        <v>882</v>
      </c>
      <c r="C3216" s="3" t="s">
        <v>56</v>
      </c>
    </row>
    <row r="3217" spans="1:3" x14ac:dyDescent="0.2">
      <c r="A3217" s="3" t="s">
        <v>997</v>
      </c>
      <c r="B3217" s="3" t="s">
        <v>1021</v>
      </c>
      <c r="C3217" s="3" t="s">
        <v>56</v>
      </c>
    </row>
    <row r="3218" spans="1:3" x14ac:dyDescent="0.2">
      <c r="A3218" s="3" t="s">
        <v>997</v>
      </c>
      <c r="B3218" s="3" t="s">
        <v>1022</v>
      </c>
      <c r="C3218" s="3" t="s">
        <v>56</v>
      </c>
    </row>
    <row r="3219" spans="1:3" x14ac:dyDescent="0.2">
      <c r="A3219" s="3" t="s">
        <v>997</v>
      </c>
      <c r="B3219" s="3" t="s">
        <v>1023</v>
      </c>
      <c r="C3219" s="3" t="s">
        <v>56</v>
      </c>
    </row>
    <row r="3220" spans="1:3" x14ac:dyDescent="0.2">
      <c r="A3220" s="3" t="s">
        <v>997</v>
      </c>
      <c r="B3220" s="3" t="s">
        <v>1034</v>
      </c>
      <c r="C3220" s="3" t="s">
        <v>56</v>
      </c>
    </row>
    <row r="3221" spans="1:3" x14ac:dyDescent="0.2">
      <c r="A3221" s="3" t="s">
        <v>997</v>
      </c>
      <c r="B3221" s="3" t="s">
        <v>1035</v>
      </c>
      <c r="C3221" s="3" t="s">
        <v>56</v>
      </c>
    </row>
    <row r="3222" spans="1:3" x14ac:dyDescent="0.2">
      <c r="A3222" s="3" t="s">
        <v>997</v>
      </c>
      <c r="B3222" s="3" t="s">
        <v>1030</v>
      </c>
      <c r="C3222" s="3" t="s">
        <v>56</v>
      </c>
    </row>
    <row r="3223" spans="1:3" x14ac:dyDescent="0.2">
      <c r="A3223" s="3" t="s">
        <v>997</v>
      </c>
      <c r="B3223" s="3" t="s">
        <v>998</v>
      </c>
      <c r="C3223" s="3" t="s">
        <v>57</v>
      </c>
    </row>
    <row r="3224" spans="1:3" x14ac:dyDescent="0.2">
      <c r="A3224" s="3" t="s">
        <v>997</v>
      </c>
      <c r="B3224" s="3" t="s">
        <v>999</v>
      </c>
      <c r="C3224" s="3" t="s">
        <v>57</v>
      </c>
    </row>
    <row r="3225" spans="1:3" x14ac:dyDescent="0.2">
      <c r="A3225" s="3" t="s">
        <v>997</v>
      </c>
      <c r="B3225" s="3" t="s">
        <v>1000</v>
      </c>
      <c r="C3225" s="3" t="s">
        <v>57</v>
      </c>
    </row>
    <row r="3226" spans="1:3" x14ac:dyDescent="0.2">
      <c r="A3226" s="3" t="s">
        <v>997</v>
      </c>
      <c r="B3226" s="3" t="s">
        <v>1001</v>
      </c>
      <c r="C3226" s="3" t="s">
        <v>57</v>
      </c>
    </row>
    <row r="3227" spans="1:3" x14ac:dyDescent="0.2">
      <c r="A3227" s="3" t="s">
        <v>997</v>
      </c>
      <c r="B3227" s="3" t="s">
        <v>1002</v>
      </c>
      <c r="C3227" s="3" t="s">
        <v>57</v>
      </c>
    </row>
    <row r="3228" spans="1:3" x14ac:dyDescent="0.2">
      <c r="A3228" s="3" t="s">
        <v>997</v>
      </c>
      <c r="B3228" s="3" t="s">
        <v>720</v>
      </c>
      <c r="C3228" s="3" t="s">
        <v>57</v>
      </c>
    </row>
    <row r="3229" spans="1:3" x14ac:dyDescent="0.2">
      <c r="A3229" s="3" t="s">
        <v>997</v>
      </c>
      <c r="B3229" s="3" t="s">
        <v>721</v>
      </c>
      <c r="C3229" s="3" t="s">
        <v>57</v>
      </c>
    </row>
    <row r="3230" spans="1:3" x14ac:dyDescent="0.2">
      <c r="A3230" s="3" t="s">
        <v>997</v>
      </c>
      <c r="B3230" s="3" t="s">
        <v>722</v>
      </c>
      <c r="C3230" s="3" t="s">
        <v>57</v>
      </c>
    </row>
    <row r="3231" spans="1:3" x14ac:dyDescent="0.2">
      <c r="A3231" s="3" t="s">
        <v>997</v>
      </c>
      <c r="B3231" s="3" t="s">
        <v>1003</v>
      </c>
      <c r="C3231" s="3" t="s">
        <v>57</v>
      </c>
    </row>
    <row r="3232" spans="1:3" x14ac:dyDescent="0.2">
      <c r="A3232" s="3" t="s">
        <v>997</v>
      </c>
      <c r="B3232" s="3" t="s">
        <v>1004</v>
      </c>
      <c r="C3232" s="3" t="s">
        <v>57</v>
      </c>
    </row>
    <row r="3233" spans="1:3" x14ac:dyDescent="0.2">
      <c r="A3233" s="3" t="s">
        <v>997</v>
      </c>
      <c r="B3233" s="3" t="s">
        <v>1005</v>
      </c>
      <c r="C3233" s="3" t="s">
        <v>57</v>
      </c>
    </row>
    <row r="3234" spans="1:3" x14ac:dyDescent="0.2">
      <c r="A3234" s="3" t="s">
        <v>997</v>
      </c>
      <c r="B3234" s="3" t="s">
        <v>1006</v>
      </c>
      <c r="C3234" s="3" t="s">
        <v>57</v>
      </c>
    </row>
    <row r="3235" spans="1:3" x14ac:dyDescent="0.2">
      <c r="A3235" s="3" t="s">
        <v>997</v>
      </c>
      <c r="B3235" s="3" t="s">
        <v>880</v>
      </c>
      <c r="C3235" s="3" t="s">
        <v>57</v>
      </c>
    </row>
    <row r="3236" spans="1:3" x14ac:dyDescent="0.2">
      <c r="A3236" s="3" t="s">
        <v>997</v>
      </c>
      <c r="B3236" s="3" t="s">
        <v>881</v>
      </c>
      <c r="C3236" s="3" t="s">
        <v>57</v>
      </c>
    </row>
    <row r="3237" spans="1:3" x14ac:dyDescent="0.2">
      <c r="A3237" s="3" t="s">
        <v>997</v>
      </c>
      <c r="B3237" s="3" t="s">
        <v>922</v>
      </c>
      <c r="C3237" s="3" t="s">
        <v>57</v>
      </c>
    </row>
    <row r="3238" spans="1:3" x14ac:dyDescent="0.2">
      <c r="A3238" s="3" t="s">
        <v>997</v>
      </c>
      <c r="B3238" s="3" t="s">
        <v>923</v>
      </c>
      <c r="C3238" s="3" t="s">
        <v>57</v>
      </c>
    </row>
    <row r="3239" spans="1:3" x14ac:dyDescent="0.2">
      <c r="A3239" s="3" t="s">
        <v>997</v>
      </c>
      <c r="B3239" s="3" t="s">
        <v>924</v>
      </c>
      <c r="C3239" s="3" t="s">
        <v>57</v>
      </c>
    </row>
    <row r="3240" spans="1:3" x14ac:dyDescent="0.2">
      <c r="A3240" s="3" t="s">
        <v>997</v>
      </c>
      <c r="B3240" s="3" t="s">
        <v>925</v>
      </c>
      <c r="C3240" s="3" t="s">
        <v>57</v>
      </c>
    </row>
    <row r="3241" spans="1:3" x14ac:dyDescent="0.2">
      <c r="A3241" s="3" t="s">
        <v>997</v>
      </c>
      <c r="B3241" s="3" t="s">
        <v>1007</v>
      </c>
      <c r="C3241" s="3" t="s">
        <v>57</v>
      </c>
    </row>
    <row r="3242" spans="1:3" x14ac:dyDescent="0.2">
      <c r="A3242" s="3" t="s">
        <v>997</v>
      </c>
      <c r="B3242" s="3" t="s">
        <v>1008</v>
      </c>
      <c r="C3242" s="3" t="s">
        <v>57</v>
      </c>
    </row>
    <row r="3243" spans="1:3" x14ac:dyDescent="0.2">
      <c r="A3243" s="3" t="s">
        <v>997</v>
      </c>
      <c r="B3243" s="3" t="s">
        <v>1009</v>
      </c>
      <c r="C3243" s="3" t="s">
        <v>57</v>
      </c>
    </row>
    <row r="3244" spans="1:3" x14ac:dyDescent="0.2">
      <c r="A3244" s="3" t="s">
        <v>997</v>
      </c>
      <c r="B3244" s="3" t="s">
        <v>1010</v>
      </c>
      <c r="C3244" s="3" t="s">
        <v>57</v>
      </c>
    </row>
    <row r="3245" spans="1:3" x14ac:dyDescent="0.2">
      <c r="A3245" s="3" t="s">
        <v>997</v>
      </c>
      <c r="B3245" s="3" t="s">
        <v>1011</v>
      </c>
      <c r="C3245" s="3" t="s">
        <v>57</v>
      </c>
    </row>
    <row r="3246" spans="1:3" x14ac:dyDescent="0.2">
      <c r="A3246" s="3" t="s">
        <v>997</v>
      </c>
      <c r="B3246" s="3" t="s">
        <v>1012</v>
      </c>
      <c r="C3246" s="3" t="s">
        <v>57</v>
      </c>
    </row>
    <row r="3247" spans="1:3" x14ac:dyDescent="0.2">
      <c r="A3247" s="3" t="s">
        <v>997</v>
      </c>
      <c r="B3247" s="3" t="s">
        <v>1013</v>
      </c>
      <c r="C3247" s="3" t="s">
        <v>57</v>
      </c>
    </row>
    <row r="3248" spans="1:3" x14ac:dyDescent="0.2">
      <c r="A3248" s="3" t="s">
        <v>997</v>
      </c>
      <c r="B3248" s="3" t="s">
        <v>1014</v>
      </c>
      <c r="C3248" s="3" t="s">
        <v>57</v>
      </c>
    </row>
    <row r="3249" spans="1:3" x14ac:dyDescent="0.2">
      <c r="A3249" s="3" t="s">
        <v>997</v>
      </c>
      <c r="B3249" s="3" t="s">
        <v>1015</v>
      </c>
      <c r="C3249" s="3" t="s">
        <v>57</v>
      </c>
    </row>
    <row r="3250" spans="1:3" x14ac:dyDescent="0.2">
      <c r="A3250" s="3" t="s">
        <v>997</v>
      </c>
      <c r="B3250" s="3" t="s">
        <v>1016</v>
      </c>
      <c r="C3250" s="3" t="s">
        <v>57</v>
      </c>
    </row>
    <row r="3251" spans="1:3" x14ac:dyDescent="0.2">
      <c r="A3251" s="3" t="s">
        <v>997</v>
      </c>
      <c r="B3251" s="3" t="s">
        <v>1017</v>
      </c>
      <c r="C3251" s="3" t="s">
        <v>57</v>
      </c>
    </row>
    <row r="3252" spans="1:3" x14ac:dyDescent="0.2">
      <c r="A3252" s="3" t="s">
        <v>997</v>
      </c>
      <c r="B3252" s="3" t="s">
        <v>1018</v>
      </c>
      <c r="C3252" s="3" t="s">
        <v>57</v>
      </c>
    </row>
    <row r="3253" spans="1:3" x14ac:dyDescent="0.2">
      <c r="A3253" s="3" t="s">
        <v>997</v>
      </c>
      <c r="B3253" s="3" t="s">
        <v>1019</v>
      </c>
      <c r="C3253" s="3" t="s">
        <v>57</v>
      </c>
    </row>
    <row r="3254" spans="1:3" x14ac:dyDescent="0.2">
      <c r="A3254" s="3" t="s">
        <v>997</v>
      </c>
      <c r="B3254" s="3" t="s">
        <v>1020</v>
      </c>
      <c r="C3254" s="3" t="s">
        <v>57</v>
      </c>
    </row>
    <row r="3255" spans="1:3" x14ac:dyDescent="0.2">
      <c r="A3255" s="3" t="s">
        <v>997</v>
      </c>
      <c r="B3255" s="3" t="s">
        <v>882</v>
      </c>
      <c r="C3255" s="3" t="s">
        <v>57</v>
      </c>
    </row>
    <row r="3256" spans="1:3" x14ac:dyDescent="0.2">
      <c r="A3256" s="3" t="s">
        <v>997</v>
      </c>
      <c r="B3256" s="3" t="s">
        <v>1021</v>
      </c>
      <c r="C3256" s="3" t="s">
        <v>57</v>
      </c>
    </row>
    <row r="3257" spans="1:3" x14ac:dyDescent="0.2">
      <c r="A3257" s="3" t="s">
        <v>997</v>
      </c>
      <c r="B3257" s="3" t="s">
        <v>1022</v>
      </c>
      <c r="C3257" s="3" t="s">
        <v>57</v>
      </c>
    </row>
    <row r="3258" spans="1:3" x14ac:dyDescent="0.2">
      <c r="A3258" s="3" t="s">
        <v>997</v>
      </c>
      <c r="B3258" s="3" t="s">
        <v>1023</v>
      </c>
      <c r="C3258" s="3" t="s">
        <v>57</v>
      </c>
    </row>
    <row r="3259" spans="1:3" x14ac:dyDescent="0.2">
      <c r="A3259" s="3" t="s">
        <v>997</v>
      </c>
      <c r="B3259" s="3" t="s">
        <v>1029</v>
      </c>
      <c r="C3259" s="3" t="s">
        <v>57</v>
      </c>
    </row>
    <row r="3260" spans="1:3" x14ac:dyDescent="0.2">
      <c r="A3260" s="3" t="s">
        <v>997</v>
      </c>
      <c r="B3260" s="3" t="s">
        <v>1030</v>
      </c>
      <c r="C3260" s="3" t="s">
        <v>57</v>
      </c>
    </row>
    <row r="3261" spans="1:3" x14ac:dyDescent="0.2">
      <c r="A3261" s="3" t="s">
        <v>997</v>
      </c>
      <c r="B3261" s="3" t="s">
        <v>1031</v>
      </c>
      <c r="C3261" s="3" t="s">
        <v>57</v>
      </c>
    </row>
    <row r="3262" spans="1:3" x14ac:dyDescent="0.2">
      <c r="A3262" s="3" t="s">
        <v>997</v>
      </c>
      <c r="B3262" s="3" t="s">
        <v>1032</v>
      </c>
      <c r="C3262" s="3" t="s">
        <v>57</v>
      </c>
    </row>
    <row r="3263" spans="1:3" x14ac:dyDescent="0.2">
      <c r="A3263" s="3" t="s">
        <v>997</v>
      </c>
      <c r="B3263" s="3" t="s">
        <v>1033</v>
      </c>
      <c r="C3263" s="3" t="s">
        <v>57</v>
      </c>
    </row>
    <row r="3264" spans="1:3" x14ac:dyDescent="0.2">
      <c r="A3264" s="3" t="s">
        <v>997</v>
      </c>
      <c r="B3264" s="3" t="s">
        <v>21</v>
      </c>
      <c r="C3264" s="3" t="s">
        <v>22</v>
      </c>
    </row>
    <row r="3265" spans="1:3" x14ac:dyDescent="0.2">
      <c r="A3265" s="3" t="s">
        <v>997</v>
      </c>
      <c r="B3265" s="3" t="s">
        <v>1036</v>
      </c>
      <c r="C3265" s="3" t="s">
        <v>22</v>
      </c>
    </row>
    <row r="3266" spans="1:3" x14ac:dyDescent="0.2">
      <c r="A3266" s="3" t="s">
        <v>997</v>
      </c>
      <c r="B3266" s="3" t="s">
        <v>1037</v>
      </c>
      <c r="C3266" s="3" t="s">
        <v>22</v>
      </c>
    </row>
    <row r="3267" spans="1:3" x14ac:dyDescent="0.2">
      <c r="A3267" s="3" t="s">
        <v>997</v>
      </c>
      <c r="B3267" s="3" t="s">
        <v>1038</v>
      </c>
      <c r="C3267" s="3" t="s">
        <v>22</v>
      </c>
    </row>
    <row r="3268" spans="1:3" x14ac:dyDescent="0.2">
      <c r="A3268" s="3" t="s">
        <v>997</v>
      </c>
      <c r="B3268" s="3" t="s">
        <v>1039</v>
      </c>
      <c r="C3268" s="3" t="s">
        <v>22</v>
      </c>
    </row>
    <row r="3269" spans="1:3" x14ac:dyDescent="0.2">
      <c r="A3269" s="3" t="s">
        <v>997</v>
      </c>
      <c r="B3269" s="3" t="s">
        <v>23</v>
      </c>
      <c r="C3269" s="3" t="s">
        <v>22</v>
      </c>
    </row>
    <row r="3270" spans="1:3" x14ac:dyDescent="0.2">
      <c r="A3270" s="3" t="s">
        <v>1040</v>
      </c>
      <c r="B3270" s="3" t="s">
        <v>998</v>
      </c>
      <c r="C3270" s="3" t="s">
        <v>53</v>
      </c>
    </row>
    <row r="3271" spans="1:3" x14ac:dyDescent="0.2">
      <c r="A3271" s="3" t="s">
        <v>1040</v>
      </c>
      <c r="B3271" s="3" t="s">
        <v>999</v>
      </c>
      <c r="C3271" s="3" t="s">
        <v>53</v>
      </c>
    </row>
    <row r="3272" spans="1:3" x14ac:dyDescent="0.2">
      <c r="A3272" s="3" t="s">
        <v>1040</v>
      </c>
      <c r="B3272" s="3" t="s">
        <v>1041</v>
      </c>
      <c r="C3272" s="3" t="s">
        <v>53</v>
      </c>
    </row>
    <row r="3273" spans="1:3" x14ac:dyDescent="0.2">
      <c r="A3273" s="3" t="s">
        <v>1040</v>
      </c>
      <c r="B3273" s="3" t="s">
        <v>964</v>
      </c>
      <c r="C3273" s="3" t="s">
        <v>53</v>
      </c>
    </row>
    <row r="3274" spans="1:3" x14ac:dyDescent="0.2">
      <c r="A3274" s="3" t="s">
        <v>1040</v>
      </c>
      <c r="B3274" s="3" t="s">
        <v>1042</v>
      </c>
      <c r="C3274" s="3" t="s">
        <v>53</v>
      </c>
    </row>
    <row r="3275" spans="1:3" x14ac:dyDescent="0.2">
      <c r="A3275" s="3" t="s">
        <v>1040</v>
      </c>
      <c r="B3275" s="3" t="s">
        <v>1043</v>
      </c>
      <c r="C3275" s="3" t="s">
        <v>53</v>
      </c>
    </row>
    <row r="3276" spans="1:3" x14ac:dyDescent="0.2">
      <c r="A3276" s="3" t="s">
        <v>1040</v>
      </c>
      <c r="B3276" s="3" t="s">
        <v>1044</v>
      </c>
      <c r="C3276" s="3" t="s">
        <v>53</v>
      </c>
    </row>
    <row r="3277" spans="1:3" x14ac:dyDescent="0.2">
      <c r="A3277" s="3" t="s">
        <v>1040</v>
      </c>
      <c r="B3277" s="3" t="s">
        <v>1045</v>
      </c>
      <c r="C3277" s="3" t="s">
        <v>53</v>
      </c>
    </row>
    <row r="3278" spans="1:3" x14ac:dyDescent="0.2">
      <c r="A3278" s="3" t="s">
        <v>1040</v>
      </c>
      <c r="B3278" s="3" t="s">
        <v>1046</v>
      </c>
      <c r="C3278" s="3" t="s">
        <v>53</v>
      </c>
    </row>
    <row r="3279" spans="1:3" x14ac:dyDescent="0.2">
      <c r="A3279" s="3" t="s">
        <v>1040</v>
      </c>
      <c r="B3279" s="3" t="s">
        <v>970</v>
      </c>
      <c r="C3279" s="3" t="s">
        <v>53</v>
      </c>
    </row>
    <row r="3280" spans="1:3" x14ac:dyDescent="0.2">
      <c r="A3280" s="3" t="s">
        <v>1040</v>
      </c>
      <c r="B3280" s="3" t="s">
        <v>971</v>
      </c>
      <c r="C3280" s="3" t="s">
        <v>53</v>
      </c>
    </row>
    <row r="3281" spans="1:3" x14ac:dyDescent="0.2">
      <c r="A3281" s="3" t="s">
        <v>1040</v>
      </c>
      <c r="B3281" s="3" t="s">
        <v>984</v>
      </c>
      <c r="C3281" s="3" t="s">
        <v>53</v>
      </c>
    </row>
    <row r="3282" spans="1:3" x14ac:dyDescent="0.2">
      <c r="A3282" s="3" t="s">
        <v>1040</v>
      </c>
      <c r="B3282" s="3" t="s">
        <v>998</v>
      </c>
      <c r="C3282" s="3" t="s">
        <v>54</v>
      </c>
    </row>
    <row r="3283" spans="1:3" x14ac:dyDescent="0.2">
      <c r="A3283" s="3" t="s">
        <v>1040</v>
      </c>
      <c r="B3283" s="3" t="s">
        <v>999</v>
      </c>
      <c r="C3283" s="3" t="s">
        <v>54</v>
      </c>
    </row>
    <row r="3284" spans="1:3" x14ac:dyDescent="0.2">
      <c r="A3284" s="3" t="s">
        <v>1040</v>
      </c>
      <c r="B3284" s="3" t="s">
        <v>1041</v>
      </c>
      <c r="C3284" s="3" t="s">
        <v>54</v>
      </c>
    </row>
    <row r="3285" spans="1:3" x14ac:dyDescent="0.2">
      <c r="A3285" s="3" t="s">
        <v>1040</v>
      </c>
      <c r="B3285" s="3" t="s">
        <v>964</v>
      </c>
      <c r="C3285" s="3" t="s">
        <v>54</v>
      </c>
    </row>
    <row r="3286" spans="1:3" x14ac:dyDescent="0.2">
      <c r="A3286" s="3" t="s">
        <v>1040</v>
      </c>
      <c r="B3286" s="3" t="s">
        <v>1042</v>
      </c>
      <c r="C3286" s="3" t="s">
        <v>54</v>
      </c>
    </row>
    <row r="3287" spans="1:3" x14ac:dyDescent="0.2">
      <c r="A3287" s="3" t="s">
        <v>1040</v>
      </c>
      <c r="B3287" s="3" t="s">
        <v>1043</v>
      </c>
      <c r="C3287" s="3" t="s">
        <v>54</v>
      </c>
    </row>
    <row r="3288" spans="1:3" x14ac:dyDescent="0.2">
      <c r="A3288" s="3" t="s">
        <v>1040</v>
      </c>
      <c r="B3288" s="3" t="s">
        <v>1044</v>
      </c>
      <c r="C3288" s="3" t="s">
        <v>54</v>
      </c>
    </row>
    <row r="3289" spans="1:3" x14ac:dyDescent="0.2">
      <c r="A3289" s="3" t="s">
        <v>1040</v>
      </c>
      <c r="B3289" s="3" t="s">
        <v>1047</v>
      </c>
      <c r="C3289" s="3" t="s">
        <v>54</v>
      </c>
    </row>
    <row r="3290" spans="1:3" x14ac:dyDescent="0.2">
      <c r="A3290" s="3" t="s">
        <v>1040</v>
      </c>
      <c r="B3290" s="3" t="s">
        <v>1045</v>
      </c>
      <c r="C3290" s="3" t="s">
        <v>54</v>
      </c>
    </row>
    <row r="3291" spans="1:3" x14ac:dyDescent="0.2">
      <c r="A3291" s="3" t="s">
        <v>1040</v>
      </c>
      <c r="B3291" s="3" t="s">
        <v>970</v>
      </c>
      <c r="C3291" s="3" t="s">
        <v>54</v>
      </c>
    </row>
    <row r="3292" spans="1:3" x14ac:dyDescent="0.2">
      <c r="A3292" s="3" t="s">
        <v>1040</v>
      </c>
      <c r="B3292" s="3" t="s">
        <v>971</v>
      </c>
      <c r="C3292" s="3" t="s">
        <v>54</v>
      </c>
    </row>
    <row r="3293" spans="1:3" x14ac:dyDescent="0.2">
      <c r="A3293" s="3" t="s">
        <v>1040</v>
      </c>
      <c r="B3293" s="3" t="s">
        <v>984</v>
      </c>
      <c r="C3293" s="3" t="s">
        <v>54</v>
      </c>
    </row>
    <row r="3294" spans="1:3" x14ac:dyDescent="0.2">
      <c r="A3294" s="3" t="s">
        <v>1040</v>
      </c>
      <c r="B3294" s="3" t="s">
        <v>998</v>
      </c>
      <c r="C3294" s="3" t="s">
        <v>55</v>
      </c>
    </row>
    <row r="3295" spans="1:3" x14ac:dyDescent="0.2">
      <c r="A3295" s="3" t="s">
        <v>1040</v>
      </c>
      <c r="B3295" s="3" t="s">
        <v>999</v>
      </c>
      <c r="C3295" s="3" t="s">
        <v>55</v>
      </c>
    </row>
    <row r="3296" spans="1:3" x14ac:dyDescent="0.2">
      <c r="A3296" s="3" t="s">
        <v>1040</v>
      </c>
      <c r="B3296" s="3" t="s">
        <v>1041</v>
      </c>
      <c r="C3296" s="3" t="s">
        <v>55</v>
      </c>
    </row>
    <row r="3297" spans="1:3" x14ac:dyDescent="0.2">
      <c r="A3297" s="3" t="s">
        <v>1040</v>
      </c>
      <c r="B3297" s="3" t="s">
        <v>964</v>
      </c>
      <c r="C3297" s="3" t="s">
        <v>55</v>
      </c>
    </row>
    <row r="3298" spans="1:3" x14ac:dyDescent="0.2">
      <c r="A3298" s="3" t="s">
        <v>1040</v>
      </c>
      <c r="B3298" s="3" t="s">
        <v>1042</v>
      </c>
      <c r="C3298" s="3" t="s">
        <v>55</v>
      </c>
    </row>
    <row r="3299" spans="1:3" x14ac:dyDescent="0.2">
      <c r="A3299" s="3" t="s">
        <v>1040</v>
      </c>
      <c r="B3299" s="3" t="s">
        <v>1043</v>
      </c>
      <c r="C3299" s="3" t="s">
        <v>55</v>
      </c>
    </row>
    <row r="3300" spans="1:3" x14ac:dyDescent="0.2">
      <c r="A3300" s="3" t="s">
        <v>1040</v>
      </c>
      <c r="B3300" s="3" t="s">
        <v>1044</v>
      </c>
      <c r="C3300" s="3" t="s">
        <v>55</v>
      </c>
    </row>
    <row r="3301" spans="1:3" x14ac:dyDescent="0.2">
      <c r="A3301" s="3" t="s">
        <v>1040</v>
      </c>
      <c r="B3301" s="3" t="s">
        <v>1047</v>
      </c>
      <c r="C3301" s="3" t="s">
        <v>55</v>
      </c>
    </row>
    <row r="3302" spans="1:3" x14ac:dyDescent="0.2">
      <c r="A3302" s="3" t="s">
        <v>1040</v>
      </c>
      <c r="B3302" s="3" t="s">
        <v>1045</v>
      </c>
      <c r="C3302" s="3" t="s">
        <v>55</v>
      </c>
    </row>
    <row r="3303" spans="1:3" x14ac:dyDescent="0.2">
      <c r="A3303" s="3" t="s">
        <v>1040</v>
      </c>
      <c r="B3303" s="3" t="s">
        <v>970</v>
      </c>
      <c r="C3303" s="3" t="s">
        <v>55</v>
      </c>
    </row>
    <row r="3304" spans="1:3" x14ac:dyDescent="0.2">
      <c r="A3304" s="3" t="s">
        <v>1040</v>
      </c>
      <c r="B3304" s="3" t="s">
        <v>971</v>
      </c>
      <c r="C3304" s="3" t="s">
        <v>55</v>
      </c>
    </row>
    <row r="3305" spans="1:3" x14ac:dyDescent="0.2">
      <c r="A3305" s="3" t="s">
        <v>1040</v>
      </c>
      <c r="B3305" s="3" t="s">
        <v>984</v>
      </c>
      <c r="C3305" s="3" t="s">
        <v>55</v>
      </c>
    </row>
    <row r="3306" spans="1:3" x14ac:dyDescent="0.2">
      <c r="A3306" s="3" t="s">
        <v>1040</v>
      </c>
      <c r="B3306" s="3" t="s">
        <v>998</v>
      </c>
      <c r="C3306" s="3" t="s">
        <v>56</v>
      </c>
    </row>
    <row r="3307" spans="1:3" x14ac:dyDescent="0.2">
      <c r="A3307" s="3" t="s">
        <v>1040</v>
      </c>
      <c r="B3307" s="3" t="s">
        <v>999</v>
      </c>
      <c r="C3307" s="3" t="s">
        <v>56</v>
      </c>
    </row>
    <row r="3308" spans="1:3" x14ac:dyDescent="0.2">
      <c r="A3308" s="3" t="s">
        <v>1040</v>
      </c>
      <c r="B3308" s="3" t="s">
        <v>1041</v>
      </c>
      <c r="C3308" s="3" t="s">
        <v>56</v>
      </c>
    </row>
    <row r="3309" spans="1:3" x14ac:dyDescent="0.2">
      <c r="A3309" s="3" t="s">
        <v>1040</v>
      </c>
      <c r="B3309" s="3" t="s">
        <v>964</v>
      </c>
      <c r="C3309" s="3" t="s">
        <v>56</v>
      </c>
    </row>
    <row r="3310" spans="1:3" x14ac:dyDescent="0.2">
      <c r="A3310" s="3" t="s">
        <v>1040</v>
      </c>
      <c r="B3310" s="3" t="s">
        <v>1042</v>
      </c>
      <c r="C3310" s="3" t="s">
        <v>56</v>
      </c>
    </row>
    <row r="3311" spans="1:3" x14ac:dyDescent="0.2">
      <c r="A3311" s="3" t="s">
        <v>1040</v>
      </c>
      <c r="B3311" s="3" t="s">
        <v>1043</v>
      </c>
      <c r="C3311" s="3" t="s">
        <v>56</v>
      </c>
    </row>
    <row r="3312" spans="1:3" x14ac:dyDescent="0.2">
      <c r="A3312" s="3" t="s">
        <v>1040</v>
      </c>
      <c r="B3312" s="3" t="s">
        <v>1044</v>
      </c>
      <c r="C3312" s="3" t="s">
        <v>56</v>
      </c>
    </row>
    <row r="3313" spans="1:3" x14ac:dyDescent="0.2">
      <c r="A3313" s="3" t="s">
        <v>1040</v>
      </c>
      <c r="B3313" s="3" t="s">
        <v>1047</v>
      </c>
      <c r="C3313" s="3" t="s">
        <v>56</v>
      </c>
    </row>
    <row r="3314" spans="1:3" x14ac:dyDescent="0.2">
      <c r="A3314" s="3" t="s">
        <v>1040</v>
      </c>
      <c r="B3314" s="3" t="s">
        <v>1045</v>
      </c>
      <c r="C3314" s="3" t="s">
        <v>56</v>
      </c>
    </row>
    <row r="3315" spans="1:3" x14ac:dyDescent="0.2">
      <c r="A3315" s="3" t="s">
        <v>1040</v>
      </c>
      <c r="B3315" s="3" t="s">
        <v>970</v>
      </c>
      <c r="C3315" s="3" t="s">
        <v>56</v>
      </c>
    </row>
    <row r="3316" spans="1:3" x14ac:dyDescent="0.2">
      <c r="A3316" s="3" t="s">
        <v>1040</v>
      </c>
      <c r="B3316" s="3" t="s">
        <v>971</v>
      </c>
      <c r="C3316" s="3" t="s">
        <v>56</v>
      </c>
    </row>
    <row r="3317" spans="1:3" x14ac:dyDescent="0.2">
      <c r="A3317" s="3" t="s">
        <v>1040</v>
      </c>
      <c r="B3317" s="3" t="s">
        <v>984</v>
      </c>
      <c r="C3317" s="3" t="s">
        <v>56</v>
      </c>
    </row>
    <row r="3318" spans="1:3" x14ac:dyDescent="0.2">
      <c r="A3318" s="3" t="s">
        <v>1040</v>
      </c>
      <c r="B3318" s="3" t="s">
        <v>998</v>
      </c>
      <c r="C3318" s="3" t="s">
        <v>57</v>
      </c>
    </row>
    <row r="3319" spans="1:3" x14ac:dyDescent="0.2">
      <c r="A3319" s="3" t="s">
        <v>1040</v>
      </c>
      <c r="B3319" s="3" t="s">
        <v>999</v>
      </c>
      <c r="C3319" s="3" t="s">
        <v>57</v>
      </c>
    </row>
    <row r="3320" spans="1:3" x14ac:dyDescent="0.2">
      <c r="A3320" s="3" t="s">
        <v>1040</v>
      </c>
      <c r="B3320" s="3" t="s">
        <v>1041</v>
      </c>
      <c r="C3320" s="3" t="s">
        <v>57</v>
      </c>
    </row>
    <row r="3321" spans="1:3" x14ac:dyDescent="0.2">
      <c r="A3321" s="3" t="s">
        <v>1040</v>
      </c>
      <c r="B3321" s="3" t="s">
        <v>964</v>
      </c>
      <c r="C3321" s="3" t="s">
        <v>57</v>
      </c>
    </row>
    <row r="3322" spans="1:3" x14ac:dyDescent="0.2">
      <c r="A3322" s="3" t="s">
        <v>1040</v>
      </c>
      <c r="B3322" s="3" t="s">
        <v>1042</v>
      </c>
      <c r="C3322" s="3" t="s">
        <v>57</v>
      </c>
    </row>
    <row r="3323" spans="1:3" x14ac:dyDescent="0.2">
      <c r="A3323" s="3" t="s">
        <v>1040</v>
      </c>
      <c r="B3323" s="3" t="s">
        <v>1043</v>
      </c>
      <c r="C3323" s="3" t="s">
        <v>57</v>
      </c>
    </row>
    <row r="3324" spans="1:3" x14ac:dyDescent="0.2">
      <c r="A3324" s="3" t="s">
        <v>1040</v>
      </c>
      <c r="B3324" s="3" t="s">
        <v>1044</v>
      </c>
      <c r="C3324" s="3" t="s">
        <v>57</v>
      </c>
    </row>
    <row r="3325" spans="1:3" x14ac:dyDescent="0.2">
      <c r="A3325" s="3" t="s">
        <v>1040</v>
      </c>
      <c r="B3325" s="3" t="s">
        <v>1045</v>
      </c>
      <c r="C3325" s="3" t="s">
        <v>57</v>
      </c>
    </row>
    <row r="3326" spans="1:3" x14ac:dyDescent="0.2">
      <c r="A3326" s="3" t="s">
        <v>1040</v>
      </c>
      <c r="B3326" s="3" t="s">
        <v>1046</v>
      </c>
      <c r="C3326" s="3" t="s">
        <v>57</v>
      </c>
    </row>
    <row r="3327" spans="1:3" x14ac:dyDescent="0.2">
      <c r="A3327" s="3" t="s">
        <v>1040</v>
      </c>
      <c r="B3327" s="3" t="s">
        <v>970</v>
      </c>
      <c r="C3327" s="3" t="s">
        <v>57</v>
      </c>
    </row>
    <row r="3328" spans="1:3" x14ac:dyDescent="0.2">
      <c r="A3328" s="3" t="s">
        <v>1040</v>
      </c>
      <c r="B3328" s="3" t="s">
        <v>971</v>
      </c>
      <c r="C3328" s="3" t="s">
        <v>57</v>
      </c>
    </row>
    <row r="3329" spans="1:3" x14ac:dyDescent="0.2">
      <c r="A3329" s="3" t="s">
        <v>1040</v>
      </c>
      <c r="B3329" s="3" t="s">
        <v>984</v>
      </c>
      <c r="C3329" s="3" t="s">
        <v>57</v>
      </c>
    </row>
    <row r="3330" spans="1:3" x14ac:dyDescent="0.2">
      <c r="A3330" s="3" t="s">
        <v>1040</v>
      </c>
      <c r="B3330" s="3" t="s">
        <v>1048</v>
      </c>
      <c r="C3330" s="3" t="s">
        <v>22</v>
      </c>
    </row>
    <row r="3331" spans="1:3" x14ac:dyDescent="0.2">
      <c r="A3331" s="3" t="s">
        <v>1040</v>
      </c>
      <c r="B3331" s="3" t="s">
        <v>1049</v>
      </c>
      <c r="C3331" s="3" t="s">
        <v>22</v>
      </c>
    </row>
    <row r="3332" spans="1:3" x14ac:dyDescent="0.2">
      <c r="A3332" s="3" t="s">
        <v>1040</v>
      </c>
      <c r="B3332" s="3" t="s">
        <v>1050</v>
      </c>
      <c r="C3332" s="3" t="s">
        <v>22</v>
      </c>
    </row>
    <row r="3333" spans="1:3" x14ac:dyDescent="0.2">
      <c r="A3333" s="3" t="s">
        <v>1040</v>
      </c>
      <c r="B3333" s="3" t="s">
        <v>1051</v>
      </c>
      <c r="C3333" s="3" t="s">
        <v>22</v>
      </c>
    </row>
    <row r="3334" spans="1:3" x14ac:dyDescent="0.2">
      <c r="A3334" s="3" t="s">
        <v>1040</v>
      </c>
      <c r="B3334" s="3" t="s">
        <v>1052</v>
      </c>
      <c r="C3334" s="3" t="s">
        <v>22</v>
      </c>
    </row>
    <row r="3335" spans="1:3" x14ac:dyDescent="0.2">
      <c r="A3335" s="3" t="s">
        <v>1040</v>
      </c>
      <c r="B3335" s="3" t="s">
        <v>1053</v>
      </c>
      <c r="C3335" s="3" t="s">
        <v>22</v>
      </c>
    </row>
    <row r="3336" spans="1:3" x14ac:dyDescent="0.2">
      <c r="A3336" s="3" t="s">
        <v>1040</v>
      </c>
      <c r="B3336" s="3" t="s">
        <v>1054</v>
      </c>
      <c r="C3336" s="3" t="s">
        <v>22</v>
      </c>
    </row>
    <row r="3337" spans="1:3" x14ac:dyDescent="0.2">
      <c r="A3337" s="3" t="s">
        <v>1040</v>
      </c>
      <c r="B3337" s="3" t="s">
        <v>1055</v>
      </c>
      <c r="C3337" s="3" t="s">
        <v>22</v>
      </c>
    </row>
    <row r="3338" spans="1:3" x14ac:dyDescent="0.2">
      <c r="A3338" s="3" t="s">
        <v>1040</v>
      </c>
      <c r="B3338" s="3" t="s">
        <v>1056</v>
      </c>
      <c r="C3338" s="3" t="s">
        <v>22</v>
      </c>
    </row>
    <row r="3339" spans="1:3" x14ac:dyDescent="0.2">
      <c r="A3339" s="3" t="s">
        <v>1040</v>
      </c>
      <c r="B3339" s="3" t="s">
        <v>1057</v>
      </c>
      <c r="C3339" s="3" t="s">
        <v>22</v>
      </c>
    </row>
    <row r="3340" spans="1:3" x14ac:dyDescent="0.2">
      <c r="A3340" s="3" t="s">
        <v>1040</v>
      </c>
      <c r="B3340" s="3" t="s">
        <v>1058</v>
      </c>
      <c r="C3340" s="3" t="s">
        <v>22</v>
      </c>
    </row>
    <row r="3341" spans="1:3" x14ac:dyDescent="0.2">
      <c r="A3341" s="3" t="s">
        <v>1040</v>
      </c>
      <c r="B3341" s="3" t="s">
        <v>1059</v>
      </c>
      <c r="C3341" s="3" t="s">
        <v>22</v>
      </c>
    </row>
    <row r="3342" spans="1:3" x14ac:dyDescent="0.2">
      <c r="A3342" s="3" t="s">
        <v>1040</v>
      </c>
      <c r="B3342" s="3" t="s">
        <v>1060</v>
      </c>
      <c r="C3342" s="3" t="s">
        <v>22</v>
      </c>
    </row>
    <row r="3343" spans="1:3" x14ac:dyDescent="0.2">
      <c r="A3343" s="3" t="s">
        <v>1040</v>
      </c>
      <c r="B3343" s="3" t="s">
        <v>1061</v>
      </c>
      <c r="C3343" s="3" t="s">
        <v>22</v>
      </c>
    </row>
    <row r="3344" spans="1:3" x14ac:dyDescent="0.2">
      <c r="A3344" s="3" t="s">
        <v>1040</v>
      </c>
      <c r="B3344" s="3" t="s">
        <v>1062</v>
      </c>
      <c r="C3344" s="3" t="s">
        <v>22</v>
      </c>
    </row>
    <row r="3345" spans="1:3" x14ac:dyDescent="0.2">
      <c r="A3345" s="3" t="s">
        <v>1063</v>
      </c>
      <c r="B3345" s="3" t="s">
        <v>998</v>
      </c>
      <c r="C3345" s="3" t="s">
        <v>53</v>
      </c>
    </row>
    <row r="3346" spans="1:3" x14ac:dyDescent="0.2">
      <c r="A3346" s="3" t="s">
        <v>1063</v>
      </c>
      <c r="B3346" s="3" t="s">
        <v>999</v>
      </c>
      <c r="C3346" s="3" t="s">
        <v>53</v>
      </c>
    </row>
    <row r="3347" spans="1:3" x14ac:dyDescent="0.2">
      <c r="A3347" s="3" t="s">
        <v>1063</v>
      </c>
      <c r="B3347" s="3" t="s">
        <v>1064</v>
      </c>
      <c r="C3347" s="3" t="s">
        <v>53</v>
      </c>
    </row>
    <row r="3348" spans="1:3" x14ac:dyDescent="0.2">
      <c r="A3348" s="3" t="s">
        <v>1063</v>
      </c>
      <c r="B3348" s="3" t="s">
        <v>1042</v>
      </c>
      <c r="C3348" s="3" t="s">
        <v>53</v>
      </c>
    </row>
    <row r="3349" spans="1:3" x14ac:dyDescent="0.2">
      <c r="A3349" s="3" t="s">
        <v>1063</v>
      </c>
      <c r="B3349" s="3" t="s">
        <v>1043</v>
      </c>
      <c r="C3349" s="3" t="s">
        <v>53</v>
      </c>
    </row>
    <row r="3350" spans="1:3" x14ac:dyDescent="0.2">
      <c r="A3350" s="3" t="s">
        <v>1063</v>
      </c>
      <c r="B3350" s="3" t="s">
        <v>1044</v>
      </c>
      <c r="C3350" s="3" t="s">
        <v>53</v>
      </c>
    </row>
    <row r="3351" spans="1:3" x14ac:dyDescent="0.2">
      <c r="A3351" s="3" t="s">
        <v>1063</v>
      </c>
      <c r="B3351" s="3" t="s">
        <v>1045</v>
      </c>
      <c r="C3351" s="3" t="s">
        <v>53</v>
      </c>
    </row>
    <row r="3352" spans="1:3" x14ac:dyDescent="0.2">
      <c r="A3352" s="3" t="s">
        <v>1063</v>
      </c>
      <c r="B3352" s="3" t="s">
        <v>998</v>
      </c>
      <c r="C3352" s="3" t="s">
        <v>54</v>
      </c>
    </row>
    <row r="3353" spans="1:3" x14ac:dyDescent="0.2">
      <c r="A3353" s="3" t="s">
        <v>1063</v>
      </c>
      <c r="B3353" s="3" t="s">
        <v>999</v>
      </c>
      <c r="C3353" s="3" t="s">
        <v>54</v>
      </c>
    </row>
    <row r="3354" spans="1:3" x14ac:dyDescent="0.2">
      <c r="A3354" s="3" t="s">
        <v>1063</v>
      </c>
      <c r="B3354" s="3" t="s">
        <v>1064</v>
      </c>
      <c r="C3354" s="3" t="s">
        <v>54</v>
      </c>
    </row>
    <row r="3355" spans="1:3" x14ac:dyDescent="0.2">
      <c r="A3355" s="3" t="s">
        <v>1063</v>
      </c>
      <c r="B3355" s="3" t="s">
        <v>1042</v>
      </c>
      <c r="C3355" s="3" t="s">
        <v>54</v>
      </c>
    </row>
    <row r="3356" spans="1:3" x14ac:dyDescent="0.2">
      <c r="A3356" s="3" t="s">
        <v>1063</v>
      </c>
      <c r="B3356" s="3" t="s">
        <v>1043</v>
      </c>
      <c r="C3356" s="3" t="s">
        <v>54</v>
      </c>
    </row>
    <row r="3357" spans="1:3" x14ac:dyDescent="0.2">
      <c r="A3357" s="3" t="s">
        <v>1063</v>
      </c>
      <c r="B3357" s="3" t="s">
        <v>1044</v>
      </c>
      <c r="C3357" s="3" t="s">
        <v>54</v>
      </c>
    </row>
    <row r="3358" spans="1:3" x14ac:dyDescent="0.2">
      <c r="A3358" s="3" t="s">
        <v>1063</v>
      </c>
      <c r="B3358" s="3" t="s">
        <v>1045</v>
      </c>
      <c r="C3358" s="3" t="s">
        <v>54</v>
      </c>
    </row>
    <row r="3359" spans="1:3" x14ac:dyDescent="0.2">
      <c r="A3359" s="3" t="s">
        <v>1063</v>
      </c>
      <c r="B3359" s="3" t="s">
        <v>998</v>
      </c>
      <c r="C3359" s="3" t="s">
        <v>55</v>
      </c>
    </row>
    <row r="3360" spans="1:3" x14ac:dyDescent="0.2">
      <c r="A3360" s="3" t="s">
        <v>1063</v>
      </c>
      <c r="B3360" s="3" t="s">
        <v>999</v>
      </c>
      <c r="C3360" s="3" t="s">
        <v>55</v>
      </c>
    </row>
    <row r="3361" spans="1:3" x14ac:dyDescent="0.2">
      <c r="A3361" s="3" t="s">
        <v>1063</v>
      </c>
      <c r="B3361" s="3" t="s">
        <v>1064</v>
      </c>
      <c r="C3361" s="3" t="s">
        <v>55</v>
      </c>
    </row>
    <row r="3362" spans="1:3" x14ac:dyDescent="0.2">
      <c r="A3362" s="3" t="s">
        <v>1063</v>
      </c>
      <c r="B3362" s="3" t="s">
        <v>1042</v>
      </c>
      <c r="C3362" s="3" t="s">
        <v>55</v>
      </c>
    </row>
    <row r="3363" spans="1:3" x14ac:dyDescent="0.2">
      <c r="A3363" s="3" t="s">
        <v>1063</v>
      </c>
      <c r="B3363" s="3" t="s">
        <v>1043</v>
      </c>
      <c r="C3363" s="3" t="s">
        <v>55</v>
      </c>
    </row>
    <row r="3364" spans="1:3" x14ac:dyDescent="0.2">
      <c r="A3364" s="3" t="s">
        <v>1063</v>
      </c>
      <c r="B3364" s="3" t="s">
        <v>1044</v>
      </c>
      <c r="C3364" s="3" t="s">
        <v>55</v>
      </c>
    </row>
    <row r="3365" spans="1:3" x14ac:dyDescent="0.2">
      <c r="A3365" s="3" t="s">
        <v>1063</v>
      </c>
      <c r="B3365" s="3" t="s">
        <v>1045</v>
      </c>
      <c r="C3365" s="3" t="s">
        <v>55</v>
      </c>
    </row>
    <row r="3366" spans="1:3" x14ac:dyDescent="0.2">
      <c r="A3366" s="3" t="s">
        <v>1063</v>
      </c>
      <c r="B3366" s="3" t="s">
        <v>998</v>
      </c>
      <c r="C3366" s="3" t="s">
        <v>56</v>
      </c>
    </row>
    <row r="3367" spans="1:3" x14ac:dyDescent="0.2">
      <c r="A3367" s="3" t="s">
        <v>1063</v>
      </c>
      <c r="B3367" s="3" t="s">
        <v>999</v>
      </c>
      <c r="C3367" s="3" t="s">
        <v>56</v>
      </c>
    </row>
    <row r="3368" spans="1:3" x14ac:dyDescent="0.2">
      <c r="A3368" s="3" t="s">
        <v>1063</v>
      </c>
      <c r="B3368" s="3" t="s">
        <v>1064</v>
      </c>
      <c r="C3368" s="3" t="s">
        <v>56</v>
      </c>
    </row>
    <row r="3369" spans="1:3" x14ac:dyDescent="0.2">
      <c r="A3369" s="3" t="s">
        <v>1063</v>
      </c>
      <c r="B3369" s="3" t="s">
        <v>1042</v>
      </c>
      <c r="C3369" s="3" t="s">
        <v>56</v>
      </c>
    </row>
    <row r="3370" spans="1:3" x14ac:dyDescent="0.2">
      <c r="A3370" s="3" t="s">
        <v>1063</v>
      </c>
      <c r="B3370" s="3" t="s">
        <v>1043</v>
      </c>
      <c r="C3370" s="3" t="s">
        <v>56</v>
      </c>
    </row>
    <row r="3371" spans="1:3" x14ac:dyDescent="0.2">
      <c r="A3371" s="3" t="s">
        <v>1063</v>
      </c>
      <c r="B3371" s="3" t="s">
        <v>1044</v>
      </c>
      <c r="C3371" s="3" t="s">
        <v>56</v>
      </c>
    </row>
    <row r="3372" spans="1:3" x14ac:dyDescent="0.2">
      <c r="A3372" s="3" t="s">
        <v>1063</v>
      </c>
      <c r="B3372" s="3" t="s">
        <v>1045</v>
      </c>
      <c r="C3372" s="3" t="s">
        <v>56</v>
      </c>
    </row>
    <row r="3373" spans="1:3" x14ac:dyDescent="0.2">
      <c r="A3373" s="3" t="s">
        <v>1063</v>
      </c>
      <c r="B3373" s="3" t="s">
        <v>998</v>
      </c>
      <c r="C3373" s="3" t="s">
        <v>57</v>
      </c>
    </row>
    <row r="3374" spans="1:3" x14ac:dyDescent="0.2">
      <c r="A3374" s="3" t="s">
        <v>1063</v>
      </c>
      <c r="B3374" s="3" t="s">
        <v>999</v>
      </c>
      <c r="C3374" s="3" t="s">
        <v>57</v>
      </c>
    </row>
    <row r="3375" spans="1:3" x14ac:dyDescent="0.2">
      <c r="A3375" s="3" t="s">
        <v>1063</v>
      </c>
      <c r="B3375" s="3" t="s">
        <v>1064</v>
      </c>
      <c r="C3375" s="3" t="s">
        <v>57</v>
      </c>
    </row>
    <row r="3376" spans="1:3" x14ac:dyDescent="0.2">
      <c r="A3376" s="3" t="s">
        <v>1063</v>
      </c>
      <c r="B3376" s="3" t="s">
        <v>1042</v>
      </c>
      <c r="C3376" s="3" t="s">
        <v>57</v>
      </c>
    </row>
    <row r="3377" spans="1:3" x14ac:dyDescent="0.2">
      <c r="A3377" s="3" t="s">
        <v>1063</v>
      </c>
      <c r="B3377" s="3" t="s">
        <v>1043</v>
      </c>
      <c r="C3377" s="3" t="s">
        <v>57</v>
      </c>
    </row>
    <row r="3378" spans="1:3" x14ac:dyDescent="0.2">
      <c r="A3378" s="3" t="s">
        <v>1063</v>
      </c>
      <c r="B3378" s="3" t="s">
        <v>1044</v>
      </c>
      <c r="C3378" s="3" t="s">
        <v>57</v>
      </c>
    </row>
    <row r="3379" spans="1:3" x14ac:dyDescent="0.2">
      <c r="A3379" s="3" t="s">
        <v>1063</v>
      </c>
      <c r="B3379" s="3" t="s">
        <v>1045</v>
      </c>
      <c r="C3379" s="3" t="s">
        <v>57</v>
      </c>
    </row>
    <row r="3380" spans="1:3" x14ac:dyDescent="0.2">
      <c r="A3380" s="3" t="s">
        <v>1066</v>
      </c>
      <c r="B3380" s="3" t="s">
        <v>1067</v>
      </c>
      <c r="C3380" s="3" t="s">
        <v>53</v>
      </c>
    </row>
    <row r="3381" spans="1:3" x14ac:dyDescent="0.2">
      <c r="A3381" s="3" t="s">
        <v>1066</v>
      </c>
      <c r="B3381" s="3" t="s">
        <v>1068</v>
      </c>
      <c r="C3381" s="3" t="s">
        <v>53</v>
      </c>
    </row>
    <row r="3382" spans="1:3" x14ac:dyDescent="0.2">
      <c r="A3382" s="3" t="s">
        <v>1066</v>
      </c>
      <c r="B3382" s="3" t="s">
        <v>1069</v>
      </c>
      <c r="C3382" s="3" t="s">
        <v>53</v>
      </c>
    </row>
    <row r="3383" spans="1:3" x14ac:dyDescent="0.2">
      <c r="A3383" s="3" t="s">
        <v>1066</v>
      </c>
      <c r="B3383" s="3" t="s">
        <v>1070</v>
      </c>
      <c r="C3383" s="3" t="s">
        <v>53</v>
      </c>
    </row>
    <row r="3384" spans="1:3" x14ac:dyDescent="0.2">
      <c r="A3384" s="3" t="s">
        <v>1066</v>
      </c>
      <c r="B3384" s="3" t="s">
        <v>1071</v>
      </c>
      <c r="C3384" s="3" t="s">
        <v>53</v>
      </c>
    </row>
    <row r="3385" spans="1:3" x14ac:dyDescent="0.2">
      <c r="A3385" s="3" t="s">
        <v>1066</v>
      </c>
      <c r="B3385" s="3" t="s">
        <v>1072</v>
      </c>
      <c r="C3385" s="3" t="s">
        <v>53</v>
      </c>
    </row>
    <row r="3386" spans="1:3" x14ac:dyDescent="0.2">
      <c r="A3386" s="3" t="s">
        <v>1066</v>
      </c>
      <c r="B3386" s="3" t="s">
        <v>1067</v>
      </c>
      <c r="C3386" s="3" t="s">
        <v>54</v>
      </c>
    </row>
    <row r="3387" spans="1:3" x14ac:dyDescent="0.2">
      <c r="A3387" s="3" t="s">
        <v>1066</v>
      </c>
      <c r="B3387" s="3" t="s">
        <v>1068</v>
      </c>
      <c r="C3387" s="3" t="s">
        <v>54</v>
      </c>
    </row>
    <row r="3388" spans="1:3" x14ac:dyDescent="0.2">
      <c r="A3388" s="3" t="s">
        <v>1066</v>
      </c>
      <c r="B3388" s="3" t="s">
        <v>1069</v>
      </c>
      <c r="C3388" s="3" t="s">
        <v>54</v>
      </c>
    </row>
    <row r="3389" spans="1:3" x14ac:dyDescent="0.2">
      <c r="A3389" s="3" t="s">
        <v>1066</v>
      </c>
      <c r="B3389" s="3" t="s">
        <v>1070</v>
      </c>
      <c r="C3389" s="3" t="s">
        <v>54</v>
      </c>
    </row>
    <row r="3390" spans="1:3" x14ac:dyDescent="0.2">
      <c r="A3390" s="3" t="s">
        <v>1066</v>
      </c>
      <c r="B3390" s="3" t="s">
        <v>1071</v>
      </c>
      <c r="C3390" s="3" t="s">
        <v>54</v>
      </c>
    </row>
    <row r="3391" spans="1:3" x14ac:dyDescent="0.2">
      <c r="A3391" s="3" t="s">
        <v>1066</v>
      </c>
      <c r="B3391" s="3" t="s">
        <v>1072</v>
      </c>
      <c r="C3391" s="3" t="s">
        <v>54</v>
      </c>
    </row>
    <row r="3392" spans="1:3" x14ac:dyDescent="0.2">
      <c r="A3392" s="3" t="s">
        <v>1066</v>
      </c>
      <c r="B3392" s="3" t="s">
        <v>1067</v>
      </c>
      <c r="C3392" s="3" t="s">
        <v>55</v>
      </c>
    </row>
    <row r="3393" spans="1:3" x14ac:dyDescent="0.2">
      <c r="A3393" s="3" t="s">
        <v>1066</v>
      </c>
      <c r="B3393" s="3" t="s">
        <v>1068</v>
      </c>
      <c r="C3393" s="3" t="s">
        <v>55</v>
      </c>
    </row>
    <row r="3394" spans="1:3" x14ac:dyDescent="0.2">
      <c r="A3394" s="3" t="s">
        <v>1066</v>
      </c>
      <c r="B3394" s="3" t="s">
        <v>1069</v>
      </c>
      <c r="C3394" s="3" t="s">
        <v>55</v>
      </c>
    </row>
    <row r="3395" spans="1:3" x14ac:dyDescent="0.2">
      <c r="A3395" s="3" t="s">
        <v>1066</v>
      </c>
      <c r="B3395" s="3" t="s">
        <v>1070</v>
      </c>
      <c r="C3395" s="3" t="s">
        <v>55</v>
      </c>
    </row>
    <row r="3396" spans="1:3" x14ac:dyDescent="0.2">
      <c r="A3396" s="3" t="s">
        <v>1066</v>
      </c>
      <c r="B3396" s="3" t="s">
        <v>1071</v>
      </c>
      <c r="C3396" s="3" t="s">
        <v>55</v>
      </c>
    </row>
    <row r="3397" spans="1:3" x14ac:dyDescent="0.2">
      <c r="A3397" s="3" t="s">
        <v>1066</v>
      </c>
      <c r="B3397" s="3" t="s">
        <v>1072</v>
      </c>
      <c r="C3397" s="3" t="s">
        <v>55</v>
      </c>
    </row>
    <row r="3398" spans="1:3" x14ac:dyDescent="0.2">
      <c r="A3398" s="3" t="s">
        <v>1066</v>
      </c>
      <c r="B3398" s="3" t="s">
        <v>1067</v>
      </c>
      <c r="C3398" s="3" t="s">
        <v>56</v>
      </c>
    </row>
    <row r="3399" spans="1:3" x14ac:dyDescent="0.2">
      <c r="A3399" s="3" t="s">
        <v>1066</v>
      </c>
      <c r="B3399" s="3" t="s">
        <v>1068</v>
      </c>
      <c r="C3399" s="3" t="s">
        <v>56</v>
      </c>
    </row>
    <row r="3400" spans="1:3" x14ac:dyDescent="0.2">
      <c r="A3400" s="3" t="s">
        <v>1066</v>
      </c>
      <c r="B3400" s="3" t="s">
        <v>1069</v>
      </c>
      <c r="C3400" s="3" t="s">
        <v>56</v>
      </c>
    </row>
    <row r="3401" spans="1:3" x14ac:dyDescent="0.2">
      <c r="A3401" s="3" t="s">
        <v>1066</v>
      </c>
      <c r="B3401" s="3" t="s">
        <v>1070</v>
      </c>
      <c r="C3401" s="3" t="s">
        <v>56</v>
      </c>
    </row>
    <row r="3402" spans="1:3" x14ac:dyDescent="0.2">
      <c r="A3402" s="3" t="s">
        <v>1066</v>
      </c>
      <c r="B3402" s="3" t="s">
        <v>1071</v>
      </c>
      <c r="C3402" s="3" t="s">
        <v>56</v>
      </c>
    </row>
    <row r="3403" spans="1:3" x14ac:dyDescent="0.2">
      <c r="A3403" s="3" t="s">
        <v>1066</v>
      </c>
      <c r="B3403" s="3" t="s">
        <v>1072</v>
      </c>
      <c r="C3403" s="3" t="s">
        <v>56</v>
      </c>
    </row>
    <row r="3404" spans="1:3" x14ac:dyDescent="0.2">
      <c r="A3404" s="3" t="s">
        <v>1066</v>
      </c>
      <c r="B3404" s="3" t="s">
        <v>1067</v>
      </c>
      <c r="C3404" s="3" t="s">
        <v>57</v>
      </c>
    </row>
    <row r="3405" spans="1:3" x14ac:dyDescent="0.2">
      <c r="A3405" s="3" t="s">
        <v>1066</v>
      </c>
      <c r="B3405" s="3" t="s">
        <v>1068</v>
      </c>
      <c r="C3405" s="3" t="s">
        <v>57</v>
      </c>
    </row>
    <row r="3406" spans="1:3" x14ac:dyDescent="0.2">
      <c r="A3406" s="3" t="s">
        <v>1066</v>
      </c>
      <c r="B3406" s="3" t="s">
        <v>1069</v>
      </c>
      <c r="C3406" s="3" t="s">
        <v>57</v>
      </c>
    </row>
    <row r="3407" spans="1:3" x14ac:dyDescent="0.2">
      <c r="A3407" s="3" t="s">
        <v>1066</v>
      </c>
      <c r="B3407" s="3" t="s">
        <v>1070</v>
      </c>
      <c r="C3407" s="3" t="s">
        <v>57</v>
      </c>
    </row>
    <row r="3408" spans="1:3" x14ac:dyDescent="0.2">
      <c r="A3408" s="3" t="s">
        <v>1066</v>
      </c>
      <c r="B3408" s="3" t="s">
        <v>1071</v>
      </c>
      <c r="C3408" s="3" t="s">
        <v>57</v>
      </c>
    </row>
    <row r="3409" spans="1:3" x14ac:dyDescent="0.2">
      <c r="A3409" s="3" t="s">
        <v>1066</v>
      </c>
      <c r="B3409" s="3" t="s">
        <v>1072</v>
      </c>
      <c r="C3409" s="3" t="s">
        <v>57</v>
      </c>
    </row>
    <row r="3410" spans="1:3" x14ac:dyDescent="0.2">
      <c r="A3410" s="3" t="s">
        <v>1073</v>
      </c>
      <c r="B3410" s="3" t="s">
        <v>1074</v>
      </c>
      <c r="C3410" s="3" t="s">
        <v>169</v>
      </c>
    </row>
    <row r="3411" spans="1:3" x14ac:dyDescent="0.2">
      <c r="A3411" s="3" t="s">
        <v>1073</v>
      </c>
      <c r="B3411" s="3" t="s">
        <v>1075</v>
      </c>
      <c r="C3411" s="3" t="s">
        <v>169</v>
      </c>
    </row>
    <row r="3412" spans="1:3" x14ac:dyDescent="0.2">
      <c r="A3412" s="3" t="s">
        <v>1073</v>
      </c>
      <c r="B3412" s="3" t="s">
        <v>1076</v>
      </c>
      <c r="C3412" s="3" t="s">
        <v>169</v>
      </c>
    </row>
    <row r="3413" spans="1:3" x14ac:dyDescent="0.2">
      <c r="A3413" s="3" t="s">
        <v>1073</v>
      </c>
      <c r="B3413" s="3" t="s">
        <v>1077</v>
      </c>
      <c r="C3413" s="3" t="s">
        <v>169</v>
      </c>
    </row>
    <row r="3414" spans="1:3" x14ac:dyDescent="0.2">
      <c r="A3414" s="3" t="s">
        <v>1078</v>
      </c>
      <c r="B3414" s="3" t="s">
        <v>1079</v>
      </c>
      <c r="C3414" s="3" t="s">
        <v>169</v>
      </c>
    </row>
    <row r="3415" spans="1:3" x14ac:dyDescent="0.2">
      <c r="A3415" s="3" t="s">
        <v>1078</v>
      </c>
      <c r="B3415" s="3" t="s">
        <v>1080</v>
      </c>
      <c r="C3415" s="3" t="s">
        <v>169</v>
      </c>
    </row>
    <row r="3416" spans="1:3" x14ac:dyDescent="0.2">
      <c r="A3416" s="3" t="s">
        <v>1081</v>
      </c>
      <c r="B3416" s="3" t="s">
        <v>1079</v>
      </c>
      <c r="C3416" s="3" t="s">
        <v>169</v>
      </c>
    </row>
    <row r="3417" spans="1:3" x14ac:dyDescent="0.2">
      <c r="A3417" s="3" t="s">
        <v>1081</v>
      </c>
      <c r="B3417" s="3" t="s">
        <v>1082</v>
      </c>
      <c r="C3417" s="3" t="s">
        <v>169</v>
      </c>
    </row>
    <row r="3418" spans="1:3" x14ac:dyDescent="0.2">
      <c r="A3418" s="3" t="s">
        <v>1081</v>
      </c>
      <c r="B3418" s="3" t="s">
        <v>1083</v>
      </c>
      <c r="C3418" s="3" t="s">
        <v>169</v>
      </c>
    </row>
    <row r="3419" spans="1:3" x14ac:dyDescent="0.2">
      <c r="A3419" s="3" t="s">
        <v>1081</v>
      </c>
      <c r="B3419" s="3" t="s">
        <v>1084</v>
      </c>
      <c r="C3419" s="3" t="s">
        <v>169</v>
      </c>
    </row>
    <row r="3420" spans="1:3" x14ac:dyDescent="0.2">
      <c r="A3420" s="3" t="s">
        <v>1081</v>
      </c>
      <c r="B3420" s="3" t="s">
        <v>1085</v>
      </c>
      <c r="C3420" s="3" t="s">
        <v>169</v>
      </c>
    </row>
    <row r="3421" spans="1:3" x14ac:dyDescent="0.2">
      <c r="A3421" s="3" t="s">
        <v>1081</v>
      </c>
      <c r="B3421" s="3" t="s">
        <v>1086</v>
      </c>
      <c r="C3421" s="3" t="s">
        <v>169</v>
      </c>
    </row>
    <row r="3422" spans="1:3" x14ac:dyDescent="0.2">
      <c r="A3422" s="3" t="s">
        <v>1087</v>
      </c>
      <c r="B3422" s="3" t="s">
        <v>1088</v>
      </c>
      <c r="C3422" s="3" t="s">
        <v>53</v>
      </c>
    </row>
    <row r="3423" spans="1:3" x14ac:dyDescent="0.2">
      <c r="A3423" s="3" t="s">
        <v>1087</v>
      </c>
      <c r="B3423" s="3" t="s">
        <v>1088</v>
      </c>
      <c r="C3423" s="3" t="s">
        <v>54</v>
      </c>
    </row>
    <row r="3424" spans="1:3" x14ac:dyDescent="0.2">
      <c r="A3424" s="3" t="s">
        <v>1087</v>
      </c>
      <c r="B3424" s="3" t="s">
        <v>1088</v>
      </c>
      <c r="C3424" s="3" t="s">
        <v>55</v>
      </c>
    </row>
    <row r="3425" spans="1:3" x14ac:dyDescent="0.2">
      <c r="A3425" s="3" t="s">
        <v>1087</v>
      </c>
      <c r="B3425" s="3" t="s">
        <v>1088</v>
      </c>
      <c r="C3425" s="3" t="s">
        <v>56</v>
      </c>
    </row>
    <row r="3426" spans="1:3" x14ac:dyDescent="0.2">
      <c r="A3426" s="3" t="s">
        <v>1087</v>
      </c>
      <c r="B3426" s="3" t="s">
        <v>1088</v>
      </c>
      <c r="C3426" s="3" t="s">
        <v>57</v>
      </c>
    </row>
    <row r="3427" spans="1:3" x14ac:dyDescent="0.2">
      <c r="A3427" s="3" t="s">
        <v>1087</v>
      </c>
      <c r="B3427" s="3" t="s">
        <v>1089</v>
      </c>
      <c r="C3427" s="3" t="s">
        <v>169</v>
      </c>
    </row>
    <row r="3428" spans="1:3" x14ac:dyDescent="0.2">
      <c r="A3428" s="3" t="s">
        <v>1090</v>
      </c>
      <c r="B3428" s="3" t="s">
        <v>1091</v>
      </c>
      <c r="C3428" s="3" t="s">
        <v>169</v>
      </c>
    </row>
    <row r="3429" spans="1:3" x14ac:dyDescent="0.2">
      <c r="A3429" s="3" t="s">
        <v>1090</v>
      </c>
      <c r="B3429" s="3" t="s">
        <v>1092</v>
      </c>
      <c r="C3429" s="3" t="s">
        <v>169</v>
      </c>
    </row>
    <row r="3430" spans="1:3" x14ac:dyDescent="0.2">
      <c r="A3430" s="3" t="s">
        <v>1093</v>
      </c>
      <c r="B3430" s="3" t="s">
        <v>1094</v>
      </c>
      <c r="C3430" s="3" t="s">
        <v>53</v>
      </c>
    </row>
    <row r="3431" spans="1:3" x14ac:dyDescent="0.2">
      <c r="A3431" s="3" t="s">
        <v>1093</v>
      </c>
      <c r="B3431" s="3" t="s">
        <v>1095</v>
      </c>
      <c r="C3431" s="3" t="s">
        <v>53</v>
      </c>
    </row>
    <row r="3432" spans="1:3" x14ac:dyDescent="0.2">
      <c r="A3432" s="3" t="s">
        <v>1093</v>
      </c>
      <c r="B3432" s="3" t="s">
        <v>1096</v>
      </c>
      <c r="C3432" s="3" t="s">
        <v>53</v>
      </c>
    </row>
    <row r="3433" spans="1:3" x14ac:dyDescent="0.2">
      <c r="A3433" s="3" t="s">
        <v>1093</v>
      </c>
      <c r="B3433" s="3" t="s">
        <v>1097</v>
      </c>
      <c r="C3433" s="3" t="s">
        <v>53</v>
      </c>
    </row>
    <row r="3434" spans="1:3" x14ac:dyDescent="0.2">
      <c r="A3434" s="3" t="s">
        <v>1093</v>
      </c>
      <c r="B3434" s="3" t="s">
        <v>1098</v>
      </c>
      <c r="C3434" s="3" t="s">
        <v>53</v>
      </c>
    </row>
    <row r="3435" spans="1:3" x14ac:dyDescent="0.2">
      <c r="A3435" s="3" t="s">
        <v>1093</v>
      </c>
      <c r="B3435" s="3" t="s">
        <v>1094</v>
      </c>
      <c r="C3435" s="3" t="s">
        <v>54</v>
      </c>
    </row>
    <row r="3436" spans="1:3" x14ac:dyDescent="0.2">
      <c r="A3436" s="3" t="s">
        <v>1093</v>
      </c>
      <c r="B3436" s="3" t="s">
        <v>1095</v>
      </c>
      <c r="C3436" s="3" t="s">
        <v>54</v>
      </c>
    </row>
    <row r="3437" spans="1:3" x14ac:dyDescent="0.2">
      <c r="A3437" s="3" t="s">
        <v>1093</v>
      </c>
      <c r="B3437" s="3" t="s">
        <v>1096</v>
      </c>
      <c r="C3437" s="3" t="s">
        <v>54</v>
      </c>
    </row>
    <row r="3438" spans="1:3" x14ac:dyDescent="0.2">
      <c r="A3438" s="3" t="s">
        <v>1093</v>
      </c>
      <c r="B3438" s="3" t="s">
        <v>1097</v>
      </c>
      <c r="C3438" s="3" t="s">
        <v>54</v>
      </c>
    </row>
    <row r="3439" spans="1:3" x14ac:dyDescent="0.2">
      <c r="A3439" s="3" t="s">
        <v>1093</v>
      </c>
      <c r="B3439" s="3" t="s">
        <v>1098</v>
      </c>
      <c r="C3439" s="3" t="s">
        <v>54</v>
      </c>
    </row>
    <row r="3440" spans="1:3" x14ac:dyDescent="0.2">
      <c r="A3440" s="3" t="s">
        <v>1093</v>
      </c>
      <c r="B3440" s="3" t="s">
        <v>1094</v>
      </c>
      <c r="C3440" s="3" t="s">
        <v>55</v>
      </c>
    </row>
    <row r="3441" spans="1:3" x14ac:dyDescent="0.2">
      <c r="A3441" s="3" t="s">
        <v>1093</v>
      </c>
      <c r="B3441" s="3" t="s">
        <v>1095</v>
      </c>
      <c r="C3441" s="3" t="s">
        <v>55</v>
      </c>
    </row>
    <row r="3442" spans="1:3" x14ac:dyDescent="0.2">
      <c r="A3442" s="3" t="s">
        <v>1093</v>
      </c>
      <c r="B3442" s="3" t="s">
        <v>1096</v>
      </c>
      <c r="C3442" s="3" t="s">
        <v>55</v>
      </c>
    </row>
    <row r="3443" spans="1:3" x14ac:dyDescent="0.2">
      <c r="A3443" s="3" t="s">
        <v>1093</v>
      </c>
      <c r="B3443" s="3" t="s">
        <v>1097</v>
      </c>
      <c r="C3443" s="3" t="s">
        <v>55</v>
      </c>
    </row>
    <row r="3444" spans="1:3" x14ac:dyDescent="0.2">
      <c r="A3444" s="3" t="s">
        <v>1093</v>
      </c>
      <c r="B3444" s="3" t="s">
        <v>1098</v>
      </c>
      <c r="C3444" s="3" t="s">
        <v>55</v>
      </c>
    </row>
    <row r="3445" spans="1:3" x14ac:dyDescent="0.2">
      <c r="A3445" s="3" t="s">
        <v>1093</v>
      </c>
      <c r="B3445" s="3" t="s">
        <v>1094</v>
      </c>
      <c r="C3445" s="3" t="s">
        <v>56</v>
      </c>
    </row>
    <row r="3446" spans="1:3" x14ac:dyDescent="0.2">
      <c r="A3446" s="3" t="s">
        <v>1093</v>
      </c>
      <c r="B3446" s="3" t="s">
        <v>1095</v>
      </c>
      <c r="C3446" s="3" t="s">
        <v>56</v>
      </c>
    </row>
    <row r="3447" spans="1:3" x14ac:dyDescent="0.2">
      <c r="A3447" s="3" t="s">
        <v>1093</v>
      </c>
      <c r="B3447" s="3" t="s">
        <v>1096</v>
      </c>
      <c r="C3447" s="3" t="s">
        <v>56</v>
      </c>
    </row>
    <row r="3448" spans="1:3" x14ac:dyDescent="0.2">
      <c r="A3448" s="3" t="s">
        <v>1093</v>
      </c>
      <c r="B3448" s="3" t="s">
        <v>1097</v>
      </c>
      <c r="C3448" s="3" t="s">
        <v>56</v>
      </c>
    </row>
    <row r="3449" spans="1:3" x14ac:dyDescent="0.2">
      <c r="A3449" s="3" t="s">
        <v>1093</v>
      </c>
      <c r="B3449" s="3" t="s">
        <v>1098</v>
      </c>
      <c r="C3449" s="3" t="s">
        <v>56</v>
      </c>
    </row>
    <row r="3450" spans="1:3" x14ac:dyDescent="0.2">
      <c r="A3450" s="3" t="s">
        <v>1093</v>
      </c>
      <c r="B3450" s="3" t="s">
        <v>1094</v>
      </c>
      <c r="C3450" s="3" t="s">
        <v>57</v>
      </c>
    </row>
    <row r="3451" spans="1:3" x14ac:dyDescent="0.2">
      <c r="A3451" s="3" t="s">
        <v>1093</v>
      </c>
      <c r="B3451" s="3" t="s">
        <v>1095</v>
      </c>
      <c r="C3451" s="3" t="s">
        <v>57</v>
      </c>
    </row>
    <row r="3452" spans="1:3" x14ac:dyDescent="0.2">
      <c r="A3452" s="3" t="s">
        <v>1093</v>
      </c>
      <c r="B3452" s="3" t="s">
        <v>1096</v>
      </c>
      <c r="C3452" s="3" t="s">
        <v>57</v>
      </c>
    </row>
    <row r="3453" spans="1:3" x14ac:dyDescent="0.2">
      <c r="A3453" s="3" t="s">
        <v>1093</v>
      </c>
      <c r="B3453" s="3" t="s">
        <v>1097</v>
      </c>
      <c r="C3453" s="3" t="s">
        <v>57</v>
      </c>
    </row>
    <row r="3454" spans="1:3" x14ac:dyDescent="0.2">
      <c r="A3454" s="3" t="s">
        <v>1093</v>
      </c>
      <c r="B3454" s="3" t="s">
        <v>1098</v>
      </c>
      <c r="C3454" s="3" t="s">
        <v>57</v>
      </c>
    </row>
    <row r="3455" spans="1:3" x14ac:dyDescent="0.2">
      <c r="A3455" s="3" t="s">
        <v>1093</v>
      </c>
      <c r="B3455" s="3" t="s">
        <v>1082</v>
      </c>
      <c r="C3455" s="3" t="s">
        <v>169</v>
      </c>
    </row>
    <row r="3456" spans="1:3" x14ac:dyDescent="0.2">
      <c r="A3456" s="3" t="s">
        <v>1093</v>
      </c>
      <c r="B3456" s="3" t="s">
        <v>1083</v>
      </c>
      <c r="C3456" s="3" t="s">
        <v>169</v>
      </c>
    </row>
    <row r="3457" spans="1:3" x14ac:dyDescent="0.2">
      <c r="A3457" s="3" t="s">
        <v>1093</v>
      </c>
      <c r="B3457" s="3" t="s">
        <v>1084</v>
      </c>
      <c r="C3457" s="3" t="s">
        <v>169</v>
      </c>
    </row>
    <row r="3458" spans="1:3" x14ac:dyDescent="0.2">
      <c r="A3458" s="3" t="s">
        <v>1093</v>
      </c>
      <c r="B3458" s="3" t="s">
        <v>1085</v>
      </c>
      <c r="C3458" s="3" t="s">
        <v>169</v>
      </c>
    </row>
    <row r="3459" spans="1:3" x14ac:dyDescent="0.2">
      <c r="A3459" s="3" t="s">
        <v>1093</v>
      </c>
      <c r="B3459" s="3" t="s">
        <v>1086</v>
      </c>
      <c r="C3459" s="3" t="s">
        <v>169</v>
      </c>
    </row>
    <row r="3460" spans="1:3" x14ac:dyDescent="0.2">
      <c r="A3460" s="3" t="s">
        <v>1093</v>
      </c>
      <c r="B3460" s="3" t="s">
        <v>1099</v>
      </c>
      <c r="C3460" s="3" t="s">
        <v>169</v>
      </c>
    </row>
    <row r="3461" spans="1:3" x14ac:dyDescent="0.2">
      <c r="A3461" s="3" t="s">
        <v>1093</v>
      </c>
      <c r="B3461" s="3" t="s">
        <v>1100</v>
      </c>
      <c r="C3461" s="3" t="s">
        <v>169</v>
      </c>
    </row>
    <row r="3462" spans="1:3" x14ac:dyDescent="0.2">
      <c r="A3462" s="3" t="s">
        <v>1093</v>
      </c>
      <c r="B3462" s="3" t="s">
        <v>1101</v>
      </c>
      <c r="C3462" s="3" t="s">
        <v>169</v>
      </c>
    </row>
    <row r="3463" spans="1:3" x14ac:dyDescent="0.2">
      <c r="A3463" s="3" t="s">
        <v>1093</v>
      </c>
      <c r="B3463" s="3" t="s">
        <v>1102</v>
      </c>
      <c r="C3463" s="3" t="s">
        <v>169</v>
      </c>
    </row>
    <row r="3464" spans="1:3" x14ac:dyDescent="0.2">
      <c r="A3464" s="3" t="s">
        <v>1103</v>
      </c>
      <c r="B3464" s="3" t="s">
        <v>972</v>
      </c>
      <c r="C3464" s="3" t="s">
        <v>53</v>
      </c>
    </row>
    <row r="3465" spans="1:3" x14ac:dyDescent="0.2">
      <c r="A3465" s="3" t="s">
        <v>1103</v>
      </c>
      <c r="B3465" s="3" t="s">
        <v>973</v>
      </c>
      <c r="C3465" s="3" t="s">
        <v>53</v>
      </c>
    </row>
    <row r="3466" spans="1:3" x14ac:dyDescent="0.2">
      <c r="A3466" s="3" t="s">
        <v>1103</v>
      </c>
      <c r="B3466" s="3" t="s">
        <v>1104</v>
      </c>
      <c r="C3466" s="3" t="s">
        <v>53</v>
      </c>
    </row>
    <row r="3467" spans="1:3" x14ac:dyDescent="0.2">
      <c r="A3467" s="3" t="s">
        <v>1103</v>
      </c>
      <c r="B3467" s="3" t="s">
        <v>299</v>
      </c>
      <c r="C3467" s="3" t="s">
        <v>53</v>
      </c>
    </row>
    <row r="3468" spans="1:3" x14ac:dyDescent="0.2">
      <c r="A3468" s="3" t="s">
        <v>1103</v>
      </c>
      <c r="B3468" s="3" t="s">
        <v>300</v>
      </c>
      <c r="C3468" s="3" t="s">
        <v>53</v>
      </c>
    </row>
    <row r="3469" spans="1:3" x14ac:dyDescent="0.2">
      <c r="A3469" s="3" t="s">
        <v>1103</v>
      </c>
      <c r="B3469" s="3" t="s">
        <v>1105</v>
      </c>
      <c r="C3469" s="3" t="s">
        <v>53</v>
      </c>
    </row>
    <row r="3470" spans="1:3" x14ac:dyDescent="0.2">
      <c r="A3470" s="3" t="s">
        <v>1103</v>
      </c>
      <c r="B3470" s="3" t="s">
        <v>1106</v>
      </c>
      <c r="C3470" s="3" t="s">
        <v>53</v>
      </c>
    </row>
    <row r="3471" spans="1:3" x14ac:dyDescent="0.2">
      <c r="A3471" s="3" t="s">
        <v>1103</v>
      </c>
      <c r="B3471" s="3" t="s">
        <v>1107</v>
      </c>
      <c r="C3471" s="3" t="s">
        <v>53</v>
      </c>
    </row>
    <row r="3472" spans="1:3" x14ac:dyDescent="0.2">
      <c r="A3472" s="3" t="s">
        <v>1103</v>
      </c>
      <c r="B3472" s="3" t="s">
        <v>1108</v>
      </c>
      <c r="C3472" s="3" t="s">
        <v>53</v>
      </c>
    </row>
    <row r="3473" spans="1:3" x14ac:dyDescent="0.2">
      <c r="A3473" s="3" t="s">
        <v>1103</v>
      </c>
      <c r="B3473" s="3" t="s">
        <v>1109</v>
      </c>
      <c r="C3473" s="3" t="s">
        <v>53</v>
      </c>
    </row>
    <row r="3474" spans="1:3" x14ac:dyDescent="0.2">
      <c r="A3474" s="3" t="s">
        <v>1103</v>
      </c>
      <c r="B3474" s="3" t="s">
        <v>1110</v>
      </c>
      <c r="C3474" s="3" t="s">
        <v>53</v>
      </c>
    </row>
    <row r="3475" spans="1:3" x14ac:dyDescent="0.2">
      <c r="A3475" s="3" t="s">
        <v>1103</v>
      </c>
      <c r="B3475" s="3" t="s">
        <v>1111</v>
      </c>
      <c r="C3475" s="3" t="s">
        <v>53</v>
      </c>
    </row>
    <row r="3476" spans="1:3" x14ac:dyDescent="0.2">
      <c r="A3476" s="3" t="s">
        <v>1103</v>
      </c>
      <c r="B3476" s="3" t="s">
        <v>1112</v>
      </c>
      <c r="C3476" s="3" t="s">
        <v>53</v>
      </c>
    </row>
    <row r="3477" spans="1:3" x14ac:dyDescent="0.2">
      <c r="A3477" s="3" t="s">
        <v>1103</v>
      </c>
      <c r="B3477" s="3" t="s">
        <v>1113</v>
      </c>
      <c r="C3477" s="3" t="s">
        <v>53</v>
      </c>
    </row>
    <row r="3478" spans="1:3" x14ac:dyDescent="0.2">
      <c r="A3478" s="3" t="s">
        <v>1103</v>
      </c>
      <c r="B3478" s="3" t="s">
        <v>1114</v>
      </c>
      <c r="C3478" s="3" t="s">
        <v>53</v>
      </c>
    </row>
    <row r="3479" spans="1:3" x14ac:dyDescent="0.2">
      <c r="A3479" s="3" t="s">
        <v>1103</v>
      </c>
      <c r="B3479" s="3" t="s">
        <v>1115</v>
      </c>
      <c r="C3479" s="3" t="s">
        <v>53</v>
      </c>
    </row>
    <row r="3480" spans="1:3" x14ac:dyDescent="0.2">
      <c r="A3480" s="3" t="s">
        <v>1103</v>
      </c>
      <c r="B3480" s="3" t="s">
        <v>1116</v>
      </c>
      <c r="C3480" s="3" t="s">
        <v>53</v>
      </c>
    </row>
    <row r="3481" spans="1:3" x14ac:dyDescent="0.2">
      <c r="A3481" s="3" t="s">
        <v>1103</v>
      </c>
      <c r="B3481" s="3" t="s">
        <v>1117</v>
      </c>
      <c r="C3481" s="3" t="s">
        <v>53</v>
      </c>
    </row>
    <row r="3482" spans="1:3" x14ac:dyDescent="0.2">
      <c r="A3482" s="3" t="s">
        <v>1103</v>
      </c>
      <c r="B3482" s="3" t="s">
        <v>1118</v>
      </c>
      <c r="C3482" s="3" t="s">
        <v>53</v>
      </c>
    </row>
    <row r="3483" spans="1:3" x14ac:dyDescent="0.2">
      <c r="A3483" s="3" t="s">
        <v>1103</v>
      </c>
      <c r="B3483" s="3" t="s">
        <v>1119</v>
      </c>
      <c r="C3483" s="3" t="s">
        <v>53</v>
      </c>
    </row>
    <row r="3484" spans="1:3" x14ac:dyDescent="0.2">
      <c r="A3484" s="3" t="s">
        <v>1103</v>
      </c>
      <c r="B3484" s="3" t="s">
        <v>1120</v>
      </c>
      <c r="C3484" s="3" t="s">
        <v>53</v>
      </c>
    </row>
    <row r="3485" spans="1:3" x14ac:dyDescent="0.2">
      <c r="A3485" s="3" t="s">
        <v>1103</v>
      </c>
      <c r="B3485" s="3" t="s">
        <v>1121</v>
      </c>
      <c r="C3485" s="3" t="s">
        <v>53</v>
      </c>
    </row>
    <row r="3486" spans="1:3" x14ac:dyDescent="0.2">
      <c r="A3486" s="3" t="s">
        <v>1103</v>
      </c>
      <c r="B3486" s="3" t="s">
        <v>1122</v>
      </c>
      <c r="C3486" s="3" t="s">
        <v>53</v>
      </c>
    </row>
    <row r="3487" spans="1:3" x14ac:dyDescent="0.2">
      <c r="A3487" s="3" t="s">
        <v>1103</v>
      </c>
      <c r="B3487" s="3" t="s">
        <v>1123</v>
      </c>
      <c r="C3487" s="3" t="s">
        <v>53</v>
      </c>
    </row>
    <row r="3488" spans="1:3" x14ac:dyDescent="0.2">
      <c r="A3488" s="3" t="s">
        <v>1103</v>
      </c>
      <c r="B3488" s="3" t="s">
        <v>1124</v>
      </c>
      <c r="C3488" s="3" t="s">
        <v>53</v>
      </c>
    </row>
    <row r="3489" spans="1:3" x14ac:dyDescent="0.2">
      <c r="A3489" s="3" t="s">
        <v>1103</v>
      </c>
      <c r="B3489" s="3" t="s">
        <v>1125</v>
      </c>
      <c r="C3489" s="3" t="s">
        <v>53</v>
      </c>
    </row>
    <row r="3490" spans="1:3" x14ac:dyDescent="0.2">
      <c r="A3490" s="3" t="s">
        <v>1103</v>
      </c>
      <c r="B3490" s="3" t="s">
        <v>972</v>
      </c>
      <c r="C3490" s="3" t="s">
        <v>54</v>
      </c>
    </row>
    <row r="3491" spans="1:3" x14ac:dyDescent="0.2">
      <c r="A3491" s="3" t="s">
        <v>1103</v>
      </c>
      <c r="B3491" s="3" t="s">
        <v>973</v>
      </c>
      <c r="C3491" s="3" t="s">
        <v>54</v>
      </c>
    </row>
    <row r="3492" spans="1:3" x14ac:dyDescent="0.2">
      <c r="A3492" s="3" t="s">
        <v>1103</v>
      </c>
      <c r="B3492" s="3" t="s">
        <v>1104</v>
      </c>
      <c r="C3492" s="3" t="s">
        <v>54</v>
      </c>
    </row>
    <row r="3493" spans="1:3" x14ac:dyDescent="0.2">
      <c r="A3493" s="3" t="s">
        <v>1103</v>
      </c>
      <c r="B3493" s="3" t="s">
        <v>299</v>
      </c>
      <c r="C3493" s="3" t="s">
        <v>54</v>
      </c>
    </row>
    <row r="3494" spans="1:3" x14ac:dyDescent="0.2">
      <c r="A3494" s="3" t="s">
        <v>1103</v>
      </c>
      <c r="B3494" s="3" t="s">
        <v>300</v>
      </c>
      <c r="C3494" s="3" t="s">
        <v>54</v>
      </c>
    </row>
    <row r="3495" spans="1:3" x14ac:dyDescent="0.2">
      <c r="A3495" s="3" t="s">
        <v>1103</v>
      </c>
      <c r="B3495" s="3" t="s">
        <v>1126</v>
      </c>
      <c r="C3495" s="3" t="s">
        <v>54</v>
      </c>
    </row>
    <row r="3496" spans="1:3" x14ac:dyDescent="0.2">
      <c r="A3496" s="3" t="s">
        <v>1103</v>
      </c>
      <c r="B3496" s="3" t="s">
        <v>1105</v>
      </c>
      <c r="C3496" s="3" t="s">
        <v>54</v>
      </c>
    </row>
    <row r="3497" spans="1:3" x14ac:dyDescent="0.2">
      <c r="A3497" s="3" t="s">
        <v>1103</v>
      </c>
      <c r="B3497" s="3" t="s">
        <v>1106</v>
      </c>
      <c r="C3497" s="3" t="s">
        <v>54</v>
      </c>
    </row>
    <row r="3498" spans="1:3" x14ac:dyDescent="0.2">
      <c r="A3498" s="3" t="s">
        <v>1103</v>
      </c>
      <c r="B3498" s="3" t="s">
        <v>1107</v>
      </c>
      <c r="C3498" s="3" t="s">
        <v>54</v>
      </c>
    </row>
    <row r="3499" spans="1:3" x14ac:dyDescent="0.2">
      <c r="A3499" s="3" t="s">
        <v>1103</v>
      </c>
      <c r="B3499" s="3" t="s">
        <v>1108</v>
      </c>
      <c r="C3499" s="3" t="s">
        <v>54</v>
      </c>
    </row>
    <row r="3500" spans="1:3" x14ac:dyDescent="0.2">
      <c r="A3500" s="3" t="s">
        <v>1103</v>
      </c>
      <c r="B3500" s="3" t="s">
        <v>1109</v>
      </c>
      <c r="C3500" s="3" t="s">
        <v>54</v>
      </c>
    </row>
    <row r="3501" spans="1:3" x14ac:dyDescent="0.2">
      <c r="A3501" s="3" t="s">
        <v>1103</v>
      </c>
      <c r="B3501" s="3" t="s">
        <v>1110</v>
      </c>
      <c r="C3501" s="3" t="s">
        <v>54</v>
      </c>
    </row>
    <row r="3502" spans="1:3" x14ac:dyDescent="0.2">
      <c r="A3502" s="3" t="s">
        <v>1103</v>
      </c>
      <c r="B3502" s="3" t="s">
        <v>1111</v>
      </c>
      <c r="C3502" s="3" t="s">
        <v>54</v>
      </c>
    </row>
    <row r="3503" spans="1:3" x14ac:dyDescent="0.2">
      <c r="A3503" s="3" t="s">
        <v>1103</v>
      </c>
      <c r="B3503" s="3" t="s">
        <v>1112</v>
      </c>
      <c r="C3503" s="3" t="s">
        <v>54</v>
      </c>
    </row>
    <row r="3504" spans="1:3" x14ac:dyDescent="0.2">
      <c r="A3504" s="3" t="s">
        <v>1103</v>
      </c>
      <c r="B3504" s="3" t="s">
        <v>1113</v>
      </c>
      <c r="C3504" s="3" t="s">
        <v>54</v>
      </c>
    </row>
    <row r="3505" spans="1:3" x14ac:dyDescent="0.2">
      <c r="A3505" s="3" t="s">
        <v>1103</v>
      </c>
      <c r="B3505" s="3" t="s">
        <v>1114</v>
      </c>
      <c r="C3505" s="3" t="s">
        <v>54</v>
      </c>
    </row>
    <row r="3506" spans="1:3" x14ac:dyDescent="0.2">
      <c r="A3506" s="3" t="s">
        <v>1103</v>
      </c>
      <c r="B3506" s="3" t="s">
        <v>1115</v>
      </c>
      <c r="C3506" s="3" t="s">
        <v>54</v>
      </c>
    </row>
    <row r="3507" spans="1:3" x14ac:dyDescent="0.2">
      <c r="A3507" s="3" t="s">
        <v>1103</v>
      </c>
      <c r="B3507" s="3" t="s">
        <v>1116</v>
      </c>
      <c r="C3507" s="3" t="s">
        <v>54</v>
      </c>
    </row>
    <row r="3508" spans="1:3" x14ac:dyDescent="0.2">
      <c r="A3508" s="3" t="s">
        <v>1103</v>
      </c>
      <c r="B3508" s="3" t="s">
        <v>1117</v>
      </c>
      <c r="C3508" s="3" t="s">
        <v>54</v>
      </c>
    </row>
    <row r="3509" spans="1:3" x14ac:dyDescent="0.2">
      <c r="A3509" s="3" t="s">
        <v>1103</v>
      </c>
      <c r="B3509" s="3" t="s">
        <v>1118</v>
      </c>
      <c r="C3509" s="3" t="s">
        <v>54</v>
      </c>
    </row>
    <row r="3510" spans="1:3" x14ac:dyDescent="0.2">
      <c r="A3510" s="3" t="s">
        <v>1103</v>
      </c>
      <c r="B3510" s="3" t="s">
        <v>1119</v>
      </c>
      <c r="C3510" s="3" t="s">
        <v>54</v>
      </c>
    </row>
    <row r="3511" spans="1:3" x14ac:dyDescent="0.2">
      <c r="A3511" s="3" t="s">
        <v>1103</v>
      </c>
      <c r="B3511" s="3" t="s">
        <v>1120</v>
      </c>
      <c r="C3511" s="3" t="s">
        <v>54</v>
      </c>
    </row>
    <row r="3512" spans="1:3" x14ac:dyDescent="0.2">
      <c r="A3512" s="3" t="s">
        <v>1103</v>
      </c>
      <c r="B3512" s="3" t="s">
        <v>1121</v>
      </c>
      <c r="C3512" s="3" t="s">
        <v>54</v>
      </c>
    </row>
    <row r="3513" spans="1:3" x14ac:dyDescent="0.2">
      <c r="A3513" s="3" t="s">
        <v>1103</v>
      </c>
      <c r="B3513" s="3" t="s">
        <v>1122</v>
      </c>
      <c r="C3513" s="3" t="s">
        <v>54</v>
      </c>
    </row>
    <row r="3514" spans="1:3" x14ac:dyDescent="0.2">
      <c r="A3514" s="3" t="s">
        <v>1103</v>
      </c>
      <c r="B3514" s="3" t="s">
        <v>1123</v>
      </c>
      <c r="C3514" s="3" t="s">
        <v>54</v>
      </c>
    </row>
    <row r="3515" spans="1:3" x14ac:dyDescent="0.2">
      <c r="A3515" s="3" t="s">
        <v>1103</v>
      </c>
      <c r="B3515" s="3" t="s">
        <v>1124</v>
      </c>
      <c r="C3515" s="3" t="s">
        <v>54</v>
      </c>
    </row>
    <row r="3516" spans="1:3" x14ac:dyDescent="0.2">
      <c r="A3516" s="3" t="s">
        <v>1103</v>
      </c>
      <c r="B3516" s="3" t="s">
        <v>1125</v>
      </c>
      <c r="C3516" s="3" t="s">
        <v>54</v>
      </c>
    </row>
    <row r="3517" spans="1:3" x14ac:dyDescent="0.2">
      <c r="A3517" s="3" t="s">
        <v>1103</v>
      </c>
      <c r="B3517" s="3" t="s">
        <v>1127</v>
      </c>
      <c r="C3517" s="3" t="s">
        <v>54</v>
      </c>
    </row>
    <row r="3518" spans="1:3" x14ac:dyDescent="0.2">
      <c r="A3518" s="3" t="s">
        <v>1103</v>
      </c>
      <c r="B3518" s="3" t="s">
        <v>972</v>
      </c>
      <c r="C3518" s="3" t="s">
        <v>55</v>
      </c>
    </row>
    <row r="3519" spans="1:3" x14ac:dyDescent="0.2">
      <c r="A3519" s="3" t="s">
        <v>1103</v>
      </c>
      <c r="B3519" s="3" t="s">
        <v>973</v>
      </c>
      <c r="C3519" s="3" t="s">
        <v>55</v>
      </c>
    </row>
    <row r="3520" spans="1:3" x14ac:dyDescent="0.2">
      <c r="A3520" s="3" t="s">
        <v>1103</v>
      </c>
      <c r="B3520" s="3" t="s">
        <v>1104</v>
      </c>
      <c r="C3520" s="3" t="s">
        <v>55</v>
      </c>
    </row>
    <row r="3521" spans="1:3" x14ac:dyDescent="0.2">
      <c r="A3521" s="3" t="s">
        <v>1103</v>
      </c>
      <c r="B3521" s="3" t="s">
        <v>299</v>
      </c>
      <c r="C3521" s="3" t="s">
        <v>55</v>
      </c>
    </row>
    <row r="3522" spans="1:3" x14ac:dyDescent="0.2">
      <c r="A3522" s="3" t="s">
        <v>1103</v>
      </c>
      <c r="B3522" s="3" t="s">
        <v>300</v>
      </c>
      <c r="C3522" s="3" t="s">
        <v>55</v>
      </c>
    </row>
    <row r="3523" spans="1:3" x14ac:dyDescent="0.2">
      <c r="A3523" s="3" t="s">
        <v>1103</v>
      </c>
      <c r="B3523" s="3" t="s">
        <v>1126</v>
      </c>
      <c r="C3523" s="3" t="s">
        <v>55</v>
      </c>
    </row>
    <row r="3524" spans="1:3" x14ac:dyDescent="0.2">
      <c r="A3524" s="3" t="s">
        <v>1103</v>
      </c>
      <c r="B3524" s="3" t="s">
        <v>1105</v>
      </c>
      <c r="C3524" s="3" t="s">
        <v>55</v>
      </c>
    </row>
    <row r="3525" spans="1:3" x14ac:dyDescent="0.2">
      <c r="A3525" s="3" t="s">
        <v>1103</v>
      </c>
      <c r="B3525" s="3" t="s">
        <v>1106</v>
      </c>
      <c r="C3525" s="3" t="s">
        <v>55</v>
      </c>
    </row>
    <row r="3526" spans="1:3" x14ac:dyDescent="0.2">
      <c r="A3526" s="3" t="s">
        <v>1103</v>
      </c>
      <c r="B3526" s="3" t="s">
        <v>1107</v>
      </c>
      <c r="C3526" s="3" t="s">
        <v>55</v>
      </c>
    </row>
    <row r="3527" spans="1:3" x14ac:dyDescent="0.2">
      <c r="A3527" s="3" t="s">
        <v>1103</v>
      </c>
      <c r="B3527" s="3" t="s">
        <v>1108</v>
      </c>
      <c r="C3527" s="3" t="s">
        <v>55</v>
      </c>
    </row>
    <row r="3528" spans="1:3" x14ac:dyDescent="0.2">
      <c r="A3528" s="3" t="s">
        <v>1103</v>
      </c>
      <c r="B3528" s="3" t="s">
        <v>1109</v>
      </c>
      <c r="C3528" s="3" t="s">
        <v>55</v>
      </c>
    </row>
    <row r="3529" spans="1:3" x14ac:dyDescent="0.2">
      <c r="A3529" s="3" t="s">
        <v>1103</v>
      </c>
      <c r="B3529" s="3" t="s">
        <v>1110</v>
      </c>
      <c r="C3529" s="3" t="s">
        <v>55</v>
      </c>
    </row>
    <row r="3530" spans="1:3" x14ac:dyDescent="0.2">
      <c r="A3530" s="3" t="s">
        <v>1103</v>
      </c>
      <c r="B3530" s="3" t="s">
        <v>1111</v>
      </c>
      <c r="C3530" s="3" t="s">
        <v>55</v>
      </c>
    </row>
    <row r="3531" spans="1:3" x14ac:dyDescent="0.2">
      <c r="A3531" s="3" t="s">
        <v>1103</v>
      </c>
      <c r="B3531" s="3" t="s">
        <v>1112</v>
      </c>
      <c r="C3531" s="3" t="s">
        <v>55</v>
      </c>
    </row>
    <row r="3532" spans="1:3" x14ac:dyDescent="0.2">
      <c r="A3532" s="3" t="s">
        <v>1103</v>
      </c>
      <c r="B3532" s="3" t="s">
        <v>1113</v>
      </c>
      <c r="C3532" s="3" t="s">
        <v>55</v>
      </c>
    </row>
    <row r="3533" spans="1:3" x14ac:dyDescent="0.2">
      <c r="A3533" s="3" t="s">
        <v>1103</v>
      </c>
      <c r="B3533" s="3" t="s">
        <v>1114</v>
      </c>
      <c r="C3533" s="3" t="s">
        <v>55</v>
      </c>
    </row>
    <row r="3534" spans="1:3" x14ac:dyDescent="0.2">
      <c r="A3534" s="3" t="s">
        <v>1103</v>
      </c>
      <c r="B3534" s="3" t="s">
        <v>1115</v>
      </c>
      <c r="C3534" s="3" t="s">
        <v>55</v>
      </c>
    </row>
    <row r="3535" spans="1:3" x14ac:dyDescent="0.2">
      <c r="A3535" s="3" t="s">
        <v>1103</v>
      </c>
      <c r="B3535" s="3" t="s">
        <v>1116</v>
      </c>
      <c r="C3535" s="3" t="s">
        <v>55</v>
      </c>
    </row>
    <row r="3536" spans="1:3" x14ac:dyDescent="0.2">
      <c r="A3536" s="3" t="s">
        <v>1103</v>
      </c>
      <c r="B3536" s="3" t="s">
        <v>1117</v>
      </c>
      <c r="C3536" s="3" t="s">
        <v>55</v>
      </c>
    </row>
    <row r="3537" spans="1:3" x14ac:dyDescent="0.2">
      <c r="A3537" s="3" t="s">
        <v>1103</v>
      </c>
      <c r="B3537" s="3" t="s">
        <v>1118</v>
      </c>
      <c r="C3537" s="3" t="s">
        <v>55</v>
      </c>
    </row>
    <row r="3538" spans="1:3" x14ac:dyDescent="0.2">
      <c r="A3538" s="3" t="s">
        <v>1103</v>
      </c>
      <c r="B3538" s="3" t="s">
        <v>1119</v>
      </c>
      <c r="C3538" s="3" t="s">
        <v>55</v>
      </c>
    </row>
    <row r="3539" spans="1:3" x14ac:dyDescent="0.2">
      <c r="A3539" s="3" t="s">
        <v>1103</v>
      </c>
      <c r="B3539" s="3" t="s">
        <v>1120</v>
      </c>
      <c r="C3539" s="3" t="s">
        <v>55</v>
      </c>
    </row>
    <row r="3540" spans="1:3" x14ac:dyDescent="0.2">
      <c r="A3540" s="3" t="s">
        <v>1103</v>
      </c>
      <c r="B3540" s="3" t="s">
        <v>1121</v>
      </c>
      <c r="C3540" s="3" t="s">
        <v>55</v>
      </c>
    </row>
    <row r="3541" spans="1:3" x14ac:dyDescent="0.2">
      <c r="A3541" s="3" t="s">
        <v>1103</v>
      </c>
      <c r="B3541" s="3" t="s">
        <v>1122</v>
      </c>
      <c r="C3541" s="3" t="s">
        <v>55</v>
      </c>
    </row>
    <row r="3542" spans="1:3" x14ac:dyDescent="0.2">
      <c r="A3542" s="3" t="s">
        <v>1103</v>
      </c>
      <c r="B3542" s="3" t="s">
        <v>1123</v>
      </c>
      <c r="C3542" s="3" t="s">
        <v>55</v>
      </c>
    </row>
    <row r="3543" spans="1:3" x14ac:dyDescent="0.2">
      <c r="A3543" s="3" t="s">
        <v>1103</v>
      </c>
      <c r="B3543" s="3" t="s">
        <v>1124</v>
      </c>
      <c r="C3543" s="3" t="s">
        <v>55</v>
      </c>
    </row>
    <row r="3544" spans="1:3" x14ac:dyDescent="0.2">
      <c r="A3544" s="3" t="s">
        <v>1103</v>
      </c>
      <c r="B3544" s="3" t="s">
        <v>1125</v>
      </c>
      <c r="C3544" s="3" t="s">
        <v>55</v>
      </c>
    </row>
    <row r="3545" spans="1:3" x14ac:dyDescent="0.2">
      <c r="A3545" s="3" t="s">
        <v>1103</v>
      </c>
      <c r="B3545" s="3" t="s">
        <v>1128</v>
      </c>
      <c r="C3545" s="3" t="s">
        <v>55</v>
      </c>
    </row>
    <row r="3546" spans="1:3" x14ac:dyDescent="0.2">
      <c r="A3546" s="3" t="s">
        <v>1103</v>
      </c>
      <c r="B3546" s="3" t="s">
        <v>972</v>
      </c>
      <c r="C3546" s="3" t="s">
        <v>56</v>
      </c>
    </row>
    <row r="3547" spans="1:3" x14ac:dyDescent="0.2">
      <c r="A3547" s="3" t="s">
        <v>1103</v>
      </c>
      <c r="B3547" s="3" t="s">
        <v>973</v>
      </c>
      <c r="C3547" s="3" t="s">
        <v>56</v>
      </c>
    </row>
    <row r="3548" spans="1:3" x14ac:dyDescent="0.2">
      <c r="A3548" s="3" t="s">
        <v>1103</v>
      </c>
      <c r="B3548" s="3" t="s">
        <v>1104</v>
      </c>
      <c r="C3548" s="3" t="s">
        <v>56</v>
      </c>
    </row>
    <row r="3549" spans="1:3" x14ac:dyDescent="0.2">
      <c r="A3549" s="3" t="s">
        <v>1103</v>
      </c>
      <c r="B3549" s="3" t="s">
        <v>299</v>
      </c>
      <c r="C3549" s="3" t="s">
        <v>56</v>
      </c>
    </row>
    <row r="3550" spans="1:3" x14ac:dyDescent="0.2">
      <c r="A3550" s="3" t="s">
        <v>1103</v>
      </c>
      <c r="B3550" s="3" t="s">
        <v>300</v>
      </c>
      <c r="C3550" s="3" t="s">
        <v>56</v>
      </c>
    </row>
    <row r="3551" spans="1:3" x14ac:dyDescent="0.2">
      <c r="A3551" s="3" t="s">
        <v>1103</v>
      </c>
      <c r="B3551" s="3" t="s">
        <v>1126</v>
      </c>
      <c r="C3551" s="3" t="s">
        <v>56</v>
      </c>
    </row>
    <row r="3552" spans="1:3" x14ac:dyDescent="0.2">
      <c r="A3552" s="3" t="s">
        <v>1103</v>
      </c>
      <c r="B3552" s="3" t="s">
        <v>1105</v>
      </c>
      <c r="C3552" s="3" t="s">
        <v>56</v>
      </c>
    </row>
    <row r="3553" spans="1:3" x14ac:dyDescent="0.2">
      <c r="A3553" s="3" t="s">
        <v>1103</v>
      </c>
      <c r="B3553" s="3" t="s">
        <v>1106</v>
      </c>
      <c r="C3553" s="3" t="s">
        <v>56</v>
      </c>
    </row>
    <row r="3554" spans="1:3" x14ac:dyDescent="0.2">
      <c r="A3554" s="3" t="s">
        <v>1103</v>
      </c>
      <c r="B3554" s="3" t="s">
        <v>1107</v>
      </c>
      <c r="C3554" s="3" t="s">
        <v>56</v>
      </c>
    </row>
    <row r="3555" spans="1:3" x14ac:dyDescent="0.2">
      <c r="A3555" s="3" t="s">
        <v>1103</v>
      </c>
      <c r="B3555" s="3" t="s">
        <v>1108</v>
      </c>
      <c r="C3555" s="3" t="s">
        <v>56</v>
      </c>
    </row>
    <row r="3556" spans="1:3" x14ac:dyDescent="0.2">
      <c r="A3556" s="3" t="s">
        <v>1103</v>
      </c>
      <c r="B3556" s="3" t="s">
        <v>1109</v>
      </c>
      <c r="C3556" s="3" t="s">
        <v>56</v>
      </c>
    </row>
    <row r="3557" spans="1:3" x14ac:dyDescent="0.2">
      <c r="A3557" s="3" t="s">
        <v>1103</v>
      </c>
      <c r="B3557" s="3" t="s">
        <v>1110</v>
      </c>
      <c r="C3557" s="3" t="s">
        <v>56</v>
      </c>
    </row>
    <row r="3558" spans="1:3" x14ac:dyDescent="0.2">
      <c r="A3558" s="3" t="s">
        <v>1103</v>
      </c>
      <c r="B3558" s="3" t="s">
        <v>1111</v>
      </c>
      <c r="C3558" s="3" t="s">
        <v>56</v>
      </c>
    </row>
    <row r="3559" spans="1:3" x14ac:dyDescent="0.2">
      <c r="A3559" s="3" t="s">
        <v>1103</v>
      </c>
      <c r="B3559" s="3" t="s">
        <v>1112</v>
      </c>
      <c r="C3559" s="3" t="s">
        <v>56</v>
      </c>
    </row>
    <row r="3560" spans="1:3" x14ac:dyDescent="0.2">
      <c r="A3560" s="3" t="s">
        <v>1103</v>
      </c>
      <c r="B3560" s="3" t="s">
        <v>1113</v>
      </c>
      <c r="C3560" s="3" t="s">
        <v>56</v>
      </c>
    </row>
    <row r="3561" spans="1:3" x14ac:dyDescent="0.2">
      <c r="A3561" s="3" t="s">
        <v>1103</v>
      </c>
      <c r="B3561" s="3" t="s">
        <v>1114</v>
      </c>
      <c r="C3561" s="3" t="s">
        <v>56</v>
      </c>
    </row>
    <row r="3562" spans="1:3" x14ac:dyDescent="0.2">
      <c r="A3562" s="3" t="s">
        <v>1103</v>
      </c>
      <c r="B3562" s="3" t="s">
        <v>1115</v>
      </c>
      <c r="C3562" s="3" t="s">
        <v>56</v>
      </c>
    </row>
    <row r="3563" spans="1:3" x14ac:dyDescent="0.2">
      <c r="A3563" s="3" t="s">
        <v>1103</v>
      </c>
      <c r="B3563" s="3" t="s">
        <v>1116</v>
      </c>
      <c r="C3563" s="3" t="s">
        <v>56</v>
      </c>
    </row>
    <row r="3564" spans="1:3" x14ac:dyDescent="0.2">
      <c r="A3564" s="3" t="s">
        <v>1103</v>
      </c>
      <c r="B3564" s="3" t="s">
        <v>1117</v>
      </c>
      <c r="C3564" s="3" t="s">
        <v>56</v>
      </c>
    </row>
    <row r="3565" spans="1:3" x14ac:dyDescent="0.2">
      <c r="A3565" s="3" t="s">
        <v>1103</v>
      </c>
      <c r="B3565" s="3" t="s">
        <v>1118</v>
      </c>
      <c r="C3565" s="3" t="s">
        <v>56</v>
      </c>
    </row>
    <row r="3566" spans="1:3" x14ac:dyDescent="0.2">
      <c r="A3566" s="3" t="s">
        <v>1103</v>
      </c>
      <c r="B3566" s="3" t="s">
        <v>1119</v>
      </c>
      <c r="C3566" s="3" t="s">
        <v>56</v>
      </c>
    </row>
    <row r="3567" spans="1:3" x14ac:dyDescent="0.2">
      <c r="A3567" s="3" t="s">
        <v>1103</v>
      </c>
      <c r="B3567" s="3" t="s">
        <v>1120</v>
      </c>
      <c r="C3567" s="3" t="s">
        <v>56</v>
      </c>
    </row>
    <row r="3568" spans="1:3" x14ac:dyDescent="0.2">
      <c r="A3568" s="3" t="s">
        <v>1103</v>
      </c>
      <c r="B3568" s="3" t="s">
        <v>1121</v>
      </c>
      <c r="C3568" s="3" t="s">
        <v>56</v>
      </c>
    </row>
    <row r="3569" spans="1:3" x14ac:dyDescent="0.2">
      <c r="A3569" s="3" t="s">
        <v>1103</v>
      </c>
      <c r="B3569" s="3" t="s">
        <v>1122</v>
      </c>
      <c r="C3569" s="3" t="s">
        <v>56</v>
      </c>
    </row>
    <row r="3570" spans="1:3" x14ac:dyDescent="0.2">
      <c r="A3570" s="3" t="s">
        <v>1103</v>
      </c>
      <c r="B3570" s="3" t="s">
        <v>1123</v>
      </c>
      <c r="C3570" s="3" t="s">
        <v>56</v>
      </c>
    </row>
    <row r="3571" spans="1:3" x14ac:dyDescent="0.2">
      <c r="A3571" s="3" t="s">
        <v>1103</v>
      </c>
      <c r="B3571" s="3" t="s">
        <v>1124</v>
      </c>
      <c r="C3571" s="3" t="s">
        <v>56</v>
      </c>
    </row>
    <row r="3572" spans="1:3" x14ac:dyDescent="0.2">
      <c r="A3572" s="3" t="s">
        <v>1103</v>
      </c>
      <c r="B3572" s="3" t="s">
        <v>1125</v>
      </c>
      <c r="C3572" s="3" t="s">
        <v>56</v>
      </c>
    </row>
    <row r="3573" spans="1:3" x14ac:dyDescent="0.2">
      <c r="A3573" s="3" t="s">
        <v>1103</v>
      </c>
      <c r="B3573" s="3" t="s">
        <v>1129</v>
      </c>
      <c r="C3573" s="3" t="s">
        <v>56</v>
      </c>
    </row>
    <row r="3574" spans="1:3" x14ac:dyDescent="0.2">
      <c r="A3574" s="3" t="s">
        <v>1103</v>
      </c>
      <c r="B3574" s="3" t="s">
        <v>972</v>
      </c>
      <c r="C3574" s="3" t="s">
        <v>57</v>
      </c>
    </row>
    <row r="3575" spans="1:3" x14ac:dyDescent="0.2">
      <c r="A3575" s="3" t="s">
        <v>1103</v>
      </c>
      <c r="B3575" s="3" t="s">
        <v>973</v>
      </c>
      <c r="C3575" s="3" t="s">
        <v>57</v>
      </c>
    </row>
    <row r="3576" spans="1:3" x14ac:dyDescent="0.2">
      <c r="A3576" s="3" t="s">
        <v>1103</v>
      </c>
      <c r="B3576" s="3" t="s">
        <v>1104</v>
      </c>
      <c r="C3576" s="3" t="s">
        <v>57</v>
      </c>
    </row>
    <row r="3577" spans="1:3" x14ac:dyDescent="0.2">
      <c r="A3577" s="3" t="s">
        <v>1103</v>
      </c>
      <c r="B3577" s="3" t="s">
        <v>299</v>
      </c>
      <c r="C3577" s="3" t="s">
        <v>57</v>
      </c>
    </row>
    <row r="3578" spans="1:3" x14ac:dyDescent="0.2">
      <c r="A3578" s="3" t="s">
        <v>1103</v>
      </c>
      <c r="B3578" s="3" t="s">
        <v>300</v>
      </c>
      <c r="C3578" s="3" t="s">
        <v>57</v>
      </c>
    </row>
    <row r="3579" spans="1:3" x14ac:dyDescent="0.2">
      <c r="A3579" s="3" t="s">
        <v>1103</v>
      </c>
      <c r="B3579" s="3" t="s">
        <v>1126</v>
      </c>
      <c r="C3579" s="3" t="s">
        <v>57</v>
      </c>
    </row>
    <row r="3580" spans="1:3" x14ac:dyDescent="0.2">
      <c r="A3580" s="3" t="s">
        <v>1103</v>
      </c>
      <c r="B3580" s="3" t="s">
        <v>1105</v>
      </c>
      <c r="C3580" s="3" t="s">
        <v>57</v>
      </c>
    </row>
    <row r="3581" spans="1:3" x14ac:dyDescent="0.2">
      <c r="A3581" s="3" t="s">
        <v>1103</v>
      </c>
      <c r="B3581" s="3" t="s">
        <v>1106</v>
      </c>
      <c r="C3581" s="3" t="s">
        <v>57</v>
      </c>
    </row>
    <row r="3582" spans="1:3" x14ac:dyDescent="0.2">
      <c r="A3582" s="3" t="s">
        <v>1103</v>
      </c>
      <c r="B3582" s="3" t="s">
        <v>1107</v>
      </c>
      <c r="C3582" s="3" t="s">
        <v>57</v>
      </c>
    </row>
    <row r="3583" spans="1:3" x14ac:dyDescent="0.2">
      <c r="A3583" s="3" t="s">
        <v>1103</v>
      </c>
      <c r="B3583" s="3" t="s">
        <v>1108</v>
      </c>
      <c r="C3583" s="3" t="s">
        <v>57</v>
      </c>
    </row>
    <row r="3584" spans="1:3" x14ac:dyDescent="0.2">
      <c r="A3584" s="3" t="s">
        <v>1103</v>
      </c>
      <c r="B3584" s="3" t="s">
        <v>1109</v>
      </c>
      <c r="C3584" s="3" t="s">
        <v>57</v>
      </c>
    </row>
    <row r="3585" spans="1:3" x14ac:dyDescent="0.2">
      <c r="A3585" s="3" t="s">
        <v>1103</v>
      </c>
      <c r="B3585" s="3" t="s">
        <v>1110</v>
      </c>
      <c r="C3585" s="3" t="s">
        <v>57</v>
      </c>
    </row>
    <row r="3586" spans="1:3" x14ac:dyDescent="0.2">
      <c r="A3586" s="3" t="s">
        <v>1103</v>
      </c>
      <c r="B3586" s="3" t="s">
        <v>1111</v>
      </c>
      <c r="C3586" s="3" t="s">
        <v>57</v>
      </c>
    </row>
    <row r="3587" spans="1:3" x14ac:dyDescent="0.2">
      <c r="A3587" s="3" t="s">
        <v>1103</v>
      </c>
      <c r="B3587" s="3" t="s">
        <v>1112</v>
      </c>
      <c r="C3587" s="3" t="s">
        <v>57</v>
      </c>
    </row>
    <row r="3588" spans="1:3" x14ac:dyDescent="0.2">
      <c r="A3588" s="3" t="s">
        <v>1103</v>
      </c>
      <c r="B3588" s="3" t="s">
        <v>1113</v>
      </c>
      <c r="C3588" s="3" t="s">
        <v>57</v>
      </c>
    </row>
    <row r="3589" spans="1:3" x14ac:dyDescent="0.2">
      <c r="A3589" s="3" t="s">
        <v>1103</v>
      </c>
      <c r="B3589" s="3" t="s">
        <v>1114</v>
      </c>
      <c r="C3589" s="3" t="s">
        <v>57</v>
      </c>
    </row>
    <row r="3590" spans="1:3" x14ac:dyDescent="0.2">
      <c r="A3590" s="3" t="s">
        <v>1103</v>
      </c>
      <c r="B3590" s="3" t="s">
        <v>1115</v>
      </c>
      <c r="C3590" s="3" t="s">
        <v>57</v>
      </c>
    </row>
    <row r="3591" spans="1:3" x14ac:dyDescent="0.2">
      <c r="A3591" s="3" t="s">
        <v>1103</v>
      </c>
      <c r="B3591" s="3" t="s">
        <v>1116</v>
      </c>
      <c r="C3591" s="3" t="s">
        <v>57</v>
      </c>
    </row>
    <row r="3592" spans="1:3" x14ac:dyDescent="0.2">
      <c r="A3592" s="3" t="s">
        <v>1103</v>
      </c>
      <c r="B3592" s="3" t="s">
        <v>1117</v>
      </c>
      <c r="C3592" s="3" t="s">
        <v>57</v>
      </c>
    </row>
    <row r="3593" spans="1:3" x14ac:dyDescent="0.2">
      <c r="A3593" s="3" t="s">
        <v>1103</v>
      </c>
      <c r="B3593" s="3" t="s">
        <v>1118</v>
      </c>
      <c r="C3593" s="3" t="s">
        <v>57</v>
      </c>
    </row>
    <row r="3594" spans="1:3" x14ac:dyDescent="0.2">
      <c r="A3594" s="3" t="s">
        <v>1103</v>
      </c>
      <c r="B3594" s="3" t="s">
        <v>1119</v>
      </c>
      <c r="C3594" s="3" t="s">
        <v>57</v>
      </c>
    </row>
    <row r="3595" spans="1:3" x14ac:dyDescent="0.2">
      <c r="A3595" s="3" t="s">
        <v>1103</v>
      </c>
      <c r="B3595" s="3" t="s">
        <v>1120</v>
      </c>
      <c r="C3595" s="3" t="s">
        <v>57</v>
      </c>
    </row>
    <row r="3596" spans="1:3" x14ac:dyDescent="0.2">
      <c r="A3596" s="3" t="s">
        <v>1103</v>
      </c>
      <c r="B3596" s="3" t="s">
        <v>1121</v>
      </c>
      <c r="C3596" s="3" t="s">
        <v>57</v>
      </c>
    </row>
    <row r="3597" spans="1:3" x14ac:dyDescent="0.2">
      <c r="A3597" s="3" t="s">
        <v>1103</v>
      </c>
      <c r="B3597" s="3" t="s">
        <v>1122</v>
      </c>
      <c r="C3597" s="3" t="s">
        <v>57</v>
      </c>
    </row>
    <row r="3598" spans="1:3" x14ac:dyDescent="0.2">
      <c r="A3598" s="3" t="s">
        <v>1103</v>
      </c>
      <c r="B3598" s="3" t="s">
        <v>1123</v>
      </c>
      <c r="C3598" s="3" t="s">
        <v>57</v>
      </c>
    </row>
    <row r="3599" spans="1:3" x14ac:dyDescent="0.2">
      <c r="A3599" s="3" t="s">
        <v>1103</v>
      </c>
      <c r="B3599" s="3" t="s">
        <v>1124</v>
      </c>
      <c r="C3599" s="3" t="s">
        <v>57</v>
      </c>
    </row>
    <row r="3600" spans="1:3" x14ac:dyDescent="0.2">
      <c r="A3600" s="3" t="s">
        <v>1103</v>
      </c>
      <c r="B3600" s="3" t="s">
        <v>1125</v>
      </c>
      <c r="C3600" s="3" t="s">
        <v>57</v>
      </c>
    </row>
    <row r="3601" spans="1:3" x14ac:dyDescent="0.2">
      <c r="A3601" s="3" t="s">
        <v>1103</v>
      </c>
      <c r="B3601" s="3" t="s">
        <v>1130</v>
      </c>
      <c r="C3601" s="3" t="s">
        <v>57</v>
      </c>
    </row>
    <row r="3602" spans="1:3" x14ac:dyDescent="0.2">
      <c r="A3602" s="3" t="s">
        <v>1103</v>
      </c>
      <c r="B3602" s="3" t="s">
        <v>1131</v>
      </c>
      <c r="C3602" s="3" t="s">
        <v>169</v>
      </c>
    </row>
    <row r="3603" spans="1:3" x14ac:dyDescent="0.2">
      <c r="A3603" s="3" t="s">
        <v>1103</v>
      </c>
      <c r="B3603" s="3" t="s">
        <v>1132</v>
      </c>
      <c r="C3603" s="3" t="s">
        <v>169</v>
      </c>
    </row>
    <row r="3604" spans="1:3" x14ac:dyDescent="0.2">
      <c r="A3604" s="3" t="s">
        <v>1103</v>
      </c>
      <c r="B3604" s="3" t="s">
        <v>1133</v>
      </c>
      <c r="C3604" s="3" t="s">
        <v>169</v>
      </c>
    </row>
    <row r="3605" spans="1:3" x14ac:dyDescent="0.2">
      <c r="A3605" s="3" t="s">
        <v>1103</v>
      </c>
      <c r="B3605" s="3" t="s">
        <v>1134</v>
      </c>
      <c r="C3605" s="3" t="s">
        <v>169</v>
      </c>
    </row>
    <row r="3606" spans="1:3" x14ac:dyDescent="0.2">
      <c r="A3606" s="3" t="s">
        <v>1103</v>
      </c>
      <c r="B3606" s="3" t="s">
        <v>1135</v>
      </c>
      <c r="C3606" s="3" t="s">
        <v>169</v>
      </c>
    </row>
    <row r="3607" spans="1:3" x14ac:dyDescent="0.2">
      <c r="A3607" s="3" t="s">
        <v>1103</v>
      </c>
      <c r="B3607" s="3" t="s">
        <v>1136</v>
      </c>
      <c r="C3607" s="3" t="s">
        <v>169</v>
      </c>
    </row>
    <row r="3608" spans="1:3" x14ac:dyDescent="0.2">
      <c r="A3608" s="3" t="s">
        <v>1103</v>
      </c>
      <c r="B3608" s="3" t="s">
        <v>1137</v>
      </c>
      <c r="C3608" s="3" t="s">
        <v>169</v>
      </c>
    </row>
    <row r="3609" spans="1:3" x14ac:dyDescent="0.2">
      <c r="A3609" s="3" t="s">
        <v>1103</v>
      </c>
      <c r="B3609" s="3" t="s">
        <v>1138</v>
      </c>
      <c r="C3609" s="3" t="s">
        <v>169</v>
      </c>
    </row>
    <row r="3610" spans="1:3" x14ac:dyDescent="0.2">
      <c r="A3610" s="3" t="s">
        <v>1103</v>
      </c>
      <c r="B3610" s="3" t="s">
        <v>1139</v>
      </c>
      <c r="C3610" s="3" t="s">
        <v>169</v>
      </c>
    </row>
    <row r="3611" spans="1:3" x14ac:dyDescent="0.2">
      <c r="A3611" s="3" t="s">
        <v>1103</v>
      </c>
      <c r="B3611" s="3" t="s">
        <v>1140</v>
      </c>
      <c r="C3611" s="3" t="s">
        <v>22</v>
      </c>
    </row>
    <row r="3612" spans="1:3" x14ac:dyDescent="0.2">
      <c r="A3612" s="3" t="s">
        <v>1103</v>
      </c>
      <c r="B3612" s="3" t="s">
        <v>1141</v>
      </c>
      <c r="C3612" s="3" t="s">
        <v>22</v>
      </c>
    </row>
    <row r="3613" spans="1:3" x14ac:dyDescent="0.2">
      <c r="A3613" s="3" t="s">
        <v>1103</v>
      </c>
      <c r="B3613" s="3" t="s">
        <v>1142</v>
      </c>
      <c r="C3613" s="3" t="s">
        <v>22</v>
      </c>
    </row>
    <row r="3614" spans="1:3" x14ac:dyDescent="0.2">
      <c r="A3614" s="3" t="s">
        <v>1103</v>
      </c>
      <c r="B3614" s="3" t="s">
        <v>283</v>
      </c>
      <c r="C3614" s="3" t="s">
        <v>22</v>
      </c>
    </row>
    <row r="3615" spans="1:3" x14ac:dyDescent="0.2">
      <c r="A3615" s="3" t="s">
        <v>1143</v>
      </c>
      <c r="B3615" s="3" t="s">
        <v>288</v>
      </c>
      <c r="C3615" s="3" t="s">
        <v>53</v>
      </c>
    </row>
    <row r="3616" spans="1:3" x14ac:dyDescent="0.2">
      <c r="A3616" s="3" t="s">
        <v>1143</v>
      </c>
      <c r="B3616" s="3" t="s">
        <v>1144</v>
      </c>
      <c r="C3616" s="3" t="s">
        <v>53</v>
      </c>
    </row>
    <row r="3617" spans="1:3" x14ac:dyDescent="0.2">
      <c r="A3617" s="3" t="s">
        <v>1143</v>
      </c>
      <c r="B3617" s="3" t="s">
        <v>1145</v>
      </c>
      <c r="C3617" s="3" t="s">
        <v>53</v>
      </c>
    </row>
    <row r="3618" spans="1:3" x14ac:dyDescent="0.2">
      <c r="A3618" s="3" t="s">
        <v>1143</v>
      </c>
      <c r="B3618" s="3" t="s">
        <v>1146</v>
      </c>
      <c r="C3618" s="3" t="s">
        <v>53</v>
      </c>
    </row>
    <row r="3619" spans="1:3" x14ac:dyDescent="0.2">
      <c r="A3619" s="3" t="s">
        <v>1143</v>
      </c>
      <c r="B3619" s="3" t="s">
        <v>1147</v>
      </c>
      <c r="C3619" s="3" t="s">
        <v>53</v>
      </c>
    </row>
    <row r="3620" spans="1:3" x14ac:dyDescent="0.2">
      <c r="A3620" s="3" t="s">
        <v>1143</v>
      </c>
      <c r="B3620" s="3" t="s">
        <v>1148</v>
      </c>
      <c r="C3620" s="3" t="s">
        <v>53</v>
      </c>
    </row>
    <row r="3621" spans="1:3" x14ac:dyDescent="0.2">
      <c r="A3621" s="3" t="s">
        <v>1143</v>
      </c>
      <c r="B3621" s="3" t="s">
        <v>1149</v>
      </c>
      <c r="C3621" s="3" t="s">
        <v>53</v>
      </c>
    </row>
    <row r="3622" spans="1:3" x14ac:dyDescent="0.2">
      <c r="A3622" s="3" t="s">
        <v>1143</v>
      </c>
      <c r="B3622" s="3" t="s">
        <v>288</v>
      </c>
      <c r="C3622" s="3" t="s">
        <v>54</v>
      </c>
    </row>
    <row r="3623" spans="1:3" x14ac:dyDescent="0.2">
      <c r="A3623" s="3" t="s">
        <v>1143</v>
      </c>
      <c r="B3623" s="3" t="s">
        <v>1144</v>
      </c>
      <c r="C3623" s="3" t="s">
        <v>54</v>
      </c>
    </row>
    <row r="3624" spans="1:3" x14ac:dyDescent="0.2">
      <c r="A3624" s="3" t="s">
        <v>1143</v>
      </c>
      <c r="B3624" s="3" t="s">
        <v>1145</v>
      </c>
      <c r="C3624" s="3" t="s">
        <v>54</v>
      </c>
    </row>
    <row r="3625" spans="1:3" x14ac:dyDescent="0.2">
      <c r="A3625" s="3" t="s">
        <v>1143</v>
      </c>
      <c r="B3625" s="3" t="s">
        <v>1146</v>
      </c>
      <c r="C3625" s="3" t="s">
        <v>54</v>
      </c>
    </row>
    <row r="3626" spans="1:3" x14ac:dyDescent="0.2">
      <c r="A3626" s="3" t="s">
        <v>1143</v>
      </c>
      <c r="B3626" s="3" t="s">
        <v>1147</v>
      </c>
      <c r="C3626" s="3" t="s">
        <v>54</v>
      </c>
    </row>
    <row r="3627" spans="1:3" x14ac:dyDescent="0.2">
      <c r="A3627" s="3" t="s">
        <v>1143</v>
      </c>
      <c r="B3627" s="3" t="s">
        <v>1148</v>
      </c>
      <c r="C3627" s="3" t="s">
        <v>54</v>
      </c>
    </row>
    <row r="3628" spans="1:3" x14ac:dyDescent="0.2">
      <c r="A3628" s="3" t="s">
        <v>1143</v>
      </c>
      <c r="B3628" s="3" t="s">
        <v>1149</v>
      </c>
      <c r="C3628" s="3" t="s">
        <v>54</v>
      </c>
    </row>
    <row r="3629" spans="1:3" x14ac:dyDescent="0.2">
      <c r="A3629" s="3" t="s">
        <v>1143</v>
      </c>
      <c r="B3629" s="3" t="s">
        <v>288</v>
      </c>
      <c r="C3629" s="3" t="s">
        <v>55</v>
      </c>
    </row>
    <row r="3630" spans="1:3" x14ac:dyDescent="0.2">
      <c r="A3630" s="3" t="s">
        <v>1143</v>
      </c>
      <c r="B3630" s="3" t="s">
        <v>1144</v>
      </c>
      <c r="C3630" s="3" t="s">
        <v>55</v>
      </c>
    </row>
    <row r="3631" spans="1:3" x14ac:dyDescent="0.2">
      <c r="A3631" s="3" t="s">
        <v>1143</v>
      </c>
      <c r="B3631" s="3" t="s">
        <v>1145</v>
      </c>
      <c r="C3631" s="3" t="s">
        <v>55</v>
      </c>
    </row>
    <row r="3632" spans="1:3" x14ac:dyDescent="0.2">
      <c r="A3632" s="3" t="s">
        <v>1143</v>
      </c>
      <c r="B3632" s="3" t="s">
        <v>1146</v>
      </c>
      <c r="C3632" s="3" t="s">
        <v>55</v>
      </c>
    </row>
    <row r="3633" spans="1:3" x14ac:dyDescent="0.2">
      <c r="A3633" s="3" t="s">
        <v>1143</v>
      </c>
      <c r="B3633" s="3" t="s">
        <v>1147</v>
      </c>
      <c r="C3633" s="3" t="s">
        <v>55</v>
      </c>
    </row>
    <row r="3634" spans="1:3" x14ac:dyDescent="0.2">
      <c r="A3634" s="3" t="s">
        <v>1143</v>
      </c>
      <c r="B3634" s="3" t="s">
        <v>1148</v>
      </c>
      <c r="C3634" s="3" t="s">
        <v>55</v>
      </c>
    </row>
    <row r="3635" spans="1:3" x14ac:dyDescent="0.2">
      <c r="A3635" s="3" t="s">
        <v>1143</v>
      </c>
      <c r="B3635" s="3" t="s">
        <v>1149</v>
      </c>
      <c r="C3635" s="3" t="s">
        <v>55</v>
      </c>
    </row>
    <row r="3636" spans="1:3" x14ac:dyDescent="0.2">
      <c r="A3636" s="3" t="s">
        <v>1143</v>
      </c>
      <c r="B3636" s="3" t="s">
        <v>288</v>
      </c>
      <c r="C3636" s="3" t="s">
        <v>56</v>
      </c>
    </row>
    <row r="3637" spans="1:3" x14ac:dyDescent="0.2">
      <c r="A3637" s="3" t="s">
        <v>1143</v>
      </c>
      <c r="B3637" s="3" t="s">
        <v>1144</v>
      </c>
      <c r="C3637" s="3" t="s">
        <v>56</v>
      </c>
    </row>
    <row r="3638" spans="1:3" x14ac:dyDescent="0.2">
      <c r="A3638" s="3" t="s">
        <v>1143</v>
      </c>
      <c r="B3638" s="3" t="s">
        <v>1145</v>
      </c>
      <c r="C3638" s="3" t="s">
        <v>56</v>
      </c>
    </row>
    <row r="3639" spans="1:3" x14ac:dyDescent="0.2">
      <c r="A3639" s="3" t="s">
        <v>1143</v>
      </c>
      <c r="B3639" s="3" t="s">
        <v>1146</v>
      </c>
      <c r="C3639" s="3" t="s">
        <v>56</v>
      </c>
    </row>
    <row r="3640" spans="1:3" x14ac:dyDescent="0.2">
      <c r="A3640" s="3" t="s">
        <v>1143</v>
      </c>
      <c r="B3640" s="3" t="s">
        <v>1147</v>
      </c>
      <c r="C3640" s="3" t="s">
        <v>56</v>
      </c>
    </row>
    <row r="3641" spans="1:3" x14ac:dyDescent="0.2">
      <c r="A3641" s="3" t="s">
        <v>1143</v>
      </c>
      <c r="B3641" s="3" t="s">
        <v>1148</v>
      </c>
      <c r="C3641" s="3" t="s">
        <v>56</v>
      </c>
    </row>
    <row r="3642" spans="1:3" x14ac:dyDescent="0.2">
      <c r="A3642" s="3" t="s">
        <v>1143</v>
      </c>
      <c r="B3642" s="3" t="s">
        <v>1149</v>
      </c>
      <c r="C3642" s="3" t="s">
        <v>56</v>
      </c>
    </row>
    <row r="3643" spans="1:3" x14ac:dyDescent="0.2">
      <c r="A3643" s="3" t="s">
        <v>1143</v>
      </c>
      <c r="B3643" s="3" t="s">
        <v>288</v>
      </c>
      <c r="C3643" s="3" t="s">
        <v>57</v>
      </c>
    </row>
    <row r="3644" spans="1:3" x14ac:dyDescent="0.2">
      <c r="A3644" s="3" t="s">
        <v>1143</v>
      </c>
      <c r="B3644" s="3" t="s">
        <v>1144</v>
      </c>
      <c r="C3644" s="3" t="s">
        <v>57</v>
      </c>
    </row>
    <row r="3645" spans="1:3" x14ac:dyDescent="0.2">
      <c r="A3645" s="3" t="s">
        <v>1143</v>
      </c>
      <c r="B3645" s="3" t="s">
        <v>1145</v>
      </c>
      <c r="C3645" s="3" t="s">
        <v>57</v>
      </c>
    </row>
    <row r="3646" spans="1:3" x14ac:dyDescent="0.2">
      <c r="A3646" s="3" t="s">
        <v>1143</v>
      </c>
      <c r="B3646" s="3" t="s">
        <v>1146</v>
      </c>
      <c r="C3646" s="3" t="s">
        <v>57</v>
      </c>
    </row>
    <row r="3647" spans="1:3" x14ac:dyDescent="0.2">
      <c r="A3647" s="3" t="s">
        <v>1143</v>
      </c>
      <c r="B3647" s="3" t="s">
        <v>1147</v>
      </c>
      <c r="C3647" s="3" t="s">
        <v>57</v>
      </c>
    </row>
    <row r="3648" spans="1:3" x14ac:dyDescent="0.2">
      <c r="A3648" s="3" t="s">
        <v>1143</v>
      </c>
      <c r="B3648" s="3" t="s">
        <v>1148</v>
      </c>
      <c r="C3648" s="3" t="s">
        <v>57</v>
      </c>
    </row>
    <row r="3649" spans="1:3" x14ac:dyDescent="0.2">
      <c r="A3649" s="3" t="s">
        <v>1143</v>
      </c>
      <c r="B3649" s="3" t="s">
        <v>1149</v>
      </c>
      <c r="C3649" s="3" t="s">
        <v>57</v>
      </c>
    </row>
    <row r="3650" spans="1:3" x14ac:dyDescent="0.2">
      <c r="A3650" s="3" t="s">
        <v>1143</v>
      </c>
      <c r="B3650" s="3" t="s">
        <v>303</v>
      </c>
      <c r="C3650" s="3" t="s">
        <v>169</v>
      </c>
    </row>
    <row r="3651" spans="1:3" x14ac:dyDescent="0.2">
      <c r="A3651" s="3" t="s">
        <v>1143</v>
      </c>
      <c r="B3651" s="3" t="s">
        <v>1150</v>
      </c>
      <c r="C3651" s="3" t="s">
        <v>169</v>
      </c>
    </row>
    <row r="3652" spans="1:3" x14ac:dyDescent="0.2">
      <c r="A3652" s="3" t="s">
        <v>1151</v>
      </c>
      <c r="B3652" s="3" t="s">
        <v>288</v>
      </c>
      <c r="C3652" s="3" t="s">
        <v>53</v>
      </c>
    </row>
    <row r="3653" spans="1:3" x14ac:dyDescent="0.2">
      <c r="A3653" s="3" t="s">
        <v>1151</v>
      </c>
      <c r="B3653" s="3" t="s">
        <v>1152</v>
      </c>
      <c r="C3653" s="3" t="s">
        <v>53</v>
      </c>
    </row>
    <row r="3654" spans="1:3" x14ac:dyDescent="0.2">
      <c r="A3654" s="3" t="s">
        <v>1151</v>
      </c>
      <c r="B3654" s="3" t="s">
        <v>1153</v>
      </c>
      <c r="C3654" s="3" t="s">
        <v>53</v>
      </c>
    </row>
    <row r="3655" spans="1:3" x14ac:dyDescent="0.2">
      <c r="A3655" s="3" t="s">
        <v>1151</v>
      </c>
      <c r="B3655" s="3" t="s">
        <v>1146</v>
      </c>
      <c r="C3655" s="3" t="s">
        <v>53</v>
      </c>
    </row>
    <row r="3656" spans="1:3" x14ac:dyDescent="0.2">
      <c r="A3656" s="3" t="s">
        <v>1151</v>
      </c>
      <c r="B3656" s="3" t="s">
        <v>1147</v>
      </c>
      <c r="C3656" s="3" t="s">
        <v>53</v>
      </c>
    </row>
    <row r="3657" spans="1:3" x14ac:dyDescent="0.2">
      <c r="A3657" s="3" t="s">
        <v>1151</v>
      </c>
      <c r="B3657" s="3" t="s">
        <v>288</v>
      </c>
      <c r="C3657" s="3" t="s">
        <v>54</v>
      </c>
    </row>
    <row r="3658" spans="1:3" x14ac:dyDescent="0.2">
      <c r="A3658" s="3" t="s">
        <v>1151</v>
      </c>
      <c r="B3658" s="3" t="s">
        <v>1152</v>
      </c>
      <c r="C3658" s="3" t="s">
        <v>54</v>
      </c>
    </row>
    <row r="3659" spans="1:3" x14ac:dyDescent="0.2">
      <c r="A3659" s="3" t="s">
        <v>1151</v>
      </c>
      <c r="B3659" s="3" t="s">
        <v>1153</v>
      </c>
      <c r="C3659" s="3" t="s">
        <v>54</v>
      </c>
    </row>
    <row r="3660" spans="1:3" x14ac:dyDescent="0.2">
      <c r="A3660" s="3" t="s">
        <v>1151</v>
      </c>
      <c r="B3660" s="3" t="s">
        <v>1146</v>
      </c>
      <c r="C3660" s="3" t="s">
        <v>54</v>
      </c>
    </row>
    <row r="3661" spans="1:3" x14ac:dyDescent="0.2">
      <c r="A3661" s="3" t="s">
        <v>1151</v>
      </c>
      <c r="B3661" s="3" t="s">
        <v>1147</v>
      </c>
      <c r="C3661" s="3" t="s">
        <v>54</v>
      </c>
    </row>
    <row r="3662" spans="1:3" x14ac:dyDescent="0.2">
      <c r="A3662" s="3" t="s">
        <v>1151</v>
      </c>
      <c r="B3662" s="3" t="s">
        <v>288</v>
      </c>
      <c r="C3662" s="3" t="s">
        <v>55</v>
      </c>
    </row>
    <row r="3663" spans="1:3" x14ac:dyDescent="0.2">
      <c r="A3663" s="3" t="s">
        <v>1151</v>
      </c>
      <c r="B3663" s="3" t="s">
        <v>1152</v>
      </c>
      <c r="C3663" s="3" t="s">
        <v>55</v>
      </c>
    </row>
    <row r="3664" spans="1:3" x14ac:dyDescent="0.2">
      <c r="A3664" s="3" t="s">
        <v>1151</v>
      </c>
      <c r="B3664" s="3" t="s">
        <v>1153</v>
      </c>
      <c r="C3664" s="3" t="s">
        <v>55</v>
      </c>
    </row>
    <row r="3665" spans="1:3" x14ac:dyDescent="0.2">
      <c r="A3665" s="3" t="s">
        <v>1151</v>
      </c>
      <c r="B3665" s="3" t="s">
        <v>1146</v>
      </c>
      <c r="C3665" s="3" t="s">
        <v>55</v>
      </c>
    </row>
    <row r="3666" spans="1:3" x14ac:dyDescent="0.2">
      <c r="A3666" s="3" t="s">
        <v>1151</v>
      </c>
      <c r="B3666" s="3" t="s">
        <v>1147</v>
      </c>
      <c r="C3666" s="3" t="s">
        <v>55</v>
      </c>
    </row>
    <row r="3667" spans="1:3" x14ac:dyDescent="0.2">
      <c r="A3667" s="3" t="s">
        <v>1151</v>
      </c>
      <c r="B3667" s="3" t="s">
        <v>288</v>
      </c>
      <c r="C3667" s="3" t="s">
        <v>56</v>
      </c>
    </row>
    <row r="3668" spans="1:3" x14ac:dyDescent="0.2">
      <c r="A3668" s="3" t="s">
        <v>1151</v>
      </c>
      <c r="B3668" s="3" t="s">
        <v>1152</v>
      </c>
      <c r="C3668" s="3" t="s">
        <v>56</v>
      </c>
    </row>
    <row r="3669" spans="1:3" x14ac:dyDescent="0.2">
      <c r="A3669" s="3" t="s">
        <v>1151</v>
      </c>
      <c r="B3669" s="3" t="s">
        <v>1153</v>
      </c>
      <c r="C3669" s="3" t="s">
        <v>56</v>
      </c>
    </row>
    <row r="3670" spans="1:3" x14ac:dyDescent="0.2">
      <c r="A3670" s="3" t="s">
        <v>1151</v>
      </c>
      <c r="B3670" s="3" t="s">
        <v>1146</v>
      </c>
      <c r="C3670" s="3" t="s">
        <v>56</v>
      </c>
    </row>
    <row r="3671" spans="1:3" x14ac:dyDescent="0.2">
      <c r="A3671" s="3" t="s">
        <v>1151</v>
      </c>
      <c r="B3671" s="3" t="s">
        <v>1147</v>
      </c>
      <c r="C3671" s="3" t="s">
        <v>56</v>
      </c>
    </row>
    <row r="3672" spans="1:3" x14ac:dyDescent="0.2">
      <c r="A3672" s="3" t="s">
        <v>1151</v>
      </c>
      <c r="B3672" s="3" t="s">
        <v>288</v>
      </c>
      <c r="C3672" s="3" t="s">
        <v>57</v>
      </c>
    </row>
    <row r="3673" spans="1:3" x14ac:dyDescent="0.2">
      <c r="A3673" s="3" t="s">
        <v>1151</v>
      </c>
      <c r="B3673" s="3" t="s">
        <v>1152</v>
      </c>
      <c r="C3673" s="3" t="s">
        <v>57</v>
      </c>
    </row>
    <row r="3674" spans="1:3" x14ac:dyDescent="0.2">
      <c r="A3674" s="3" t="s">
        <v>1151</v>
      </c>
      <c r="B3674" s="3" t="s">
        <v>1153</v>
      </c>
      <c r="C3674" s="3" t="s">
        <v>57</v>
      </c>
    </row>
    <row r="3675" spans="1:3" x14ac:dyDescent="0.2">
      <c r="A3675" s="3" t="s">
        <v>1151</v>
      </c>
      <c r="B3675" s="3" t="s">
        <v>1146</v>
      </c>
      <c r="C3675" s="3" t="s">
        <v>57</v>
      </c>
    </row>
    <row r="3676" spans="1:3" x14ac:dyDescent="0.2">
      <c r="A3676" s="3" t="s">
        <v>1151</v>
      </c>
      <c r="B3676" s="3" t="s">
        <v>1147</v>
      </c>
      <c r="C3676" s="3" t="s">
        <v>57</v>
      </c>
    </row>
    <row r="3677" spans="1:3" x14ac:dyDescent="0.2">
      <c r="A3677" s="3" t="s">
        <v>1151</v>
      </c>
      <c r="B3677" s="3" t="s">
        <v>1154</v>
      </c>
      <c r="C3677" s="3" t="s">
        <v>169</v>
      </c>
    </row>
    <row r="3678" spans="1:3" x14ac:dyDescent="0.2">
      <c r="A3678" s="3" t="s">
        <v>1151</v>
      </c>
      <c r="B3678" s="3" t="s">
        <v>1155</v>
      </c>
      <c r="C3678" s="3" t="s">
        <v>169</v>
      </c>
    </row>
    <row r="3679" spans="1:3" x14ac:dyDescent="0.2">
      <c r="A3679" s="3" t="s">
        <v>1151</v>
      </c>
      <c r="B3679" s="3" t="s">
        <v>1156</v>
      </c>
      <c r="C3679" s="3" t="s">
        <v>169</v>
      </c>
    </row>
    <row r="3680" spans="1:3" x14ac:dyDescent="0.2">
      <c r="A3680" s="3" t="s">
        <v>1151</v>
      </c>
      <c r="B3680" s="3" t="s">
        <v>1157</v>
      </c>
      <c r="C3680" s="3" t="s">
        <v>169</v>
      </c>
    </row>
    <row r="3681" spans="1:3" x14ac:dyDescent="0.2">
      <c r="A3681" s="3" t="s">
        <v>1151</v>
      </c>
      <c r="B3681" s="3" t="s">
        <v>1158</v>
      </c>
      <c r="C3681" s="3" t="s">
        <v>169</v>
      </c>
    </row>
    <row r="3682" spans="1:3" x14ac:dyDescent="0.2">
      <c r="A3682" s="3" t="s">
        <v>1151</v>
      </c>
      <c r="B3682" s="3" t="s">
        <v>1159</v>
      </c>
      <c r="C3682" s="3" t="s">
        <v>169</v>
      </c>
    </row>
    <row r="3683" spans="1:3" x14ac:dyDescent="0.2">
      <c r="A3683" s="3" t="s">
        <v>1151</v>
      </c>
      <c r="B3683" s="3" t="s">
        <v>1160</v>
      </c>
      <c r="C3683" s="3" t="s">
        <v>169</v>
      </c>
    </row>
    <row r="3684" spans="1:3" x14ac:dyDescent="0.2">
      <c r="A3684" s="3" t="s">
        <v>1151</v>
      </c>
      <c r="B3684" s="3" t="s">
        <v>1161</v>
      </c>
      <c r="C3684" s="3" t="s">
        <v>169</v>
      </c>
    </row>
    <row r="3685" spans="1:3" x14ac:dyDescent="0.2">
      <c r="A3685" s="3" t="s">
        <v>1151</v>
      </c>
      <c r="B3685" s="3" t="s">
        <v>1162</v>
      </c>
      <c r="C3685" s="3" t="s">
        <v>169</v>
      </c>
    </row>
    <row r="3686" spans="1:3" x14ac:dyDescent="0.2">
      <c r="A3686" s="3" t="s">
        <v>1151</v>
      </c>
      <c r="B3686" s="3" t="s">
        <v>1163</v>
      </c>
      <c r="C3686" s="3" t="s">
        <v>169</v>
      </c>
    </row>
    <row r="3687" spans="1:3" x14ac:dyDescent="0.2">
      <c r="A3687" s="3" t="s">
        <v>1151</v>
      </c>
      <c r="B3687" s="3" t="s">
        <v>1164</v>
      </c>
      <c r="C3687" s="3" t="s">
        <v>169</v>
      </c>
    </row>
    <row r="3688" spans="1:3" x14ac:dyDescent="0.2">
      <c r="A3688" s="3" t="s">
        <v>1165</v>
      </c>
      <c r="B3688" s="3" t="s">
        <v>1166</v>
      </c>
      <c r="C3688" s="3" t="s">
        <v>53</v>
      </c>
    </row>
    <row r="3689" spans="1:3" x14ac:dyDescent="0.2">
      <c r="A3689" s="3" t="s">
        <v>1165</v>
      </c>
      <c r="B3689" s="3" t="s">
        <v>1167</v>
      </c>
      <c r="C3689" s="3" t="s">
        <v>53</v>
      </c>
    </row>
    <row r="3690" spans="1:3" x14ac:dyDescent="0.2">
      <c r="A3690" s="3" t="s">
        <v>1165</v>
      </c>
      <c r="B3690" s="3" t="s">
        <v>1168</v>
      </c>
      <c r="C3690" s="3" t="s">
        <v>53</v>
      </c>
    </row>
    <row r="3691" spans="1:3" x14ac:dyDescent="0.2">
      <c r="A3691" s="3" t="s">
        <v>1165</v>
      </c>
      <c r="B3691" s="3" t="s">
        <v>1166</v>
      </c>
      <c r="C3691" s="3" t="s">
        <v>54</v>
      </c>
    </row>
    <row r="3692" spans="1:3" x14ac:dyDescent="0.2">
      <c r="A3692" s="3" t="s">
        <v>1165</v>
      </c>
      <c r="B3692" s="3" t="s">
        <v>1167</v>
      </c>
      <c r="C3692" s="3" t="s">
        <v>54</v>
      </c>
    </row>
    <row r="3693" spans="1:3" x14ac:dyDescent="0.2">
      <c r="A3693" s="3" t="s">
        <v>1165</v>
      </c>
      <c r="B3693" s="3" t="s">
        <v>1168</v>
      </c>
      <c r="C3693" s="3" t="s">
        <v>54</v>
      </c>
    </row>
    <row r="3694" spans="1:3" x14ac:dyDescent="0.2">
      <c r="A3694" s="3" t="s">
        <v>1165</v>
      </c>
      <c r="B3694" s="3" t="s">
        <v>1166</v>
      </c>
      <c r="C3694" s="3" t="s">
        <v>55</v>
      </c>
    </row>
    <row r="3695" spans="1:3" x14ac:dyDescent="0.2">
      <c r="A3695" s="3" t="s">
        <v>1165</v>
      </c>
      <c r="B3695" s="3" t="s">
        <v>1167</v>
      </c>
      <c r="C3695" s="3" t="s">
        <v>55</v>
      </c>
    </row>
    <row r="3696" spans="1:3" x14ac:dyDescent="0.2">
      <c r="A3696" s="3" t="s">
        <v>1165</v>
      </c>
      <c r="B3696" s="3" t="s">
        <v>1168</v>
      </c>
      <c r="C3696" s="3" t="s">
        <v>55</v>
      </c>
    </row>
    <row r="3697" spans="1:3" x14ac:dyDescent="0.2">
      <c r="A3697" s="3" t="s">
        <v>1165</v>
      </c>
      <c r="B3697" s="3" t="s">
        <v>1166</v>
      </c>
      <c r="C3697" s="3" t="s">
        <v>56</v>
      </c>
    </row>
    <row r="3698" spans="1:3" x14ac:dyDescent="0.2">
      <c r="A3698" s="3" t="s">
        <v>1165</v>
      </c>
      <c r="B3698" s="3" t="s">
        <v>1167</v>
      </c>
      <c r="C3698" s="3" t="s">
        <v>56</v>
      </c>
    </row>
    <row r="3699" spans="1:3" x14ac:dyDescent="0.2">
      <c r="A3699" s="3" t="s">
        <v>1165</v>
      </c>
      <c r="B3699" s="3" t="s">
        <v>1168</v>
      </c>
      <c r="C3699" s="3" t="s">
        <v>56</v>
      </c>
    </row>
    <row r="3700" spans="1:3" x14ac:dyDescent="0.2">
      <c r="A3700" s="3" t="s">
        <v>1165</v>
      </c>
      <c r="B3700" s="3" t="s">
        <v>1166</v>
      </c>
      <c r="C3700" s="3" t="s">
        <v>57</v>
      </c>
    </row>
    <row r="3701" spans="1:3" x14ac:dyDescent="0.2">
      <c r="A3701" s="3" t="s">
        <v>1165</v>
      </c>
      <c r="B3701" s="3" t="s">
        <v>1167</v>
      </c>
      <c r="C3701" s="3" t="s">
        <v>57</v>
      </c>
    </row>
    <row r="3702" spans="1:3" x14ac:dyDescent="0.2">
      <c r="A3702" s="3" t="s">
        <v>1165</v>
      </c>
      <c r="B3702" s="3" t="s">
        <v>1168</v>
      </c>
      <c r="C3702" s="3" t="s">
        <v>57</v>
      </c>
    </row>
    <row r="3703" spans="1:3" x14ac:dyDescent="0.2">
      <c r="A3703" s="3" t="s">
        <v>1165</v>
      </c>
      <c r="B3703" s="3" t="s">
        <v>1169</v>
      </c>
      <c r="C3703" s="3" t="s">
        <v>169</v>
      </c>
    </row>
    <row r="3704" spans="1:3" x14ac:dyDescent="0.2">
      <c r="A3704" s="3" t="s">
        <v>1165</v>
      </c>
      <c r="B3704" s="3" t="s">
        <v>1170</v>
      </c>
      <c r="C3704" s="3" t="s">
        <v>169</v>
      </c>
    </row>
    <row r="3705" spans="1:3" x14ac:dyDescent="0.2">
      <c r="A3705" s="3" t="s">
        <v>1171</v>
      </c>
      <c r="B3705" s="3" t="s">
        <v>1166</v>
      </c>
      <c r="C3705" s="3" t="s">
        <v>53</v>
      </c>
    </row>
    <row r="3706" spans="1:3" x14ac:dyDescent="0.2">
      <c r="A3706" s="3" t="s">
        <v>1171</v>
      </c>
      <c r="B3706" s="3" t="s">
        <v>1167</v>
      </c>
      <c r="C3706" s="3" t="s">
        <v>53</v>
      </c>
    </row>
    <row r="3707" spans="1:3" x14ac:dyDescent="0.2">
      <c r="A3707" s="3" t="s">
        <v>1171</v>
      </c>
      <c r="B3707" s="3" t="s">
        <v>1168</v>
      </c>
      <c r="C3707" s="3" t="s">
        <v>53</v>
      </c>
    </row>
    <row r="3708" spans="1:3" x14ac:dyDescent="0.2">
      <c r="A3708" s="3" t="s">
        <v>1171</v>
      </c>
      <c r="B3708" s="3" t="s">
        <v>1166</v>
      </c>
      <c r="C3708" s="3" t="s">
        <v>54</v>
      </c>
    </row>
    <row r="3709" spans="1:3" x14ac:dyDescent="0.2">
      <c r="A3709" s="3" t="s">
        <v>1171</v>
      </c>
      <c r="B3709" s="3" t="s">
        <v>1167</v>
      </c>
      <c r="C3709" s="3" t="s">
        <v>54</v>
      </c>
    </row>
    <row r="3710" spans="1:3" x14ac:dyDescent="0.2">
      <c r="A3710" s="3" t="s">
        <v>1171</v>
      </c>
      <c r="B3710" s="3" t="s">
        <v>1168</v>
      </c>
      <c r="C3710" s="3" t="s">
        <v>54</v>
      </c>
    </row>
    <row r="3711" spans="1:3" x14ac:dyDescent="0.2">
      <c r="A3711" s="3" t="s">
        <v>1171</v>
      </c>
      <c r="B3711" s="3" t="s">
        <v>1166</v>
      </c>
      <c r="C3711" s="3" t="s">
        <v>55</v>
      </c>
    </row>
    <row r="3712" spans="1:3" x14ac:dyDescent="0.2">
      <c r="A3712" s="3" t="s">
        <v>1171</v>
      </c>
      <c r="B3712" s="3" t="s">
        <v>1167</v>
      </c>
      <c r="C3712" s="3" t="s">
        <v>55</v>
      </c>
    </row>
    <row r="3713" spans="1:3" x14ac:dyDescent="0.2">
      <c r="A3713" s="3" t="s">
        <v>1171</v>
      </c>
      <c r="B3713" s="3" t="s">
        <v>1168</v>
      </c>
      <c r="C3713" s="3" t="s">
        <v>55</v>
      </c>
    </row>
    <row r="3714" spans="1:3" x14ac:dyDescent="0.2">
      <c r="A3714" s="3" t="s">
        <v>1171</v>
      </c>
      <c r="B3714" s="3" t="s">
        <v>1166</v>
      </c>
      <c r="C3714" s="3" t="s">
        <v>56</v>
      </c>
    </row>
    <row r="3715" spans="1:3" x14ac:dyDescent="0.2">
      <c r="A3715" s="3" t="s">
        <v>1171</v>
      </c>
      <c r="B3715" s="3" t="s">
        <v>1167</v>
      </c>
      <c r="C3715" s="3" t="s">
        <v>56</v>
      </c>
    </row>
    <row r="3716" spans="1:3" x14ac:dyDescent="0.2">
      <c r="A3716" s="3" t="s">
        <v>1171</v>
      </c>
      <c r="B3716" s="3" t="s">
        <v>1168</v>
      </c>
      <c r="C3716" s="3" t="s">
        <v>56</v>
      </c>
    </row>
    <row r="3717" spans="1:3" x14ac:dyDescent="0.2">
      <c r="A3717" s="3" t="s">
        <v>1171</v>
      </c>
      <c r="B3717" s="3" t="s">
        <v>1166</v>
      </c>
      <c r="C3717" s="3" t="s">
        <v>57</v>
      </c>
    </row>
    <row r="3718" spans="1:3" x14ac:dyDescent="0.2">
      <c r="A3718" s="3" t="s">
        <v>1171</v>
      </c>
      <c r="B3718" s="3" t="s">
        <v>1167</v>
      </c>
      <c r="C3718" s="3" t="s">
        <v>57</v>
      </c>
    </row>
    <row r="3719" spans="1:3" x14ac:dyDescent="0.2">
      <c r="A3719" s="3" t="s">
        <v>1171</v>
      </c>
      <c r="B3719" s="3" t="s">
        <v>1168</v>
      </c>
      <c r="C3719" s="3" t="s">
        <v>57</v>
      </c>
    </row>
    <row r="3720" spans="1:3" x14ac:dyDescent="0.2">
      <c r="A3720" s="3" t="s">
        <v>1172</v>
      </c>
      <c r="B3720" s="3" t="s">
        <v>1173</v>
      </c>
      <c r="C3720" s="3" t="s">
        <v>53</v>
      </c>
    </row>
    <row r="3721" spans="1:3" x14ac:dyDescent="0.2">
      <c r="A3721" s="3" t="s">
        <v>1172</v>
      </c>
      <c r="B3721" s="3" t="s">
        <v>1174</v>
      </c>
      <c r="C3721" s="3" t="s">
        <v>53</v>
      </c>
    </row>
    <row r="3722" spans="1:3" x14ac:dyDescent="0.2">
      <c r="A3722" s="3" t="s">
        <v>1172</v>
      </c>
      <c r="B3722" s="3" t="s">
        <v>1175</v>
      </c>
      <c r="C3722" s="3" t="s">
        <v>53</v>
      </c>
    </row>
    <row r="3723" spans="1:3" x14ac:dyDescent="0.2">
      <c r="A3723" s="3" t="s">
        <v>1172</v>
      </c>
      <c r="B3723" s="3" t="s">
        <v>1176</v>
      </c>
      <c r="C3723" s="3" t="s">
        <v>53</v>
      </c>
    </row>
    <row r="3724" spans="1:3" x14ac:dyDescent="0.2">
      <c r="A3724" s="3" t="s">
        <v>1172</v>
      </c>
      <c r="B3724" s="3" t="s">
        <v>1177</v>
      </c>
      <c r="C3724" s="3" t="s">
        <v>53</v>
      </c>
    </row>
    <row r="3725" spans="1:3" x14ac:dyDescent="0.2">
      <c r="A3725" s="3" t="s">
        <v>1172</v>
      </c>
      <c r="B3725" s="3" t="s">
        <v>1178</v>
      </c>
      <c r="C3725" s="3" t="s">
        <v>53</v>
      </c>
    </row>
    <row r="3726" spans="1:3" x14ac:dyDescent="0.2">
      <c r="A3726" s="3" t="s">
        <v>1172</v>
      </c>
      <c r="B3726" s="3" t="s">
        <v>1179</v>
      </c>
      <c r="C3726" s="3" t="s">
        <v>53</v>
      </c>
    </row>
    <row r="3727" spans="1:3" x14ac:dyDescent="0.2">
      <c r="A3727" s="3" t="s">
        <v>1172</v>
      </c>
      <c r="B3727" s="3" t="s">
        <v>1173</v>
      </c>
      <c r="C3727" s="3" t="s">
        <v>54</v>
      </c>
    </row>
    <row r="3728" spans="1:3" x14ac:dyDescent="0.2">
      <c r="A3728" s="3" t="s">
        <v>1172</v>
      </c>
      <c r="B3728" s="3" t="s">
        <v>1174</v>
      </c>
      <c r="C3728" s="3" t="s">
        <v>54</v>
      </c>
    </row>
    <row r="3729" spans="1:3" x14ac:dyDescent="0.2">
      <c r="A3729" s="3" t="s">
        <v>1172</v>
      </c>
      <c r="B3729" s="3" t="s">
        <v>1175</v>
      </c>
      <c r="C3729" s="3" t="s">
        <v>54</v>
      </c>
    </row>
    <row r="3730" spans="1:3" x14ac:dyDescent="0.2">
      <c r="A3730" s="3" t="s">
        <v>1172</v>
      </c>
      <c r="B3730" s="3" t="s">
        <v>1176</v>
      </c>
      <c r="C3730" s="3" t="s">
        <v>54</v>
      </c>
    </row>
    <row r="3731" spans="1:3" x14ac:dyDescent="0.2">
      <c r="A3731" s="3" t="s">
        <v>1172</v>
      </c>
      <c r="B3731" s="3" t="s">
        <v>1177</v>
      </c>
      <c r="C3731" s="3" t="s">
        <v>54</v>
      </c>
    </row>
    <row r="3732" spans="1:3" x14ac:dyDescent="0.2">
      <c r="A3732" s="3" t="s">
        <v>1172</v>
      </c>
      <c r="B3732" s="3" t="s">
        <v>1179</v>
      </c>
      <c r="C3732" s="3" t="s">
        <v>54</v>
      </c>
    </row>
    <row r="3733" spans="1:3" x14ac:dyDescent="0.2">
      <c r="A3733" s="3" t="s">
        <v>1172</v>
      </c>
      <c r="B3733" s="3" t="s">
        <v>1173</v>
      </c>
      <c r="C3733" s="3" t="s">
        <v>55</v>
      </c>
    </row>
    <row r="3734" spans="1:3" x14ac:dyDescent="0.2">
      <c r="A3734" s="3" t="s">
        <v>1172</v>
      </c>
      <c r="B3734" s="3" t="s">
        <v>1174</v>
      </c>
      <c r="C3734" s="3" t="s">
        <v>55</v>
      </c>
    </row>
    <row r="3735" spans="1:3" x14ac:dyDescent="0.2">
      <c r="A3735" s="3" t="s">
        <v>1172</v>
      </c>
      <c r="B3735" s="3" t="s">
        <v>1175</v>
      </c>
      <c r="C3735" s="3" t="s">
        <v>55</v>
      </c>
    </row>
    <row r="3736" spans="1:3" x14ac:dyDescent="0.2">
      <c r="A3736" s="3" t="s">
        <v>1172</v>
      </c>
      <c r="B3736" s="3" t="s">
        <v>1176</v>
      </c>
      <c r="C3736" s="3" t="s">
        <v>55</v>
      </c>
    </row>
    <row r="3737" spans="1:3" x14ac:dyDescent="0.2">
      <c r="A3737" s="3" t="s">
        <v>1172</v>
      </c>
      <c r="B3737" s="3" t="s">
        <v>1177</v>
      </c>
      <c r="C3737" s="3" t="s">
        <v>55</v>
      </c>
    </row>
    <row r="3738" spans="1:3" x14ac:dyDescent="0.2">
      <c r="A3738" s="3" t="s">
        <v>1172</v>
      </c>
      <c r="B3738" s="3" t="s">
        <v>1179</v>
      </c>
      <c r="C3738" s="3" t="s">
        <v>55</v>
      </c>
    </row>
    <row r="3739" spans="1:3" x14ac:dyDescent="0.2">
      <c r="A3739" s="3" t="s">
        <v>1172</v>
      </c>
      <c r="B3739" s="3" t="s">
        <v>1173</v>
      </c>
      <c r="C3739" s="3" t="s">
        <v>56</v>
      </c>
    </row>
    <row r="3740" spans="1:3" x14ac:dyDescent="0.2">
      <c r="A3740" s="3" t="s">
        <v>1172</v>
      </c>
      <c r="B3740" s="3" t="s">
        <v>1174</v>
      </c>
      <c r="C3740" s="3" t="s">
        <v>56</v>
      </c>
    </row>
    <row r="3741" spans="1:3" x14ac:dyDescent="0.2">
      <c r="A3741" s="3" t="s">
        <v>1172</v>
      </c>
      <c r="B3741" s="3" t="s">
        <v>1175</v>
      </c>
      <c r="C3741" s="3" t="s">
        <v>56</v>
      </c>
    </row>
    <row r="3742" spans="1:3" x14ac:dyDescent="0.2">
      <c r="A3742" s="3" t="s">
        <v>1172</v>
      </c>
      <c r="B3742" s="3" t="s">
        <v>1176</v>
      </c>
      <c r="C3742" s="3" t="s">
        <v>56</v>
      </c>
    </row>
    <row r="3743" spans="1:3" x14ac:dyDescent="0.2">
      <c r="A3743" s="3" t="s">
        <v>1172</v>
      </c>
      <c r="B3743" s="3" t="s">
        <v>1177</v>
      </c>
      <c r="C3743" s="3" t="s">
        <v>56</v>
      </c>
    </row>
    <row r="3744" spans="1:3" x14ac:dyDescent="0.2">
      <c r="A3744" s="3" t="s">
        <v>1172</v>
      </c>
      <c r="B3744" s="3" t="s">
        <v>1179</v>
      </c>
      <c r="C3744" s="3" t="s">
        <v>56</v>
      </c>
    </row>
    <row r="3745" spans="1:3" x14ac:dyDescent="0.2">
      <c r="A3745" s="3" t="s">
        <v>1172</v>
      </c>
      <c r="B3745" s="3" t="s">
        <v>1173</v>
      </c>
      <c r="C3745" s="3" t="s">
        <v>57</v>
      </c>
    </row>
    <row r="3746" spans="1:3" x14ac:dyDescent="0.2">
      <c r="A3746" s="3" t="s">
        <v>1172</v>
      </c>
      <c r="B3746" s="3" t="s">
        <v>1174</v>
      </c>
      <c r="C3746" s="3" t="s">
        <v>57</v>
      </c>
    </row>
    <row r="3747" spans="1:3" x14ac:dyDescent="0.2">
      <c r="A3747" s="3" t="s">
        <v>1172</v>
      </c>
      <c r="B3747" s="3" t="s">
        <v>1175</v>
      </c>
      <c r="C3747" s="3" t="s">
        <v>57</v>
      </c>
    </row>
    <row r="3748" spans="1:3" x14ac:dyDescent="0.2">
      <c r="A3748" s="3" t="s">
        <v>1172</v>
      </c>
      <c r="B3748" s="3" t="s">
        <v>1176</v>
      </c>
      <c r="C3748" s="3" t="s">
        <v>57</v>
      </c>
    </row>
    <row r="3749" spans="1:3" x14ac:dyDescent="0.2">
      <c r="A3749" s="3" t="s">
        <v>1172</v>
      </c>
      <c r="B3749" s="3" t="s">
        <v>1177</v>
      </c>
      <c r="C3749" s="3" t="s">
        <v>57</v>
      </c>
    </row>
    <row r="3750" spans="1:3" x14ac:dyDescent="0.2">
      <c r="A3750" s="3" t="s">
        <v>1172</v>
      </c>
      <c r="B3750" s="3" t="s">
        <v>1179</v>
      </c>
      <c r="C3750" s="3" t="s">
        <v>57</v>
      </c>
    </row>
    <row r="3751" spans="1:3" x14ac:dyDescent="0.2">
      <c r="A3751" s="3" t="s">
        <v>1172</v>
      </c>
      <c r="B3751" s="3" t="s">
        <v>1180</v>
      </c>
      <c r="C3751" s="3" t="s">
        <v>169</v>
      </c>
    </row>
    <row r="3752" spans="1:3" x14ac:dyDescent="0.2">
      <c r="A3752" s="3" t="s">
        <v>1172</v>
      </c>
      <c r="B3752" s="3" t="s">
        <v>1181</v>
      </c>
      <c r="C3752" s="3" t="s">
        <v>169</v>
      </c>
    </row>
    <row r="3753" spans="1:3" x14ac:dyDescent="0.2">
      <c r="A3753" s="3" t="s">
        <v>1172</v>
      </c>
      <c r="B3753" s="3" t="s">
        <v>1182</v>
      </c>
      <c r="C3753" s="3" t="s">
        <v>169</v>
      </c>
    </row>
    <row r="3754" spans="1:3" x14ac:dyDescent="0.2">
      <c r="A3754" s="3" t="s">
        <v>1172</v>
      </c>
      <c r="B3754" s="3" t="s">
        <v>1183</v>
      </c>
      <c r="C3754" s="3" t="s">
        <v>169</v>
      </c>
    </row>
    <row r="3755" spans="1:3" x14ac:dyDescent="0.2">
      <c r="A3755" s="3" t="s">
        <v>1172</v>
      </c>
      <c r="B3755" s="3" t="s">
        <v>1184</v>
      </c>
      <c r="C3755" s="3" t="s">
        <v>169</v>
      </c>
    </row>
    <row r="3756" spans="1:3" x14ac:dyDescent="0.2">
      <c r="A3756" s="3" t="s">
        <v>1172</v>
      </c>
      <c r="B3756" s="3" t="s">
        <v>1185</v>
      </c>
      <c r="C3756" s="3" t="s">
        <v>169</v>
      </c>
    </row>
    <row r="3757" spans="1:3" x14ac:dyDescent="0.2">
      <c r="A3757" s="3" t="s">
        <v>1172</v>
      </c>
      <c r="B3757" s="3" t="s">
        <v>1186</v>
      </c>
      <c r="C3757" s="3" t="s">
        <v>169</v>
      </c>
    </row>
    <row r="3758" spans="1:3" x14ac:dyDescent="0.2">
      <c r="A3758" s="3" t="s">
        <v>1187</v>
      </c>
      <c r="B3758" s="3" t="s">
        <v>1177</v>
      </c>
      <c r="C3758" s="3" t="s">
        <v>53</v>
      </c>
    </row>
    <row r="3759" spans="1:3" x14ac:dyDescent="0.2">
      <c r="A3759" s="3" t="s">
        <v>1187</v>
      </c>
      <c r="B3759" s="3" t="s">
        <v>1177</v>
      </c>
      <c r="C3759" s="3" t="s">
        <v>54</v>
      </c>
    </row>
    <row r="3760" spans="1:3" x14ac:dyDescent="0.2">
      <c r="A3760" s="3" t="s">
        <v>1187</v>
      </c>
      <c r="B3760" s="3" t="s">
        <v>1177</v>
      </c>
      <c r="C3760" s="3" t="s">
        <v>55</v>
      </c>
    </row>
    <row r="3761" spans="1:3" x14ac:dyDescent="0.2">
      <c r="A3761" s="3" t="s">
        <v>1187</v>
      </c>
      <c r="B3761" s="3" t="s">
        <v>1177</v>
      </c>
      <c r="C3761" s="3" t="s">
        <v>56</v>
      </c>
    </row>
    <row r="3762" spans="1:3" x14ac:dyDescent="0.2">
      <c r="A3762" s="3" t="s">
        <v>1187</v>
      </c>
      <c r="B3762" s="3" t="s">
        <v>1177</v>
      </c>
      <c r="C3762" s="3" t="s">
        <v>57</v>
      </c>
    </row>
    <row r="3763" spans="1:3" x14ac:dyDescent="0.2">
      <c r="A3763" s="3" t="s">
        <v>1187</v>
      </c>
      <c r="B3763" s="3" t="s">
        <v>1188</v>
      </c>
      <c r="C3763" s="3" t="s">
        <v>169</v>
      </c>
    </row>
    <row r="3764" spans="1:3" x14ac:dyDescent="0.2">
      <c r="A3764" s="3" t="s">
        <v>1187</v>
      </c>
      <c r="B3764" s="3" t="s">
        <v>1189</v>
      </c>
      <c r="C3764" s="3" t="s">
        <v>169</v>
      </c>
    </row>
    <row r="3765" spans="1:3" x14ac:dyDescent="0.2">
      <c r="A3765" s="3" t="s">
        <v>1187</v>
      </c>
      <c r="B3765" s="3" t="s">
        <v>1190</v>
      </c>
      <c r="C3765" s="3" t="s">
        <v>169</v>
      </c>
    </row>
    <row r="3766" spans="1:3" x14ac:dyDescent="0.2">
      <c r="A3766" s="3" t="s">
        <v>1191</v>
      </c>
      <c r="B3766" s="3" t="s">
        <v>1192</v>
      </c>
      <c r="C3766" s="3" t="s">
        <v>53</v>
      </c>
    </row>
    <row r="3767" spans="1:3" x14ac:dyDescent="0.2">
      <c r="A3767" s="3" t="s">
        <v>1191</v>
      </c>
      <c r="B3767" s="3" t="s">
        <v>1177</v>
      </c>
      <c r="C3767" s="3" t="s">
        <v>53</v>
      </c>
    </row>
    <row r="3768" spans="1:3" x14ac:dyDescent="0.2">
      <c r="A3768" s="3" t="s">
        <v>1191</v>
      </c>
      <c r="B3768" s="3" t="s">
        <v>1192</v>
      </c>
      <c r="C3768" s="3" t="s">
        <v>54</v>
      </c>
    </row>
    <row r="3769" spans="1:3" x14ac:dyDescent="0.2">
      <c r="A3769" s="3" t="s">
        <v>1191</v>
      </c>
      <c r="B3769" s="3" t="s">
        <v>1177</v>
      </c>
      <c r="C3769" s="3" t="s">
        <v>54</v>
      </c>
    </row>
    <row r="3770" spans="1:3" x14ac:dyDescent="0.2">
      <c r="A3770" s="3" t="s">
        <v>1191</v>
      </c>
      <c r="B3770" s="3" t="s">
        <v>1192</v>
      </c>
      <c r="C3770" s="3" t="s">
        <v>55</v>
      </c>
    </row>
    <row r="3771" spans="1:3" x14ac:dyDescent="0.2">
      <c r="A3771" s="3" t="s">
        <v>1191</v>
      </c>
      <c r="B3771" s="3" t="s">
        <v>1177</v>
      </c>
      <c r="C3771" s="3" t="s">
        <v>55</v>
      </c>
    </row>
    <row r="3772" spans="1:3" x14ac:dyDescent="0.2">
      <c r="A3772" s="3" t="s">
        <v>1191</v>
      </c>
      <c r="B3772" s="3" t="s">
        <v>1192</v>
      </c>
      <c r="C3772" s="3" t="s">
        <v>56</v>
      </c>
    </row>
    <row r="3773" spans="1:3" x14ac:dyDescent="0.2">
      <c r="A3773" s="3" t="s">
        <v>1191</v>
      </c>
      <c r="B3773" s="3" t="s">
        <v>1177</v>
      </c>
      <c r="C3773" s="3" t="s">
        <v>56</v>
      </c>
    </row>
    <row r="3774" spans="1:3" x14ac:dyDescent="0.2">
      <c r="A3774" s="3" t="s">
        <v>1191</v>
      </c>
      <c r="B3774" s="3" t="s">
        <v>1192</v>
      </c>
      <c r="C3774" s="3" t="s">
        <v>57</v>
      </c>
    </row>
    <row r="3775" spans="1:3" x14ac:dyDescent="0.2">
      <c r="A3775" s="3" t="s">
        <v>1191</v>
      </c>
      <c r="B3775" s="3" t="s">
        <v>1177</v>
      </c>
      <c r="C3775" s="3" t="s">
        <v>57</v>
      </c>
    </row>
    <row r="3776" spans="1:3" x14ac:dyDescent="0.2">
      <c r="A3776" s="3" t="s">
        <v>1191</v>
      </c>
      <c r="B3776" s="3" t="s">
        <v>1193</v>
      </c>
      <c r="C3776" s="3" t="s">
        <v>169</v>
      </c>
    </row>
    <row r="3777" spans="1:3" x14ac:dyDescent="0.2">
      <c r="A3777" s="3" t="s">
        <v>1191</v>
      </c>
      <c r="B3777" s="3" t="s">
        <v>1194</v>
      </c>
      <c r="C3777" s="3" t="s">
        <v>169</v>
      </c>
    </row>
    <row r="3778" spans="1:3" x14ac:dyDescent="0.2">
      <c r="A3778" s="3" t="s">
        <v>1191</v>
      </c>
      <c r="B3778" s="3" t="s">
        <v>1195</v>
      </c>
      <c r="C3778" s="3" t="s">
        <v>169</v>
      </c>
    </row>
    <row r="3779" spans="1:3" x14ac:dyDescent="0.2">
      <c r="A3779" s="3" t="s">
        <v>1196</v>
      </c>
      <c r="B3779" s="3" t="s">
        <v>1197</v>
      </c>
      <c r="C3779" s="3" t="s">
        <v>53</v>
      </c>
    </row>
    <row r="3780" spans="1:3" x14ac:dyDescent="0.2">
      <c r="A3780" s="3" t="s">
        <v>1196</v>
      </c>
      <c r="B3780" s="3" t="s">
        <v>1197</v>
      </c>
      <c r="C3780" s="3" t="s">
        <v>54</v>
      </c>
    </row>
    <row r="3781" spans="1:3" x14ac:dyDescent="0.2">
      <c r="A3781" s="3" t="s">
        <v>1196</v>
      </c>
      <c r="B3781" s="3" t="s">
        <v>1197</v>
      </c>
      <c r="C3781" s="3" t="s">
        <v>55</v>
      </c>
    </row>
    <row r="3782" spans="1:3" x14ac:dyDescent="0.2">
      <c r="A3782" s="3" t="s">
        <v>1196</v>
      </c>
      <c r="B3782" s="3" t="s">
        <v>1197</v>
      </c>
      <c r="C3782" s="3" t="s">
        <v>56</v>
      </c>
    </row>
    <row r="3783" spans="1:3" x14ac:dyDescent="0.2">
      <c r="A3783" s="3" t="s">
        <v>1196</v>
      </c>
      <c r="B3783" s="3" t="s">
        <v>1197</v>
      </c>
      <c r="C3783" s="3" t="s">
        <v>57</v>
      </c>
    </row>
    <row r="3784" spans="1:3" x14ac:dyDescent="0.2">
      <c r="A3784" s="3" t="s">
        <v>1196</v>
      </c>
      <c r="B3784" s="3" t="s">
        <v>1198</v>
      </c>
      <c r="C3784" s="3" t="s">
        <v>169</v>
      </c>
    </row>
    <row r="3785" spans="1:3" x14ac:dyDescent="0.2">
      <c r="A3785" s="3" t="s">
        <v>1196</v>
      </c>
      <c r="B3785" s="3" t="s">
        <v>1199</v>
      </c>
      <c r="C3785" s="3" t="s">
        <v>169</v>
      </c>
    </row>
    <row r="3786" spans="1:3" x14ac:dyDescent="0.2">
      <c r="A3786" s="3" t="s">
        <v>1196</v>
      </c>
      <c r="B3786" s="3" t="s">
        <v>1200</v>
      </c>
      <c r="C3786" s="3" t="s">
        <v>169</v>
      </c>
    </row>
    <row r="3787" spans="1:3" x14ac:dyDescent="0.2">
      <c r="A3787" s="3" t="s">
        <v>1196</v>
      </c>
      <c r="B3787" s="3" t="s">
        <v>1201</v>
      </c>
      <c r="C3787" s="3" t="s">
        <v>169</v>
      </c>
    </row>
    <row r="3788" spans="1:3" x14ac:dyDescent="0.2">
      <c r="A3788" s="3" t="s">
        <v>1196</v>
      </c>
      <c r="B3788" s="3" t="s">
        <v>1202</v>
      </c>
      <c r="C3788" s="3" t="s">
        <v>169</v>
      </c>
    </row>
    <row r="3789" spans="1:3" x14ac:dyDescent="0.2">
      <c r="A3789" s="3" t="s">
        <v>1196</v>
      </c>
      <c r="B3789" s="3" t="s">
        <v>1203</v>
      </c>
      <c r="C3789" s="3" t="s">
        <v>169</v>
      </c>
    </row>
    <row r="3790" spans="1:3" x14ac:dyDescent="0.2">
      <c r="A3790" s="3" t="s">
        <v>1204</v>
      </c>
      <c r="B3790" s="3" t="s">
        <v>1205</v>
      </c>
      <c r="C3790" s="3" t="s">
        <v>169</v>
      </c>
    </row>
    <row r="3791" spans="1:3" x14ac:dyDescent="0.2">
      <c r="A3791" s="3" t="s">
        <v>1204</v>
      </c>
      <c r="B3791" s="3" t="s">
        <v>1206</v>
      </c>
      <c r="C3791" s="3" t="s">
        <v>169</v>
      </c>
    </row>
    <row r="3792" spans="1:3" x14ac:dyDescent="0.2">
      <c r="A3792" s="3" t="s">
        <v>1204</v>
      </c>
      <c r="B3792" s="3" t="s">
        <v>1207</v>
      </c>
      <c r="C3792" s="3" t="s">
        <v>169</v>
      </c>
    </row>
    <row r="3793" spans="1:3" x14ac:dyDescent="0.2">
      <c r="A3793" s="3" t="s">
        <v>1204</v>
      </c>
      <c r="B3793" s="3" t="s">
        <v>1208</v>
      </c>
      <c r="C3793" s="3" t="s">
        <v>169</v>
      </c>
    </row>
    <row r="3794" spans="1:3" x14ac:dyDescent="0.2">
      <c r="A3794" s="3" t="s">
        <v>1204</v>
      </c>
      <c r="B3794" s="3" t="s">
        <v>1209</v>
      </c>
      <c r="C3794" s="3" t="s">
        <v>169</v>
      </c>
    </row>
    <row r="3795" spans="1:3" x14ac:dyDescent="0.2">
      <c r="A3795" s="3" t="s">
        <v>1204</v>
      </c>
      <c r="B3795" s="3" t="s">
        <v>1210</v>
      </c>
      <c r="C3795" s="3" t="s">
        <v>169</v>
      </c>
    </row>
    <row r="3796" spans="1:3" x14ac:dyDescent="0.2">
      <c r="A3796" s="3" t="s">
        <v>1204</v>
      </c>
      <c r="B3796" s="3" t="s">
        <v>1211</v>
      </c>
      <c r="C3796" s="3" t="s">
        <v>169</v>
      </c>
    </row>
    <row r="3797" spans="1:3" x14ac:dyDescent="0.2">
      <c r="A3797" s="3" t="s">
        <v>1204</v>
      </c>
      <c r="B3797" s="3" t="s">
        <v>1212</v>
      </c>
      <c r="C3797" s="3" t="s">
        <v>169</v>
      </c>
    </row>
    <row r="3798" spans="1:3" x14ac:dyDescent="0.2">
      <c r="A3798" s="3" t="s">
        <v>1213</v>
      </c>
      <c r="B3798" s="3" t="s">
        <v>1214</v>
      </c>
      <c r="C3798" s="3" t="s">
        <v>169</v>
      </c>
    </row>
    <row r="3799" spans="1:3" x14ac:dyDescent="0.2">
      <c r="A3799" s="3" t="s">
        <v>1213</v>
      </c>
      <c r="B3799" s="3" t="s">
        <v>1215</v>
      </c>
      <c r="C3799" s="3" t="s">
        <v>169</v>
      </c>
    </row>
    <row r="3800" spans="1:3" x14ac:dyDescent="0.2">
      <c r="A3800" s="3" t="s">
        <v>1213</v>
      </c>
      <c r="B3800" s="3" t="s">
        <v>1216</v>
      </c>
      <c r="C3800" s="3" t="s">
        <v>169</v>
      </c>
    </row>
    <row r="3801" spans="1:3" x14ac:dyDescent="0.2">
      <c r="A3801" s="3" t="s">
        <v>1213</v>
      </c>
      <c r="B3801" s="3" t="s">
        <v>1217</v>
      </c>
      <c r="C3801" s="3" t="s">
        <v>169</v>
      </c>
    </row>
    <row r="3802" spans="1:3" x14ac:dyDescent="0.2">
      <c r="A3802" s="3" t="s">
        <v>1213</v>
      </c>
      <c r="B3802" s="3" t="s">
        <v>1208</v>
      </c>
      <c r="C3802" s="3" t="s">
        <v>169</v>
      </c>
    </row>
    <row r="3803" spans="1:3" x14ac:dyDescent="0.2">
      <c r="A3803" s="3" t="s">
        <v>1213</v>
      </c>
      <c r="B3803" s="3" t="s">
        <v>1218</v>
      </c>
      <c r="C3803" s="3" t="s">
        <v>169</v>
      </c>
    </row>
    <row r="3804" spans="1:3" x14ac:dyDescent="0.2">
      <c r="A3804" s="3" t="s">
        <v>1219</v>
      </c>
      <c r="B3804" s="3" t="s">
        <v>1220</v>
      </c>
      <c r="C3804" s="3" t="s">
        <v>53</v>
      </c>
    </row>
    <row r="3805" spans="1:3" x14ac:dyDescent="0.2">
      <c r="A3805" s="3" t="s">
        <v>1219</v>
      </c>
      <c r="B3805" s="3" t="s">
        <v>1221</v>
      </c>
      <c r="C3805" s="3" t="s">
        <v>53</v>
      </c>
    </row>
    <row r="3806" spans="1:3" x14ac:dyDescent="0.2">
      <c r="A3806" s="3" t="s">
        <v>1219</v>
      </c>
      <c r="B3806" s="3" t="s">
        <v>1222</v>
      </c>
      <c r="C3806" s="3" t="s">
        <v>53</v>
      </c>
    </row>
    <row r="3807" spans="1:3" x14ac:dyDescent="0.2">
      <c r="A3807" s="3" t="s">
        <v>1219</v>
      </c>
      <c r="B3807" s="3" t="s">
        <v>1220</v>
      </c>
      <c r="C3807" s="3" t="s">
        <v>54</v>
      </c>
    </row>
    <row r="3808" spans="1:3" x14ac:dyDescent="0.2">
      <c r="A3808" s="3" t="s">
        <v>1219</v>
      </c>
      <c r="B3808" s="3" t="s">
        <v>1221</v>
      </c>
      <c r="C3808" s="3" t="s">
        <v>54</v>
      </c>
    </row>
    <row r="3809" spans="1:3" x14ac:dyDescent="0.2">
      <c r="A3809" s="3" t="s">
        <v>1219</v>
      </c>
      <c r="B3809" s="3" t="s">
        <v>1222</v>
      </c>
      <c r="C3809" s="3" t="s">
        <v>54</v>
      </c>
    </row>
    <row r="3810" spans="1:3" x14ac:dyDescent="0.2">
      <c r="A3810" s="3" t="s">
        <v>1219</v>
      </c>
      <c r="B3810" s="3" t="s">
        <v>1220</v>
      </c>
      <c r="C3810" s="3" t="s">
        <v>55</v>
      </c>
    </row>
    <row r="3811" spans="1:3" x14ac:dyDescent="0.2">
      <c r="A3811" s="3" t="s">
        <v>1219</v>
      </c>
      <c r="B3811" s="3" t="s">
        <v>1221</v>
      </c>
      <c r="C3811" s="3" t="s">
        <v>55</v>
      </c>
    </row>
    <row r="3812" spans="1:3" x14ac:dyDescent="0.2">
      <c r="A3812" s="3" t="s">
        <v>1219</v>
      </c>
      <c r="B3812" s="3" t="s">
        <v>1222</v>
      </c>
      <c r="C3812" s="3" t="s">
        <v>55</v>
      </c>
    </row>
    <row r="3813" spans="1:3" x14ac:dyDescent="0.2">
      <c r="A3813" s="3" t="s">
        <v>1219</v>
      </c>
      <c r="B3813" s="3" t="s">
        <v>1220</v>
      </c>
      <c r="C3813" s="3" t="s">
        <v>56</v>
      </c>
    </row>
    <row r="3814" spans="1:3" x14ac:dyDescent="0.2">
      <c r="A3814" s="3" t="s">
        <v>1219</v>
      </c>
      <c r="B3814" s="3" t="s">
        <v>1221</v>
      </c>
      <c r="C3814" s="3" t="s">
        <v>56</v>
      </c>
    </row>
    <row r="3815" spans="1:3" x14ac:dyDescent="0.2">
      <c r="A3815" s="3" t="s">
        <v>1219</v>
      </c>
      <c r="B3815" s="3" t="s">
        <v>1222</v>
      </c>
      <c r="C3815" s="3" t="s">
        <v>56</v>
      </c>
    </row>
    <row r="3816" spans="1:3" x14ac:dyDescent="0.2">
      <c r="A3816" s="3" t="s">
        <v>1219</v>
      </c>
      <c r="B3816" s="3" t="s">
        <v>1220</v>
      </c>
      <c r="C3816" s="3" t="s">
        <v>57</v>
      </c>
    </row>
    <row r="3817" spans="1:3" x14ac:dyDescent="0.2">
      <c r="A3817" s="3" t="s">
        <v>1219</v>
      </c>
      <c r="B3817" s="3" t="s">
        <v>1221</v>
      </c>
      <c r="C3817" s="3" t="s">
        <v>57</v>
      </c>
    </row>
    <row r="3818" spans="1:3" x14ac:dyDescent="0.2">
      <c r="A3818" s="3" t="s">
        <v>1219</v>
      </c>
      <c r="B3818" s="3" t="s">
        <v>1222</v>
      </c>
      <c r="C3818" s="3" t="s">
        <v>57</v>
      </c>
    </row>
    <row r="3819" spans="1:3" x14ac:dyDescent="0.2">
      <c r="A3819" s="3" t="s">
        <v>1219</v>
      </c>
      <c r="B3819" s="3" t="s">
        <v>1223</v>
      </c>
      <c r="C3819" s="3" t="s">
        <v>169</v>
      </c>
    </row>
    <row r="3820" spans="1:3" x14ac:dyDescent="0.2">
      <c r="A3820" s="3" t="s">
        <v>1219</v>
      </c>
      <c r="B3820" s="3" t="s">
        <v>1224</v>
      </c>
      <c r="C3820" s="3" t="s">
        <v>169</v>
      </c>
    </row>
    <row r="3821" spans="1:3" x14ac:dyDescent="0.2">
      <c r="A3821" s="3" t="s">
        <v>1219</v>
      </c>
      <c r="B3821" s="3" t="s">
        <v>1225</v>
      </c>
      <c r="C3821" s="3" t="s">
        <v>169</v>
      </c>
    </row>
    <row r="3822" spans="1:3" x14ac:dyDescent="0.2">
      <c r="A3822" s="3" t="s">
        <v>1219</v>
      </c>
      <c r="B3822" s="3" t="s">
        <v>1226</v>
      </c>
      <c r="C3822" s="3" t="s">
        <v>169</v>
      </c>
    </row>
    <row r="3823" spans="1:3" x14ac:dyDescent="0.2">
      <c r="A3823" s="3" t="s">
        <v>1219</v>
      </c>
      <c r="B3823" s="3" t="s">
        <v>1227</v>
      </c>
      <c r="C3823" s="3" t="s">
        <v>169</v>
      </c>
    </row>
    <row r="3824" spans="1:3" x14ac:dyDescent="0.2">
      <c r="A3824" s="3" t="s">
        <v>1228</v>
      </c>
      <c r="B3824" s="3" t="s">
        <v>1229</v>
      </c>
      <c r="C3824" s="3" t="s">
        <v>169</v>
      </c>
    </row>
    <row r="3825" spans="1:3" x14ac:dyDescent="0.2">
      <c r="A3825" s="3" t="s">
        <v>1228</v>
      </c>
      <c r="B3825" s="3" t="s">
        <v>1230</v>
      </c>
      <c r="C3825" s="3" t="s">
        <v>169</v>
      </c>
    </row>
    <row r="3826" spans="1:3" x14ac:dyDescent="0.2">
      <c r="A3826" s="3" t="s">
        <v>1228</v>
      </c>
      <c r="B3826" s="3" t="s">
        <v>1231</v>
      </c>
      <c r="C3826" s="3" t="s">
        <v>169</v>
      </c>
    </row>
    <row r="3827" spans="1:3" x14ac:dyDescent="0.2">
      <c r="A3827" s="3" t="s">
        <v>1232</v>
      </c>
      <c r="B3827" s="3" t="s">
        <v>1192</v>
      </c>
      <c r="C3827" s="3" t="s">
        <v>53</v>
      </c>
    </row>
    <row r="3828" spans="1:3" x14ac:dyDescent="0.2">
      <c r="A3828" s="3" t="s">
        <v>1232</v>
      </c>
      <c r="B3828" s="3" t="s">
        <v>1192</v>
      </c>
      <c r="C3828" s="3" t="s">
        <v>54</v>
      </c>
    </row>
    <row r="3829" spans="1:3" x14ac:dyDescent="0.2">
      <c r="A3829" s="3" t="s">
        <v>1232</v>
      </c>
      <c r="B3829" s="3" t="s">
        <v>1192</v>
      </c>
      <c r="C3829" s="3" t="s">
        <v>55</v>
      </c>
    </row>
    <row r="3830" spans="1:3" x14ac:dyDescent="0.2">
      <c r="A3830" s="3" t="s">
        <v>1232</v>
      </c>
      <c r="B3830" s="3" t="s">
        <v>1192</v>
      </c>
      <c r="C3830" s="3" t="s">
        <v>56</v>
      </c>
    </row>
    <row r="3831" spans="1:3" x14ac:dyDescent="0.2">
      <c r="A3831" s="3" t="s">
        <v>1232</v>
      </c>
      <c r="B3831" s="3" t="s">
        <v>1192</v>
      </c>
      <c r="C3831" s="3" t="s">
        <v>57</v>
      </c>
    </row>
    <row r="3832" spans="1:3" x14ac:dyDescent="0.2">
      <c r="A3832" s="3" t="s">
        <v>1233</v>
      </c>
      <c r="B3832" s="3" t="s">
        <v>166</v>
      </c>
      <c r="C3832" s="3" t="s">
        <v>53</v>
      </c>
    </row>
    <row r="3833" spans="1:3" x14ac:dyDescent="0.2">
      <c r="A3833" s="3" t="s">
        <v>1233</v>
      </c>
      <c r="B3833" s="3" t="s">
        <v>167</v>
      </c>
      <c r="C3833" s="3" t="s">
        <v>53</v>
      </c>
    </row>
    <row r="3834" spans="1:3" x14ac:dyDescent="0.2">
      <c r="A3834" s="3" t="s">
        <v>1233</v>
      </c>
      <c r="B3834" s="3" t="s">
        <v>166</v>
      </c>
      <c r="C3834" s="3" t="s">
        <v>54</v>
      </c>
    </row>
    <row r="3835" spans="1:3" x14ac:dyDescent="0.2">
      <c r="A3835" s="3" t="s">
        <v>1233</v>
      </c>
      <c r="B3835" s="3" t="s">
        <v>167</v>
      </c>
      <c r="C3835" s="3" t="s">
        <v>54</v>
      </c>
    </row>
    <row r="3836" spans="1:3" x14ac:dyDescent="0.2">
      <c r="A3836" s="3" t="s">
        <v>1233</v>
      </c>
      <c r="B3836" s="3" t="s">
        <v>166</v>
      </c>
      <c r="C3836" s="3" t="s">
        <v>55</v>
      </c>
    </row>
    <row r="3837" spans="1:3" x14ac:dyDescent="0.2">
      <c r="A3837" s="3" t="s">
        <v>1233</v>
      </c>
      <c r="B3837" s="3" t="s">
        <v>167</v>
      </c>
      <c r="C3837" s="3" t="s">
        <v>55</v>
      </c>
    </row>
    <row r="3838" spans="1:3" x14ac:dyDescent="0.2">
      <c r="A3838" s="3" t="s">
        <v>1233</v>
      </c>
      <c r="B3838" s="3" t="s">
        <v>166</v>
      </c>
      <c r="C3838" s="3" t="s">
        <v>56</v>
      </c>
    </row>
    <row r="3839" spans="1:3" x14ac:dyDescent="0.2">
      <c r="A3839" s="3" t="s">
        <v>1233</v>
      </c>
      <c r="B3839" s="3" t="s">
        <v>167</v>
      </c>
      <c r="C3839" s="3" t="s">
        <v>56</v>
      </c>
    </row>
    <row r="3840" spans="1:3" x14ac:dyDescent="0.2">
      <c r="A3840" s="3" t="s">
        <v>1233</v>
      </c>
      <c r="B3840" s="3" t="s">
        <v>166</v>
      </c>
      <c r="C3840" s="3" t="s">
        <v>57</v>
      </c>
    </row>
    <row r="3841" spans="1:3" x14ac:dyDescent="0.2">
      <c r="A3841" s="3" t="s">
        <v>1233</v>
      </c>
      <c r="B3841" s="3" t="s">
        <v>167</v>
      </c>
      <c r="C3841" s="3" t="s">
        <v>57</v>
      </c>
    </row>
    <row r="3842" spans="1:3" x14ac:dyDescent="0.2">
      <c r="A3842" s="3" t="s">
        <v>1233</v>
      </c>
      <c r="B3842" s="3" t="s">
        <v>1234</v>
      </c>
      <c r="C3842" s="3" t="s">
        <v>10</v>
      </c>
    </row>
    <row r="3843" spans="1:3" x14ac:dyDescent="0.2">
      <c r="A3843" s="3" t="s">
        <v>1233</v>
      </c>
      <c r="B3843" s="3" t="s">
        <v>1235</v>
      </c>
      <c r="C3843" s="3" t="s">
        <v>10</v>
      </c>
    </row>
    <row r="3844" spans="1:3" x14ac:dyDescent="0.2">
      <c r="A3844" s="3" t="s">
        <v>1236</v>
      </c>
      <c r="B3844" s="3" t="s">
        <v>1237</v>
      </c>
      <c r="C3844" s="3" t="s">
        <v>10</v>
      </c>
    </row>
    <row r="3845" spans="1:3" x14ac:dyDescent="0.2">
      <c r="A3845" s="3" t="s">
        <v>1236</v>
      </c>
      <c r="B3845" s="3" t="s">
        <v>1237</v>
      </c>
      <c r="C3845" s="3" t="s">
        <v>11</v>
      </c>
    </row>
    <row r="3846" spans="1:3" x14ac:dyDescent="0.2">
      <c r="A3846" s="3" t="s">
        <v>1238</v>
      </c>
      <c r="B3846" s="3" t="s">
        <v>617</v>
      </c>
      <c r="C3846" s="3" t="s">
        <v>10</v>
      </c>
    </row>
    <row r="3847" spans="1:3" x14ac:dyDescent="0.2">
      <c r="A3847" s="3" t="s">
        <v>1238</v>
      </c>
      <c r="B3847" s="3" t="s">
        <v>1239</v>
      </c>
      <c r="C3847" s="3" t="s">
        <v>10</v>
      </c>
    </row>
    <row r="3848" spans="1:3" x14ac:dyDescent="0.2">
      <c r="A3848" s="3" t="s">
        <v>1238</v>
      </c>
      <c r="B3848" s="3" t="s">
        <v>1240</v>
      </c>
      <c r="C3848" s="3" t="s">
        <v>10</v>
      </c>
    </row>
    <row r="3849" spans="1:3" x14ac:dyDescent="0.2">
      <c r="A3849" s="3" t="s">
        <v>1238</v>
      </c>
      <c r="B3849" s="3" t="s">
        <v>618</v>
      </c>
      <c r="C3849" s="3" t="s">
        <v>10</v>
      </c>
    </row>
    <row r="3850" spans="1:3" x14ac:dyDescent="0.2">
      <c r="A3850" s="3" t="s">
        <v>1238</v>
      </c>
      <c r="B3850" s="3" t="s">
        <v>1241</v>
      </c>
      <c r="C3850" s="3" t="s">
        <v>10</v>
      </c>
    </row>
    <row r="3851" spans="1:3" x14ac:dyDescent="0.2">
      <c r="A3851" s="3" t="s">
        <v>1238</v>
      </c>
      <c r="B3851" s="3" t="s">
        <v>617</v>
      </c>
      <c r="C3851" s="3" t="s">
        <v>11</v>
      </c>
    </row>
    <row r="3852" spans="1:3" x14ac:dyDescent="0.2">
      <c r="A3852" s="3" t="s">
        <v>1238</v>
      </c>
      <c r="B3852" s="3" t="s">
        <v>1239</v>
      </c>
      <c r="C3852" s="3" t="s">
        <v>11</v>
      </c>
    </row>
    <row r="3853" spans="1:3" x14ac:dyDescent="0.2">
      <c r="A3853" s="3" t="s">
        <v>1238</v>
      </c>
      <c r="B3853" s="3" t="s">
        <v>1240</v>
      </c>
      <c r="C3853" s="3" t="s">
        <v>11</v>
      </c>
    </row>
    <row r="3854" spans="1:3" x14ac:dyDescent="0.2">
      <c r="A3854" s="3" t="s">
        <v>1238</v>
      </c>
      <c r="B3854" s="3" t="s">
        <v>620</v>
      </c>
      <c r="C3854" s="3" t="s">
        <v>11</v>
      </c>
    </row>
    <row r="3855" spans="1:3" x14ac:dyDescent="0.2">
      <c r="A3855" s="3" t="s">
        <v>1242</v>
      </c>
      <c r="B3855" s="3" t="s">
        <v>1243</v>
      </c>
      <c r="C3855" s="3" t="s">
        <v>169</v>
      </c>
    </row>
    <row r="3856" spans="1:3" x14ac:dyDescent="0.2">
      <c r="A3856" s="3" t="s">
        <v>1242</v>
      </c>
      <c r="B3856" s="3" t="s">
        <v>1244</v>
      </c>
      <c r="C3856" s="3" t="s">
        <v>10</v>
      </c>
    </row>
    <row r="3857" spans="1:3" x14ac:dyDescent="0.2">
      <c r="A3857" s="3" t="s">
        <v>1242</v>
      </c>
      <c r="B3857" s="3" t="s">
        <v>1245</v>
      </c>
      <c r="C3857" s="3" t="s">
        <v>10</v>
      </c>
    </row>
    <row r="3858" spans="1:3" x14ac:dyDescent="0.2">
      <c r="A3858" s="3" t="s">
        <v>1242</v>
      </c>
      <c r="B3858" s="3" t="s">
        <v>1246</v>
      </c>
      <c r="C3858" s="3" t="s">
        <v>10</v>
      </c>
    </row>
    <row r="3859" spans="1:3" x14ac:dyDescent="0.2">
      <c r="A3859" s="3" t="s">
        <v>1242</v>
      </c>
      <c r="B3859" s="3" t="s">
        <v>1247</v>
      </c>
      <c r="C3859" s="3" t="s">
        <v>10</v>
      </c>
    </row>
    <row r="3860" spans="1:3" x14ac:dyDescent="0.2">
      <c r="A3860" s="3" t="s">
        <v>1242</v>
      </c>
      <c r="B3860" s="3" t="s">
        <v>1248</v>
      </c>
      <c r="C3860" s="3" t="s">
        <v>10</v>
      </c>
    </row>
    <row r="3861" spans="1:3" x14ac:dyDescent="0.2">
      <c r="A3861" s="3" t="s">
        <v>1242</v>
      </c>
      <c r="B3861" s="3" t="s">
        <v>1249</v>
      </c>
      <c r="C3861" s="3" t="s">
        <v>10</v>
      </c>
    </row>
    <row r="3862" spans="1:3" x14ac:dyDescent="0.2">
      <c r="A3862" s="3" t="s">
        <v>1242</v>
      </c>
      <c r="B3862" s="3" t="s">
        <v>1250</v>
      </c>
      <c r="C3862" s="3" t="s">
        <v>10</v>
      </c>
    </row>
    <row r="3863" spans="1:3" x14ac:dyDescent="0.2">
      <c r="A3863" s="3" t="s">
        <v>1242</v>
      </c>
      <c r="B3863" s="3" t="s">
        <v>1251</v>
      </c>
      <c r="C3863" s="3" t="s">
        <v>10</v>
      </c>
    </row>
    <row r="3864" spans="1:3" x14ac:dyDescent="0.2">
      <c r="A3864" s="3" t="s">
        <v>1242</v>
      </c>
      <c r="B3864" s="3" t="s">
        <v>1252</v>
      </c>
      <c r="C3864" s="3" t="s">
        <v>10</v>
      </c>
    </row>
    <row r="3865" spans="1:3" x14ac:dyDescent="0.2">
      <c r="A3865" s="3" t="s">
        <v>1242</v>
      </c>
      <c r="B3865" s="3" t="s">
        <v>1253</v>
      </c>
      <c r="C3865" s="3" t="s">
        <v>10</v>
      </c>
    </row>
    <row r="3866" spans="1:3" x14ac:dyDescent="0.2">
      <c r="A3866" s="3" t="s">
        <v>1242</v>
      </c>
      <c r="B3866" s="3" t="s">
        <v>1254</v>
      </c>
      <c r="C3866" s="3" t="s">
        <v>10</v>
      </c>
    </row>
    <row r="3867" spans="1:3" x14ac:dyDescent="0.2">
      <c r="A3867" s="3" t="s">
        <v>1242</v>
      </c>
      <c r="B3867" s="3" t="s">
        <v>1255</v>
      </c>
      <c r="C3867" s="3" t="s">
        <v>10</v>
      </c>
    </row>
    <row r="3868" spans="1:3" x14ac:dyDescent="0.2">
      <c r="A3868" s="3" t="s">
        <v>1242</v>
      </c>
      <c r="B3868" s="3" t="s">
        <v>1256</v>
      </c>
      <c r="C3868" s="3" t="s">
        <v>10</v>
      </c>
    </row>
    <row r="3869" spans="1:3" x14ac:dyDescent="0.2">
      <c r="A3869" s="3" t="s">
        <v>1242</v>
      </c>
      <c r="B3869" s="3" t="s">
        <v>1257</v>
      </c>
      <c r="C3869" s="3" t="s">
        <v>10</v>
      </c>
    </row>
    <row r="3870" spans="1:3" x14ac:dyDescent="0.2">
      <c r="A3870" s="3" t="s">
        <v>1242</v>
      </c>
      <c r="B3870" s="3" t="s">
        <v>1258</v>
      </c>
      <c r="C3870" s="3" t="s">
        <v>10</v>
      </c>
    </row>
    <row r="3871" spans="1:3" x14ac:dyDescent="0.2">
      <c r="A3871" s="3" t="s">
        <v>1242</v>
      </c>
      <c r="B3871" s="3" t="s">
        <v>1259</v>
      </c>
      <c r="C3871" s="3" t="s">
        <v>10</v>
      </c>
    </row>
    <row r="3872" spans="1:3" x14ac:dyDescent="0.2">
      <c r="A3872" s="3" t="s">
        <v>1242</v>
      </c>
      <c r="B3872" s="3" t="s">
        <v>1260</v>
      </c>
      <c r="C3872" s="3" t="s">
        <v>10</v>
      </c>
    </row>
    <row r="3873" spans="1:3" x14ac:dyDescent="0.2">
      <c r="A3873" s="3" t="s">
        <v>1242</v>
      </c>
      <c r="B3873" s="3" t="s">
        <v>1261</v>
      </c>
      <c r="C3873" s="3" t="s">
        <v>10</v>
      </c>
    </row>
    <row r="3874" spans="1:3" x14ac:dyDescent="0.2">
      <c r="A3874" s="3" t="s">
        <v>1242</v>
      </c>
      <c r="B3874" s="3" t="s">
        <v>1247</v>
      </c>
      <c r="C3874" s="3" t="s">
        <v>11</v>
      </c>
    </row>
    <row r="3875" spans="1:3" x14ac:dyDescent="0.2">
      <c r="A3875" s="3" t="s">
        <v>1242</v>
      </c>
      <c r="B3875" s="3" t="s">
        <v>1249</v>
      </c>
      <c r="C3875" s="3" t="s">
        <v>11</v>
      </c>
    </row>
    <row r="3876" spans="1:3" x14ac:dyDescent="0.2">
      <c r="A3876" s="3" t="s">
        <v>1242</v>
      </c>
      <c r="B3876" s="3" t="s">
        <v>1250</v>
      </c>
      <c r="C3876" s="3" t="s">
        <v>11</v>
      </c>
    </row>
    <row r="3877" spans="1:3" x14ac:dyDescent="0.2">
      <c r="A3877" s="3" t="s">
        <v>1242</v>
      </c>
      <c r="B3877" s="3" t="s">
        <v>1252</v>
      </c>
      <c r="C3877" s="3" t="s">
        <v>11</v>
      </c>
    </row>
    <row r="3878" spans="1:3" x14ac:dyDescent="0.2">
      <c r="A3878" s="3" t="s">
        <v>1242</v>
      </c>
      <c r="B3878" s="3" t="s">
        <v>1253</v>
      </c>
      <c r="C3878" s="3" t="s">
        <v>11</v>
      </c>
    </row>
    <row r="3879" spans="1:3" x14ac:dyDescent="0.2">
      <c r="A3879" s="3" t="s">
        <v>1242</v>
      </c>
      <c r="B3879" s="3" t="s">
        <v>1255</v>
      </c>
      <c r="C3879" s="3" t="s">
        <v>11</v>
      </c>
    </row>
    <row r="3880" spans="1:3" x14ac:dyDescent="0.2">
      <c r="A3880" s="3" t="s">
        <v>1242</v>
      </c>
      <c r="B3880" s="3" t="s">
        <v>1256</v>
      </c>
      <c r="C3880" s="3" t="s">
        <v>11</v>
      </c>
    </row>
    <row r="3881" spans="1:3" x14ac:dyDescent="0.2">
      <c r="A3881" s="3" t="s">
        <v>1242</v>
      </c>
      <c r="B3881" s="3" t="s">
        <v>1258</v>
      </c>
      <c r="C3881" s="3" t="s">
        <v>11</v>
      </c>
    </row>
    <row r="3882" spans="1:3" x14ac:dyDescent="0.2">
      <c r="A3882" s="3" t="s">
        <v>1242</v>
      </c>
      <c r="B3882" s="3" t="s">
        <v>1262</v>
      </c>
      <c r="C3882" s="3" t="s">
        <v>11</v>
      </c>
    </row>
    <row r="3883" spans="1:3" x14ac:dyDescent="0.2">
      <c r="A3883" s="3" t="s">
        <v>1242</v>
      </c>
      <c r="B3883" s="3" t="s">
        <v>1263</v>
      </c>
      <c r="C3883" s="3" t="s">
        <v>11</v>
      </c>
    </row>
    <row r="3884" spans="1:3" x14ac:dyDescent="0.2">
      <c r="A3884" s="3" t="s">
        <v>1242</v>
      </c>
      <c r="B3884" s="3" t="s">
        <v>1264</v>
      </c>
      <c r="C3884" s="3" t="s">
        <v>11</v>
      </c>
    </row>
    <row r="3885" spans="1:3" x14ac:dyDescent="0.2">
      <c r="A3885" s="3" t="s">
        <v>1242</v>
      </c>
      <c r="B3885" s="3" t="s">
        <v>1265</v>
      </c>
      <c r="C3885" s="3" t="s">
        <v>11</v>
      </c>
    </row>
    <row r="3886" spans="1:3" x14ac:dyDescent="0.2">
      <c r="A3886" s="3" t="s">
        <v>1242</v>
      </c>
      <c r="B3886" s="3" t="s">
        <v>1266</v>
      </c>
      <c r="C3886" s="3" t="s">
        <v>11</v>
      </c>
    </row>
    <row r="3887" spans="1:3" x14ac:dyDescent="0.2">
      <c r="A3887" s="3" t="s">
        <v>1267</v>
      </c>
      <c r="B3887" s="3" t="s">
        <v>1268</v>
      </c>
      <c r="C3887" s="3" t="s">
        <v>10</v>
      </c>
    </row>
    <row r="3888" spans="1:3" x14ac:dyDescent="0.2">
      <c r="A3888" s="3" t="s">
        <v>1267</v>
      </c>
      <c r="B3888" s="3" t="s">
        <v>1246</v>
      </c>
      <c r="C3888" s="3" t="s">
        <v>10</v>
      </c>
    </row>
    <row r="3889" spans="1:3" x14ac:dyDescent="0.2">
      <c r="A3889" s="3" t="s">
        <v>1267</v>
      </c>
      <c r="B3889" s="3" t="s">
        <v>1269</v>
      </c>
      <c r="C3889" s="3" t="s">
        <v>10</v>
      </c>
    </row>
    <row r="3890" spans="1:3" x14ac:dyDescent="0.2">
      <c r="A3890" s="3" t="s">
        <v>1267</v>
      </c>
      <c r="B3890" s="3" t="s">
        <v>1270</v>
      </c>
      <c r="C3890" s="3" t="s">
        <v>10</v>
      </c>
    </row>
    <row r="3891" spans="1:3" x14ac:dyDescent="0.2">
      <c r="A3891" s="3" t="s">
        <v>1267</v>
      </c>
      <c r="B3891" s="3" t="s">
        <v>1271</v>
      </c>
      <c r="C3891" s="3" t="s">
        <v>10</v>
      </c>
    </row>
    <row r="3892" spans="1:3" x14ac:dyDescent="0.2">
      <c r="A3892" s="3" t="s">
        <v>1267</v>
      </c>
      <c r="B3892" s="3" t="s">
        <v>1272</v>
      </c>
      <c r="C3892" s="3" t="s">
        <v>10</v>
      </c>
    </row>
    <row r="3893" spans="1:3" x14ac:dyDescent="0.2">
      <c r="A3893" s="3" t="s">
        <v>1267</v>
      </c>
      <c r="B3893" s="3" t="s">
        <v>1273</v>
      </c>
      <c r="C3893" s="3" t="s">
        <v>10</v>
      </c>
    </row>
    <row r="3894" spans="1:3" x14ac:dyDescent="0.2">
      <c r="A3894" s="3" t="s">
        <v>1267</v>
      </c>
      <c r="B3894" s="3" t="s">
        <v>1274</v>
      </c>
      <c r="C3894" s="3" t="s">
        <v>10</v>
      </c>
    </row>
    <row r="3895" spans="1:3" x14ac:dyDescent="0.2">
      <c r="A3895" s="3" t="s">
        <v>1267</v>
      </c>
      <c r="B3895" s="3" t="s">
        <v>1249</v>
      </c>
      <c r="C3895" s="3" t="s">
        <v>10</v>
      </c>
    </row>
    <row r="3896" spans="1:3" x14ac:dyDescent="0.2">
      <c r="A3896" s="3" t="s">
        <v>1267</v>
      </c>
      <c r="B3896" s="3" t="s">
        <v>1250</v>
      </c>
      <c r="C3896" s="3" t="s">
        <v>10</v>
      </c>
    </row>
    <row r="3897" spans="1:3" x14ac:dyDescent="0.2">
      <c r="A3897" s="3" t="s">
        <v>1267</v>
      </c>
      <c r="B3897" s="3" t="s">
        <v>1251</v>
      </c>
      <c r="C3897" s="3" t="s">
        <v>10</v>
      </c>
    </row>
    <row r="3898" spans="1:3" x14ac:dyDescent="0.2">
      <c r="A3898" s="3" t="s">
        <v>1267</v>
      </c>
      <c r="B3898" s="3" t="s">
        <v>1252</v>
      </c>
      <c r="C3898" s="3" t="s">
        <v>10</v>
      </c>
    </row>
    <row r="3899" spans="1:3" x14ac:dyDescent="0.2">
      <c r="A3899" s="3" t="s">
        <v>1267</v>
      </c>
      <c r="B3899" s="3" t="s">
        <v>1275</v>
      </c>
      <c r="C3899" s="3" t="s">
        <v>10</v>
      </c>
    </row>
    <row r="3900" spans="1:3" x14ac:dyDescent="0.2">
      <c r="A3900" s="3" t="s">
        <v>1267</v>
      </c>
      <c r="B3900" s="3" t="s">
        <v>1276</v>
      </c>
      <c r="C3900" s="3" t="s">
        <v>10</v>
      </c>
    </row>
    <row r="3901" spans="1:3" x14ac:dyDescent="0.2">
      <c r="A3901" s="3" t="s">
        <v>1267</v>
      </c>
      <c r="B3901" s="3" t="s">
        <v>1277</v>
      </c>
      <c r="C3901" s="3" t="s">
        <v>10</v>
      </c>
    </row>
    <row r="3902" spans="1:3" x14ac:dyDescent="0.2">
      <c r="A3902" s="3" t="s">
        <v>1267</v>
      </c>
      <c r="B3902" s="3" t="s">
        <v>136</v>
      </c>
      <c r="C3902" s="3" t="s">
        <v>10</v>
      </c>
    </row>
    <row r="3903" spans="1:3" x14ac:dyDescent="0.2">
      <c r="A3903" s="3" t="s">
        <v>1267</v>
      </c>
      <c r="B3903" s="3" t="s">
        <v>1254</v>
      </c>
      <c r="C3903" s="3" t="s">
        <v>10</v>
      </c>
    </row>
    <row r="3904" spans="1:3" x14ac:dyDescent="0.2">
      <c r="A3904" s="3" t="s">
        <v>1267</v>
      </c>
      <c r="B3904" s="3" t="s">
        <v>1255</v>
      </c>
      <c r="C3904" s="3" t="s">
        <v>10</v>
      </c>
    </row>
    <row r="3905" spans="1:3" x14ac:dyDescent="0.2">
      <c r="A3905" s="3" t="s">
        <v>1267</v>
      </c>
      <c r="B3905" s="3" t="s">
        <v>1256</v>
      </c>
      <c r="C3905" s="3" t="s">
        <v>10</v>
      </c>
    </row>
    <row r="3906" spans="1:3" x14ac:dyDescent="0.2">
      <c r="A3906" s="3" t="s">
        <v>1267</v>
      </c>
      <c r="B3906" s="3" t="s">
        <v>1257</v>
      </c>
      <c r="C3906" s="3" t="s">
        <v>10</v>
      </c>
    </row>
    <row r="3907" spans="1:3" x14ac:dyDescent="0.2">
      <c r="A3907" s="3" t="s">
        <v>1267</v>
      </c>
      <c r="B3907" s="3" t="s">
        <v>1258</v>
      </c>
      <c r="C3907" s="3" t="s">
        <v>10</v>
      </c>
    </row>
    <row r="3908" spans="1:3" x14ac:dyDescent="0.2">
      <c r="A3908" s="3" t="s">
        <v>1267</v>
      </c>
      <c r="B3908" s="3" t="s">
        <v>1278</v>
      </c>
      <c r="C3908" s="3" t="s">
        <v>10</v>
      </c>
    </row>
    <row r="3909" spans="1:3" x14ac:dyDescent="0.2">
      <c r="A3909" s="3" t="s">
        <v>1267</v>
      </c>
      <c r="B3909" s="3" t="s">
        <v>1279</v>
      </c>
      <c r="C3909" s="3" t="s">
        <v>10</v>
      </c>
    </row>
    <row r="3910" spans="1:3" x14ac:dyDescent="0.2">
      <c r="A3910" s="3" t="s">
        <v>1267</v>
      </c>
      <c r="B3910" s="3" t="s">
        <v>1280</v>
      </c>
      <c r="C3910" s="3" t="s">
        <v>10</v>
      </c>
    </row>
    <row r="3911" spans="1:3" x14ac:dyDescent="0.2">
      <c r="A3911" s="3" t="s">
        <v>1267</v>
      </c>
      <c r="B3911" s="3" t="s">
        <v>1281</v>
      </c>
      <c r="C3911" s="3" t="s">
        <v>10</v>
      </c>
    </row>
    <row r="3912" spans="1:3" x14ac:dyDescent="0.2">
      <c r="A3912" s="3" t="s">
        <v>1267</v>
      </c>
      <c r="B3912" s="3" t="s">
        <v>1282</v>
      </c>
      <c r="C3912" s="3" t="s">
        <v>10</v>
      </c>
    </row>
    <row r="3913" spans="1:3" x14ac:dyDescent="0.2">
      <c r="A3913" s="3" t="s">
        <v>1267</v>
      </c>
      <c r="B3913" s="3" t="s">
        <v>1283</v>
      </c>
      <c r="C3913" s="3" t="s">
        <v>10</v>
      </c>
    </row>
    <row r="3914" spans="1:3" x14ac:dyDescent="0.2">
      <c r="A3914" s="3" t="s">
        <v>1267</v>
      </c>
      <c r="B3914" s="3" t="s">
        <v>1284</v>
      </c>
      <c r="C3914" s="3" t="s">
        <v>10</v>
      </c>
    </row>
    <row r="3915" spans="1:3" x14ac:dyDescent="0.2">
      <c r="A3915" s="3" t="s">
        <v>1267</v>
      </c>
      <c r="B3915" s="3" t="s">
        <v>1259</v>
      </c>
      <c r="C3915" s="3" t="s">
        <v>10</v>
      </c>
    </row>
    <row r="3916" spans="1:3" x14ac:dyDescent="0.2">
      <c r="A3916" s="3" t="s">
        <v>1267</v>
      </c>
      <c r="B3916" s="3" t="s">
        <v>1260</v>
      </c>
      <c r="C3916" s="3" t="s">
        <v>10</v>
      </c>
    </row>
    <row r="3917" spans="1:3" x14ac:dyDescent="0.2">
      <c r="A3917" s="3" t="s">
        <v>1267</v>
      </c>
      <c r="B3917" s="3" t="s">
        <v>1261</v>
      </c>
      <c r="C3917" s="3" t="s">
        <v>10</v>
      </c>
    </row>
    <row r="3918" spans="1:3" x14ac:dyDescent="0.2">
      <c r="A3918" s="3" t="s">
        <v>1267</v>
      </c>
      <c r="B3918" s="3" t="s">
        <v>1270</v>
      </c>
      <c r="C3918" s="3" t="s">
        <v>11</v>
      </c>
    </row>
    <row r="3919" spans="1:3" x14ac:dyDescent="0.2">
      <c r="A3919" s="3" t="s">
        <v>1267</v>
      </c>
      <c r="B3919" s="3" t="s">
        <v>1271</v>
      </c>
      <c r="C3919" s="3" t="s">
        <v>11</v>
      </c>
    </row>
    <row r="3920" spans="1:3" x14ac:dyDescent="0.2">
      <c r="A3920" s="3" t="s">
        <v>1267</v>
      </c>
      <c r="B3920" s="3" t="s">
        <v>1249</v>
      </c>
      <c r="C3920" s="3" t="s">
        <v>11</v>
      </c>
    </row>
    <row r="3921" spans="1:3" x14ac:dyDescent="0.2">
      <c r="A3921" s="3" t="s">
        <v>1267</v>
      </c>
      <c r="B3921" s="3" t="s">
        <v>1250</v>
      </c>
      <c r="C3921" s="3" t="s">
        <v>11</v>
      </c>
    </row>
    <row r="3922" spans="1:3" x14ac:dyDescent="0.2">
      <c r="A3922" s="3" t="s">
        <v>1267</v>
      </c>
      <c r="B3922" s="3" t="s">
        <v>1252</v>
      </c>
      <c r="C3922" s="3" t="s">
        <v>11</v>
      </c>
    </row>
    <row r="3923" spans="1:3" x14ac:dyDescent="0.2">
      <c r="A3923" s="3" t="s">
        <v>1267</v>
      </c>
      <c r="B3923" s="3" t="s">
        <v>1285</v>
      </c>
      <c r="C3923" s="3" t="s">
        <v>11</v>
      </c>
    </row>
    <row r="3924" spans="1:3" x14ac:dyDescent="0.2">
      <c r="A3924" s="3" t="s">
        <v>1267</v>
      </c>
      <c r="B3924" s="3" t="s">
        <v>1255</v>
      </c>
      <c r="C3924" s="3" t="s">
        <v>11</v>
      </c>
    </row>
    <row r="3925" spans="1:3" x14ac:dyDescent="0.2">
      <c r="A3925" s="3" t="s">
        <v>1267</v>
      </c>
      <c r="B3925" s="3" t="s">
        <v>1256</v>
      </c>
      <c r="C3925" s="3" t="s">
        <v>11</v>
      </c>
    </row>
    <row r="3926" spans="1:3" x14ac:dyDescent="0.2">
      <c r="A3926" s="3" t="s">
        <v>1267</v>
      </c>
      <c r="B3926" s="3" t="s">
        <v>1286</v>
      </c>
      <c r="C3926" s="3" t="s">
        <v>11</v>
      </c>
    </row>
    <row r="3927" spans="1:3" x14ac:dyDescent="0.2">
      <c r="A3927" s="3" t="s">
        <v>1267</v>
      </c>
      <c r="B3927" s="3" t="s">
        <v>1287</v>
      </c>
      <c r="C3927" s="3" t="s">
        <v>11</v>
      </c>
    </row>
    <row r="3928" spans="1:3" x14ac:dyDescent="0.2">
      <c r="A3928" s="3" t="s">
        <v>1267</v>
      </c>
      <c r="B3928" s="3" t="s">
        <v>1258</v>
      </c>
      <c r="C3928" s="3" t="s">
        <v>11</v>
      </c>
    </row>
    <row r="3929" spans="1:3" x14ac:dyDescent="0.2">
      <c r="A3929" s="3" t="s">
        <v>1267</v>
      </c>
      <c r="B3929" s="3" t="s">
        <v>1262</v>
      </c>
      <c r="C3929" s="3" t="s">
        <v>11</v>
      </c>
    </row>
    <row r="3930" spans="1:3" x14ac:dyDescent="0.2">
      <c r="A3930" s="3" t="s">
        <v>1267</v>
      </c>
      <c r="B3930" s="3" t="s">
        <v>1288</v>
      </c>
      <c r="C3930" s="3" t="s">
        <v>11</v>
      </c>
    </row>
    <row r="3931" spans="1:3" x14ac:dyDescent="0.2">
      <c r="A3931" s="3" t="s">
        <v>1267</v>
      </c>
      <c r="B3931" s="3" t="s">
        <v>1289</v>
      </c>
      <c r="C3931" s="3" t="s">
        <v>11</v>
      </c>
    </row>
    <row r="3932" spans="1:3" x14ac:dyDescent="0.2">
      <c r="A3932" s="3" t="s">
        <v>1267</v>
      </c>
      <c r="B3932" s="3" t="s">
        <v>1290</v>
      </c>
      <c r="C3932" s="3" t="s">
        <v>11</v>
      </c>
    </row>
    <row r="3933" spans="1:3" x14ac:dyDescent="0.2">
      <c r="A3933" s="3" t="s">
        <v>1267</v>
      </c>
      <c r="B3933" s="3" t="s">
        <v>1264</v>
      </c>
      <c r="C3933" s="3" t="s">
        <v>11</v>
      </c>
    </row>
    <row r="3934" spans="1:3" x14ac:dyDescent="0.2">
      <c r="A3934" s="3" t="s">
        <v>1267</v>
      </c>
      <c r="B3934" s="3" t="s">
        <v>1266</v>
      </c>
      <c r="C3934" s="3" t="s">
        <v>11</v>
      </c>
    </row>
    <row r="3935" spans="1:3" x14ac:dyDescent="0.2">
      <c r="A3935" s="3" t="s">
        <v>1291</v>
      </c>
      <c r="B3935" s="3" t="s">
        <v>1292</v>
      </c>
      <c r="C3935" s="3" t="s">
        <v>10</v>
      </c>
    </row>
    <row r="3936" spans="1:3" x14ac:dyDescent="0.2">
      <c r="A3936" s="3" t="s">
        <v>1291</v>
      </c>
      <c r="B3936" s="3" t="s">
        <v>1292</v>
      </c>
      <c r="C3936" s="3" t="s">
        <v>11</v>
      </c>
    </row>
    <row r="3937" spans="1:3" x14ac:dyDescent="0.2">
      <c r="A3937" s="3" t="s">
        <v>1293</v>
      </c>
      <c r="B3937" s="3" t="s">
        <v>1294</v>
      </c>
      <c r="C3937" s="3" t="s">
        <v>10</v>
      </c>
    </row>
    <row r="3938" spans="1:3" x14ac:dyDescent="0.2">
      <c r="A3938" s="3" t="s">
        <v>1293</v>
      </c>
      <c r="B3938" s="3" t="s">
        <v>1294</v>
      </c>
      <c r="C3938" s="3" t="s">
        <v>11</v>
      </c>
    </row>
    <row r="3939" spans="1:3" x14ac:dyDescent="0.2">
      <c r="A3939" s="3" t="s">
        <v>1295</v>
      </c>
      <c r="B3939" s="3" t="s">
        <v>1296</v>
      </c>
      <c r="C3939" s="3" t="s">
        <v>53</v>
      </c>
    </row>
    <row r="3940" spans="1:3" x14ac:dyDescent="0.2">
      <c r="A3940" s="3" t="s">
        <v>1295</v>
      </c>
      <c r="B3940" s="3" t="s">
        <v>182</v>
      </c>
      <c r="C3940" s="3" t="s">
        <v>53</v>
      </c>
    </row>
    <row r="3941" spans="1:3" x14ac:dyDescent="0.2">
      <c r="A3941" s="3" t="s">
        <v>1295</v>
      </c>
      <c r="B3941" s="3" t="s">
        <v>1297</v>
      </c>
      <c r="C3941" s="3" t="s">
        <v>53</v>
      </c>
    </row>
    <row r="3942" spans="1:3" x14ac:dyDescent="0.2">
      <c r="A3942" s="3" t="s">
        <v>1295</v>
      </c>
      <c r="B3942" s="3" t="s">
        <v>1298</v>
      </c>
      <c r="C3942" s="3" t="s">
        <v>53</v>
      </c>
    </row>
    <row r="3943" spans="1:3" x14ac:dyDescent="0.2">
      <c r="A3943" s="3" t="s">
        <v>1295</v>
      </c>
      <c r="B3943" s="3" t="s">
        <v>1299</v>
      </c>
      <c r="C3943" s="3" t="s">
        <v>53</v>
      </c>
    </row>
    <row r="3944" spans="1:3" x14ac:dyDescent="0.2">
      <c r="A3944" s="3" t="s">
        <v>1295</v>
      </c>
      <c r="B3944" s="3" t="s">
        <v>1300</v>
      </c>
      <c r="C3944" s="3" t="s">
        <v>53</v>
      </c>
    </row>
    <row r="3945" spans="1:3" x14ac:dyDescent="0.2">
      <c r="A3945" s="3" t="s">
        <v>1295</v>
      </c>
      <c r="B3945" s="3" t="s">
        <v>1296</v>
      </c>
      <c r="C3945" s="3" t="s">
        <v>54</v>
      </c>
    </row>
    <row r="3946" spans="1:3" x14ac:dyDescent="0.2">
      <c r="A3946" s="3" t="s">
        <v>1295</v>
      </c>
      <c r="B3946" s="3" t="s">
        <v>182</v>
      </c>
      <c r="C3946" s="3" t="s">
        <v>54</v>
      </c>
    </row>
    <row r="3947" spans="1:3" x14ac:dyDescent="0.2">
      <c r="A3947" s="3" t="s">
        <v>1295</v>
      </c>
      <c r="B3947" s="3" t="s">
        <v>1297</v>
      </c>
      <c r="C3947" s="3" t="s">
        <v>54</v>
      </c>
    </row>
    <row r="3948" spans="1:3" x14ac:dyDescent="0.2">
      <c r="A3948" s="3" t="s">
        <v>1295</v>
      </c>
      <c r="B3948" s="3" t="s">
        <v>1298</v>
      </c>
      <c r="C3948" s="3" t="s">
        <v>54</v>
      </c>
    </row>
    <row r="3949" spans="1:3" x14ac:dyDescent="0.2">
      <c r="A3949" s="3" t="s">
        <v>1295</v>
      </c>
      <c r="B3949" s="3" t="s">
        <v>1299</v>
      </c>
      <c r="C3949" s="3" t="s">
        <v>54</v>
      </c>
    </row>
    <row r="3950" spans="1:3" x14ac:dyDescent="0.2">
      <c r="A3950" s="3" t="s">
        <v>1295</v>
      </c>
      <c r="B3950" s="3" t="s">
        <v>1300</v>
      </c>
      <c r="C3950" s="3" t="s">
        <v>54</v>
      </c>
    </row>
    <row r="3951" spans="1:3" x14ac:dyDescent="0.2">
      <c r="A3951" s="3" t="s">
        <v>1295</v>
      </c>
      <c r="B3951" s="3" t="s">
        <v>1301</v>
      </c>
      <c r="C3951" s="3" t="s">
        <v>55</v>
      </c>
    </row>
    <row r="3952" spans="1:3" x14ac:dyDescent="0.2">
      <c r="A3952" s="3" t="s">
        <v>1295</v>
      </c>
      <c r="B3952" s="3" t="s">
        <v>182</v>
      </c>
      <c r="C3952" s="3" t="s">
        <v>55</v>
      </c>
    </row>
    <row r="3953" spans="1:3" x14ac:dyDescent="0.2">
      <c r="A3953" s="3" t="s">
        <v>1295</v>
      </c>
      <c r="B3953" s="3" t="s">
        <v>1297</v>
      </c>
      <c r="C3953" s="3" t="s">
        <v>55</v>
      </c>
    </row>
    <row r="3954" spans="1:3" x14ac:dyDescent="0.2">
      <c r="A3954" s="3" t="s">
        <v>1295</v>
      </c>
      <c r="B3954" s="3" t="s">
        <v>1298</v>
      </c>
      <c r="C3954" s="3" t="s">
        <v>55</v>
      </c>
    </row>
    <row r="3955" spans="1:3" x14ac:dyDescent="0.2">
      <c r="A3955" s="3" t="s">
        <v>1295</v>
      </c>
      <c r="B3955" s="3" t="s">
        <v>1299</v>
      </c>
      <c r="C3955" s="3" t="s">
        <v>55</v>
      </c>
    </row>
    <row r="3956" spans="1:3" x14ac:dyDescent="0.2">
      <c r="A3956" s="3" t="s">
        <v>1295</v>
      </c>
      <c r="B3956" s="3" t="s">
        <v>1300</v>
      </c>
      <c r="C3956" s="3" t="s">
        <v>55</v>
      </c>
    </row>
    <row r="3957" spans="1:3" x14ac:dyDescent="0.2">
      <c r="A3957" s="3" t="s">
        <v>1295</v>
      </c>
      <c r="B3957" s="3" t="s">
        <v>1302</v>
      </c>
      <c r="C3957" s="3" t="s">
        <v>55</v>
      </c>
    </row>
    <row r="3958" spans="1:3" x14ac:dyDescent="0.2">
      <c r="A3958" s="3" t="s">
        <v>1295</v>
      </c>
      <c r="B3958" s="3" t="s">
        <v>1303</v>
      </c>
      <c r="C3958" s="3" t="s">
        <v>56</v>
      </c>
    </row>
    <row r="3959" spans="1:3" x14ac:dyDescent="0.2">
      <c r="A3959" s="3" t="s">
        <v>1295</v>
      </c>
      <c r="B3959" s="3" t="s">
        <v>182</v>
      </c>
      <c r="C3959" s="3" t="s">
        <v>56</v>
      </c>
    </row>
    <row r="3960" spans="1:3" x14ac:dyDescent="0.2">
      <c r="A3960" s="3" t="s">
        <v>1295</v>
      </c>
      <c r="B3960" s="3" t="s">
        <v>1297</v>
      </c>
      <c r="C3960" s="3" t="s">
        <v>56</v>
      </c>
    </row>
    <row r="3961" spans="1:3" x14ac:dyDescent="0.2">
      <c r="A3961" s="3" t="s">
        <v>1295</v>
      </c>
      <c r="B3961" s="3" t="s">
        <v>1298</v>
      </c>
      <c r="C3961" s="3" t="s">
        <v>56</v>
      </c>
    </row>
    <row r="3962" spans="1:3" x14ac:dyDescent="0.2">
      <c r="A3962" s="3" t="s">
        <v>1295</v>
      </c>
      <c r="B3962" s="3" t="s">
        <v>1299</v>
      </c>
      <c r="C3962" s="3" t="s">
        <v>56</v>
      </c>
    </row>
    <row r="3963" spans="1:3" x14ac:dyDescent="0.2">
      <c r="A3963" s="3" t="s">
        <v>1295</v>
      </c>
      <c r="B3963" s="3" t="s">
        <v>1300</v>
      </c>
      <c r="C3963" s="3" t="s">
        <v>56</v>
      </c>
    </row>
    <row r="3964" spans="1:3" x14ac:dyDescent="0.2">
      <c r="A3964" s="3" t="s">
        <v>1295</v>
      </c>
      <c r="B3964" s="3" t="s">
        <v>1301</v>
      </c>
      <c r="C3964" s="3" t="s">
        <v>57</v>
      </c>
    </row>
    <row r="3965" spans="1:3" x14ac:dyDescent="0.2">
      <c r="A3965" s="3" t="s">
        <v>1295</v>
      </c>
      <c r="B3965" s="3" t="s">
        <v>182</v>
      </c>
      <c r="C3965" s="3" t="s">
        <v>57</v>
      </c>
    </row>
    <row r="3966" spans="1:3" x14ac:dyDescent="0.2">
      <c r="A3966" s="3" t="s">
        <v>1295</v>
      </c>
      <c r="B3966" s="3" t="s">
        <v>1297</v>
      </c>
      <c r="C3966" s="3" t="s">
        <v>57</v>
      </c>
    </row>
    <row r="3967" spans="1:3" x14ac:dyDescent="0.2">
      <c r="A3967" s="3" t="s">
        <v>1295</v>
      </c>
      <c r="B3967" s="3" t="s">
        <v>1298</v>
      </c>
      <c r="C3967" s="3" t="s">
        <v>57</v>
      </c>
    </row>
    <row r="3968" spans="1:3" x14ac:dyDescent="0.2">
      <c r="A3968" s="3" t="s">
        <v>1295</v>
      </c>
      <c r="B3968" s="3" t="s">
        <v>1299</v>
      </c>
      <c r="C3968" s="3" t="s">
        <v>57</v>
      </c>
    </row>
    <row r="3969" spans="1:3" x14ac:dyDescent="0.2">
      <c r="A3969" s="3" t="s">
        <v>1295</v>
      </c>
      <c r="B3969" s="3" t="s">
        <v>1300</v>
      </c>
      <c r="C3969" s="3" t="s">
        <v>57</v>
      </c>
    </row>
    <row r="3970" spans="1:3" x14ac:dyDescent="0.2">
      <c r="A3970" s="3" t="s">
        <v>1295</v>
      </c>
      <c r="B3970" s="3" t="s">
        <v>1304</v>
      </c>
      <c r="C3970" s="3" t="s">
        <v>169</v>
      </c>
    </row>
    <row r="3971" spans="1:3" x14ac:dyDescent="0.2">
      <c r="A3971" s="3" t="s">
        <v>1295</v>
      </c>
      <c r="B3971" s="3" t="s">
        <v>1305</v>
      </c>
      <c r="C3971" s="3" t="s">
        <v>169</v>
      </c>
    </row>
    <row r="3972" spans="1:3" x14ac:dyDescent="0.2">
      <c r="A3972" s="3" t="s">
        <v>1295</v>
      </c>
      <c r="B3972" s="3" t="s">
        <v>1306</v>
      </c>
      <c r="C3972" s="3" t="s">
        <v>10</v>
      </c>
    </row>
    <row r="3973" spans="1:3" x14ac:dyDescent="0.2">
      <c r="A3973" s="3" t="s">
        <v>1295</v>
      </c>
      <c r="B3973" s="3" t="s">
        <v>1307</v>
      </c>
      <c r="C3973" s="3" t="s">
        <v>10</v>
      </c>
    </row>
    <row r="3974" spans="1:3" x14ac:dyDescent="0.2">
      <c r="A3974" s="3" t="s">
        <v>1295</v>
      </c>
      <c r="B3974" s="3" t="s">
        <v>1306</v>
      </c>
      <c r="C3974" s="3" t="s">
        <v>11</v>
      </c>
    </row>
    <row r="3975" spans="1:3" x14ac:dyDescent="0.2">
      <c r="A3975" s="3" t="s">
        <v>1295</v>
      </c>
      <c r="B3975" s="3" t="s">
        <v>1307</v>
      </c>
      <c r="C3975" s="3" t="s">
        <v>11</v>
      </c>
    </row>
    <row r="3976" spans="1:3" x14ac:dyDescent="0.2">
      <c r="A3976" s="3" t="s">
        <v>1295</v>
      </c>
      <c r="B3976" s="3" t="s">
        <v>1308</v>
      </c>
      <c r="C3976" s="3" t="s">
        <v>11</v>
      </c>
    </row>
    <row r="3977" spans="1:3" x14ac:dyDescent="0.2">
      <c r="A3977" s="3" t="s">
        <v>1295</v>
      </c>
      <c r="B3977" s="3" t="s">
        <v>1309</v>
      </c>
      <c r="C3977" s="3" t="s">
        <v>11</v>
      </c>
    </row>
    <row r="3978" spans="1:3" x14ac:dyDescent="0.2">
      <c r="A3978" s="3" t="s">
        <v>1313</v>
      </c>
      <c r="B3978" s="3" t="s">
        <v>1314</v>
      </c>
      <c r="C3978" s="3" t="s">
        <v>53</v>
      </c>
    </row>
    <row r="3979" spans="1:3" x14ac:dyDescent="0.2">
      <c r="A3979" s="3" t="s">
        <v>1313</v>
      </c>
      <c r="B3979" s="3" t="s">
        <v>1315</v>
      </c>
      <c r="C3979" s="3" t="s">
        <v>53</v>
      </c>
    </row>
    <row r="3980" spans="1:3" x14ac:dyDescent="0.2">
      <c r="A3980" s="3" t="s">
        <v>1313</v>
      </c>
      <c r="B3980" s="3" t="s">
        <v>1314</v>
      </c>
      <c r="C3980" s="3" t="s">
        <v>54</v>
      </c>
    </row>
    <row r="3981" spans="1:3" x14ac:dyDescent="0.2">
      <c r="A3981" s="3" t="s">
        <v>1313</v>
      </c>
      <c r="B3981" s="3" t="s">
        <v>1315</v>
      </c>
      <c r="C3981" s="3" t="s">
        <v>54</v>
      </c>
    </row>
    <row r="3982" spans="1:3" x14ac:dyDescent="0.2">
      <c r="A3982" s="3" t="s">
        <v>1313</v>
      </c>
      <c r="B3982" s="3" t="s">
        <v>1314</v>
      </c>
      <c r="C3982" s="3" t="s">
        <v>55</v>
      </c>
    </row>
    <row r="3983" spans="1:3" x14ac:dyDescent="0.2">
      <c r="A3983" s="3" t="s">
        <v>1313</v>
      </c>
      <c r="B3983" s="3" t="s">
        <v>1315</v>
      </c>
      <c r="C3983" s="3" t="s">
        <v>55</v>
      </c>
    </row>
    <row r="3984" spans="1:3" x14ac:dyDescent="0.2">
      <c r="A3984" s="3" t="s">
        <v>1313</v>
      </c>
      <c r="B3984" s="3" t="s">
        <v>1314</v>
      </c>
      <c r="C3984" s="3" t="s">
        <v>56</v>
      </c>
    </row>
    <row r="3985" spans="1:3" x14ac:dyDescent="0.2">
      <c r="A3985" s="3" t="s">
        <v>1313</v>
      </c>
      <c r="B3985" s="3" t="s">
        <v>1315</v>
      </c>
      <c r="C3985" s="3" t="s">
        <v>56</v>
      </c>
    </row>
    <row r="3986" spans="1:3" x14ac:dyDescent="0.2">
      <c r="A3986" s="3" t="s">
        <v>1313</v>
      </c>
      <c r="B3986" s="3" t="s">
        <v>1314</v>
      </c>
      <c r="C3986" s="3" t="s">
        <v>57</v>
      </c>
    </row>
    <row r="3987" spans="1:3" x14ac:dyDescent="0.2">
      <c r="A3987" s="3" t="s">
        <v>1313</v>
      </c>
      <c r="B3987" s="3" t="s">
        <v>1315</v>
      </c>
      <c r="C3987" s="3" t="s">
        <v>57</v>
      </c>
    </row>
    <row r="3988" spans="1:3" x14ac:dyDescent="0.2">
      <c r="A3988" s="3" t="s">
        <v>1313</v>
      </c>
      <c r="B3988" s="3" t="s">
        <v>1316</v>
      </c>
      <c r="C3988" s="3" t="s">
        <v>57</v>
      </c>
    </row>
    <row r="3989" spans="1:3" x14ac:dyDescent="0.2">
      <c r="A3989" s="3" t="s">
        <v>1313</v>
      </c>
      <c r="B3989" s="3" t="s">
        <v>19</v>
      </c>
      <c r="C3989" s="3" t="s">
        <v>10</v>
      </c>
    </row>
    <row r="3990" spans="1:3" x14ac:dyDescent="0.2">
      <c r="A3990" s="3" t="s">
        <v>1313</v>
      </c>
      <c r="B3990" s="3" t="s">
        <v>20</v>
      </c>
      <c r="C3990" s="3" t="s">
        <v>10</v>
      </c>
    </row>
    <row r="3991" spans="1:3" x14ac:dyDescent="0.2">
      <c r="A3991" s="3" t="s">
        <v>1313</v>
      </c>
      <c r="B3991" s="3" t="s">
        <v>19</v>
      </c>
      <c r="C3991" s="3" t="s">
        <v>11</v>
      </c>
    </row>
    <row r="3992" spans="1:3" x14ac:dyDescent="0.2">
      <c r="A3992" s="3" t="s">
        <v>1313</v>
      </c>
      <c r="B3992" s="3" t="s">
        <v>1308</v>
      </c>
      <c r="C3992" s="3" t="s">
        <v>11</v>
      </c>
    </row>
    <row r="3993" spans="1:3" x14ac:dyDescent="0.2">
      <c r="A3993" s="3" t="s">
        <v>1313</v>
      </c>
      <c r="B3993" s="3" t="s">
        <v>1309</v>
      </c>
      <c r="C3993" s="3" t="s">
        <v>11</v>
      </c>
    </row>
    <row r="3994" spans="1:3" x14ac:dyDescent="0.2">
      <c r="A3994" s="3" t="s">
        <v>1317</v>
      </c>
      <c r="B3994" s="3" t="s">
        <v>19</v>
      </c>
      <c r="C3994" s="3" t="s">
        <v>10</v>
      </c>
    </row>
    <row r="3995" spans="1:3" x14ac:dyDescent="0.2">
      <c r="A3995" s="3" t="s">
        <v>1317</v>
      </c>
      <c r="B3995" s="3" t="s">
        <v>20</v>
      </c>
      <c r="C3995" s="3" t="s">
        <v>10</v>
      </c>
    </row>
    <row r="3996" spans="1:3" x14ac:dyDescent="0.2">
      <c r="A3996" s="3" t="s">
        <v>1317</v>
      </c>
      <c r="B3996" s="3" t="s">
        <v>19</v>
      </c>
      <c r="C3996" s="3" t="s">
        <v>11</v>
      </c>
    </row>
    <row r="3997" spans="1:3" x14ac:dyDescent="0.2">
      <c r="A3997" s="3" t="s">
        <v>1317</v>
      </c>
      <c r="B3997" s="3" t="s">
        <v>1308</v>
      </c>
      <c r="C3997" s="3" t="s">
        <v>11</v>
      </c>
    </row>
    <row r="3998" spans="1:3" x14ac:dyDescent="0.2">
      <c r="A3998" s="3" t="s">
        <v>1317</v>
      </c>
      <c r="B3998" s="3" t="s">
        <v>1309</v>
      </c>
      <c r="C3998" s="3" t="s">
        <v>11</v>
      </c>
    </row>
    <row r="3999" spans="1:3" x14ac:dyDescent="0.2">
      <c r="A3999" s="3" t="s">
        <v>1318</v>
      </c>
      <c r="B3999" s="3" t="s">
        <v>969</v>
      </c>
      <c r="C3999" s="3" t="s">
        <v>53</v>
      </c>
    </row>
    <row r="4000" spans="1:3" x14ac:dyDescent="0.2">
      <c r="A4000" s="3" t="s">
        <v>1318</v>
      </c>
      <c r="B4000" s="3" t="s">
        <v>849</v>
      </c>
      <c r="C4000" s="3" t="s">
        <v>53</v>
      </c>
    </row>
    <row r="4001" spans="1:3" x14ac:dyDescent="0.2">
      <c r="A4001" s="3" t="s">
        <v>1318</v>
      </c>
      <c r="B4001" s="3" t="s">
        <v>850</v>
      </c>
      <c r="C4001" s="3" t="s">
        <v>53</v>
      </c>
    </row>
    <row r="4002" spans="1:3" x14ac:dyDescent="0.2">
      <c r="A4002" s="3" t="s">
        <v>1318</v>
      </c>
      <c r="B4002" s="3" t="s">
        <v>851</v>
      </c>
      <c r="C4002" s="3" t="s">
        <v>53</v>
      </c>
    </row>
    <row r="4003" spans="1:3" x14ac:dyDescent="0.2">
      <c r="A4003" s="3" t="s">
        <v>1318</v>
      </c>
      <c r="B4003" s="3" t="s">
        <v>969</v>
      </c>
      <c r="C4003" s="3" t="s">
        <v>54</v>
      </c>
    </row>
    <row r="4004" spans="1:3" x14ac:dyDescent="0.2">
      <c r="A4004" s="3" t="s">
        <v>1318</v>
      </c>
      <c r="B4004" s="3" t="s">
        <v>849</v>
      </c>
      <c r="C4004" s="3" t="s">
        <v>54</v>
      </c>
    </row>
    <row r="4005" spans="1:3" x14ac:dyDescent="0.2">
      <c r="A4005" s="3" t="s">
        <v>1318</v>
      </c>
      <c r="B4005" s="3" t="s">
        <v>850</v>
      </c>
      <c r="C4005" s="3" t="s">
        <v>54</v>
      </c>
    </row>
    <row r="4006" spans="1:3" x14ac:dyDescent="0.2">
      <c r="A4006" s="3" t="s">
        <v>1318</v>
      </c>
      <c r="B4006" s="3" t="s">
        <v>851</v>
      </c>
      <c r="C4006" s="3" t="s">
        <v>54</v>
      </c>
    </row>
    <row r="4007" spans="1:3" x14ac:dyDescent="0.2">
      <c r="A4007" s="3" t="s">
        <v>1318</v>
      </c>
      <c r="B4007" s="3" t="s">
        <v>969</v>
      </c>
      <c r="C4007" s="3" t="s">
        <v>55</v>
      </c>
    </row>
    <row r="4008" spans="1:3" x14ac:dyDescent="0.2">
      <c r="A4008" s="3" t="s">
        <v>1318</v>
      </c>
      <c r="B4008" s="3" t="s">
        <v>849</v>
      </c>
      <c r="C4008" s="3" t="s">
        <v>55</v>
      </c>
    </row>
    <row r="4009" spans="1:3" x14ac:dyDescent="0.2">
      <c r="A4009" s="3" t="s">
        <v>1318</v>
      </c>
      <c r="B4009" s="3" t="s">
        <v>850</v>
      </c>
      <c r="C4009" s="3" t="s">
        <v>55</v>
      </c>
    </row>
    <row r="4010" spans="1:3" x14ac:dyDescent="0.2">
      <c r="A4010" s="3" t="s">
        <v>1318</v>
      </c>
      <c r="B4010" s="3" t="s">
        <v>851</v>
      </c>
      <c r="C4010" s="3" t="s">
        <v>55</v>
      </c>
    </row>
    <row r="4011" spans="1:3" x14ac:dyDescent="0.2">
      <c r="A4011" s="3" t="s">
        <v>1318</v>
      </c>
      <c r="B4011" s="3" t="s">
        <v>969</v>
      </c>
      <c r="C4011" s="3" t="s">
        <v>56</v>
      </c>
    </row>
    <row r="4012" spans="1:3" x14ac:dyDescent="0.2">
      <c r="A4012" s="3" t="s">
        <v>1318</v>
      </c>
      <c r="B4012" s="3" t="s">
        <v>849</v>
      </c>
      <c r="C4012" s="3" t="s">
        <v>56</v>
      </c>
    </row>
    <row r="4013" spans="1:3" x14ac:dyDescent="0.2">
      <c r="A4013" s="3" t="s">
        <v>1318</v>
      </c>
      <c r="B4013" s="3" t="s">
        <v>850</v>
      </c>
      <c r="C4013" s="3" t="s">
        <v>56</v>
      </c>
    </row>
    <row r="4014" spans="1:3" x14ac:dyDescent="0.2">
      <c r="A4014" s="3" t="s">
        <v>1318</v>
      </c>
      <c r="B4014" s="3" t="s">
        <v>851</v>
      </c>
      <c r="C4014" s="3" t="s">
        <v>56</v>
      </c>
    </row>
    <row r="4015" spans="1:3" x14ac:dyDescent="0.2">
      <c r="A4015" s="3" t="s">
        <v>1318</v>
      </c>
      <c r="B4015" s="3" t="s">
        <v>969</v>
      </c>
      <c r="C4015" s="3" t="s">
        <v>57</v>
      </c>
    </row>
    <row r="4016" spans="1:3" x14ac:dyDescent="0.2">
      <c r="A4016" s="3" t="s">
        <v>1318</v>
      </c>
      <c r="B4016" s="3" t="s">
        <v>849</v>
      </c>
      <c r="C4016" s="3" t="s">
        <v>57</v>
      </c>
    </row>
    <row r="4017" spans="1:3" x14ac:dyDescent="0.2">
      <c r="A4017" s="3" t="s">
        <v>1318</v>
      </c>
      <c r="B4017" s="3" t="s">
        <v>850</v>
      </c>
      <c r="C4017" s="3" t="s">
        <v>57</v>
      </c>
    </row>
    <row r="4018" spans="1:3" x14ac:dyDescent="0.2">
      <c r="A4018" s="3" t="s">
        <v>1318</v>
      </c>
      <c r="B4018" s="3" t="s">
        <v>851</v>
      </c>
      <c r="C4018" s="3" t="s">
        <v>57</v>
      </c>
    </row>
    <row r="4019" spans="1:3" x14ac:dyDescent="0.2">
      <c r="A4019" s="3" t="s">
        <v>1318</v>
      </c>
      <c r="B4019" s="3" t="s">
        <v>1308</v>
      </c>
      <c r="C4019" s="3" t="s">
        <v>11</v>
      </c>
    </row>
    <row r="4020" spans="1:3" x14ac:dyDescent="0.2">
      <c r="A4020" s="3" t="s">
        <v>1318</v>
      </c>
      <c r="B4020" s="3" t="s">
        <v>1309</v>
      </c>
      <c r="C4020" s="3" t="s">
        <v>11</v>
      </c>
    </row>
    <row r="4021" spans="1:3" x14ac:dyDescent="0.2">
      <c r="A4021" s="3" t="s">
        <v>1319</v>
      </c>
      <c r="B4021" s="3" t="s">
        <v>1308</v>
      </c>
      <c r="C4021" s="3" t="s">
        <v>11</v>
      </c>
    </row>
    <row r="4022" spans="1:3" x14ac:dyDescent="0.2">
      <c r="A4022" s="3" t="s">
        <v>1319</v>
      </c>
      <c r="B4022" s="3" t="s">
        <v>1309</v>
      </c>
      <c r="C4022" s="3" t="s">
        <v>11</v>
      </c>
    </row>
    <row r="4023" spans="1:3" x14ac:dyDescent="0.2">
      <c r="A4023" s="3" t="s">
        <v>1320</v>
      </c>
      <c r="B4023" s="3" t="s">
        <v>1321</v>
      </c>
      <c r="C4023" s="3" t="s">
        <v>53</v>
      </c>
    </row>
    <row r="4024" spans="1:3" x14ac:dyDescent="0.2">
      <c r="A4024" s="3" t="s">
        <v>1320</v>
      </c>
      <c r="B4024" s="3" t="s">
        <v>1322</v>
      </c>
      <c r="C4024" s="3" t="s">
        <v>53</v>
      </c>
    </row>
    <row r="4025" spans="1:3" x14ac:dyDescent="0.2">
      <c r="A4025" s="3" t="s">
        <v>1320</v>
      </c>
      <c r="B4025" s="3" t="s">
        <v>1323</v>
      </c>
      <c r="C4025" s="3" t="s">
        <v>53</v>
      </c>
    </row>
    <row r="4026" spans="1:3" x14ac:dyDescent="0.2">
      <c r="A4026" s="3" t="s">
        <v>1320</v>
      </c>
      <c r="B4026" s="3" t="s">
        <v>1324</v>
      </c>
      <c r="C4026" s="3" t="s">
        <v>53</v>
      </c>
    </row>
    <row r="4027" spans="1:3" x14ac:dyDescent="0.2">
      <c r="A4027" s="3" t="s">
        <v>1320</v>
      </c>
      <c r="B4027" s="3" t="s">
        <v>1325</v>
      </c>
      <c r="C4027" s="3" t="s">
        <v>53</v>
      </c>
    </row>
    <row r="4028" spans="1:3" x14ac:dyDescent="0.2">
      <c r="A4028" s="3" t="s">
        <v>1320</v>
      </c>
      <c r="B4028" s="3" t="s">
        <v>1326</v>
      </c>
      <c r="C4028" s="3" t="s">
        <v>53</v>
      </c>
    </row>
    <row r="4029" spans="1:3" x14ac:dyDescent="0.2">
      <c r="A4029" s="3" t="s">
        <v>1320</v>
      </c>
      <c r="B4029" s="3" t="s">
        <v>1321</v>
      </c>
      <c r="C4029" s="3" t="s">
        <v>54</v>
      </c>
    </row>
    <row r="4030" spans="1:3" x14ac:dyDescent="0.2">
      <c r="A4030" s="3" t="s">
        <v>1320</v>
      </c>
      <c r="B4030" s="3" t="s">
        <v>1322</v>
      </c>
      <c r="C4030" s="3" t="s">
        <v>54</v>
      </c>
    </row>
    <row r="4031" spans="1:3" x14ac:dyDescent="0.2">
      <c r="A4031" s="3" t="s">
        <v>1320</v>
      </c>
      <c r="B4031" s="3" t="s">
        <v>1323</v>
      </c>
      <c r="C4031" s="3" t="s">
        <v>54</v>
      </c>
    </row>
    <row r="4032" spans="1:3" x14ac:dyDescent="0.2">
      <c r="A4032" s="3" t="s">
        <v>1320</v>
      </c>
      <c r="B4032" s="3" t="s">
        <v>1324</v>
      </c>
      <c r="C4032" s="3" t="s">
        <v>54</v>
      </c>
    </row>
    <row r="4033" spans="1:3" x14ac:dyDescent="0.2">
      <c r="A4033" s="3" t="s">
        <v>1320</v>
      </c>
      <c r="B4033" s="3" t="s">
        <v>1325</v>
      </c>
      <c r="C4033" s="3" t="s">
        <v>54</v>
      </c>
    </row>
    <row r="4034" spans="1:3" x14ac:dyDescent="0.2">
      <c r="A4034" s="3" t="s">
        <v>1320</v>
      </c>
      <c r="B4034" s="3" t="s">
        <v>1326</v>
      </c>
      <c r="C4034" s="3" t="s">
        <v>54</v>
      </c>
    </row>
    <row r="4035" spans="1:3" x14ac:dyDescent="0.2">
      <c r="A4035" s="3" t="s">
        <v>1320</v>
      </c>
      <c r="B4035" s="3" t="s">
        <v>1321</v>
      </c>
      <c r="C4035" s="3" t="s">
        <v>55</v>
      </c>
    </row>
    <row r="4036" spans="1:3" x14ac:dyDescent="0.2">
      <c r="A4036" s="3" t="s">
        <v>1320</v>
      </c>
      <c r="B4036" s="3" t="s">
        <v>1322</v>
      </c>
      <c r="C4036" s="3" t="s">
        <v>55</v>
      </c>
    </row>
    <row r="4037" spans="1:3" x14ac:dyDescent="0.2">
      <c r="A4037" s="3" t="s">
        <v>1320</v>
      </c>
      <c r="B4037" s="3" t="s">
        <v>1323</v>
      </c>
      <c r="C4037" s="3" t="s">
        <v>55</v>
      </c>
    </row>
    <row r="4038" spans="1:3" x14ac:dyDescent="0.2">
      <c r="A4038" s="3" t="s">
        <v>1320</v>
      </c>
      <c r="B4038" s="3" t="s">
        <v>1324</v>
      </c>
      <c r="C4038" s="3" t="s">
        <v>55</v>
      </c>
    </row>
    <row r="4039" spans="1:3" x14ac:dyDescent="0.2">
      <c r="A4039" s="3" t="s">
        <v>1320</v>
      </c>
      <c r="B4039" s="3" t="s">
        <v>1325</v>
      </c>
      <c r="C4039" s="3" t="s">
        <v>55</v>
      </c>
    </row>
    <row r="4040" spans="1:3" x14ac:dyDescent="0.2">
      <c r="A4040" s="3" t="s">
        <v>1320</v>
      </c>
      <c r="B4040" s="3" t="s">
        <v>1326</v>
      </c>
      <c r="C4040" s="3" t="s">
        <v>55</v>
      </c>
    </row>
    <row r="4041" spans="1:3" x14ac:dyDescent="0.2">
      <c r="A4041" s="3" t="s">
        <v>1320</v>
      </c>
      <c r="B4041" s="3" t="s">
        <v>1321</v>
      </c>
      <c r="C4041" s="3" t="s">
        <v>56</v>
      </c>
    </row>
    <row r="4042" spans="1:3" x14ac:dyDescent="0.2">
      <c r="A4042" s="3" t="s">
        <v>1320</v>
      </c>
      <c r="B4042" s="3" t="s">
        <v>1322</v>
      </c>
      <c r="C4042" s="3" t="s">
        <v>56</v>
      </c>
    </row>
    <row r="4043" spans="1:3" x14ac:dyDescent="0.2">
      <c r="A4043" s="3" t="s">
        <v>1320</v>
      </c>
      <c r="B4043" s="3" t="s">
        <v>1323</v>
      </c>
      <c r="C4043" s="3" t="s">
        <v>56</v>
      </c>
    </row>
    <row r="4044" spans="1:3" x14ac:dyDescent="0.2">
      <c r="A4044" s="3" t="s">
        <v>1320</v>
      </c>
      <c r="B4044" s="3" t="s">
        <v>1324</v>
      </c>
      <c r="C4044" s="3" t="s">
        <v>56</v>
      </c>
    </row>
    <row r="4045" spans="1:3" x14ac:dyDescent="0.2">
      <c r="A4045" s="3" t="s">
        <v>1320</v>
      </c>
      <c r="B4045" s="3" t="s">
        <v>1325</v>
      </c>
      <c r="C4045" s="3" t="s">
        <v>56</v>
      </c>
    </row>
    <row r="4046" spans="1:3" x14ac:dyDescent="0.2">
      <c r="A4046" s="3" t="s">
        <v>1320</v>
      </c>
      <c r="B4046" s="3" t="s">
        <v>1326</v>
      </c>
      <c r="C4046" s="3" t="s">
        <v>56</v>
      </c>
    </row>
    <row r="4047" spans="1:3" x14ac:dyDescent="0.2">
      <c r="A4047" s="3" t="s">
        <v>1320</v>
      </c>
      <c r="B4047" s="3" t="s">
        <v>1321</v>
      </c>
      <c r="C4047" s="3" t="s">
        <v>57</v>
      </c>
    </row>
    <row r="4048" spans="1:3" x14ac:dyDescent="0.2">
      <c r="A4048" s="3" t="s">
        <v>1320</v>
      </c>
      <c r="B4048" s="3" t="s">
        <v>1322</v>
      </c>
      <c r="C4048" s="3" t="s">
        <v>57</v>
      </c>
    </row>
    <row r="4049" spans="1:3" x14ac:dyDescent="0.2">
      <c r="A4049" s="3" t="s">
        <v>1320</v>
      </c>
      <c r="B4049" s="3" t="s">
        <v>1323</v>
      </c>
      <c r="C4049" s="3" t="s">
        <v>57</v>
      </c>
    </row>
    <row r="4050" spans="1:3" x14ac:dyDescent="0.2">
      <c r="A4050" s="3" t="s">
        <v>1320</v>
      </c>
      <c r="B4050" s="3" t="s">
        <v>1324</v>
      </c>
      <c r="C4050" s="3" t="s">
        <v>57</v>
      </c>
    </row>
    <row r="4051" spans="1:3" x14ac:dyDescent="0.2">
      <c r="A4051" s="3" t="s">
        <v>1320</v>
      </c>
      <c r="B4051" s="3" t="s">
        <v>1325</v>
      </c>
      <c r="C4051" s="3" t="s">
        <v>57</v>
      </c>
    </row>
    <row r="4052" spans="1:3" x14ac:dyDescent="0.2">
      <c r="A4052" s="3" t="s">
        <v>1320</v>
      </c>
      <c r="B4052" s="3" t="s">
        <v>1326</v>
      </c>
      <c r="C4052" s="3" t="s">
        <v>57</v>
      </c>
    </row>
    <row r="4053" spans="1:3" x14ac:dyDescent="0.2">
      <c r="A4053" s="3" t="s">
        <v>1320</v>
      </c>
      <c r="B4053" s="3" t="s">
        <v>1327</v>
      </c>
      <c r="C4053" s="3" t="s">
        <v>169</v>
      </c>
    </row>
    <row r="4054" spans="1:3" x14ac:dyDescent="0.2">
      <c r="A4054" s="3" t="s">
        <v>1320</v>
      </c>
      <c r="B4054" s="3" t="s">
        <v>1328</v>
      </c>
      <c r="C4054" s="3" t="s">
        <v>169</v>
      </c>
    </row>
    <row r="4055" spans="1:3" x14ac:dyDescent="0.2">
      <c r="A4055" s="3" t="s">
        <v>1320</v>
      </c>
      <c r="B4055" s="3" t="s">
        <v>1329</v>
      </c>
      <c r="C4055" s="3" t="s">
        <v>169</v>
      </c>
    </row>
    <row r="4056" spans="1:3" x14ac:dyDescent="0.2">
      <c r="A4056" s="3" t="s">
        <v>1320</v>
      </c>
      <c r="B4056" s="3" t="s">
        <v>1330</v>
      </c>
      <c r="C4056" s="3" t="s">
        <v>10</v>
      </c>
    </row>
    <row r="4057" spans="1:3" x14ac:dyDescent="0.2">
      <c r="A4057" s="3" t="s">
        <v>1320</v>
      </c>
      <c r="B4057" s="3" t="s">
        <v>1331</v>
      </c>
      <c r="C4057" s="3" t="s">
        <v>10</v>
      </c>
    </row>
    <row r="4058" spans="1:3" x14ac:dyDescent="0.2">
      <c r="A4058" s="3" t="s">
        <v>1320</v>
      </c>
      <c r="B4058" s="3" t="s">
        <v>1332</v>
      </c>
      <c r="C4058" s="3" t="s">
        <v>10</v>
      </c>
    </row>
    <row r="4059" spans="1:3" x14ac:dyDescent="0.2">
      <c r="A4059" s="3" t="s">
        <v>1320</v>
      </c>
      <c r="B4059" s="3" t="s">
        <v>1333</v>
      </c>
      <c r="C4059" s="3" t="s">
        <v>10</v>
      </c>
    </row>
    <row r="4060" spans="1:3" x14ac:dyDescent="0.2">
      <c r="A4060" s="3" t="s">
        <v>1320</v>
      </c>
      <c r="B4060" s="3" t="s">
        <v>1334</v>
      </c>
      <c r="C4060" s="3" t="s">
        <v>10</v>
      </c>
    </row>
    <row r="4061" spans="1:3" x14ac:dyDescent="0.2">
      <c r="A4061" s="3" t="s">
        <v>1320</v>
      </c>
      <c r="B4061" s="3" t="s">
        <v>1335</v>
      </c>
      <c r="C4061" s="3" t="s">
        <v>10</v>
      </c>
    </row>
    <row r="4062" spans="1:3" x14ac:dyDescent="0.2">
      <c r="A4062" s="3" t="s">
        <v>1320</v>
      </c>
      <c r="B4062" s="3" t="s">
        <v>1336</v>
      </c>
      <c r="C4062" s="3" t="s">
        <v>10</v>
      </c>
    </row>
    <row r="4063" spans="1:3" x14ac:dyDescent="0.2">
      <c r="A4063" s="3" t="s">
        <v>1320</v>
      </c>
      <c r="B4063" s="3" t="s">
        <v>88</v>
      </c>
      <c r="C4063" s="3" t="s">
        <v>10</v>
      </c>
    </row>
    <row r="4064" spans="1:3" x14ac:dyDescent="0.2">
      <c r="A4064" s="3" t="s">
        <v>1320</v>
      </c>
      <c r="B4064" s="3" t="s">
        <v>1337</v>
      </c>
      <c r="C4064" s="3" t="s">
        <v>10</v>
      </c>
    </row>
    <row r="4065" spans="1:3" x14ac:dyDescent="0.2">
      <c r="A4065" s="3" t="s">
        <v>1320</v>
      </c>
      <c r="B4065" s="3" t="s">
        <v>1338</v>
      </c>
      <c r="C4065" s="3" t="s">
        <v>10</v>
      </c>
    </row>
    <row r="4066" spans="1:3" x14ac:dyDescent="0.2">
      <c r="A4066" s="3" t="s">
        <v>1320</v>
      </c>
      <c r="B4066" s="3" t="s">
        <v>1339</v>
      </c>
      <c r="C4066" s="3" t="s">
        <v>10</v>
      </c>
    </row>
    <row r="4067" spans="1:3" x14ac:dyDescent="0.2">
      <c r="A4067" s="3" t="s">
        <v>1320</v>
      </c>
      <c r="B4067" s="3" t="s">
        <v>1340</v>
      </c>
      <c r="C4067" s="3" t="s">
        <v>10</v>
      </c>
    </row>
    <row r="4068" spans="1:3" x14ac:dyDescent="0.2">
      <c r="A4068" s="3" t="s">
        <v>1320</v>
      </c>
      <c r="B4068" s="3" t="s">
        <v>1341</v>
      </c>
      <c r="C4068" s="3" t="s">
        <v>10</v>
      </c>
    </row>
    <row r="4069" spans="1:3" x14ac:dyDescent="0.2">
      <c r="A4069" s="3" t="s">
        <v>1320</v>
      </c>
      <c r="B4069" s="3" t="s">
        <v>1342</v>
      </c>
      <c r="C4069" s="3" t="s">
        <v>10</v>
      </c>
    </row>
    <row r="4070" spans="1:3" x14ac:dyDescent="0.2">
      <c r="A4070" s="3" t="s">
        <v>1320</v>
      </c>
      <c r="B4070" s="3" t="s">
        <v>1343</v>
      </c>
      <c r="C4070" s="3" t="s">
        <v>10</v>
      </c>
    </row>
    <row r="4071" spans="1:3" x14ac:dyDescent="0.2">
      <c r="A4071" s="3" t="s">
        <v>1320</v>
      </c>
      <c r="B4071" s="3" t="s">
        <v>1344</v>
      </c>
      <c r="C4071" s="3" t="s">
        <v>10</v>
      </c>
    </row>
    <row r="4072" spans="1:3" x14ac:dyDescent="0.2">
      <c r="A4072" s="3" t="s">
        <v>1320</v>
      </c>
      <c r="B4072" s="3" t="s">
        <v>1292</v>
      </c>
      <c r="C4072" s="3" t="s">
        <v>10</v>
      </c>
    </row>
    <row r="4073" spans="1:3" x14ac:dyDescent="0.2">
      <c r="A4073" s="3" t="s">
        <v>1320</v>
      </c>
      <c r="B4073" s="3" t="s">
        <v>1345</v>
      </c>
      <c r="C4073" s="3" t="s">
        <v>10</v>
      </c>
    </row>
    <row r="4074" spans="1:3" x14ac:dyDescent="0.2">
      <c r="A4074" s="3" t="s">
        <v>1320</v>
      </c>
      <c r="B4074" s="3" t="s">
        <v>1346</v>
      </c>
      <c r="C4074" s="3" t="s">
        <v>10</v>
      </c>
    </row>
    <row r="4075" spans="1:3" x14ac:dyDescent="0.2">
      <c r="A4075" s="3" t="s">
        <v>1320</v>
      </c>
      <c r="B4075" s="3" t="s">
        <v>1347</v>
      </c>
      <c r="C4075" s="3" t="s">
        <v>10</v>
      </c>
    </row>
    <row r="4076" spans="1:3" x14ac:dyDescent="0.2">
      <c r="A4076" s="3" t="s">
        <v>1320</v>
      </c>
      <c r="B4076" s="3" t="s">
        <v>1348</v>
      </c>
      <c r="C4076" s="3" t="s">
        <v>10</v>
      </c>
    </row>
    <row r="4077" spans="1:3" x14ac:dyDescent="0.2">
      <c r="A4077" s="3" t="s">
        <v>1320</v>
      </c>
      <c r="B4077" s="3" t="s">
        <v>1239</v>
      </c>
      <c r="C4077" s="3" t="s">
        <v>10</v>
      </c>
    </row>
    <row r="4078" spans="1:3" x14ac:dyDescent="0.2">
      <c r="A4078" s="3" t="s">
        <v>1320</v>
      </c>
      <c r="B4078" s="3" t="s">
        <v>1240</v>
      </c>
      <c r="C4078" s="3" t="s">
        <v>10</v>
      </c>
    </row>
    <row r="4079" spans="1:3" x14ac:dyDescent="0.2">
      <c r="A4079" s="3" t="s">
        <v>1320</v>
      </c>
      <c r="B4079" s="3" t="s">
        <v>1349</v>
      </c>
      <c r="C4079" s="3" t="s">
        <v>10</v>
      </c>
    </row>
    <row r="4080" spans="1:3" x14ac:dyDescent="0.2">
      <c r="A4080" s="3" t="s">
        <v>1320</v>
      </c>
      <c r="B4080" s="3" t="s">
        <v>1350</v>
      </c>
      <c r="C4080" s="3" t="s">
        <v>10</v>
      </c>
    </row>
    <row r="4081" spans="1:3" x14ac:dyDescent="0.2">
      <c r="A4081" s="3" t="s">
        <v>1320</v>
      </c>
      <c r="B4081" s="3" t="s">
        <v>1351</v>
      </c>
      <c r="C4081" s="3" t="s">
        <v>10</v>
      </c>
    </row>
    <row r="4082" spans="1:3" x14ac:dyDescent="0.2">
      <c r="A4082" s="3" t="s">
        <v>1320</v>
      </c>
      <c r="B4082" s="3" t="s">
        <v>1352</v>
      </c>
      <c r="C4082" s="3" t="s">
        <v>10</v>
      </c>
    </row>
    <row r="4083" spans="1:3" x14ac:dyDescent="0.2">
      <c r="A4083" s="3" t="s">
        <v>1320</v>
      </c>
      <c r="B4083" s="3" t="s">
        <v>1353</v>
      </c>
      <c r="C4083" s="3" t="s">
        <v>10</v>
      </c>
    </row>
    <row r="4084" spans="1:3" x14ac:dyDescent="0.2">
      <c r="A4084" s="3" t="s">
        <v>1320</v>
      </c>
      <c r="B4084" s="3" t="s">
        <v>1354</v>
      </c>
      <c r="C4084" s="3" t="s">
        <v>10</v>
      </c>
    </row>
    <row r="4085" spans="1:3" x14ac:dyDescent="0.2">
      <c r="A4085" s="3" t="s">
        <v>1320</v>
      </c>
      <c r="B4085" s="3" t="s">
        <v>1355</v>
      </c>
      <c r="C4085" s="3" t="s">
        <v>10</v>
      </c>
    </row>
    <row r="4086" spans="1:3" x14ac:dyDescent="0.2">
      <c r="A4086" s="3" t="s">
        <v>1320</v>
      </c>
      <c r="B4086" s="3" t="s">
        <v>1356</v>
      </c>
      <c r="C4086" s="3" t="s">
        <v>10</v>
      </c>
    </row>
    <row r="4087" spans="1:3" x14ac:dyDescent="0.2">
      <c r="A4087" s="3" t="s">
        <v>1320</v>
      </c>
      <c r="B4087" s="3" t="s">
        <v>1357</v>
      </c>
      <c r="C4087" s="3" t="s">
        <v>10</v>
      </c>
    </row>
    <row r="4088" spans="1:3" x14ac:dyDescent="0.2">
      <c r="A4088" s="3" t="s">
        <v>1320</v>
      </c>
      <c r="B4088" s="3" t="s">
        <v>1358</v>
      </c>
      <c r="C4088" s="3" t="s">
        <v>10</v>
      </c>
    </row>
    <row r="4089" spans="1:3" x14ac:dyDescent="0.2">
      <c r="A4089" s="3" t="s">
        <v>1320</v>
      </c>
      <c r="B4089" s="3" t="s">
        <v>1359</v>
      </c>
      <c r="C4089" s="3" t="s">
        <v>10</v>
      </c>
    </row>
    <row r="4090" spans="1:3" x14ac:dyDescent="0.2">
      <c r="A4090" s="3" t="s">
        <v>1320</v>
      </c>
      <c r="B4090" s="3" t="s">
        <v>1360</v>
      </c>
      <c r="C4090" s="3" t="s">
        <v>10</v>
      </c>
    </row>
    <row r="4091" spans="1:3" x14ac:dyDescent="0.2">
      <c r="A4091" s="3" t="s">
        <v>1320</v>
      </c>
      <c r="B4091" s="3" t="s">
        <v>1361</v>
      </c>
      <c r="C4091" s="3" t="s">
        <v>10</v>
      </c>
    </row>
    <row r="4092" spans="1:3" x14ac:dyDescent="0.2">
      <c r="A4092" s="3" t="s">
        <v>1320</v>
      </c>
      <c r="B4092" s="3" t="s">
        <v>1362</v>
      </c>
      <c r="C4092" s="3" t="s">
        <v>10</v>
      </c>
    </row>
    <row r="4093" spans="1:3" x14ac:dyDescent="0.2">
      <c r="A4093" s="3" t="s">
        <v>1320</v>
      </c>
      <c r="B4093" s="3" t="s">
        <v>1363</v>
      </c>
      <c r="C4093" s="3" t="s">
        <v>10</v>
      </c>
    </row>
    <row r="4094" spans="1:3" x14ac:dyDescent="0.2">
      <c r="A4094" s="3" t="s">
        <v>1320</v>
      </c>
      <c r="B4094" s="3" t="s">
        <v>1364</v>
      </c>
      <c r="C4094" s="3" t="s">
        <v>10</v>
      </c>
    </row>
    <row r="4095" spans="1:3" x14ac:dyDescent="0.2">
      <c r="A4095" s="3" t="s">
        <v>1320</v>
      </c>
      <c r="B4095" s="3" t="s">
        <v>1365</v>
      </c>
      <c r="C4095" s="3" t="s">
        <v>10</v>
      </c>
    </row>
    <row r="4096" spans="1:3" x14ac:dyDescent="0.2">
      <c r="A4096" s="3" t="s">
        <v>1320</v>
      </c>
      <c r="B4096" s="3" t="s">
        <v>1366</v>
      </c>
      <c r="C4096" s="3" t="s">
        <v>10</v>
      </c>
    </row>
    <row r="4097" spans="1:3" x14ac:dyDescent="0.2">
      <c r="A4097" s="3" t="s">
        <v>1320</v>
      </c>
      <c r="B4097" s="3" t="s">
        <v>1311</v>
      </c>
      <c r="C4097" s="3" t="s">
        <v>10</v>
      </c>
    </row>
    <row r="4098" spans="1:3" x14ac:dyDescent="0.2">
      <c r="A4098" s="3" t="s">
        <v>1320</v>
      </c>
      <c r="B4098" s="3" t="s">
        <v>1367</v>
      </c>
      <c r="C4098" s="3" t="s">
        <v>10</v>
      </c>
    </row>
    <row r="4099" spans="1:3" x14ac:dyDescent="0.2">
      <c r="A4099" s="3" t="s">
        <v>1320</v>
      </c>
      <c r="B4099" s="3" t="s">
        <v>1368</v>
      </c>
      <c r="C4099" s="3" t="s">
        <v>10</v>
      </c>
    </row>
    <row r="4100" spans="1:3" x14ac:dyDescent="0.2">
      <c r="A4100" s="3" t="s">
        <v>1320</v>
      </c>
      <c r="B4100" s="3" t="s">
        <v>1256</v>
      </c>
      <c r="C4100" s="3" t="s">
        <v>10</v>
      </c>
    </row>
    <row r="4101" spans="1:3" x14ac:dyDescent="0.2">
      <c r="A4101" s="3" t="s">
        <v>1320</v>
      </c>
      <c r="B4101" s="3" t="s">
        <v>1369</v>
      </c>
      <c r="C4101" s="3" t="s">
        <v>10</v>
      </c>
    </row>
    <row r="4102" spans="1:3" x14ac:dyDescent="0.2">
      <c r="A4102" s="3" t="s">
        <v>1320</v>
      </c>
      <c r="B4102" s="3" t="s">
        <v>1370</v>
      </c>
      <c r="C4102" s="3" t="s">
        <v>10</v>
      </c>
    </row>
    <row r="4103" spans="1:3" x14ac:dyDescent="0.2">
      <c r="A4103" s="3" t="s">
        <v>1320</v>
      </c>
      <c r="B4103" s="3" t="s">
        <v>1371</v>
      </c>
      <c r="C4103" s="3" t="s">
        <v>10</v>
      </c>
    </row>
    <row r="4104" spans="1:3" x14ac:dyDescent="0.2">
      <c r="A4104" s="3" t="s">
        <v>1320</v>
      </c>
      <c r="B4104" s="3" t="s">
        <v>1372</v>
      </c>
      <c r="C4104" s="3" t="s">
        <v>10</v>
      </c>
    </row>
    <row r="4105" spans="1:3" x14ac:dyDescent="0.2">
      <c r="A4105" s="3" t="s">
        <v>1320</v>
      </c>
      <c r="B4105" s="3" t="s">
        <v>1373</v>
      </c>
      <c r="C4105" s="3" t="s">
        <v>10</v>
      </c>
    </row>
    <row r="4106" spans="1:3" x14ac:dyDescent="0.2">
      <c r="A4106" s="3" t="s">
        <v>1320</v>
      </c>
      <c r="B4106" s="3" t="s">
        <v>1321</v>
      </c>
      <c r="C4106" s="3" t="s">
        <v>10</v>
      </c>
    </row>
    <row r="4107" spans="1:3" x14ac:dyDescent="0.2">
      <c r="A4107" s="3" t="s">
        <v>1320</v>
      </c>
      <c r="B4107" s="3" t="s">
        <v>1322</v>
      </c>
      <c r="C4107" s="3" t="s">
        <v>10</v>
      </c>
    </row>
    <row r="4108" spans="1:3" x14ac:dyDescent="0.2">
      <c r="A4108" s="3" t="s">
        <v>1320</v>
      </c>
      <c r="B4108" s="3" t="s">
        <v>1323</v>
      </c>
      <c r="C4108" s="3" t="s">
        <v>10</v>
      </c>
    </row>
    <row r="4109" spans="1:3" x14ac:dyDescent="0.2">
      <c r="A4109" s="3" t="s">
        <v>1320</v>
      </c>
      <c r="B4109" s="3" t="s">
        <v>1324</v>
      </c>
      <c r="C4109" s="3" t="s">
        <v>10</v>
      </c>
    </row>
    <row r="4110" spans="1:3" x14ac:dyDescent="0.2">
      <c r="A4110" s="3" t="s">
        <v>1320</v>
      </c>
      <c r="B4110" s="3" t="s">
        <v>1325</v>
      </c>
      <c r="C4110" s="3" t="s">
        <v>10</v>
      </c>
    </row>
    <row r="4111" spans="1:3" x14ac:dyDescent="0.2">
      <c r="A4111" s="3" t="s">
        <v>1320</v>
      </c>
      <c r="B4111" s="3" t="s">
        <v>92</v>
      </c>
      <c r="C4111" s="3" t="s">
        <v>10</v>
      </c>
    </row>
    <row r="4112" spans="1:3" x14ac:dyDescent="0.2">
      <c r="A4112" s="3" t="s">
        <v>1320</v>
      </c>
      <c r="B4112" s="3" t="s">
        <v>1374</v>
      </c>
      <c r="C4112" s="3" t="s">
        <v>10</v>
      </c>
    </row>
    <row r="4113" spans="1:3" x14ac:dyDescent="0.2">
      <c r="A4113" s="3" t="s">
        <v>1320</v>
      </c>
      <c r="B4113" s="3" t="s">
        <v>1241</v>
      </c>
      <c r="C4113" s="3" t="s">
        <v>10</v>
      </c>
    </row>
    <row r="4114" spans="1:3" x14ac:dyDescent="0.2">
      <c r="A4114" s="3" t="s">
        <v>1320</v>
      </c>
      <c r="B4114" s="3" t="s">
        <v>1261</v>
      </c>
      <c r="C4114" s="3" t="s">
        <v>10</v>
      </c>
    </row>
    <row r="4115" spans="1:3" x14ac:dyDescent="0.2">
      <c r="A4115" s="3" t="s">
        <v>1320</v>
      </c>
      <c r="B4115" s="3" t="s">
        <v>1331</v>
      </c>
      <c r="C4115" s="3" t="s">
        <v>11</v>
      </c>
    </row>
    <row r="4116" spans="1:3" x14ac:dyDescent="0.2">
      <c r="A4116" s="3" t="s">
        <v>1320</v>
      </c>
      <c r="B4116" s="3" t="s">
        <v>1332</v>
      </c>
      <c r="C4116" s="3" t="s">
        <v>11</v>
      </c>
    </row>
    <row r="4117" spans="1:3" x14ac:dyDescent="0.2">
      <c r="A4117" s="3" t="s">
        <v>1320</v>
      </c>
      <c r="B4117" s="3" t="s">
        <v>1336</v>
      </c>
      <c r="C4117" s="3" t="s">
        <v>11</v>
      </c>
    </row>
    <row r="4118" spans="1:3" x14ac:dyDescent="0.2">
      <c r="A4118" s="3" t="s">
        <v>1320</v>
      </c>
      <c r="B4118" s="3" t="s">
        <v>1337</v>
      </c>
      <c r="C4118" s="3" t="s">
        <v>11</v>
      </c>
    </row>
    <row r="4119" spans="1:3" x14ac:dyDescent="0.2">
      <c r="A4119" s="3" t="s">
        <v>1320</v>
      </c>
      <c r="B4119" s="3" t="s">
        <v>1341</v>
      </c>
      <c r="C4119" s="3" t="s">
        <v>11</v>
      </c>
    </row>
    <row r="4120" spans="1:3" x14ac:dyDescent="0.2">
      <c r="A4120" s="3" t="s">
        <v>1320</v>
      </c>
      <c r="B4120" s="3" t="s">
        <v>1342</v>
      </c>
      <c r="C4120" s="3" t="s">
        <v>11</v>
      </c>
    </row>
    <row r="4121" spans="1:3" x14ac:dyDescent="0.2">
      <c r="A4121" s="3" t="s">
        <v>1320</v>
      </c>
      <c r="B4121" s="3" t="s">
        <v>1375</v>
      </c>
      <c r="C4121" s="3" t="s">
        <v>11</v>
      </c>
    </row>
    <row r="4122" spans="1:3" x14ac:dyDescent="0.2">
      <c r="A4122" s="3" t="s">
        <v>1320</v>
      </c>
      <c r="B4122" s="3" t="s">
        <v>1292</v>
      </c>
      <c r="C4122" s="3" t="s">
        <v>11</v>
      </c>
    </row>
    <row r="4123" spans="1:3" x14ac:dyDescent="0.2">
      <c r="A4123" s="3" t="s">
        <v>1320</v>
      </c>
      <c r="B4123" s="3" t="s">
        <v>1345</v>
      </c>
      <c r="C4123" s="3" t="s">
        <v>11</v>
      </c>
    </row>
    <row r="4124" spans="1:3" x14ac:dyDescent="0.2">
      <c r="A4124" s="3" t="s">
        <v>1320</v>
      </c>
      <c r="B4124" s="3" t="s">
        <v>1346</v>
      </c>
      <c r="C4124" s="3" t="s">
        <v>11</v>
      </c>
    </row>
    <row r="4125" spans="1:3" x14ac:dyDescent="0.2">
      <c r="A4125" s="3" t="s">
        <v>1320</v>
      </c>
      <c r="B4125" s="3" t="s">
        <v>1347</v>
      </c>
      <c r="C4125" s="3" t="s">
        <v>11</v>
      </c>
    </row>
    <row r="4126" spans="1:3" x14ac:dyDescent="0.2">
      <c r="A4126" s="3" t="s">
        <v>1320</v>
      </c>
      <c r="B4126" s="3" t="s">
        <v>1239</v>
      </c>
      <c r="C4126" s="3" t="s">
        <v>11</v>
      </c>
    </row>
    <row r="4127" spans="1:3" x14ac:dyDescent="0.2">
      <c r="A4127" s="3" t="s">
        <v>1320</v>
      </c>
      <c r="B4127" s="3" t="s">
        <v>1240</v>
      </c>
      <c r="C4127" s="3" t="s">
        <v>11</v>
      </c>
    </row>
    <row r="4128" spans="1:3" x14ac:dyDescent="0.2">
      <c r="A4128" s="3" t="s">
        <v>1320</v>
      </c>
      <c r="B4128" s="3" t="s">
        <v>1376</v>
      </c>
      <c r="C4128" s="3" t="s">
        <v>11</v>
      </c>
    </row>
    <row r="4129" spans="1:3" x14ac:dyDescent="0.2">
      <c r="A4129" s="3" t="s">
        <v>1320</v>
      </c>
      <c r="B4129" s="3" t="s">
        <v>1350</v>
      </c>
      <c r="C4129" s="3" t="s">
        <v>11</v>
      </c>
    </row>
    <row r="4130" spans="1:3" x14ac:dyDescent="0.2">
      <c r="A4130" s="3" t="s">
        <v>1320</v>
      </c>
      <c r="B4130" s="3" t="s">
        <v>1351</v>
      </c>
      <c r="C4130" s="3" t="s">
        <v>11</v>
      </c>
    </row>
    <row r="4131" spans="1:3" x14ac:dyDescent="0.2">
      <c r="A4131" s="3" t="s">
        <v>1320</v>
      </c>
      <c r="B4131" s="3" t="s">
        <v>1352</v>
      </c>
      <c r="C4131" s="3" t="s">
        <v>11</v>
      </c>
    </row>
    <row r="4132" spans="1:3" x14ac:dyDescent="0.2">
      <c r="A4132" s="3" t="s">
        <v>1320</v>
      </c>
      <c r="B4132" s="3" t="s">
        <v>1353</v>
      </c>
      <c r="C4132" s="3" t="s">
        <v>11</v>
      </c>
    </row>
    <row r="4133" spans="1:3" x14ac:dyDescent="0.2">
      <c r="A4133" s="3" t="s">
        <v>1320</v>
      </c>
      <c r="B4133" s="3" t="s">
        <v>1354</v>
      </c>
      <c r="C4133" s="3" t="s">
        <v>11</v>
      </c>
    </row>
    <row r="4134" spans="1:3" x14ac:dyDescent="0.2">
      <c r="A4134" s="3" t="s">
        <v>1320</v>
      </c>
      <c r="B4134" s="3" t="s">
        <v>1355</v>
      </c>
      <c r="C4134" s="3" t="s">
        <v>11</v>
      </c>
    </row>
    <row r="4135" spans="1:3" x14ac:dyDescent="0.2">
      <c r="A4135" s="3" t="s">
        <v>1320</v>
      </c>
      <c r="B4135" s="3" t="s">
        <v>1356</v>
      </c>
      <c r="C4135" s="3" t="s">
        <v>11</v>
      </c>
    </row>
    <row r="4136" spans="1:3" x14ac:dyDescent="0.2">
      <c r="A4136" s="3" t="s">
        <v>1320</v>
      </c>
      <c r="B4136" s="3" t="s">
        <v>1357</v>
      </c>
      <c r="C4136" s="3" t="s">
        <v>11</v>
      </c>
    </row>
    <row r="4137" spans="1:3" x14ac:dyDescent="0.2">
      <c r="A4137" s="3" t="s">
        <v>1320</v>
      </c>
      <c r="B4137" s="3" t="s">
        <v>1358</v>
      </c>
      <c r="C4137" s="3" t="s">
        <v>11</v>
      </c>
    </row>
    <row r="4138" spans="1:3" x14ac:dyDescent="0.2">
      <c r="A4138" s="3" t="s">
        <v>1320</v>
      </c>
      <c r="B4138" s="3" t="s">
        <v>1359</v>
      </c>
      <c r="C4138" s="3" t="s">
        <v>11</v>
      </c>
    </row>
    <row r="4139" spans="1:3" x14ac:dyDescent="0.2">
      <c r="A4139" s="3" t="s">
        <v>1320</v>
      </c>
      <c r="B4139" s="3" t="s">
        <v>1360</v>
      </c>
      <c r="C4139" s="3" t="s">
        <v>11</v>
      </c>
    </row>
    <row r="4140" spans="1:3" x14ac:dyDescent="0.2">
      <c r="A4140" s="3" t="s">
        <v>1320</v>
      </c>
      <c r="B4140" s="3" t="s">
        <v>1361</v>
      </c>
      <c r="C4140" s="3" t="s">
        <v>11</v>
      </c>
    </row>
    <row r="4141" spans="1:3" x14ac:dyDescent="0.2">
      <c r="A4141" s="3" t="s">
        <v>1320</v>
      </c>
      <c r="B4141" s="3" t="s">
        <v>1362</v>
      </c>
      <c r="C4141" s="3" t="s">
        <v>11</v>
      </c>
    </row>
    <row r="4142" spans="1:3" x14ac:dyDescent="0.2">
      <c r="A4142" s="3" t="s">
        <v>1320</v>
      </c>
      <c r="B4142" s="3" t="s">
        <v>1363</v>
      </c>
      <c r="C4142" s="3" t="s">
        <v>11</v>
      </c>
    </row>
    <row r="4143" spans="1:3" x14ac:dyDescent="0.2">
      <c r="A4143" s="3" t="s">
        <v>1320</v>
      </c>
      <c r="B4143" s="3" t="s">
        <v>1364</v>
      </c>
      <c r="C4143" s="3" t="s">
        <v>11</v>
      </c>
    </row>
    <row r="4144" spans="1:3" x14ac:dyDescent="0.2">
      <c r="A4144" s="3" t="s">
        <v>1320</v>
      </c>
      <c r="B4144" s="3" t="s">
        <v>1365</v>
      </c>
      <c r="C4144" s="3" t="s">
        <v>11</v>
      </c>
    </row>
    <row r="4145" spans="1:3" x14ac:dyDescent="0.2">
      <c r="A4145" s="3" t="s">
        <v>1320</v>
      </c>
      <c r="B4145" s="3" t="s">
        <v>1366</v>
      </c>
      <c r="C4145" s="3" t="s">
        <v>11</v>
      </c>
    </row>
    <row r="4146" spans="1:3" x14ac:dyDescent="0.2">
      <c r="A4146" s="3" t="s">
        <v>1320</v>
      </c>
      <c r="B4146" s="3" t="s">
        <v>1311</v>
      </c>
      <c r="C4146" s="3" t="s">
        <v>11</v>
      </c>
    </row>
    <row r="4147" spans="1:3" x14ac:dyDescent="0.2">
      <c r="A4147" s="3" t="s">
        <v>1320</v>
      </c>
      <c r="B4147" s="3" t="s">
        <v>1367</v>
      </c>
      <c r="C4147" s="3" t="s">
        <v>11</v>
      </c>
    </row>
    <row r="4148" spans="1:3" x14ac:dyDescent="0.2">
      <c r="A4148" s="3" t="s">
        <v>1320</v>
      </c>
      <c r="B4148" s="3" t="s">
        <v>1368</v>
      </c>
      <c r="C4148" s="3" t="s">
        <v>11</v>
      </c>
    </row>
    <row r="4149" spans="1:3" x14ac:dyDescent="0.2">
      <c r="A4149" s="3" t="s">
        <v>1320</v>
      </c>
      <c r="B4149" s="3" t="s">
        <v>1256</v>
      </c>
      <c r="C4149" s="3" t="s">
        <v>11</v>
      </c>
    </row>
    <row r="4150" spans="1:3" x14ac:dyDescent="0.2">
      <c r="A4150" s="3" t="s">
        <v>1320</v>
      </c>
      <c r="B4150" s="3" t="s">
        <v>1369</v>
      </c>
      <c r="C4150" s="3" t="s">
        <v>11</v>
      </c>
    </row>
    <row r="4151" spans="1:3" x14ac:dyDescent="0.2">
      <c r="A4151" s="3" t="s">
        <v>1320</v>
      </c>
      <c r="B4151" s="3" t="s">
        <v>1377</v>
      </c>
      <c r="C4151" s="3" t="s">
        <v>11</v>
      </c>
    </row>
    <row r="4152" spans="1:3" x14ac:dyDescent="0.2">
      <c r="A4152" s="3" t="s">
        <v>1320</v>
      </c>
      <c r="B4152" s="3" t="s">
        <v>1378</v>
      </c>
      <c r="C4152" s="3" t="s">
        <v>11</v>
      </c>
    </row>
    <row r="4153" spans="1:3" x14ac:dyDescent="0.2">
      <c r="A4153" s="3" t="s">
        <v>1320</v>
      </c>
      <c r="B4153" s="3" t="s">
        <v>1379</v>
      </c>
      <c r="C4153" s="3" t="s">
        <v>11</v>
      </c>
    </row>
    <row r="4154" spans="1:3" x14ac:dyDescent="0.2">
      <c r="A4154" s="3" t="s">
        <v>1320</v>
      </c>
      <c r="B4154" s="3" t="s">
        <v>1380</v>
      </c>
      <c r="C4154" s="3" t="s">
        <v>11</v>
      </c>
    </row>
    <row r="4155" spans="1:3" x14ac:dyDescent="0.2">
      <c r="A4155" s="3" t="s">
        <v>1320</v>
      </c>
      <c r="B4155" s="3" t="s">
        <v>1381</v>
      </c>
      <c r="C4155" s="3" t="s">
        <v>11</v>
      </c>
    </row>
    <row r="4156" spans="1:3" x14ac:dyDescent="0.2">
      <c r="A4156" s="3" t="s">
        <v>1320</v>
      </c>
      <c r="B4156" s="3" t="s">
        <v>1382</v>
      </c>
      <c r="C4156" s="3" t="s">
        <v>11</v>
      </c>
    </row>
    <row r="4157" spans="1:3" x14ac:dyDescent="0.2">
      <c r="A4157" s="3" t="s">
        <v>1320</v>
      </c>
      <c r="B4157" s="3" t="s">
        <v>1383</v>
      </c>
      <c r="C4157" s="3" t="s">
        <v>11</v>
      </c>
    </row>
    <row r="4158" spans="1:3" x14ac:dyDescent="0.2">
      <c r="A4158" s="3" t="s">
        <v>1320</v>
      </c>
      <c r="B4158" s="3" t="s">
        <v>1384</v>
      </c>
      <c r="C4158" s="3" t="s">
        <v>11</v>
      </c>
    </row>
    <row r="4159" spans="1:3" x14ac:dyDescent="0.2">
      <c r="A4159" s="3" t="s">
        <v>1320</v>
      </c>
      <c r="B4159" s="3" t="s">
        <v>1385</v>
      </c>
      <c r="C4159" s="3" t="s">
        <v>11</v>
      </c>
    </row>
    <row r="4160" spans="1:3" x14ac:dyDescent="0.2">
      <c r="A4160" s="3" t="s">
        <v>1320</v>
      </c>
      <c r="B4160" s="3" t="s">
        <v>1386</v>
      </c>
      <c r="C4160" s="3" t="s">
        <v>11</v>
      </c>
    </row>
    <row r="4161" spans="1:3" x14ac:dyDescent="0.2">
      <c r="A4161" s="3" t="s">
        <v>1320</v>
      </c>
      <c r="B4161" s="3" t="s">
        <v>1387</v>
      </c>
      <c r="C4161" s="3" t="s">
        <v>11</v>
      </c>
    </row>
    <row r="4162" spans="1:3" x14ac:dyDescent="0.2">
      <c r="A4162" s="3" t="s">
        <v>1320</v>
      </c>
      <c r="B4162" s="3" t="s">
        <v>1388</v>
      </c>
      <c r="C4162" s="3" t="s">
        <v>11</v>
      </c>
    </row>
    <row r="4163" spans="1:3" x14ac:dyDescent="0.2">
      <c r="A4163" s="3" t="s">
        <v>1320</v>
      </c>
      <c r="B4163" s="3" t="s">
        <v>1389</v>
      </c>
      <c r="C4163" s="3" t="s">
        <v>11</v>
      </c>
    </row>
    <row r="4164" spans="1:3" x14ac:dyDescent="0.2">
      <c r="A4164" s="3" t="s">
        <v>1320</v>
      </c>
      <c r="B4164" s="3" t="s">
        <v>1321</v>
      </c>
      <c r="C4164" s="3" t="s">
        <v>11</v>
      </c>
    </row>
    <row r="4165" spans="1:3" x14ac:dyDescent="0.2">
      <c r="A4165" s="3" t="s">
        <v>1320</v>
      </c>
      <c r="B4165" s="3" t="s">
        <v>1322</v>
      </c>
      <c r="C4165" s="3" t="s">
        <v>11</v>
      </c>
    </row>
    <row r="4166" spans="1:3" x14ac:dyDescent="0.2">
      <c r="A4166" s="3" t="s">
        <v>1320</v>
      </c>
      <c r="B4166" s="3" t="s">
        <v>1323</v>
      </c>
      <c r="C4166" s="3" t="s">
        <v>11</v>
      </c>
    </row>
    <row r="4167" spans="1:3" x14ac:dyDescent="0.2">
      <c r="A4167" s="3" t="s">
        <v>1320</v>
      </c>
      <c r="B4167" s="3" t="s">
        <v>1324</v>
      </c>
      <c r="C4167" s="3" t="s">
        <v>11</v>
      </c>
    </row>
    <row r="4168" spans="1:3" x14ac:dyDescent="0.2">
      <c r="A4168" s="3" t="s">
        <v>1320</v>
      </c>
      <c r="B4168" s="3" t="s">
        <v>1325</v>
      </c>
      <c r="C4168" s="3" t="s">
        <v>11</v>
      </c>
    </row>
    <row r="4169" spans="1:3" x14ac:dyDescent="0.2">
      <c r="A4169" s="3" t="s">
        <v>1320</v>
      </c>
      <c r="B4169" s="3" t="s">
        <v>1390</v>
      </c>
      <c r="C4169" s="3" t="s">
        <v>11</v>
      </c>
    </row>
    <row r="4170" spans="1:3" x14ac:dyDescent="0.2">
      <c r="A4170" s="3" t="s">
        <v>1320</v>
      </c>
      <c r="B4170" s="3" t="s">
        <v>1391</v>
      </c>
      <c r="C4170" s="3" t="s">
        <v>11</v>
      </c>
    </row>
    <row r="4171" spans="1:3" x14ac:dyDescent="0.2">
      <c r="A4171" s="3" t="s">
        <v>1320</v>
      </c>
      <c r="B4171" s="3" t="s">
        <v>1392</v>
      </c>
      <c r="C4171" s="3" t="s">
        <v>11</v>
      </c>
    </row>
    <row r="4172" spans="1:3" x14ac:dyDescent="0.2">
      <c r="A4172" s="3" t="s">
        <v>1320</v>
      </c>
      <c r="B4172" s="3" t="s">
        <v>1393</v>
      </c>
      <c r="C4172" s="3" t="s">
        <v>11</v>
      </c>
    </row>
    <row r="4173" spans="1:3" x14ac:dyDescent="0.2">
      <c r="A4173" s="3" t="s">
        <v>1320</v>
      </c>
      <c r="B4173" s="3" t="s">
        <v>1264</v>
      </c>
      <c r="C4173" s="3" t="s">
        <v>11</v>
      </c>
    </row>
    <row r="4174" spans="1:3" x14ac:dyDescent="0.2">
      <c r="A4174" s="3" t="s">
        <v>1320</v>
      </c>
      <c r="B4174" s="3" t="s">
        <v>1394</v>
      </c>
      <c r="C4174" s="3" t="s">
        <v>11</v>
      </c>
    </row>
    <row r="4175" spans="1:3" x14ac:dyDescent="0.2">
      <c r="A4175" s="3" t="s">
        <v>1320</v>
      </c>
      <c r="B4175" s="3" t="s">
        <v>1395</v>
      </c>
      <c r="C4175" s="3" t="s">
        <v>11</v>
      </c>
    </row>
    <row r="4176" spans="1:3" x14ac:dyDescent="0.2">
      <c r="A4176" s="3" t="s">
        <v>1320</v>
      </c>
      <c r="B4176" s="3" t="s">
        <v>1396</v>
      </c>
      <c r="C4176" s="3" t="s">
        <v>11</v>
      </c>
    </row>
    <row r="4177" spans="1:3" x14ac:dyDescent="0.2">
      <c r="A4177" s="3" t="s">
        <v>1320</v>
      </c>
      <c r="B4177" s="3" t="s">
        <v>1397</v>
      </c>
      <c r="C4177" s="3" t="s">
        <v>22</v>
      </c>
    </row>
    <row r="4178" spans="1:3" x14ac:dyDescent="0.2">
      <c r="A4178" s="3" t="s">
        <v>1320</v>
      </c>
      <c r="B4178" s="3" t="s">
        <v>1398</v>
      </c>
      <c r="C4178" s="3" t="s">
        <v>22</v>
      </c>
    </row>
    <row r="4179" spans="1:3" x14ac:dyDescent="0.2">
      <c r="A4179" s="3" t="s">
        <v>1399</v>
      </c>
      <c r="B4179" s="3" t="s">
        <v>1369</v>
      </c>
      <c r="C4179" s="3" t="s">
        <v>10</v>
      </c>
    </row>
    <row r="4180" spans="1:3" x14ac:dyDescent="0.2">
      <c r="A4180" s="3" t="s">
        <v>1399</v>
      </c>
      <c r="B4180" s="3" t="s">
        <v>1369</v>
      </c>
      <c r="C4180" s="3" t="s">
        <v>11</v>
      </c>
    </row>
    <row r="4181" spans="1:3" x14ac:dyDescent="0.2">
      <c r="A4181" s="3" t="s">
        <v>1400</v>
      </c>
      <c r="B4181" s="3" t="s">
        <v>1369</v>
      </c>
      <c r="C4181" s="3" t="s">
        <v>10</v>
      </c>
    </row>
    <row r="4182" spans="1:3" x14ac:dyDescent="0.2">
      <c r="A4182" s="3" t="s">
        <v>1400</v>
      </c>
      <c r="B4182" s="3" t="s">
        <v>1369</v>
      </c>
      <c r="C4182" s="3" t="s">
        <v>11</v>
      </c>
    </row>
    <row r="4183" spans="1:3" x14ac:dyDescent="0.2">
      <c r="A4183" s="3" t="s">
        <v>1401</v>
      </c>
      <c r="B4183" s="3" t="s">
        <v>1402</v>
      </c>
      <c r="C4183" s="3" t="s">
        <v>54</v>
      </c>
    </row>
    <row r="4184" spans="1:3" x14ac:dyDescent="0.2">
      <c r="A4184" s="3" t="s">
        <v>1401</v>
      </c>
      <c r="B4184" s="3" t="s">
        <v>1403</v>
      </c>
      <c r="C4184" s="3" t="s">
        <v>54</v>
      </c>
    </row>
    <row r="4185" spans="1:3" x14ac:dyDescent="0.2">
      <c r="A4185" s="3" t="s">
        <v>1401</v>
      </c>
      <c r="B4185" s="3" t="s">
        <v>1404</v>
      </c>
      <c r="C4185" s="3" t="s">
        <v>54</v>
      </c>
    </row>
    <row r="4186" spans="1:3" x14ac:dyDescent="0.2">
      <c r="A4186" s="3" t="s">
        <v>1401</v>
      </c>
      <c r="B4186" s="3" t="s">
        <v>1405</v>
      </c>
      <c r="C4186" s="3" t="s">
        <v>54</v>
      </c>
    </row>
    <row r="4187" spans="1:3" x14ac:dyDescent="0.2">
      <c r="A4187" s="3" t="s">
        <v>1401</v>
      </c>
      <c r="B4187" s="3" t="s">
        <v>1406</v>
      </c>
      <c r="C4187" s="3" t="s">
        <v>54</v>
      </c>
    </row>
    <row r="4188" spans="1:3" x14ac:dyDescent="0.2">
      <c r="A4188" s="3" t="s">
        <v>1401</v>
      </c>
      <c r="B4188" s="3" t="s">
        <v>1407</v>
      </c>
      <c r="C4188" s="3" t="s">
        <v>54</v>
      </c>
    </row>
    <row r="4189" spans="1:3" x14ac:dyDescent="0.2">
      <c r="A4189" s="3" t="s">
        <v>1401</v>
      </c>
      <c r="B4189" s="3" t="s">
        <v>1408</v>
      </c>
      <c r="C4189" s="3" t="s">
        <v>54</v>
      </c>
    </row>
    <row r="4190" spans="1:3" x14ac:dyDescent="0.2">
      <c r="A4190" s="3" t="s">
        <v>1401</v>
      </c>
      <c r="B4190" s="3" t="s">
        <v>1402</v>
      </c>
      <c r="C4190" s="3" t="s">
        <v>55</v>
      </c>
    </row>
    <row r="4191" spans="1:3" x14ac:dyDescent="0.2">
      <c r="A4191" s="3" t="s">
        <v>1401</v>
      </c>
      <c r="B4191" s="3" t="s">
        <v>1403</v>
      </c>
      <c r="C4191" s="3" t="s">
        <v>55</v>
      </c>
    </row>
    <row r="4192" spans="1:3" x14ac:dyDescent="0.2">
      <c r="A4192" s="3" t="s">
        <v>1401</v>
      </c>
      <c r="B4192" s="3" t="s">
        <v>1404</v>
      </c>
      <c r="C4192" s="3" t="s">
        <v>55</v>
      </c>
    </row>
    <row r="4193" spans="1:3" x14ac:dyDescent="0.2">
      <c r="A4193" s="3" t="s">
        <v>1401</v>
      </c>
      <c r="B4193" s="3" t="s">
        <v>1405</v>
      </c>
      <c r="C4193" s="3" t="s">
        <v>55</v>
      </c>
    </row>
    <row r="4194" spans="1:3" x14ac:dyDescent="0.2">
      <c r="A4194" s="3" t="s">
        <v>1401</v>
      </c>
      <c r="B4194" s="3" t="s">
        <v>1406</v>
      </c>
      <c r="C4194" s="3" t="s">
        <v>55</v>
      </c>
    </row>
    <row r="4195" spans="1:3" x14ac:dyDescent="0.2">
      <c r="A4195" s="3" t="s">
        <v>1401</v>
      </c>
      <c r="B4195" s="3" t="s">
        <v>1407</v>
      </c>
      <c r="C4195" s="3" t="s">
        <v>55</v>
      </c>
    </row>
    <row r="4196" spans="1:3" x14ac:dyDescent="0.2">
      <c r="A4196" s="3" t="s">
        <v>1401</v>
      </c>
      <c r="B4196" s="3" t="s">
        <v>1408</v>
      </c>
      <c r="C4196" s="3" t="s">
        <v>55</v>
      </c>
    </row>
    <row r="4197" spans="1:3" x14ac:dyDescent="0.2">
      <c r="A4197" s="3" t="s">
        <v>1401</v>
      </c>
      <c r="B4197" s="3" t="s">
        <v>1402</v>
      </c>
      <c r="C4197" s="3" t="s">
        <v>56</v>
      </c>
    </row>
    <row r="4198" spans="1:3" x14ac:dyDescent="0.2">
      <c r="A4198" s="3" t="s">
        <v>1401</v>
      </c>
      <c r="B4198" s="3" t="s">
        <v>1403</v>
      </c>
      <c r="C4198" s="3" t="s">
        <v>56</v>
      </c>
    </row>
    <row r="4199" spans="1:3" x14ac:dyDescent="0.2">
      <c r="A4199" s="3" t="s">
        <v>1401</v>
      </c>
      <c r="B4199" s="3" t="s">
        <v>1404</v>
      </c>
      <c r="C4199" s="3" t="s">
        <v>56</v>
      </c>
    </row>
    <row r="4200" spans="1:3" x14ac:dyDescent="0.2">
      <c r="A4200" s="3" t="s">
        <v>1401</v>
      </c>
      <c r="B4200" s="3" t="s">
        <v>1405</v>
      </c>
      <c r="C4200" s="3" t="s">
        <v>56</v>
      </c>
    </row>
    <row r="4201" spans="1:3" x14ac:dyDescent="0.2">
      <c r="A4201" s="3" t="s">
        <v>1401</v>
      </c>
      <c r="B4201" s="3" t="s">
        <v>1406</v>
      </c>
      <c r="C4201" s="3" t="s">
        <v>56</v>
      </c>
    </row>
    <row r="4202" spans="1:3" x14ac:dyDescent="0.2">
      <c r="A4202" s="3" t="s">
        <v>1401</v>
      </c>
      <c r="B4202" s="3" t="s">
        <v>1407</v>
      </c>
      <c r="C4202" s="3" t="s">
        <v>56</v>
      </c>
    </row>
    <row r="4203" spans="1:3" x14ac:dyDescent="0.2">
      <c r="A4203" s="3" t="s">
        <v>1401</v>
      </c>
      <c r="B4203" s="3" t="s">
        <v>1408</v>
      </c>
      <c r="C4203" s="3" t="s">
        <v>56</v>
      </c>
    </row>
    <row r="4204" spans="1:3" x14ac:dyDescent="0.2">
      <c r="A4204" s="3" t="s">
        <v>1401</v>
      </c>
      <c r="B4204" s="3" t="s">
        <v>409</v>
      </c>
      <c r="C4204" s="3" t="s">
        <v>169</v>
      </c>
    </row>
    <row r="4205" spans="1:3" x14ac:dyDescent="0.2">
      <c r="A4205" s="3" t="s">
        <v>1401</v>
      </c>
      <c r="B4205" s="3" t="s">
        <v>410</v>
      </c>
      <c r="C4205" s="3" t="s">
        <v>169</v>
      </c>
    </row>
    <row r="4206" spans="1:3" x14ac:dyDescent="0.2">
      <c r="A4206" s="3" t="s">
        <v>1401</v>
      </c>
      <c r="B4206" s="3" t="s">
        <v>1409</v>
      </c>
      <c r="C4206" s="3" t="s">
        <v>169</v>
      </c>
    </row>
    <row r="4207" spans="1:3" x14ac:dyDescent="0.2">
      <c r="A4207" s="3" t="s">
        <v>1410</v>
      </c>
      <c r="B4207" s="3" t="s">
        <v>1411</v>
      </c>
      <c r="C4207" s="3" t="s">
        <v>53</v>
      </c>
    </row>
    <row r="4208" spans="1:3" x14ac:dyDescent="0.2">
      <c r="A4208" s="3" t="s">
        <v>1410</v>
      </c>
      <c r="B4208" s="3" t="s">
        <v>1412</v>
      </c>
      <c r="C4208" s="3" t="s">
        <v>53</v>
      </c>
    </row>
    <row r="4209" spans="1:3" x14ac:dyDescent="0.2">
      <c r="A4209" s="3" t="s">
        <v>1410</v>
      </c>
      <c r="B4209" s="3" t="s">
        <v>1413</v>
      </c>
      <c r="C4209" s="3" t="s">
        <v>53</v>
      </c>
    </row>
    <row r="4210" spans="1:3" x14ac:dyDescent="0.2">
      <c r="A4210" s="3" t="s">
        <v>1410</v>
      </c>
      <c r="B4210" s="3" t="s">
        <v>1411</v>
      </c>
      <c r="C4210" s="3" t="s">
        <v>54</v>
      </c>
    </row>
    <row r="4211" spans="1:3" x14ac:dyDescent="0.2">
      <c r="A4211" s="3" t="s">
        <v>1410</v>
      </c>
      <c r="B4211" s="3" t="s">
        <v>1412</v>
      </c>
      <c r="C4211" s="3" t="s">
        <v>54</v>
      </c>
    </row>
    <row r="4212" spans="1:3" x14ac:dyDescent="0.2">
      <c r="A4212" s="3" t="s">
        <v>1410</v>
      </c>
      <c r="B4212" s="3" t="s">
        <v>1413</v>
      </c>
      <c r="C4212" s="3" t="s">
        <v>54</v>
      </c>
    </row>
    <row r="4213" spans="1:3" x14ac:dyDescent="0.2">
      <c r="A4213" s="3" t="s">
        <v>1410</v>
      </c>
      <c r="B4213" s="3" t="s">
        <v>1411</v>
      </c>
      <c r="C4213" s="3" t="s">
        <v>55</v>
      </c>
    </row>
    <row r="4214" spans="1:3" x14ac:dyDescent="0.2">
      <c r="A4214" s="3" t="s">
        <v>1410</v>
      </c>
      <c r="B4214" s="3" t="s">
        <v>1412</v>
      </c>
      <c r="C4214" s="3" t="s">
        <v>55</v>
      </c>
    </row>
    <row r="4215" spans="1:3" x14ac:dyDescent="0.2">
      <c r="A4215" s="3" t="s">
        <v>1410</v>
      </c>
      <c r="B4215" s="3" t="s">
        <v>1413</v>
      </c>
      <c r="C4215" s="3" t="s">
        <v>55</v>
      </c>
    </row>
    <row r="4216" spans="1:3" x14ac:dyDescent="0.2">
      <c r="A4216" s="3" t="s">
        <v>1410</v>
      </c>
      <c r="B4216" s="3" t="s">
        <v>1411</v>
      </c>
      <c r="C4216" s="3" t="s">
        <v>56</v>
      </c>
    </row>
    <row r="4217" spans="1:3" x14ac:dyDescent="0.2">
      <c r="A4217" s="3" t="s">
        <v>1410</v>
      </c>
      <c r="B4217" s="3" t="s">
        <v>1412</v>
      </c>
      <c r="C4217" s="3" t="s">
        <v>56</v>
      </c>
    </row>
    <row r="4218" spans="1:3" x14ac:dyDescent="0.2">
      <c r="A4218" s="3" t="s">
        <v>1410</v>
      </c>
      <c r="B4218" s="3" t="s">
        <v>1413</v>
      </c>
      <c r="C4218" s="3" t="s">
        <v>56</v>
      </c>
    </row>
    <row r="4219" spans="1:3" x14ac:dyDescent="0.2">
      <c r="A4219" s="3" t="s">
        <v>1410</v>
      </c>
      <c r="B4219" s="3" t="s">
        <v>1411</v>
      </c>
      <c r="C4219" s="3" t="s">
        <v>57</v>
      </c>
    </row>
    <row r="4220" spans="1:3" x14ac:dyDescent="0.2">
      <c r="A4220" s="3" t="s">
        <v>1410</v>
      </c>
      <c r="B4220" s="3" t="s">
        <v>1412</v>
      </c>
      <c r="C4220" s="3" t="s">
        <v>57</v>
      </c>
    </row>
    <row r="4221" spans="1:3" x14ac:dyDescent="0.2">
      <c r="A4221" s="3" t="s">
        <v>1410</v>
      </c>
      <c r="B4221" s="3" t="s">
        <v>1413</v>
      </c>
      <c r="C4221" s="3" t="s">
        <v>57</v>
      </c>
    </row>
    <row r="4222" spans="1:3" x14ac:dyDescent="0.2">
      <c r="A4222" s="3" t="s">
        <v>1410</v>
      </c>
      <c r="B4222" s="3" t="s">
        <v>1414</v>
      </c>
      <c r="C4222" s="3" t="s">
        <v>10</v>
      </c>
    </row>
    <row r="4223" spans="1:3" x14ac:dyDescent="0.2">
      <c r="A4223" s="3" t="s">
        <v>1410</v>
      </c>
      <c r="B4223" s="3" t="s">
        <v>1414</v>
      </c>
      <c r="C4223" s="3" t="s">
        <v>11</v>
      </c>
    </row>
    <row r="4224" spans="1:3" x14ac:dyDescent="0.2">
      <c r="A4224" s="3" t="s">
        <v>1415</v>
      </c>
      <c r="B4224" s="3" t="s">
        <v>1416</v>
      </c>
      <c r="C4224" s="3" t="s">
        <v>53</v>
      </c>
    </row>
    <row r="4225" spans="1:3" x14ac:dyDescent="0.2">
      <c r="A4225" s="3" t="s">
        <v>1415</v>
      </c>
      <c r="B4225" s="3" t="s">
        <v>1417</v>
      </c>
      <c r="C4225" s="3" t="s">
        <v>53</v>
      </c>
    </row>
    <row r="4226" spans="1:3" x14ac:dyDescent="0.2">
      <c r="A4226" s="3" t="s">
        <v>1415</v>
      </c>
      <c r="B4226" s="3" t="s">
        <v>1418</v>
      </c>
      <c r="C4226" s="3" t="s">
        <v>53</v>
      </c>
    </row>
    <row r="4227" spans="1:3" x14ac:dyDescent="0.2">
      <c r="A4227" s="3" t="s">
        <v>1415</v>
      </c>
      <c r="B4227" s="3" t="s">
        <v>1419</v>
      </c>
      <c r="C4227" s="3" t="s">
        <v>53</v>
      </c>
    </row>
    <row r="4228" spans="1:3" x14ac:dyDescent="0.2">
      <c r="A4228" s="3" t="s">
        <v>1415</v>
      </c>
      <c r="B4228" s="3" t="s">
        <v>1420</v>
      </c>
      <c r="C4228" s="3" t="s">
        <v>53</v>
      </c>
    </row>
    <row r="4229" spans="1:3" x14ac:dyDescent="0.2">
      <c r="A4229" s="3" t="s">
        <v>1415</v>
      </c>
      <c r="B4229" s="3" t="s">
        <v>1421</v>
      </c>
      <c r="C4229" s="3" t="s">
        <v>53</v>
      </c>
    </row>
    <row r="4230" spans="1:3" x14ac:dyDescent="0.2">
      <c r="A4230" s="3" t="s">
        <v>1415</v>
      </c>
      <c r="B4230" s="3" t="s">
        <v>1416</v>
      </c>
      <c r="C4230" s="3" t="s">
        <v>54</v>
      </c>
    </row>
    <row r="4231" spans="1:3" x14ac:dyDescent="0.2">
      <c r="A4231" s="3" t="s">
        <v>1415</v>
      </c>
      <c r="B4231" s="3" t="s">
        <v>1417</v>
      </c>
      <c r="C4231" s="3" t="s">
        <v>54</v>
      </c>
    </row>
    <row r="4232" spans="1:3" x14ac:dyDescent="0.2">
      <c r="A4232" s="3" t="s">
        <v>1415</v>
      </c>
      <c r="B4232" s="3" t="s">
        <v>1418</v>
      </c>
      <c r="C4232" s="3" t="s">
        <v>54</v>
      </c>
    </row>
    <row r="4233" spans="1:3" x14ac:dyDescent="0.2">
      <c r="A4233" s="3" t="s">
        <v>1415</v>
      </c>
      <c r="B4233" s="3" t="s">
        <v>1419</v>
      </c>
      <c r="C4233" s="3" t="s">
        <v>54</v>
      </c>
    </row>
    <row r="4234" spans="1:3" x14ac:dyDescent="0.2">
      <c r="A4234" s="3" t="s">
        <v>1415</v>
      </c>
      <c r="B4234" s="3" t="s">
        <v>1420</v>
      </c>
      <c r="C4234" s="3" t="s">
        <v>54</v>
      </c>
    </row>
    <row r="4235" spans="1:3" x14ac:dyDescent="0.2">
      <c r="A4235" s="3" t="s">
        <v>1415</v>
      </c>
      <c r="B4235" s="3" t="s">
        <v>1421</v>
      </c>
      <c r="C4235" s="3" t="s">
        <v>54</v>
      </c>
    </row>
    <row r="4236" spans="1:3" x14ac:dyDescent="0.2">
      <c r="A4236" s="3" t="s">
        <v>1415</v>
      </c>
      <c r="B4236" s="3" t="s">
        <v>1422</v>
      </c>
      <c r="C4236" s="3" t="s">
        <v>55</v>
      </c>
    </row>
    <row r="4237" spans="1:3" x14ac:dyDescent="0.2">
      <c r="A4237" s="3" t="s">
        <v>1415</v>
      </c>
      <c r="B4237" s="3" t="s">
        <v>1416</v>
      </c>
      <c r="C4237" s="3" t="s">
        <v>55</v>
      </c>
    </row>
    <row r="4238" spans="1:3" x14ac:dyDescent="0.2">
      <c r="A4238" s="3" t="s">
        <v>1415</v>
      </c>
      <c r="B4238" s="3" t="s">
        <v>1417</v>
      </c>
      <c r="C4238" s="3" t="s">
        <v>55</v>
      </c>
    </row>
    <row r="4239" spans="1:3" x14ac:dyDescent="0.2">
      <c r="A4239" s="3" t="s">
        <v>1415</v>
      </c>
      <c r="B4239" s="3" t="s">
        <v>1418</v>
      </c>
      <c r="C4239" s="3" t="s">
        <v>55</v>
      </c>
    </row>
    <row r="4240" spans="1:3" x14ac:dyDescent="0.2">
      <c r="A4240" s="3" t="s">
        <v>1415</v>
      </c>
      <c r="B4240" s="3" t="s">
        <v>1419</v>
      </c>
      <c r="C4240" s="3" t="s">
        <v>55</v>
      </c>
    </row>
    <row r="4241" spans="1:3" x14ac:dyDescent="0.2">
      <c r="A4241" s="3" t="s">
        <v>1415</v>
      </c>
      <c r="B4241" s="3" t="s">
        <v>1420</v>
      </c>
      <c r="C4241" s="3" t="s">
        <v>55</v>
      </c>
    </row>
    <row r="4242" spans="1:3" x14ac:dyDescent="0.2">
      <c r="A4242" s="3" t="s">
        <v>1415</v>
      </c>
      <c r="B4242" s="3" t="s">
        <v>1421</v>
      </c>
      <c r="C4242" s="3" t="s">
        <v>55</v>
      </c>
    </row>
    <row r="4243" spans="1:3" x14ac:dyDescent="0.2">
      <c r="A4243" s="3" t="s">
        <v>1415</v>
      </c>
      <c r="B4243" s="3" t="s">
        <v>1416</v>
      </c>
      <c r="C4243" s="3" t="s">
        <v>56</v>
      </c>
    </row>
    <row r="4244" spans="1:3" x14ac:dyDescent="0.2">
      <c r="A4244" s="3" t="s">
        <v>1415</v>
      </c>
      <c r="B4244" s="3" t="s">
        <v>1417</v>
      </c>
      <c r="C4244" s="3" t="s">
        <v>56</v>
      </c>
    </row>
    <row r="4245" spans="1:3" x14ac:dyDescent="0.2">
      <c r="A4245" s="3" t="s">
        <v>1415</v>
      </c>
      <c r="B4245" s="3" t="s">
        <v>1418</v>
      </c>
      <c r="C4245" s="3" t="s">
        <v>56</v>
      </c>
    </row>
    <row r="4246" spans="1:3" x14ac:dyDescent="0.2">
      <c r="A4246" s="3" t="s">
        <v>1415</v>
      </c>
      <c r="B4246" s="3" t="s">
        <v>1419</v>
      </c>
      <c r="C4246" s="3" t="s">
        <v>56</v>
      </c>
    </row>
    <row r="4247" spans="1:3" x14ac:dyDescent="0.2">
      <c r="A4247" s="3" t="s">
        <v>1415</v>
      </c>
      <c r="B4247" s="3" t="s">
        <v>1420</v>
      </c>
      <c r="C4247" s="3" t="s">
        <v>56</v>
      </c>
    </row>
    <row r="4248" spans="1:3" x14ac:dyDescent="0.2">
      <c r="A4248" s="3" t="s">
        <v>1415</v>
      </c>
      <c r="B4248" s="3" t="s">
        <v>1421</v>
      </c>
      <c r="C4248" s="3" t="s">
        <v>56</v>
      </c>
    </row>
    <row r="4249" spans="1:3" x14ac:dyDescent="0.2">
      <c r="A4249" s="3" t="s">
        <v>1415</v>
      </c>
      <c r="B4249" s="3" t="s">
        <v>1422</v>
      </c>
      <c r="C4249" s="3" t="s">
        <v>57</v>
      </c>
    </row>
    <row r="4250" spans="1:3" x14ac:dyDescent="0.2">
      <c r="A4250" s="3" t="s">
        <v>1415</v>
      </c>
      <c r="B4250" s="3" t="s">
        <v>1416</v>
      </c>
      <c r="C4250" s="3" t="s">
        <v>57</v>
      </c>
    </row>
    <row r="4251" spans="1:3" x14ac:dyDescent="0.2">
      <c r="A4251" s="3" t="s">
        <v>1415</v>
      </c>
      <c r="B4251" s="3" t="s">
        <v>1417</v>
      </c>
      <c r="C4251" s="3" t="s">
        <v>57</v>
      </c>
    </row>
    <row r="4252" spans="1:3" x14ac:dyDescent="0.2">
      <c r="A4252" s="3" t="s">
        <v>1415</v>
      </c>
      <c r="B4252" s="3" t="s">
        <v>1418</v>
      </c>
      <c r="C4252" s="3" t="s">
        <v>57</v>
      </c>
    </row>
    <row r="4253" spans="1:3" x14ac:dyDescent="0.2">
      <c r="A4253" s="3" t="s">
        <v>1415</v>
      </c>
      <c r="B4253" s="3" t="s">
        <v>1419</v>
      </c>
      <c r="C4253" s="3" t="s">
        <v>57</v>
      </c>
    </row>
    <row r="4254" spans="1:3" x14ac:dyDescent="0.2">
      <c r="A4254" s="3" t="s">
        <v>1415</v>
      </c>
      <c r="B4254" s="3" t="s">
        <v>1420</v>
      </c>
      <c r="C4254" s="3" t="s">
        <v>57</v>
      </c>
    </row>
    <row r="4255" spans="1:3" x14ac:dyDescent="0.2">
      <c r="A4255" s="3" t="s">
        <v>1415</v>
      </c>
      <c r="B4255" s="3" t="s">
        <v>1421</v>
      </c>
      <c r="C4255" s="3" t="s">
        <v>57</v>
      </c>
    </row>
    <row r="4256" spans="1:3" x14ac:dyDescent="0.2">
      <c r="A4256" s="3" t="s">
        <v>1415</v>
      </c>
      <c r="B4256" s="3" t="s">
        <v>1423</v>
      </c>
      <c r="C4256" s="3" t="s">
        <v>22</v>
      </c>
    </row>
    <row r="4257" spans="1:3" x14ac:dyDescent="0.2">
      <c r="A4257" s="3" t="s">
        <v>1415</v>
      </c>
      <c r="B4257" s="3" t="s">
        <v>1424</v>
      </c>
      <c r="C4257" s="3" t="s">
        <v>22</v>
      </c>
    </row>
    <row r="4258" spans="1:3" x14ac:dyDescent="0.2">
      <c r="A4258" s="3" t="s">
        <v>1415</v>
      </c>
      <c r="B4258" s="3" t="s">
        <v>1425</v>
      </c>
      <c r="C4258" s="3" t="s">
        <v>22</v>
      </c>
    </row>
    <row r="4259" spans="1:3" x14ac:dyDescent="0.2">
      <c r="A4259" s="3" t="s">
        <v>1415</v>
      </c>
      <c r="B4259" s="3" t="s">
        <v>1426</v>
      </c>
      <c r="C4259" s="3" t="s">
        <v>22</v>
      </c>
    </row>
    <row r="4260" spans="1:3" x14ac:dyDescent="0.2">
      <c r="A4260" s="3" t="s">
        <v>1415</v>
      </c>
      <c r="B4260" s="3" t="s">
        <v>1427</v>
      </c>
      <c r="C4260" s="3" t="s">
        <v>22</v>
      </c>
    </row>
    <row r="4261" spans="1:3" x14ac:dyDescent="0.2">
      <c r="A4261" s="3" t="s">
        <v>1415</v>
      </c>
      <c r="B4261" s="3" t="s">
        <v>1428</v>
      </c>
      <c r="C4261" s="3" t="s">
        <v>22</v>
      </c>
    </row>
    <row r="4262" spans="1:3" x14ac:dyDescent="0.2">
      <c r="A4262" s="3" t="s">
        <v>1415</v>
      </c>
      <c r="B4262" s="3" t="s">
        <v>1429</v>
      </c>
      <c r="C4262" s="3" t="s">
        <v>22</v>
      </c>
    </row>
    <row r="4263" spans="1:3" x14ac:dyDescent="0.2">
      <c r="A4263" s="3" t="s">
        <v>1415</v>
      </c>
      <c r="B4263" s="3" t="s">
        <v>1430</v>
      </c>
      <c r="C4263" s="3" t="s">
        <v>22</v>
      </c>
    </row>
    <row r="4264" spans="1:3" x14ac:dyDescent="0.2">
      <c r="A4264" s="3" t="s">
        <v>1415</v>
      </c>
      <c r="B4264" s="3" t="s">
        <v>1431</v>
      </c>
      <c r="C4264" s="3" t="s">
        <v>22</v>
      </c>
    </row>
    <row r="4265" spans="1:3" x14ac:dyDescent="0.2">
      <c r="A4265" s="3" t="s">
        <v>1415</v>
      </c>
      <c r="B4265" s="3" t="s">
        <v>1432</v>
      </c>
      <c r="C4265" s="3" t="s">
        <v>22</v>
      </c>
    </row>
    <row r="4266" spans="1:3" x14ac:dyDescent="0.2">
      <c r="A4266" s="3" t="s">
        <v>1415</v>
      </c>
      <c r="B4266" s="3" t="s">
        <v>1433</v>
      </c>
      <c r="C4266" s="3" t="s">
        <v>22</v>
      </c>
    </row>
    <row r="4267" spans="1:3" x14ac:dyDescent="0.2">
      <c r="A4267" s="3" t="s">
        <v>1415</v>
      </c>
      <c r="B4267" s="3" t="s">
        <v>1434</v>
      </c>
      <c r="C4267" s="3" t="s">
        <v>22</v>
      </c>
    </row>
    <row r="4268" spans="1:3" x14ac:dyDescent="0.2">
      <c r="A4268" s="3" t="s">
        <v>1415</v>
      </c>
      <c r="B4268" s="3" t="s">
        <v>1435</v>
      </c>
      <c r="C4268" s="3" t="s">
        <v>22</v>
      </c>
    </row>
    <row r="4269" spans="1:3" x14ac:dyDescent="0.2">
      <c r="A4269" s="3" t="s">
        <v>1415</v>
      </c>
      <c r="B4269" s="3" t="s">
        <v>1436</v>
      </c>
      <c r="C4269" s="3" t="s">
        <v>22</v>
      </c>
    </row>
    <row r="4270" spans="1:3" x14ac:dyDescent="0.2">
      <c r="A4270" s="3" t="s">
        <v>1415</v>
      </c>
      <c r="B4270" s="3" t="s">
        <v>1437</v>
      </c>
      <c r="C4270" s="3" t="s">
        <v>22</v>
      </c>
    </row>
    <row r="4271" spans="1:3" x14ac:dyDescent="0.2">
      <c r="A4271" s="3" t="s">
        <v>1438</v>
      </c>
      <c r="B4271" s="3" t="s">
        <v>191</v>
      </c>
      <c r="C4271" s="3" t="s">
        <v>53</v>
      </c>
    </row>
    <row r="4272" spans="1:3" x14ac:dyDescent="0.2">
      <c r="A4272" s="3" t="s">
        <v>1438</v>
      </c>
      <c r="B4272" s="3" t="s">
        <v>191</v>
      </c>
      <c r="C4272" s="3" t="s">
        <v>54</v>
      </c>
    </row>
    <row r="4273" spans="1:3" x14ac:dyDescent="0.2">
      <c r="A4273" s="3" t="s">
        <v>1438</v>
      </c>
      <c r="B4273" s="3" t="s">
        <v>191</v>
      </c>
      <c r="C4273" s="3" t="s">
        <v>55</v>
      </c>
    </row>
    <row r="4274" spans="1:3" x14ac:dyDescent="0.2">
      <c r="A4274" s="3" t="s">
        <v>1438</v>
      </c>
      <c r="B4274" s="3" t="s">
        <v>191</v>
      </c>
      <c r="C4274" s="3" t="s">
        <v>56</v>
      </c>
    </row>
    <row r="4275" spans="1:3" x14ac:dyDescent="0.2">
      <c r="A4275" s="3" t="s">
        <v>1438</v>
      </c>
      <c r="B4275" s="3" t="s">
        <v>191</v>
      </c>
      <c r="C4275" s="3" t="s">
        <v>57</v>
      </c>
    </row>
    <row r="4276" spans="1:3" x14ac:dyDescent="0.2">
      <c r="A4276" s="3" t="s">
        <v>1438</v>
      </c>
      <c r="B4276" s="3" t="s">
        <v>1439</v>
      </c>
      <c r="C4276" s="3" t="s">
        <v>22</v>
      </c>
    </row>
    <row r="4277" spans="1:3" x14ac:dyDescent="0.2">
      <c r="A4277" s="3" t="s">
        <v>1438</v>
      </c>
      <c r="B4277" s="3" t="s">
        <v>1440</v>
      </c>
      <c r="C4277" s="3" t="s">
        <v>22</v>
      </c>
    </row>
    <row r="4278" spans="1:3" x14ac:dyDescent="0.2">
      <c r="A4278" s="3" t="s">
        <v>1438</v>
      </c>
      <c r="B4278" s="3" t="s">
        <v>1441</v>
      </c>
      <c r="C4278" s="3" t="s">
        <v>22</v>
      </c>
    </row>
    <row r="4279" spans="1:3" x14ac:dyDescent="0.2">
      <c r="A4279" s="3" t="s">
        <v>1438</v>
      </c>
      <c r="B4279" s="3" t="s">
        <v>1442</v>
      </c>
      <c r="C4279" s="3" t="s">
        <v>22</v>
      </c>
    </row>
    <row r="4280" spans="1:3" x14ac:dyDescent="0.2">
      <c r="A4280" s="3" t="s">
        <v>1447</v>
      </c>
      <c r="B4280" s="3" t="s">
        <v>1448</v>
      </c>
      <c r="C4280" s="3" t="s">
        <v>53</v>
      </c>
    </row>
    <row r="4281" spans="1:3" x14ac:dyDescent="0.2">
      <c r="A4281" s="3" t="s">
        <v>1447</v>
      </c>
      <c r="B4281" s="3" t="s">
        <v>1448</v>
      </c>
      <c r="C4281" s="3" t="s">
        <v>54</v>
      </c>
    </row>
    <row r="4282" spans="1:3" x14ac:dyDescent="0.2">
      <c r="A4282" s="3" t="s">
        <v>1447</v>
      </c>
      <c r="B4282" s="3" t="s">
        <v>1448</v>
      </c>
      <c r="C4282" s="3" t="s">
        <v>55</v>
      </c>
    </row>
    <row r="4283" spans="1:3" x14ac:dyDescent="0.2">
      <c r="A4283" s="3" t="s">
        <v>1447</v>
      </c>
      <c r="B4283" s="3" t="s">
        <v>1448</v>
      </c>
      <c r="C4283" s="3" t="s">
        <v>56</v>
      </c>
    </row>
    <row r="4284" spans="1:3" x14ac:dyDescent="0.2">
      <c r="A4284" s="3" t="s">
        <v>1447</v>
      </c>
      <c r="B4284" s="3" t="s">
        <v>1448</v>
      </c>
      <c r="C4284" s="3" t="s">
        <v>57</v>
      </c>
    </row>
    <row r="4285" spans="1:3" x14ac:dyDescent="0.2">
      <c r="A4285" s="3" t="s">
        <v>1449</v>
      </c>
      <c r="B4285" s="3" t="s">
        <v>348</v>
      </c>
      <c r="C4285" s="3" t="s">
        <v>22</v>
      </c>
    </row>
    <row r="4286" spans="1:3" x14ac:dyDescent="0.2">
      <c r="A4286" s="3" t="s">
        <v>1449</v>
      </c>
      <c r="B4286" s="3" t="s">
        <v>349</v>
      </c>
      <c r="C4286" s="3" t="s">
        <v>22</v>
      </c>
    </row>
    <row r="4287" spans="1:3" x14ac:dyDescent="0.2">
      <c r="A4287" s="3" t="s">
        <v>1449</v>
      </c>
      <c r="B4287" s="3" t="s">
        <v>350</v>
      </c>
      <c r="C4287" s="3" t="s">
        <v>22</v>
      </c>
    </row>
    <row r="4288" spans="1:3" x14ac:dyDescent="0.2">
      <c r="A4288" s="3" t="s">
        <v>1449</v>
      </c>
      <c r="B4288" s="3" t="s">
        <v>351</v>
      </c>
      <c r="C4288" s="3" t="s">
        <v>22</v>
      </c>
    </row>
    <row r="4289" spans="1:3" x14ac:dyDescent="0.2">
      <c r="A4289" s="3" t="s">
        <v>1449</v>
      </c>
      <c r="B4289" s="3" t="s">
        <v>352</v>
      </c>
      <c r="C4289" s="3" t="s">
        <v>22</v>
      </c>
    </row>
    <row r="4290" spans="1:3" x14ac:dyDescent="0.2">
      <c r="A4290" s="3" t="s">
        <v>1449</v>
      </c>
      <c r="B4290" s="3" t="s">
        <v>353</v>
      </c>
      <c r="C4290" s="3" t="s">
        <v>22</v>
      </c>
    </row>
    <row r="4291" spans="1:3" x14ac:dyDescent="0.2">
      <c r="A4291" s="3" t="s">
        <v>1449</v>
      </c>
      <c r="B4291" s="3" t="s">
        <v>354</v>
      </c>
      <c r="C4291" s="3" t="s">
        <v>22</v>
      </c>
    </row>
    <row r="4292" spans="1:3" x14ac:dyDescent="0.2">
      <c r="A4292" s="3" t="s">
        <v>1449</v>
      </c>
      <c r="B4292" s="3" t="s">
        <v>355</v>
      </c>
      <c r="C4292" s="3" t="s">
        <v>22</v>
      </c>
    </row>
    <row r="4293" spans="1:3" x14ac:dyDescent="0.2">
      <c r="A4293" s="3" t="s">
        <v>1449</v>
      </c>
      <c r="B4293" s="3" t="s">
        <v>357</v>
      </c>
      <c r="C4293" s="3" t="s">
        <v>22</v>
      </c>
    </row>
    <row r="4294" spans="1:3" x14ac:dyDescent="0.2">
      <c r="A4294" s="3" t="s">
        <v>1449</v>
      </c>
      <c r="B4294" s="3" t="s">
        <v>358</v>
      </c>
      <c r="C4294" s="3" t="s">
        <v>22</v>
      </c>
    </row>
    <row r="4295" spans="1:3" x14ac:dyDescent="0.2">
      <c r="A4295" s="3" t="s">
        <v>1449</v>
      </c>
      <c r="B4295" s="3" t="s">
        <v>359</v>
      </c>
      <c r="C4295" s="3" t="s">
        <v>22</v>
      </c>
    </row>
    <row r="4296" spans="1:3" x14ac:dyDescent="0.2">
      <c r="A4296" s="3" t="s">
        <v>1449</v>
      </c>
      <c r="B4296" s="3" t="s">
        <v>362</v>
      </c>
      <c r="C4296" s="3" t="s">
        <v>22</v>
      </c>
    </row>
    <row r="4297" spans="1:3" x14ac:dyDescent="0.2">
      <c r="A4297" s="3" t="s">
        <v>1450</v>
      </c>
      <c r="B4297" s="3" t="s">
        <v>869</v>
      </c>
      <c r="C4297" s="3" t="s">
        <v>53</v>
      </c>
    </row>
    <row r="4298" spans="1:3" x14ac:dyDescent="0.2">
      <c r="A4298" s="3" t="s">
        <v>1450</v>
      </c>
      <c r="B4298" s="3" t="s">
        <v>899</v>
      </c>
      <c r="C4298" s="3" t="s">
        <v>53</v>
      </c>
    </row>
    <row r="4299" spans="1:3" x14ac:dyDescent="0.2">
      <c r="A4299" s="3" t="s">
        <v>1450</v>
      </c>
      <c r="B4299" s="3" t="s">
        <v>887</v>
      </c>
      <c r="C4299" s="3" t="s">
        <v>53</v>
      </c>
    </row>
    <row r="4300" spans="1:3" x14ac:dyDescent="0.2">
      <c r="A4300" s="3" t="s">
        <v>1450</v>
      </c>
      <c r="B4300" s="3" t="s">
        <v>930</v>
      </c>
      <c r="C4300" s="3" t="s">
        <v>53</v>
      </c>
    </row>
    <row r="4301" spans="1:3" x14ac:dyDescent="0.2">
      <c r="A4301" s="3" t="s">
        <v>1450</v>
      </c>
      <c r="B4301" s="3" t="s">
        <v>903</v>
      </c>
      <c r="C4301" s="3" t="s">
        <v>53</v>
      </c>
    </row>
    <row r="4302" spans="1:3" x14ac:dyDescent="0.2">
      <c r="A4302" s="3" t="s">
        <v>1450</v>
      </c>
      <c r="B4302" s="3" t="s">
        <v>1451</v>
      </c>
      <c r="C4302" s="3" t="s">
        <v>53</v>
      </c>
    </row>
    <row r="4303" spans="1:3" x14ac:dyDescent="0.2">
      <c r="A4303" s="3" t="s">
        <v>1450</v>
      </c>
      <c r="B4303" s="3" t="s">
        <v>869</v>
      </c>
      <c r="C4303" s="3" t="s">
        <v>54</v>
      </c>
    </row>
    <row r="4304" spans="1:3" x14ac:dyDescent="0.2">
      <c r="A4304" s="3" t="s">
        <v>1450</v>
      </c>
      <c r="B4304" s="3" t="s">
        <v>899</v>
      </c>
      <c r="C4304" s="3" t="s">
        <v>54</v>
      </c>
    </row>
    <row r="4305" spans="1:3" x14ac:dyDescent="0.2">
      <c r="A4305" s="3" t="s">
        <v>1450</v>
      </c>
      <c r="B4305" s="3" t="s">
        <v>887</v>
      </c>
      <c r="C4305" s="3" t="s">
        <v>54</v>
      </c>
    </row>
    <row r="4306" spans="1:3" x14ac:dyDescent="0.2">
      <c r="A4306" s="3" t="s">
        <v>1450</v>
      </c>
      <c r="B4306" s="3" t="s">
        <v>930</v>
      </c>
      <c r="C4306" s="3" t="s">
        <v>54</v>
      </c>
    </row>
    <row r="4307" spans="1:3" x14ac:dyDescent="0.2">
      <c r="A4307" s="3" t="s">
        <v>1450</v>
      </c>
      <c r="B4307" s="3" t="s">
        <v>903</v>
      </c>
      <c r="C4307" s="3" t="s">
        <v>54</v>
      </c>
    </row>
    <row r="4308" spans="1:3" x14ac:dyDescent="0.2">
      <c r="A4308" s="3" t="s">
        <v>1450</v>
      </c>
      <c r="B4308" s="3" t="s">
        <v>1451</v>
      </c>
      <c r="C4308" s="3" t="s">
        <v>54</v>
      </c>
    </row>
    <row r="4309" spans="1:3" x14ac:dyDescent="0.2">
      <c r="A4309" s="3" t="s">
        <v>1450</v>
      </c>
      <c r="B4309" s="3" t="s">
        <v>869</v>
      </c>
      <c r="C4309" s="3" t="s">
        <v>55</v>
      </c>
    </row>
    <row r="4310" spans="1:3" x14ac:dyDescent="0.2">
      <c r="A4310" s="3" t="s">
        <v>1450</v>
      </c>
      <c r="B4310" s="3" t="s">
        <v>899</v>
      </c>
      <c r="C4310" s="3" t="s">
        <v>55</v>
      </c>
    </row>
    <row r="4311" spans="1:3" x14ac:dyDescent="0.2">
      <c r="A4311" s="3" t="s">
        <v>1450</v>
      </c>
      <c r="B4311" s="3" t="s">
        <v>887</v>
      </c>
      <c r="C4311" s="3" t="s">
        <v>55</v>
      </c>
    </row>
    <row r="4312" spans="1:3" x14ac:dyDescent="0.2">
      <c r="A4312" s="3" t="s">
        <v>1450</v>
      </c>
      <c r="B4312" s="3" t="s">
        <v>930</v>
      </c>
      <c r="C4312" s="3" t="s">
        <v>55</v>
      </c>
    </row>
    <row r="4313" spans="1:3" x14ac:dyDescent="0.2">
      <c r="A4313" s="3" t="s">
        <v>1450</v>
      </c>
      <c r="B4313" s="3" t="s">
        <v>903</v>
      </c>
      <c r="C4313" s="3" t="s">
        <v>55</v>
      </c>
    </row>
    <row r="4314" spans="1:3" x14ac:dyDescent="0.2">
      <c r="A4314" s="3" t="s">
        <v>1450</v>
      </c>
      <c r="B4314" s="3" t="s">
        <v>1451</v>
      </c>
      <c r="C4314" s="3" t="s">
        <v>55</v>
      </c>
    </row>
    <row r="4315" spans="1:3" x14ac:dyDescent="0.2">
      <c r="A4315" s="3" t="s">
        <v>1450</v>
      </c>
      <c r="B4315" s="3" t="s">
        <v>869</v>
      </c>
      <c r="C4315" s="3" t="s">
        <v>56</v>
      </c>
    </row>
    <row r="4316" spans="1:3" x14ac:dyDescent="0.2">
      <c r="A4316" s="3" t="s">
        <v>1450</v>
      </c>
      <c r="B4316" s="3" t="s">
        <v>899</v>
      </c>
      <c r="C4316" s="3" t="s">
        <v>56</v>
      </c>
    </row>
    <row r="4317" spans="1:3" x14ac:dyDescent="0.2">
      <c r="A4317" s="3" t="s">
        <v>1450</v>
      </c>
      <c r="B4317" s="3" t="s">
        <v>887</v>
      </c>
      <c r="C4317" s="3" t="s">
        <v>56</v>
      </c>
    </row>
    <row r="4318" spans="1:3" x14ac:dyDescent="0.2">
      <c r="A4318" s="3" t="s">
        <v>1450</v>
      </c>
      <c r="B4318" s="3" t="s">
        <v>930</v>
      </c>
      <c r="C4318" s="3" t="s">
        <v>56</v>
      </c>
    </row>
    <row r="4319" spans="1:3" x14ac:dyDescent="0.2">
      <c r="A4319" s="3" t="s">
        <v>1450</v>
      </c>
      <c r="B4319" s="3" t="s">
        <v>903</v>
      </c>
      <c r="C4319" s="3" t="s">
        <v>56</v>
      </c>
    </row>
    <row r="4320" spans="1:3" x14ac:dyDescent="0.2">
      <c r="A4320" s="3" t="s">
        <v>1450</v>
      </c>
      <c r="B4320" s="3" t="s">
        <v>1451</v>
      </c>
      <c r="C4320" s="3" t="s">
        <v>56</v>
      </c>
    </row>
    <row r="4321" spans="1:3" x14ac:dyDescent="0.2">
      <c r="A4321" s="3" t="s">
        <v>1450</v>
      </c>
      <c r="B4321" s="3" t="s">
        <v>869</v>
      </c>
      <c r="C4321" s="3" t="s">
        <v>57</v>
      </c>
    </row>
    <row r="4322" spans="1:3" x14ac:dyDescent="0.2">
      <c r="A4322" s="3" t="s">
        <v>1450</v>
      </c>
      <c r="B4322" s="3" t="s">
        <v>899</v>
      </c>
      <c r="C4322" s="3" t="s">
        <v>57</v>
      </c>
    </row>
    <row r="4323" spans="1:3" x14ac:dyDescent="0.2">
      <c r="A4323" s="3" t="s">
        <v>1450</v>
      </c>
      <c r="B4323" s="3" t="s">
        <v>887</v>
      </c>
      <c r="C4323" s="3" t="s">
        <v>57</v>
      </c>
    </row>
    <row r="4324" spans="1:3" x14ac:dyDescent="0.2">
      <c r="A4324" s="3" t="s">
        <v>1450</v>
      </c>
      <c r="B4324" s="3" t="s">
        <v>930</v>
      </c>
      <c r="C4324" s="3" t="s">
        <v>57</v>
      </c>
    </row>
    <row r="4325" spans="1:3" x14ac:dyDescent="0.2">
      <c r="A4325" s="3" t="s">
        <v>1450</v>
      </c>
      <c r="B4325" s="3" t="s">
        <v>903</v>
      </c>
      <c r="C4325" s="3" t="s">
        <v>57</v>
      </c>
    </row>
    <row r="4326" spans="1:3" x14ac:dyDescent="0.2">
      <c r="A4326" s="3" t="s">
        <v>1450</v>
      </c>
      <c r="B4326" s="3" t="s">
        <v>1451</v>
      </c>
      <c r="C4326" s="3" t="s">
        <v>57</v>
      </c>
    </row>
    <row r="4327" spans="1:3" x14ac:dyDescent="0.2">
      <c r="A4327" s="3" t="s">
        <v>1450</v>
      </c>
      <c r="B4327" s="3" t="s">
        <v>935</v>
      </c>
      <c r="C4327" s="3" t="s">
        <v>10</v>
      </c>
    </row>
    <row r="4328" spans="1:3" x14ac:dyDescent="0.2">
      <c r="A4328" s="3" t="s">
        <v>1450</v>
      </c>
      <c r="B4328" s="3" t="s">
        <v>939</v>
      </c>
      <c r="C4328" s="3" t="s">
        <v>10</v>
      </c>
    </row>
    <row r="4329" spans="1:3" x14ac:dyDescent="0.2">
      <c r="A4329" s="3" t="s">
        <v>1450</v>
      </c>
      <c r="B4329" s="3" t="s">
        <v>935</v>
      </c>
      <c r="C4329" s="3" t="s">
        <v>11</v>
      </c>
    </row>
    <row r="4330" spans="1:3" x14ac:dyDescent="0.2">
      <c r="A4330" s="3" t="s">
        <v>1450</v>
      </c>
      <c r="B4330" s="3" t="s">
        <v>1452</v>
      </c>
      <c r="C4330" s="3" t="s">
        <v>22</v>
      </c>
    </row>
    <row r="4331" spans="1:3" x14ac:dyDescent="0.2">
      <c r="A4331" s="3" t="s">
        <v>1453</v>
      </c>
      <c r="B4331" s="3" t="s">
        <v>869</v>
      </c>
      <c r="C4331" s="3" t="s">
        <v>53</v>
      </c>
    </row>
    <row r="4332" spans="1:3" x14ac:dyDescent="0.2">
      <c r="A4332" s="3" t="s">
        <v>1453</v>
      </c>
      <c r="B4332" s="3" t="s">
        <v>870</v>
      </c>
      <c r="C4332" s="3" t="s">
        <v>53</v>
      </c>
    </row>
    <row r="4333" spans="1:3" x14ac:dyDescent="0.2">
      <c r="A4333" s="3" t="s">
        <v>1453</v>
      </c>
      <c r="B4333" s="3" t="s">
        <v>871</v>
      </c>
      <c r="C4333" s="3" t="s">
        <v>53</v>
      </c>
    </row>
    <row r="4334" spans="1:3" x14ac:dyDescent="0.2">
      <c r="A4334" s="3" t="s">
        <v>1453</v>
      </c>
      <c r="B4334" s="3" t="s">
        <v>869</v>
      </c>
      <c r="C4334" s="3" t="s">
        <v>54</v>
      </c>
    </row>
    <row r="4335" spans="1:3" x14ac:dyDescent="0.2">
      <c r="A4335" s="3" t="s">
        <v>1453</v>
      </c>
      <c r="B4335" s="3" t="s">
        <v>870</v>
      </c>
      <c r="C4335" s="3" t="s">
        <v>54</v>
      </c>
    </row>
    <row r="4336" spans="1:3" x14ac:dyDescent="0.2">
      <c r="A4336" s="3" t="s">
        <v>1453</v>
      </c>
      <c r="B4336" s="3" t="s">
        <v>871</v>
      </c>
      <c r="C4336" s="3" t="s">
        <v>54</v>
      </c>
    </row>
    <row r="4337" spans="1:3" x14ac:dyDescent="0.2">
      <c r="A4337" s="3" t="s">
        <v>1453</v>
      </c>
      <c r="B4337" s="3" t="s">
        <v>869</v>
      </c>
      <c r="C4337" s="3" t="s">
        <v>55</v>
      </c>
    </row>
    <row r="4338" spans="1:3" x14ac:dyDescent="0.2">
      <c r="A4338" s="3" t="s">
        <v>1453</v>
      </c>
      <c r="B4338" s="3" t="s">
        <v>870</v>
      </c>
      <c r="C4338" s="3" t="s">
        <v>55</v>
      </c>
    </row>
    <row r="4339" spans="1:3" x14ac:dyDescent="0.2">
      <c r="A4339" s="3" t="s">
        <v>1453</v>
      </c>
      <c r="B4339" s="3" t="s">
        <v>871</v>
      </c>
      <c r="C4339" s="3" t="s">
        <v>55</v>
      </c>
    </row>
    <row r="4340" spans="1:3" x14ac:dyDescent="0.2">
      <c r="A4340" s="3" t="s">
        <v>1453</v>
      </c>
      <c r="B4340" s="3" t="s">
        <v>869</v>
      </c>
      <c r="C4340" s="3" t="s">
        <v>56</v>
      </c>
    </row>
    <row r="4341" spans="1:3" x14ac:dyDescent="0.2">
      <c r="A4341" s="3" t="s">
        <v>1453</v>
      </c>
      <c r="B4341" s="3" t="s">
        <v>870</v>
      </c>
      <c r="C4341" s="3" t="s">
        <v>56</v>
      </c>
    </row>
    <row r="4342" spans="1:3" x14ac:dyDescent="0.2">
      <c r="A4342" s="3" t="s">
        <v>1453</v>
      </c>
      <c r="B4342" s="3" t="s">
        <v>871</v>
      </c>
      <c r="C4342" s="3" t="s">
        <v>56</v>
      </c>
    </row>
    <row r="4343" spans="1:3" x14ac:dyDescent="0.2">
      <c r="A4343" s="3" t="s">
        <v>1453</v>
      </c>
      <c r="B4343" s="3" t="s">
        <v>869</v>
      </c>
      <c r="C4343" s="3" t="s">
        <v>57</v>
      </c>
    </row>
    <row r="4344" spans="1:3" x14ac:dyDescent="0.2">
      <c r="A4344" s="3" t="s">
        <v>1453</v>
      </c>
      <c r="B4344" s="3" t="s">
        <v>870</v>
      </c>
      <c r="C4344" s="3" t="s">
        <v>57</v>
      </c>
    </row>
    <row r="4345" spans="1:3" x14ac:dyDescent="0.2">
      <c r="A4345" s="3" t="s">
        <v>1453</v>
      </c>
      <c r="B4345" s="3" t="s">
        <v>871</v>
      </c>
      <c r="C4345" s="3" t="s">
        <v>57</v>
      </c>
    </row>
    <row r="4346" spans="1:3" x14ac:dyDescent="0.2">
      <c r="A4346" s="3" t="s">
        <v>1454</v>
      </c>
      <c r="B4346" s="3" t="s">
        <v>869</v>
      </c>
      <c r="C4346" s="3" t="s">
        <v>53</v>
      </c>
    </row>
    <row r="4347" spans="1:3" x14ac:dyDescent="0.2">
      <c r="A4347" s="3" t="s">
        <v>1454</v>
      </c>
      <c r="B4347" s="3" t="s">
        <v>903</v>
      </c>
      <c r="C4347" s="3" t="s">
        <v>53</v>
      </c>
    </row>
    <row r="4348" spans="1:3" x14ac:dyDescent="0.2">
      <c r="A4348" s="3" t="s">
        <v>1454</v>
      </c>
      <c r="B4348" s="3" t="s">
        <v>869</v>
      </c>
      <c r="C4348" s="3" t="s">
        <v>54</v>
      </c>
    </row>
    <row r="4349" spans="1:3" x14ac:dyDescent="0.2">
      <c r="A4349" s="3" t="s">
        <v>1454</v>
      </c>
      <c r="B4349" s="3" t="s">
        <v>903</v>
      </c>
      <c r="C4349" s="3" t="s">
        <v>54</v>
      </c>
    </row>
    <row r="4350" spans="1:3" x14ac:dyDescent="0.2">
      <c r="A4350" s="3" t="s">
        <v>1454</v>
      </c>
      <c r="B4350" s="3" t="s">
        <v>869</v>
      </c>
      <c r="C4350" s="3" t="s">
        <v>55</v>
      </c>
    </row>
    <row r="4351" spans="1:3" x14ac:dyDescent="0.2">
      <c r="A4351" s="3" t="s">
        <v>1454</v>
      </c>
      <c r="B4351" s="3" t="s">
        <v>903</v>
      </c>
      <c r="C4351" s="3" t="s">
        <v>55</v>
      </c>
    </row>
    <row r="4352" spans="1:3" x14ac:dyDescent="0.2">
      <c r="A4352" s="3" t="s">
        <v>1454</v>
      </c>
      <c r="B4352" s="3" t="s">
        <v>869</v>
      </c>
      <c r="C4352" s="3" t="s">
        <v>56</v>
      </c>
    </row>
    <row r="4353" spans="1:3" x14ac:dyDescent="0.2">
      <c r="A4353" s="3" t="s">
        <v>1454</v>
      </c>
      <c r="B4353" s="3" t="s">
        <v>903</v>
      </c>
      <c r="C4353" s="3" t="s">
        <v>56</v>
      </c>
    </row>
    <row r="4354" spans="1:3" x14ac:dyDescent="0.2">
      <c r="A4354" s="3" t="s">
        <v>1454</v>
      </c>
      <c r="B4354" s="3" t="s">
        <v>869</v>
      </c>
      <c r="C4354" s="3" t="s">
        <v>57</v>
      </c>
    </row>
    <row r="4355" spans="1:3" x14ac:dyDescent="0.2">
      <c r="A4355" s="3" t="s">
        <v>1454</v>
      </c>
      <c r="B4355" s="3" t="s">
        <v>903</v>
      </c>
      <c r="C4355" s="3" t="s">
        <v>57</v>
      </c>
    </row>
    <row r="4356" spans="1:3" x14ac:dyDescent="0.2">
      <c r="A4356" s="3" t="s">
        <v>1455</v>
      </c>
      <c r="B4356" s="3" t="s">
        <v>930</v>
      </c>
      <c r="C4356" s="3" t="s">
        <v>53</v>
      </c>
    </row>
    <row r="4357" spans="1:3" x14ac:dyDescent="0.2">
      <c r="A4357" s="3" t="s">
        <v>1455</v>
      </c>
      <c r="B4357" s="3" t="s">
        <v>930</v>
      </c>
      <c r="C4357" s="3" t="s">
        <v>54</v>
      </c>
    </row>
    <row r="4358" spans="1:3" x14ac:dyDescent="0.2">
      <c r="A4358" s="3" t="s">
        <v>1455</v>
      </c>
      <c r="B4358" s="3" t="s">
        <v>930</v>
      </c>
      <c r="C4358" s="3" t="s">
        <v>55</v>
      </c>
    </row>
    <row r="4359" spans="1:3" x14ac:dyDescent="0.2">
      <c r="A4359" s="3" t="s">
        <v>1455</v>
      </c>
      <c r="B4359" s="3" t="s">
        <v>930</v>
      </c>
      <c r="C4359" s="3" t="s">
        <v>56</v>
      </c>
    </row>
    <row r="4360" spans="1:3" x14ac:dyDescent="0.2">
      <c r="A4360" s="3" t="s">
        <v>1455</v>
      </c>
      <c r="B4360" s="3" t="s">
        <v>930</v>
      </c>
      <c r="C4360" s="3" t="s">
        <v>57</v>
      </c>
    </row>
    <row r="4361" spans="1:3" x14ac:dyDescent="0.2">
      <c r="A4361" s="3" t="s">
        <v>1455</v>
      </c>
      <c r="B4361" s="3" t="s">
        <v>1456</v>
      </c>
      <c r="C4361" s="3" t="s">
        <v>22</v>
      </c>
    </row>
    <row r="4362" spans="1:3" x14ac:dyDescent="0.2">
      <c r="A4362" s="3" t="s">
        <v>1455</v>
      </c>
      <c r="B4362" s="3" t="s">
        <v>1457</v>
      </c>
      <c r="C4362" s="3" t="s">
        <v>22</v>
      </c>
    </row>
    <row r="4363" spans="1:3" x14ac:dyDescent="0.2">
      <c r="A4363" s="3" t="s">
        <v>1455</v>
      </c>
      <c r="B4363" s="3" t="s">
        <v>1458</v>
      </c>
      <c r="C4363" s="3" t="s">
        <v>22</v>
      </c>
    </row>
    <row r="4364" spans="1:3" x14ac:dyDescent="0.2">
      <c r="A4364" s="3" t="s">
        <v>1455</v>
      </c>
      <c r="B4364" s="3" t="s">
        <v>1459</v>
      </c>
      <c r="C4364" s="3" t="s">
        <v>22</v>
      </c>
    </row>
    <row r="4365" spans="1:3" x14ac:dyDescent="0.2">
      <c r="A4365" s="3" t="s">
        <v>1455</v>
      </c>
      <c r="B4365" s="3" t="s">
        <v>1036</v>
      </c>
      <c r="C4365" s="3" t="s">
        <v>22</v>
      </c>
    </row>
    <row r="4366" spans="1:3" x14ac:dyDescent="0.2">
      <c r="A4366" s="3" t="s">
        <v>1455</v>
      </c>
      <c r="B4366" s="3" t="s">
        <v>1037</v>
      </c>
      <c r="C4366" s="3" t="s">
        <v>22</v>
      </c>
    </row>
    <row r="4367" spans="1:3" x14ac:dyDescent="0.2">
      <c r="A4367" s="3" t="s">
        <v>1455</v>
      </c>
      <c r="B4367" s="3" t="s">
        <v>1038</v>
      </c>
      <c r="C4367" s="3" t="s">
        <v>22</v>
      </c>
    </row>
    <row r="4368" spans="1:3" x14ac:dyDescent="0.2">
      <c r="A4368" s="3" t="s">
        <v>1455</v>
      </c>
      <c r="B4368" s="3" t="s">
        <v>1039</v>
      </c>
      <c r="C4368" s="3" t="s">
        <v>22</v>
      </c>
    </row>
    <row r="4369" spans="1:3" x14ac:dyDescent="0.2">
      <c r="A4369" s="3" t="s">
        <v>1455</v>
      </c>
      <c r="B4369" s="3" t="s">
        <v>1460</v>
      </c>
      <c r="C4369" s="3" t="s">
        <v>22</v>
      </c>
    </row>
    <row r="4370" spans="1:3" x14ac:dyDescent="0.2">
      <c r="A4370" s="3" t="s">
        <v>1462</v>
      </c>
      <c r="B4370" s="3" t="s">
        <v>1308</v>
      </c>
      <c r="C4370" s="3" t="s">
        <v>11</v>
      </c>
    </row>
    <row r="4371" spans="1:3" x14ac:dyDescent="0.2">
      <c r="A4371" s="3" t="s">
        <v>1462</v>
      </c>
      <c r="B4371" s="3" t="s">
        <v>1309</v>
      </c>
      <c r="C4371" s="3" t="s">
        <v>11</v>
      </c>
    </row>
    <row r="4372" spans="1:3" x14ac:dyDescent="0.2">
      <c r="A4372" s="3" t="s">
        <v>1463</v>
      </c>
      <c r="B4372" s="3" t="s">
        <v>565</v>
      </c>
      <c r="C4372" s="3" t="s">
        <v>53</v>
      </c>
    </row>
    <row r="4373" spans="1:3" x14ac:dyDescent="0.2">
      <c r="A4373" s="3" t="s">
        <v>1463</v>
      </c>
      <c r="B4373" s="3" t="s">
        <v>597</v>
      </c>
      <c r="C4373" s="3" t="s">
        <v>53</v>
      </c>
    </row>
    <row r="4374" spans="1:3" x14ac:dyDescent="0.2">
      <c r="A4374" s="3" t="s">
        <v>1463</v>
      </c>
      <c r="B4374" s="3" t="s">
        <v>566</v>
      </c>
      <c r="C4374" s="3" t="s">
        <v>53</v>
      </c>
    </row>
    <row r="4375" spans="1:3" x14ac:dyDescent="0.2">
      <c r="A4375" s="3" t="s">
        <v>1463</v>
      </c>
      <c r="B4375" s="3" t="s">
        <v>531</v>
      </c>
      <c r="C4375" s="3" t="s">
        <v>53</v>
      </c>
    </row>
    <row r="4376" spans="1:3" x14ac:dyDescent="0.2">
      <c r="A4376" s="3" t="s">
        <v>1463</v>
      </c>
      <c r="B4376" s="3" t="s">
        <v>567</v>
      </c>
      <c r="C4376" s="3" t="s">
        <v>53</v>
      </c>
    </row>
    <row r="4377" spans="1:3" x14ac:dyDescent="0.2">
      <c r="A4377" s="3" t="s">
        <v>1463</v>
      </c>
      <c r="B4377" s="3" t="s">
        <v>598</v>
      </c>
      <c r="C4377" s="3" t="s">
        <v>53</v>
      </c>
    </row>
    <row r="4378" spans="1:3" x14ac:dyDescent="0.2">
      <c r="A4378" s="3" t="s">
        <v>1463</v>
      </c>
      <c r="B4378" s="3" t="s">
        <v>547</v>
      </c>
      <c r="C4378" s="3" t="s">
        <v>53</v>
      </c>
    </row>
    <row r="4379" spans="1:3" x14ac:dyDescent="0.2">
      <c r="A4379" s="3" t="s">
        <v>1463</v>
      </c>
      <c r="B4379" s="3" t="s">
        <v>1464</v>
      </c>
      <c r="C4379" s="3" t="s">
        <v>53</v>
      </c>
    </row>
    <row r="4380" spans="1:3" x14ac:dyDescent="0.2">
      <c r="A4380" s="3" t="s">
        <v>1463</v>
      </c>
      <c r="B4380" s="3" t="s">
        <v>1465</v>
      </c>
      <c r="C4380" s="3" t="s">
        <v>53</v>
      </c>
    </row>
    <row r="4381" spans="1:3" x14ac:dyDescent="0.2">
      <c r="A4381" s="3" t="s">
        <v>1463</v>
      </c>
      <c r="B4381" s="3" t="s">
        <v>565</v>
      </c>
      <c r="C4381" s="3" t="s">
        <v>54</v>
      </c>
    </row>
    <row r="4382" spans="1:3" x14ac:dyDescent="0.2">
      <c r="A4382" s="3" t="s">
        <v>1463</v>
      </c>
      <c r="B4382" s="3" t="s">
        <v>597</v>
      </c>
      <c r="C4382" s="3" t="s">
        <v>54</v>
      </c>
    </row>
    <row r="4383" spans="1:3" x14ac:dyDescent="0.2">
      <c r="A4383" s="3" t="s">
        <v>1463</v>
      </c>
      <c r="B4383" s="3" t="s">
        <v>566</v>
      </c>
      <c r="C4383" s="3" t="s">
        <v>54</v>
      </c>
    </row>
    <row r="4384" spans="1:3" x14ac:dyDescent="0.2">
      <c r="A4384" s="3" t="s">
        <v>1463</v>
      </c>
      <c r="B4384" s="3" t="s">
        <v>531</v>
      </c>
      <c r="C4384" s="3" t="s">
        <v>54</v>
      </c>
    </row>
    <row r="4385" spans="1:3" x14ac:dyDescent="0.2">
      <c r="A4385" s="3" t="s">
        <v>1463</v>
      </c>
      <c r="B4385" s="3" t="s">
        <v>567</v>
      </c>
      <c r="C4385" s="3" t="s">
        <v>54</v>
      </c>
    </row>
    <row r="4386" spans="1:3" x14ac:dyDescent="0.2">
      <c r="A4386" s="3" t="s">
        <v>1463</v>
      </c>
      <c r="B4386" s="3" t="s">
        <v>598</v>
      </c>
      <c r="C4386" s="3" t="s">
        <v>54</v>
      </c>
    </row>
    <row r="4387" spans="1:3" x14ac:dyDescent="0.2">
      <c r="A4387" s="3" t="s">
        <v>1463</v>
      </c>
      <c r="B4387" s="3" t="s">
        <v>547</v>
      </c>
      <c r="C4387" s="3" t="s">
        <v>54</v>
      </c>
    </row>
    <row r="4388" spans="1:3" x14ac:dyDescent="0.2">
      <c r="A4388" s="3" t="s">
        <v>1463</v>
      </c>
      <c r="B4388" s="3" t="s">
        <v>1464</v>
      </c>
      <c r="C4388" s="3" t="s">
        <v>54</v>
      </c>
    </row>
    <row r="4389" spans="1:3" x14ac:dyDescent="0.2">
      <c r="A4389" s="3" t="s">
        <v>1463</v>
      </c>
      <c r="B4389" s="3" t="s">
        <v>1465</v>
      </c>
      <c r="C4389" s="3" t="s">
        <v>54</v>
      </c>
    </row>
    <row r="4390" spans="1:3" x14ac:dyDescent="0.2">
      <c r="A4390" s="3" t="s">
        <v>1463</v>
      </c>
      <c r="B4390" s="3" t="s">
        <v>565</v>
      </c>
      <c r="C4390" s="3" t="s">
        <v>55</v>
      </c>
    </row>
    <row r="4391" spans="1:3" x14ac:dyDescent="0.2">
      <c r="A4391" s="3" t="s">
        <v>1463</v>
      </c>
      <c r="B4391" s="3" t="s">
        <v>597</v>
      </c>
      <c r="C4391" s="3" t="s">
        <v>55</v>
      </c>
    </row>
    <row r="4392" spans="1:3" x14ac:dyDescent="0.2">
      <c r="A4392" s="3" t="s">
        <v>1463</v>
      </c>
      <c r="B4392" s="3" t="s">
        <v>566</v>
      </c>
      <c r="C4392" s="3" t="s">
        <v>55</v>
      </c>
    </row>
    <row r="4393" spans="1:3" x14ac:dyDescent="0.2">
      <c r="A4393" s="3" t="s">
        <v>1463</v>
      </c>
      <c r="B4393" s="3" t="s">
        <v>531</v>
      </c>
      <c r="C4393" s="3" t="s">
        <v>55</v>
      </c>
    </row>
    <row r="4394" spans="1:3" x14ac:dyDescent="0.2">
      <c r="A4394" s="3" t="s">
        <v>1463</v>
      </c>
      <c r="B4394" s="3" t="s">
        <v>567</v>
      </c>
      <c r="C4394" s="3" t="s">
        <v>55</v>
      </c>
    </row>
    <row r="4395" spans="1:3" x14ac:dyDescent="0.2">
      <c r="A4395" s="3" t="s">
        <v>1463</v>
      </c>
      <c r="B4395" s="3" t="s">
        <v>598</v>
      </c>
      <c r="C4395" s="3" t="s">
        <v>55</v>
      </c>
    </row>
    <row r="4396" spans="1:3" x14ac:dyDescent="0.2">
      <c r="A4396" s="3" t="s">
        <v>1463</v>
      </c>
      <c r="B4396" s="3" t="s">
        <v>547</v>
      </c>
      <c r="C4396" s="3" t="s">
        <v>55</v>
      </c>
    </row>
    <row r="4397" spans="1:3" x14ac:dyDescent="0.2">
      <c r="A4397" s="3" t="s">
        <v>1463</v>
      </c>
      <c r="B4397" s="3" t="s">
        <v>1464</v>
      </c>
      <c r="C4397" s="3" t="s">
        <v>55</v>
      </c>
    </row>
    <row r="4398" spans="1:3" x14ac:dyDescent="0.2">
      <c r="A4398" s="3" t="s">
        <v>1463</v>
      </c>
      <c r="B4398" s="3" t="s">
        <v>1465</v>
      </c>
      <c r="C4398" s="3" t="s">
        <v>55</v>
      </c>
    </row>
    <row r="4399" spans="1:3" x14ac:dyDescent="0.2">
      <c r="A4399" s="3" t="s">
        <v>1463</v>
      </c>
      <c r="B4399" s="3" t="s">
        <v>565</v>
      </c>
      <c r="C4399" s="3" t="s">
        <v>56</v>
      </c>
    </row>
    <row r="4400" spans="1:3" x14ac:dyDescent="0.2">
      <c r="A4400" s="3" t="s">
        <v>1463</v>
      </c>
      <c r="B4400" s="3" t="s">
        <v>597</v>
      </c>
      <c r="C4400" s="3" t="s">
        <v>56</v>
      </c>
    </row>
    <row r="4401" spans="1:3" x14ac:dyDescent="0.2">
      <c r="A4401" s="3" t="s">
        <v>1463</v>
      </c>
      <c r="B4401" s="3" t="s">
        <v>566</v>
      </c>
      <c r="C4401" s="3" t="s">
        <v>56</v>
      </c>
    </row>
    <row r="4402" spans="1:3" x14ac:dyDescent="0.2">
      <c r="A4402" s="3" t="s">
        <v>1463</v>
      </c>
      <c r="B4402" s="3" t="s">
        <v>531</v>
      </c>
      <c r="C4402" s="3" t="s">
        <v>56</v>
      </c>
    </row>
    <row r="4403" spans="1:3" x14ac:dyDescent="0.2">
      <c r="A4403" s="3" t="s">
        <v>1463</v>
      </c>
      <c r="B4403" s="3" t="s">
        <v>567</v>
      </c>
      <c r="C4403" s="3" t="s">
        <v>56</v>
      </c>
    </row>
    <row r="4404" spans="1:3" x14ac:dyDescent="0.2">
      <c r="A4404" s="3" t="s">
        <v>1463</v>
      </c>
      <c r="B4404" s="3" t="s">
        <v>598</v>
      </c>
      <c r="C4404" s="3" t="s">
        <v>56</v>
      </c>
    </row>
    <row r="4405" spans="1:3" x14ac:dyDescent="0.2">
      <c r="A4405" s="3" t="s">
        <v>1463</v>
      </c>
      <c r="B4405" s="3" t="s">
        <v>547</v>
      </c>
      <c r="C4405" s="3" t="s">
        <v>56</v>
      </c>
    </row>
    <row r="4406" spans="1:3" x14ac:dyDescent="0.2">
      <c r="A4406" s="3" t="s">
        <v>1463</v>
      </c>
      <c r="B4406" s="3" t="s">
        <v>1464</v>
      </c>
      <c r="C4406" s="3" t="s">
        <v>56</v>
      </c>
    </row>
    <row r="4407" spans="1:3" x14ac:dyDescent="0.2">
      <c r="A4407" s="3" t="s">
        <v>1463</v>
      </c>
      <c r="B4407" s="3" t="s">
        <v>1465</v>
      </c>
      <c r="C4407" s="3" t="s">
        <v>56</v>
      </c>
    </row>
    <row r="4408" spans="1:3" x14ac:dyDescent="0.2">
      <c r="A4408" s="3" t="s">
        <v>1463</v>
      </c>
      <c r="B4408" s="3" t="s">
        <v>565</v>
      </c>
      <c r="C4408" s="3" t="s">
        <v>57</v>
      </c>
    </row>
    <row r="4409" spans="1:3" x14ac:dyDescent="0.2">
      <c r="A4409" s="3" t="s">
        <v>1463</v>
      </c>
      <c r="B4409" s="3" t="s">
        <v>597</v>
      </c>
      <c r="C4409" s="3" t="s">
        <v>57</v>
      </c>
    </row>
    <row r="4410" spans="1:3" x14ac:dyDescent="0.2">
      <c r="A4410" s="3" t="s">
        <v>1463</v>
      </c>
      <c r="B4410" s="3" t="s">
        <v>566</v>
      </c>
      <c r="C4410" s="3" t="s">
        <v>57</v>
      </c>
    </row>
    <row r="4411" spans="1:3" x14ac:dyDescent="0.2">
      <c r="A4411" s="3" t="s">
        <v>1463</v>
      </c>
      <c r="B4411" s="3" t="s">
        <v>531</v>
      </c>
      <c r="C4411" s="3" t="s">
        <v>57</v>
      </c>
    </row>
    <row r="4412" spans="1:3" x14ac:dyDescent="0.2">
      <c r="A4412" s="3" t="s">
        <v>1463</v>
      </c>
      <c r="B4412" s="3" t="s">
        <v>567</v>
      </c>
      <c r="C4412" s="3" t="s">
        <v>57</v>
      </c>
    </row>
    <row r="4413" spans="1:3" x14ac:dyDescent="0.2">
      <c r="A4413" s="3" t="s">
        <v>1463</v>
      </c>
      <c r="B4413" s="3" t="s">
        <v>598</v>
      </c>
      <c r="C4413" s="3" t="s">
        <v>57</v>
      </c>
    </row>
    <row r="4414" spans="1:3" x14ac:dyDescent="0.2">
      <c r="A4414" s="3" t="s">
        <v>1463</v>
      </c>
      <c r="B4414" s="3" t="s">
        <v>547</v>
      </c>
      <c r="C4414" s="3" t="s">
        <v>57</v>
      </c>
    </row>
    <row r="4415" spans="1:3" x14ac:dyDescent="0.2">
      <c r="A4415" s="3" t="s">
        <v>1463</v>
      </c>
      <c r="B4415" s="3" t="s">
        <v>1464</v>
      </c>
      <c r="C4415" s="3" t="s">
        <v>57</v>
      </c>
    </row>
    <row r="4416" spans="1:3" x14ac:dyDescent="0.2">
      <c r="A4416" s="3" t="s">
        <v>1463</v>
      </c>
      <c r="B4416" s="3" t="s">
        <v>1465</v>
      </c>
      <c r="C4416" s="3" t="s">
        <v>57</v>
      </c>
    </row>
    <row r="4417" spans="1:3" x14ac:dyDescent="0.2">
      <c r="A4417" s="3" t="s">
        <v>1463</v>
      </c>
      <c r="B4417" s="3" t="s">
        <v>176</v>
      </c>
      <c r="C4417" s="3" t="s">
        <v>169</v>
      </c>
    </row>
    <row r="4418" spans="1:3" x14ac:dyDescent="0.2">
      <c r="A4418" s="3" t="s">
        <v>1463</v>
      </c>
      <c r="B4418" s="3" t="s">
        <v>593</v>
      </c>
      <c r="C4418" s="3" t="s">
        <v>169</v>
      </c>
    </row>
    <row r="4419" spans="1:3" x14ac:dyDescent="0.2">
      <c r="A4419" s="3" t="s">
        <v>1463</v>
      </c>
      <c r="B4419" s="3" t="s">
        <v>594</v>
      </c>
      <c r="C4419" s="3" t="s">
        <v>169</v>
      </c>
    </row>
    <row r="4420" spans="1:3" x14ac:dyDescent="0.2">
      <c r="A4420" s="3" t="s">
        <v>1463</v>
      </c>
      <c r="B4420" s="3" t="s">
        <v>595</v>
      </c>
      <c r="C4420" s="3" t="s">
        <v>169</v>
      </c>
    </row>
    <row r="4421" spans="1:3" x14ac:dyDescent="0.2">
      <c r="A4421" s="3" t="s">
        <v>1466</v>
      </c>
      <c r="B4421" s="3" t="s">
        <v>1467</v>
      </c>
      <c r="C4421" s="3" t="s">
        <v>169</v>
      </c>
    </row>
    <row r="4422" spans="1:3" x14ac:dyDescent="0.2">
      <c r="A4422" s="3" t="s">
        <v>1466</v>
      </c>
      <c r="B4422" s="3" t="s">
        <v>1468</v>
      </c>
      <c r="C4422" s="3" t="s">
        <v>169</v>
      </c>
    </row>
    <row r="4423" spans="1:3" x14ac:dyDescent="0.2">
      <c r="A4423" s="3" t="s">
        <v>1466</v>
      </c>
      <c r="B4423" s="3" t="s">
        <v>1469</v>
      </c>
      <c r="C4423" s="3" t="s">
        <v>169</v>
      </c>
    </row>
    <row r="4424" spans="1:3" x14ac:dyDescent="0.2">
      <c r="A4424" s="3" t="s">
        <v>1466</v>
      </c>
      <c r="B4424" s="3" t="s">
        <v>1470</v>
      </c>
      <c r="C4424" s="3" t="s">
        <v>169</v>
      </c>
    </row>
    <row r="4425" spans="1:3" x14ac:dyDescent="0.2">
      <c r="A4425" s="3" t="s">
        <v>1471</v>
      </c>
      <c r="B4425" s="3" t="s">
        <v>1472</v>
      </c>
      <c r="C4425" s="3" t="s">
        <v>169</v>
      </c>
    </row>
    <row r="4426" spans="1:3" x14ac:dyDescent="0.2">
      <c r="A4426" s="3" t="s">
        <v>1471</v>
      </c>
      <c r="B4426" s="3" t="s">
        <v>1473</v>
      </c>
      <c r="C4426" s="3" t="s">
        <v>169</v>
      </c>
    </row>
    <row r="4427" spans="1:3" x14ac:dyDescent="0.2">
      <c r="A4427" s="3" t="s">
        <v>1471</v>
      </c>
      <c r="B4427" s="3" t="s">
        <v>1474</v>
      </c>
      <c r="C4427" s="3" t="s">
        <v>169</v>
      </c>
    </row>
    <row r="4428" spans="1:3" x14ac:dyDescent="0.2">
      <c r="A4428" s="3" t="s">
        <v>1471</v>
      </c>
      <c r="B4428" s="3" t="s">
        <v>1475</v>
      </c>
      <c r="C4428" s="3" t="s">
        <v>169</v>
      </c>
    </row>
    <row r="4429" spans="1:3" x14ac:dyDescent="0.2">
      <c r="A4429" s="3" t="s">
        <v>1471</v>
      </c>
      <c r="B4429" s="3" t="s">
        <v>1476</v>
      </c>
      <c r="C4429" s="3" t="s">
        <v>169</v>
      </c>
    </row>
    <row r="4430" spans="1:3" x14ac:dyDescent="0.2">
      <c r="A4430" s="3" t="s">
        <v>1471</v>
      </c>
      <c r="B4430" s="3" t="s">
        <v>1477</v>
      </c>
      <c r="C4430" s="3" t="s">
        <v>169</v>
      </c>
    </row>
    <row r="4431" spans="1:3" x14ac:dyDescent="0.2">
      <c r="A4431" s="3" t="s">
        <v>1471</v>
      </c>
      <c r="B4431" s="3" t="s">
        <v>1478</v>
      </c>
      <c r="C4431" s="3" t="s">
        <v>169</v>
      </c>
    </row>
    <row r="4432" spans="1:3" x14ac:dyDescent="0.2">
      <c r="A4432" s="3" t="s">
        <v>1471</v>
      </c>
      <c r="B4432" s="3" t="s">
        <v>1479</v>
      </c>
      <c r="C4432" s="3" t="s">
        <v>169</v>
      </c>
    </row>
    <row r="4433" spans="1:3" x14ac:dyDescent="0.2">
      <c r="A4433" s="3" t="s">
        <v>1471</v>
      </c>
      <c r="B4433" s="3" t="s">
        <v>1480</v>
      </c>
      <c r="C4433" s="3" t="s">
        <v>169</v>
      </c>
    </row>
    <row r="4434" spans="1:3" x14ac:dyDescent="0.2">
      <c r="A4434" s="3" t="s">
        <v>1471</v>
      </c>
      <c r="B4434" s="3" t="s">
        <v>1481</v>
      </c>
      <c r="C4434" s="3" t="s">
        <v>169</v>
      </c>
    </row>
    <row r="4435" spans="1:3" x14ac:dyDescent="0.2">
      <c r="A4435" s="3" t="s">
        <v>1471</v>
      </c>
      <c r="B4435" s="3" t="s">
        <v>1482</v>
      </c>
      <c r="C4435" s="3" t="s">
        <v>169</v>
      </c>
    </row>
    <row r="4436" spans="1:3" x14ac:dyDescent="0.2">
      <c r="A4436" s="3" t="s">
        <v>1471</v>
      </c>
      <c r="B4436" s="3" t="s">
        <v>1483</v>
      </c>
      <c r="C4436" s="3" t="s">
        <v>169</v>
      </c>
    </row>
    <row r="4437" spans="1:3" x14ac:dyDescent="0.2">
      <c r="A4437" s="3" t="s">
        <v>1471</v>
      </c>
      <c r="B4437" s="3" t="s">
        <v>1484</v>
      </c>
      <c r="C4437" s="3" t="s">
        <v>169</v>
      </c>
    </row>
    <row r="4438" spans="1:3" x14ac:dyDescent="0.2">
      <c r="A4438" s="3" t="s">
        <v>1471</v>
      </c>
      <c r="B4438" s="3" t="s">
        <v>1485</v>
      </c>
      <c r="C4438" s="3" t="s">
        <v>169</v>
      </c>
    </row>
    <row r="4439" spans="1:3" x14ac:dyDescent="0.2">
      <c r="A4439" s="3" t="s">
        <v>1471</v>
      </c>
      <c r="B4439" s="3" t="s">
        <v>1486</v>
      </c>
      <c r="C4439" s="3" t="s">
        <v>169</v>
      </c>
    </row>
    <row r="4440" spans="1:3" x14ac:dyDescent="0.2">
      <c r="A4440" s="3" t="s">
        <v>1471</v>
      </c>
      <c r="B4440" s="3" t="s">
        <v>1487</v>
      </c>
      <c r="C4440" s="3" t="s">
        <v>169</v>
      </c>
    </row>
    <row r="4441" spans="1:3" x14ac:dyDescent="0.2">
      <c r="A4441" s="3" t="s">
        <v>1471</v>
      </c>
      <c r="B4441" s="3" t="s">
        <v>1488</v>
      </c>
      <c r="C4441" s="3" t="s">
        <v>169</v>
      </c>
    </row>
    <row r="4442" spans="1:3" x14ac:dyDescent="0.2">
      <c r="A4442" s="3" t="s">
        <v>1471</v>
      </c>
      <c r="B4442" s="3" t="s">
        <v>1489</v>
      </c>
      <c r="C4442" s="3" t="s">
        <v>169</v>
      </c>
    </row>
    <row r="4443" spans="1:3" x14ac:dyDescent="0.2">
      <c r="A4443" s="3" t="s">
        <v>1471</v>
      </c>
      <c r="B4443" s="3" t="s">
        <v>1490</v>
      </c>
      <c r="C4443" s="3" t="s">
        <v>169</v>
      </c>
    </row>
    <row r="4444" spans="1:3" x14ac:dyDescent="0.2">
      <c r="A4444" s="3" t="s">
        <v>1471</v>
      </c>
      <c r="B4444" s="3" t="s">
        <v>1491</v>
      </c>
      <c r="C4444" s="3" t="s">
        <v>169</v>
      </c>
    </row>
    <row r="4445" spans="1:3" x14ac:dyDescent="0.2">
      <c r="A4445" s="3" t="s">
        <v>1471</v>
      </c>
      <c r="B4445" s="3" t="s">
        <v>1492</v>
      </c>
      <c r="C4445" s="3" t="s">
        <v>169</v>
      </c>
    </row>
    <row r="4446" spans="1:3" x14ac:dyDescent="0.2">
      <c r="A4446" s="3" t="s">
        <v>1493</v>
      </c>
      <c r="B4446" s="3" t="s">
        <v>1479</v>
      </c>
      <c r="C4446" s="3" t="s">
        <v>169</v>
      </c>
    </row>
    <row r="4447" spans="1:3" x14ac:dyDescent="0.2">
      <c r="A4447" s="3" t="s">
        <v>1493</v>
      </c>
      <c r="B4447" s="3" t="s">
        <v>1494</v>
      </c>
      <c r="C4447" s="3" t="s">
        <v>169</v>
      </c>
    </row>
    <row r="4448" spans="1:3" x14ac:dyDescent="0.2">
      <c r="A4448" s="3" t="s">
        <v>1493</v>
      </c>
      <c r="B4448" s="3" t="s">
        <v>185</v>
      </c>
      <c r="C4448" s="3" t="s">
        <v>169</v>
      </c>
    </row>
    <row r="4449" spans="1:3" x14ac:dyDescent="0.2">
      <c r="A4449" s="3" t="s">
        <v>1493</v>
      </c>
      <c r="B4449" s="3" t="s">
        <v>1495</v>
      </c>
      <c r="C4449" s="3" t="s">
        <v>169</v>
      </c>
    </row>
    <row r="4450" spans="1:3" x14ac:dyDescent="0.2">
      <c r="A4450" s="3" t="s">
        <v>1493</v>
      </c>
      <c r="B4450" s="3" t="s">
        <v>1496</v>
      </c>
      <c r="C4450" s="3" t="s">
        <v>169</v>
      </c>
    </row>
    <row r="4451" spans="1:3" x14ac:dyDescent="0.2">
      <c r="A4451" s="3" t="s">
        <v>1493</v>
      </c>
      <c r="B4451" s="3" t="s">
        <v>1497</v>
      </c>
      <c r="C4451" s="3" t="s">
        <v>169</v>
      </c>
    </row>
    <row r="4452" spans="1:3" x14ac:dyDescent="0.2">
      <c r="A4452" s="3" t="s">
        <v>1493</v>
      </c>
      <c r="B4452" s="3" t="s">
        <v>1498</v>
      </c>
      <c r="C4452" s="3" t="s">
        <v>169</v>
      </c>
    </row>
    <row r="4453" spans="1:3" x14ac:dyDescent="0.2">
      <c r="A4453" s="3" t="s">
        <v>1493</v>
      </c>
      <c r="B4453" s="3" t="s">
        <v>1492</v>
      </c>
      <c r="C4453" s="3" t="s">
        <v>169</v>
      </c>
    </row>
    <row r="4454" spans="1:3" x14ac:dyDescent="0.2">
      <c r="A4454" s="3" t="s">
        <v>1499</v>
      </c>
      <c r="B4454" s="3" t="s">
        <v>1500</v>
      </c>
      <c r="C4454" s="3" t="s">
        <v>169</v>
      </c>
    </row>
    <row r="4455" spans="1:3" x14ac:dyDescent="0.2">
      <c r="A4455" s="3" t="s">
        <v>1499</v>
      </c>
      <c r="B4455" s="3" t="s">
        <v>1467</v>
      </c>
      <c r="C4455" s="3" t="s">
        <v>169</v>
      </c>
    </row>
    <row r="4456" spans="1:3" x14ac:dyDescent="0.2">
      <c r="A4456" s="3" t="s">
        <v>1499</v>
      </c>
      <c r="B4456" s="3" t="s">
        <v>1501</v>
      </c>
      <c r="C4456" s="3" t="s">
        <v>169</v>
      </c>
    </row>
    <row r="4457" spans="1:3" x14ac:dyDescent="0.2">
      <c r="A4457" s="3" t="s">
        <v>1499</v>
      </c>
      <c r="B4457" s="3" t="s">
        <v>1502</v>
      </c>
      <c r="C4457" s="3" t="s">
        <v>169</v>
      </c>
    </row>
    <row r="4458" spans="1:3" x14ac:dyDescent="0.2">
      <c r="A4458" s="3" t="s">
        <v>1499</v>
      </c>
      <c r="B4458" s="3" t="s">
        <v>1503</v>
      </c>
      <c r="C4458" s="3" t="s">
        <v>169</v>
      </c>
    </row>
    <row r="4459" spans="1:3" x14ac:dyDescent="0.2">
      <c r="A4459" s="3" t="s">
        <v>1499</v>
      </c>
      <c r="B4459" s="3" t="s">
        <v>1504</v>
      </c>
      <c r="C4459" s="3" t="s">
        <v>169</v>
      </c>
    </row>
    <row r="4460" spans="1:3" x14ac:dyDescent="0.2">
      <c r="A4460" s="3" t="s">
        <v>1499</v>
      </c>
      <c r="B4460" s="3" t="s">
        <v>1505</v>
      </c>
      <c r="C4460" s="3" t="s">
        <v>169</v>
      </c>
    </row>
    <row r="4461" spans="1:3" x14ac:dyDescent="0.2">
      <c r="A4461" s="3" t="s">
        <v>1499</v>
      </c>
      <c r="B4461" s="3" t="s">
        <v>1506</v>
      </c>
      <c r="C4461" s="3" t="s">
        <v>169</v>
      </c>
    </row>
    <row r="4462" spans="1:3" x14ac:dyDescent="0.2">
      <c r="A4462" s="3" t="s">
        <v>1499</v>
      </c>
      <c r="B4462" s="3" t="s">
        <v>1507</v>
      </c>
      <c r="C4462" s="3" t="s">
        <v>169</v>
      </c>
    </row>
    <row r="4463" spans="1:3" x14ac:dyDescent="0.2">
      <c r="A4463" s="3" t="s">
        <v>1499</v>
      </c>
      <c r="B4463" s="3" t="s">
        <v>1508</v>
      </c>
      <c r="C4463" s="3" t="s">
        <v>169</v>
      </c>
    </row>
    <row r="4464" spans="1:3" x14ac:dyDescent="0.2">
      <c r="A4464" s="3" t="s">
        <v>1499</v>
      </c>
      <c r="B4464" s="3" t="s">
        <v>1509</v>
      </c>
      <c r="C4464" s="3" t="s">
        <v>169</v>
      </c>
    </row>
    <row r="4465" spans="1:3" x14ac:dyDescent="0.2">
      <c r="A4465" s="3" t="s">
        <v>1499</v>
      </c>
      <c r="B4465" s="3" t="s">
        <v>1510</v>
      </c>
      <c r="C4465" s="3" t="s">
        <v>169</v>
      </c>
    </row>
    <row r="4466" spans="1:3" x14ac:dyDescent="0.2">
      <c r="A4466" s="3" t="s">
        <v>1499</v>
      </c>
      <c r="B4466" s="3" t="s">
        <v>1511</v>
      </c>
      <c r="C4466" s="3" t="s">
        <v>169</v>
      </c>
    </row>
    <row r="4467" spans="1:3" x14ac:dyDescent="0.2">
      <c r="A4467" s="3" t="s">
        <v>1499</v>
      </c>
      <c r="B4467" s="3" t="s">
        <v>1512</v>
      </c>
      <c r="C4467" s="3" t="s">
        <v>169</v>
      </c>
    </row>
    <row r="4468" spans="1:3" x14ac:dyDescent="0.2">
      <c r="A4468" s="3" t="s">
        <v>1499</v>
      </c>
      <c r="B4468" s="3" t="s">
        <v>1513</v>
      </c>
      <c r="C4468" s="3" t="s">
        <v>169</v>
      </c>
    </row>
    <row r="4469" spans="1:3" x14ac:dyDescent="0.2">
      <c r="A4469" s="3" t="s">
        <v>1499</v>
      </c>
      <c r="B4469" s="3" t="s">
        <v>1514</v>
      </c>
      <c r="C4469" s="3" t="s">
        <v>169</v>
      </c>
    </row>
    <row r="4470" spans="1:3" x14ac:dyDescent="0.2">
      <c r="A4470" s="3" t="s">
        <v>1499</v>
      </c>
      <c r="B4470" s="3" t="s">
        <v>1515</v>
      </c>
      <c r="C4470" s="3" t="s">
        <v>169</v>
      </c>
    </row>
    <row r="4471" spans="1:3" x14ac:dyDescent="0.2">
      <c r="A4471" s="3" t="s">
        <v>1499</v>
      </c>
      <c r="B4471" s="3" t="s">
        <v>1516</v>
      </c>
      <c r="C4471" s="3" t="s">
        <v>169</v>
      </c>
    </row>
    <row r="4472" spans="1:3" x14ac:dyDescent="0.2">
      <c r="A4472" s="3" t="s">
        <v>1499</v>
      </c>
      <c r="B4472" s="3" t="s">
        <v>1517</v>
      </c>
      <c r="C4472" s="3" t="s">
        <v>169</v>
      </c>
    </row>
    <row r="4473" spans="1:3" x14ac:dyDescent="0.2">
      <c r="A4473" s="3" t="s">
        <v>1499</v>
      </c>
      <c r="B4473" s="3" t="s">
        <v>1518</v>
      </c>
      <c r="C4473" s="3" t="s">
        <v>169</v>
      </c>
    </row>
    <row r="4474" spans="1:3" x14ac:dyDescent="0.2">
      <c r="A4474" s="3" t="s">
        <v>1499</v>
      </c>
      <c r="B4474" s="3" t="s">
        <v>1519</v>
      </c>
      <c r="C4474" s="3" t="s">
        <v>169</v>
      </c>
    </row>
    <row r="4475" spans="1:3" x14ac:dyDescent="0.2">
      <c r="A4475" s="3" t="s">
        <v>1499</v>
      </c>
      <c r="B4475" s="3" t="s">
        <v>1520</v>
      </c>
      <c r="C4475" s="3" t="s">
        <v>169</v>
      </c>
    </row>
    <row r="4476" spans="1:3" x14ac:dyDescent="0.2">
      <c r="A4476" s="3" t="s">
        <v>1499</v>
      </c>
      <c r="B4476" s="3" t="s">
        <v>1521</v>
      </c>
      <c r="C4476" s="3" t="s">
        <v>169</v>
      </c>
    </row>
    <row r="4477" spans="1:3" x14ac:dyDescent="0.2">
      <c r="A4477" s="3" t="s">
        <v>1499</v>
      </c>
      <c r="B4477" s="3" t="s">
        <v>1522</v>
      </c>
      <c r="C4477" s="3" t="s">
        <v>169</v>
      </c>
    </row>
    <row r="4478" spans="1:3" x14ac:dyDescent="0.2">
      <c r="A4478" s="3" t="s">
        <v>1499</v>
      </c>
      <c r="B4478" s="3" t="s">
        <v>1523</v>
      </c>
      <c r="C4478" s="3" t="s">
        <v>169</v>
      </c>
    </row>
    <row r="4479" spans="1:3" x14ac:dyDescent="0.2">
      <c r="A4479" s="3" t="s">
        <v>1499</v>
      </c>
      <c r="B4479" s="3" t="s">
        <v>1524</v>
      </c>
      <c r="C4479" s="3" t="s">
        <v>169</v>
      </c>
    </row>
    <row r="4480" spans="1:3" x14ac:dyDescent="0.2">
      <c r="A4480" s="3" t="s">
        <v>1499</v>
      </c>
      <c r="B4480" s="3" t="s">
        <v>1525</v>
      </c>
      <c r="C4480" s="3" t="s">
        <v>169</v>
      </c>
    </row>
    <row r="4481" spans="1:3" x14ac:dyDescent="0.2">
      <c r="A4481" s="3" t="s">
        <v>1499</v>
      </c>
      <c r="B4481" s="3" t="s">
        <v>1526</v>
      </c>
      <c r="C4481" s="3" t="s">
        <v>169</v>
      </c>
    </row>
    <row r="4482" spans="1:3" x14ac:dyDescent="0.2">
      <c r="A4482" s="3" t="s">
        <v>1499</v>
      </c>
      <c r="B4482" s="3" t="s">
        <v>1527</v>
      </c>
      <c r="C4482" s="3" t="s">
        <v>169</v>
      </c>
    </row>
    <row r="4483" spans="1:3" x14ac:dyDescent="0.2">
      <c r="A4483" s="3" t="s">
        <v>1499</v>
      </c>
      <c r="B4483" s="3" t="s">
        <v>1528</v>
      </c>
      <c r="C4483" s="3" t="s">
        <v>169</v>
      </c>
    </row>
    <row r="4484" spans="1:3" x14ac:dyDescent="0.2">
      <c r="A4484" s="3" t="s">
        <v>1499</v>
      </c>
      <c r="B4484" s="3" t="s">
        <v>1529</v>
      </c>
      <c r="C4484" s="3" t="s">
        <v>169</v>
      </c>
    </row>
    <row r="4485" spans="1:3" x14ac:dyDescent="0.2">
      <c r="A4485" s="3" t="s">
        <v>1499</v>
      </c>
      <c r="B4485" s="3" t="s">
        <v>1530</v>
      </c>
      <c r="C4485" s="3" t="s">
        <v>169</v>
      </c>
    </row>
    <row r="4486" spans="1:3" x14ac:dyDescent="0.2">
      <c r="A4486" s="3" t="s">
        <v>1499</v>
      </c>
      <c r="B4486" s="3" t="s">
        <v>1531</v>
      </c>
      <c r="C4486" s="3" t="s">
        <v>169</v>
      </c>
    </row>
    <row r="4487" spans="1:3" x14ac:dyDescent="0.2">
      <c r="A4487" s="3" t="s">
        <v>1499</v>
      </c>
      <c r="B4487" s="3" t="s">
        <v>1532</v>
      </c>
      <c r="C4487" s="3" t="s">
        <v>169</v>
      </c>
    </row>
    <row r="4488" spans="1:3" x14ac:dyDescent="0.2">
      <c r="A4488" s="3" t="s">
        <v>1499</v>
      </c>
      <c r="B4488" s="3" t="s">
        <v>1487</v>
      </c>
      <c r="C4488" s="3" t="s">
        <v>169</v>
      </c>
    </row>
    <row r="4489" spans="1:3" x14ac:dyDescent="0.2">
      <c r="A4489" s="3" t="s">
        <v>1499</v>
      </c>
      <c r="B4489" s="3" t="s">
        <v>1488</v>
      </c>
      <c r="C4489" s="3" t="s">
        <v>169</v>
      </c>
    </row>
    <row r="4490" spans="1:3" x14ac:dyDescent="0.2">
      <c r="A4490" s="3" t="s">
        <v>1499</v>
      </c>
      <c r="B4490" s="3" t="s">
        <v>1469</v>
      </c>
      <c r="C4490" s="3" t="s">
        <v>169</v>
      </c>
    </row>
    <row r="4491" spans="1:3" x14ac:dyDescent="0.2">
      <c r="A4491" s="3" t="s">
        <v>1499</v>
      </c>
      <c r="B4491" s="3" t="s">
        <v>1533</v>
      </c>
      <c r="C4491" s="3" t="s">
        <v>169</v>
      </c>
    </row>
    <row r="4492" spans="1:3" x14ac:dyDescent="0.2">
      <c r="A4492" s="3" t="s">
        <v>1499</v>
      </c>
      <c r="B4492" s="3" t="s">
        <v>1534</v>
      </c>
      <c r="C4492" s="3" t="s">
        <v>169</v>
      </c>
    </row>
    <row r="4493" spans="1:3" x14ac:dyDescent="0.2">
      <c r="A4493" s="3" t="s">
        <v>1499</v>
      </c>
      <c r="B4493" s="3" t="s">
        <v>1535</v>
      </c>
      <c r="C4493" s="3" t="s">
        <v>169</v>
      </c>
    </row>
    <row r="4494" spans="1:3" x14ac:dyDescent="0.2">
      <c r="A4494" s="3" t="s">
        <v>1499</v>
      </c>
      <c r="B4494" s="3" t="s">
        <v>1489</v>
      </c>
      <c r="C4494" s="3" t="s">
        <v>169</v>
      </c>
    </row>
    <row r="4495" spans="1:3" x14ac:dyDescent="0.2">
      <c r="A4495" s="3" t="s">
        <v>1499</v>
      </c>
      <c r="B4495" s="3" t="s">
        <v>1490</v>
      </c>
      <c r="C4495" s="3" t="s">
        <v>169</v>
      </c>
    </row>
    <row r="4496" spans="1:3" x14ac:dyDescent="0.2">
      <c r="A4496" s="3" t="s">
        <v>1499</v>
      </c>
      <c r="B4496" s="3" t="s">
        <v>1470</v>
      </c>
      <c r="C4496" s="3" t="s">
        <v>169</v>
      </c>
    </row>
    <row r="4497" spans="1:3" x14ac:dyDescent="0.2">
      <c r="A4497" s="3" t="s">
        <v>1499</v>
      </c>
      <c r="B4497" s="3" t="s">
        <v>1491</v>
      </c>
      <c r="C4497" s="3" t="s">
        <v>169</v>
      </c>
    </row>
    <row r="4498" spans="1:3" x14ac:dyDescent="0.2">
      <c r="A4498" s="3" t="s">
        <v>1536</v>
      </c>
      <c r="B4498" s="3" t="s">
        <v>1537</v>
      </c>
      <c r="C4498" s="3" t="s">
        <v>169</v>
      </c>
    </row>
    <row r="4499" spans="1:3" x14ac:dyDescent="0.2">
      <c r="A4499" s="3" t="s">
        <v>1536</v>
      </c>
      <c r="B4499" s="3" t="s">
        <v>1538</v>
      </c>
      <c r="C4499" s="3" t="s">
        <v>169</v>
      </c>
    </row>
    <row r="4500" spans="1:3" x14ac:dyDescent="0.2">
      <c r="A4500" s="3" t="s">
        <v>1536</v>
      </c>
      <c r="B4500" s="3" t="s">
        <v>1539</v>
      </c>
      <c r="C4500" s="3" t="s">
        <v>169</v>
      </c>
    </row>
    <row r="4501" spans="1:3" x14ac:dyDescent="0.2">
      <c r="A4501" s="3" t="s">
        <v>1536</v>
      </c>
      <c r="B4501" s="3" t="s">
        <v>1522</v>
      </c>
      <c r="C4501" s="3" t="s">
        <v>169</v>
      </c>
    </row>
    <row r="4502" spans="1:3" x14ac:dyDescent="0.2">
      <c r="A4502" s="3" t="s">
        <v>1536</v>
      </c>
      <c r="B4502" s="3" t="s">
        <v>1524</v>
      </c>
      <c r="C4502" s="3" t="s">
        <v>169</v>
      </c>
    </row>
    <row r="4503" spans="1:3" x14ac:dyDescent="0.2">
      <c r="A4503" s="3" t="s">
        <v>1536</v>
      </c>
      <c r="B4503" s="3" t="s">
        <v>1533</v>
      </c>
      <c r="C4503" s="3" t="s">
        <v>169</v>
      </c>
    </row>
    <row r="4504" spans="1:3" x14ac:dyDescent="0.2">
      <c r="A4504" s="3" t="s">
        <v>1540</v>
      </c>
      <c r="B4504" s="3" t="s">
        <v>1541</v>
      </c>
      <c r="C4504" s="3" t="s">
        <v>169</v>
      </c>
    </row>
    <row r="4505" spans="1:3" x14ac:dyDescent="0.2">
      <c r="A4505" s="3" t="s">
        <v>1540</v>
      </c>
      <c r="B4505" s="3" t="s">
        <v>1524</v>
      </c>
      <c r="C4505" s="3" t="s">
        <v>169</v>
      </c>
    </row>
    <row r="4506" spans="1:3" x14ac:dyDescent="0.2">
      <c r="A4506" s="3" t="s">
        <v>1540</v>
      </c>
      <c r="B4506" s="3" t="s">
        <v>1487</v>
      </c>
      <c r="C4506" s="3" t="s">
        <v>169</v>
      </c>
    </row>
    <row r="4507" spans="1:3" x14ac:dyDescent="0.2">
      <c r="A4507" s="3" t="s">
        <v>1540</v>
      </c>
      <c r="B4507" s="3" t="s">
        <v>1469</v>
      </c>
      <c r="C4507" s="3" t="s">
        <v>169</v>
      </c>
    </row>
    <row r="4508" spans="1:3" x14ac:dyDescent="0.2">
      <c r="A4508" s="3" t="s">
        <v>1540</v>
      </c>
      <c r="B4508" s="3" t="s">
        <v>1533</v>
      </c>
      <c r="C4508" s="3" t="s">
        <v>169</v>
      </c>
    </row>
    <row r="4509" spans="1:3" x14ac:dyDescent="0.2">
      <c r="A4509" s="3" t="s">
        <v>1540</v>
      </c>
      <c r="B4509" s="3" t="s">
        <v>1489</v>
      </c>
      <c r="C4509" s="3" t="s">
        <v>169</v>
      </c>
    </row>
    <row r="4510" spans="1:3" x14ac:dyDescent="0.2">
      <c r="A4510" s="3" t="s">
        <v>1540</v>
      </c>
      <c r="B4510" s="3" t="s">
        <v>1470</v>
      </c>
      <c r="C4510" s="3" t="s">
        <v>169</v>
      </c>
    </row>
    <row r="4511" spans="1:3" x14ac:dyDescent="0.2">
      <c r="A4511" s="3" t="s">
        <v>1540</v>
      </c>
      <c r="B4511" s="3" t="s">
        <v>1491</v>
      </c>
      <c r="C4511" s="3" t="s">
        <v>169</v>
      </c>
    </row>
    <row r="4512" spans="1:3" x14ac:dyDescent="0.2">
      <c r="A4512" s="3" t="s">
        <v>1542</v>
      </c>
      <c r="B4512" s="3" t="s">
        <v>1502</v>
      </c>
      <c r="C4512" s="3" t="s">
        <v>169</v>
      </c>
    </row>
    <row r="4513" spans="1:3" x14ac:dyDescent="0.2">
      <c r="A4513" s="3" t="s">
        <v>1542</v>
      </c>
      <c r="B4513" s="3" t="s">
        <v>1505</v>
      </c>
      <c r="C4513" s="3" t="s">
        <v>169</v>
      </c>
    </row>
    <row r="4514" spans="1:3" x14ac:dyDescent="0.2">
      <c r="A4514" s="3" t="s">
        <v>1542</v>
      </c>
      <c r="B4514" s="3" t="s">
        <v>1506</v>
      </c>
      <c r="C4514" s="3" t="s">
        <v>169</v>
      </c>
    </row>
    <row r="4515" spans="1:3" x14ac:dyDescent="0.2">
      <c r="A4515" s="3" t="s">
        <v>1542</v>
      </c>
      <c r="B4515" s="3" t="s">
        <v>1507</v>
      </c>
      <c r="C4515" s="3" t="s">
        <v>169</v>
      </c>
    </row>
    <row r="4516" spans="1:3" x14ac:dyDescent="0.2">
      <c r="A4516" s="3" t="s">
        <v>1542</v>
      </c>
      <c r="B4516" s="3" t="s">
        <v>1508</v>
      </c>
      <c r="C4516" s="3" t="s">
        <v>169</v>
      </c>
    </row>
    <row r="4517" spans="1:3" x14ac:dyDescent="0.2">
      <c r="A4517" s="3" t="s">
        <v>1542</v>
      </c>
      <c r="B4517" s="3" t="s">
        <v>1513</v>
      </c>
      <c r="C4517" s="3" t="s">
        <v>169</v>
      </c>
    </row>
    <row r="4518" spans="1:3" x14ac:dyDescent="0.2">
      <c r="A4518" s="3" t="s">
        <v>1542</v>
      </c>
      <c r="B4518" s="3" t="s">
        <v>1517</v>
      </c>
      <c r="C4518" s="3" t="s">
        <v>169</v>
      </c>
    </row>
    <row r="4519" spans="1:3" x14ac:dyDescent="0.2">
      <c r="A4519" s="3" t="s">
        <v>1542</v>
      </c>
      <c r="B4519" s="3" t="s">
        <v>1539</v>
      </c>
      <c r="C4519" s="3" t="s">
        <v>169</v>
      </c>
    </row>
    <row r="4520" spans="1:3" x14ac:dyDescent="0.2">
      <c r="A4520" s="3" t="s">
        <v>1542</v>
      </c>
      <c r="B4520" s="3" t="s">
        <v>1541</v>
      </c>
      <c r="C4520" s="3" t="s">
        <v>169</v>
      </c>
    </row>
    <row r="4521" spans="1:3" x14ac:dyDescent="0.2">
      <c r="A4521" s="3" t="s">
        <v>1542</v>
      </c>
      <c r="B4521" s="3" t="s">
        <v>1523</v>
      </c>
      <c r="C4521" s="3" t="s">
        <v>169</v>
      </c>
    </row>
    <row r="4522" spans="1:3" x14ac:dyDescent="0.2">
      <c r="A4522" s="3" t="s">
        <v>1542</v>
      </c>
      <c r="B4522" s="3" t="s">
        <v>1527</v>
      </c>
      <c r="C4522" s="3" t="s">
        <v>169</v>
      </c>
    </row>
    <row r="4523" spans="1:3" x14ac:dyDescent="0.2">
      <c r="A4523" s="3" t="s">
        <v>1542</v>
      </c>
      <c r="B4523" s="3" t="s">
        <v>1529</v>
      </c>
      <c r="C4523" s="3" t="s">
        <v>169</v>
      </c>
    </row>
    <row r="4524" spans="1:3" x14ac:dyDescent="0.2">
      <c r="A4524" s="3" t="s">
        <v>1542</v>
      </c>
      <c r="B4524" s="3" t="s">
        <v>1488</v>
      </c>
      <c r="C4524" s="3" t="s">
        <v>169</v>
      </c>
    </row>
    <row r="4525" spans="1:3" x14ac:dyDescent="0.2">
      <c r="A4525" s="3" t="s">
        <v>1542</v>
      </c>
      <c r="B4525" s="3" t="s">
        <v>1469</v>
      </c>
      <c r="C4525" s="3" t="s">
        <v>169</v>
      </c>
    </row>
    <row r="4526" spans="1:3" x14ac:dyDescent="0.2">
      <c r="A4526" s="3" t="s">
        <v>1542</v>
      </c>
      <c r="B4526" s="3" t="s">
        <v>1533</v>
      </c>
      <c r="C4526" s="3" t="s">
        <v>169</v>
      </c>
    </row>
    <row r="4527" spans="1:3" x14ac:dyDescent="0.2">
      <c r="A4527" s="3" t="s">
        <v>1542</v>
      </c>
      <c r="B4527" s="3" t="s">
        <v>1534</v>
      </c>
      <c r="C4527" s="3" t="s">
        <v>169</v>
      </c>
    </row>
    <row r="4528" spans="1:3" x14ac:dyDescent="0.2">
      <c r="A4528" s="3" t="s">
        <v>1542</v>
      </c>
      <c r="B4528" s="3" t="s">
        <v>1535</v>
      </c>
      <c r="C4528" s="3" t="s">
        <v>169</v>
      </c>
    </row>
    <row r="4529" spans="1:3" x14ac:dyDescent="0.2">
      <c r="A4529" s="3" t="s">
        <v>1542</v>
      </c>
      <c r="B4529" s="3" t="s">
        <v>1490</v>
      </c>
      <c r="C4529" s="3" t="s">
        <v>169</v>
      </c>
    </row>
    <row r="4530" spans="1:3" x14ac:dyDescent="0.2">
      <c r="A4530" s="3" t="s">
        <v>1542</v>
      </c>
      <c r="B4530" s="3" t="s">
        <v>1470</v>
      </c>
      <c r="C4530" s="3" t="s">
        <v>169</v>
      </c>
    </row>
    <row r="4531" spans="1:3" x14ac:dyDescent="0.2">
      <c r="A4531" s="3" t="s">
        <v>1542</v>
      </c>
      <c r="B4531" s="3" t="s">
        <v>1491</v>
      </c>
      <c r="C4531" s="3" t="s">
        <v>169</v>
      </c>
    </row>
    <row r="4532" spans="1:3" x14ac:dyDescent="0.2">
      <c r="A4532" s="3" t="s">
        <v>1543</v>
      </c>
      <c r="B4532" s="3" t="s">
        <v>1505</v>
      </c>
      <c r="C4532" s="3" t="s">
        <v>169</v>
      </c>
    </row>
    <row r="4533" spans="1:3" x14ac:dyDescent="0.2">
      <c r="A4533" s="3" t="s">
        <v>1543</v>
      </c>
      <c r="B4533" s="3" t="s">
        <v>1506</v>
      </c>
      <c r="C4533" s="3" t="s">
        <v>169</v>
      </c>
    </row>
    <row r="4534" spans="1:3" x14ac:dyDescent="0.2">
      <c r="A4534" s="3" t="s">
        <v>1543</v>
      </c>
      <c r="B4534" s="3" t="s">
        <v>1510</v>
      </c>
      <c r="C4534" s="3" t="s">
        <v>169</v>
      </c>
    </row>
    <row r="4535" spans="1:3" x14ac:dyDescent="0.2">
      <c r="A4535" s="3" t="s">
        <v>1543</v>
      </c>
      <c r="B4535" s="3" t="s">
        <v>1518</v>
      </c>
      <c r="C4535" s="3" t="s">
        <v>169</v>
      </c>
    </row>
    <row r="4536" spans="1:3" x14ac:dyDescent="0.2">
      <c r="A4536" s="3" t="s">
        <v>1543</v>
      </c>
      <c r="B4536" s="3" t="s">
        <v>1519</v>
      </c>
      <c r="C4536" s="3" t="s">
        <v>169</v>
      </c>
    </row>
    <row r="4537" spans="1:3" x14ac:dyDescent="0.2">
      <c r="A4537" s="3" t="s">
        <v>1543</v>
      </c>
      <c r="B4537" s="3" t="s">
        <v>1539</v>
      </c>
      <c r="C4537" s="3" t="s">
        <v>169</v>
      </c>
    </row>
    <row r="4538" spans="1:3" x14ac:dyDescent="0.2">
      <c r="A4538" s="3" t="s">
        <v>1543</v>
      </c>
      <c r="B4538" s="3" t="s">
        <v>1541</v>
      </c>
      <c r="C4538" s="3" t="s">
        <v>169</v>
      </c>
    </row>
    <row r="4539" spans="1:3" x14ac:dyDescent="0.2">
      <c r="A4539" s="3" t="s">
        <v>1543</v>
      </c>
      <c r="B4539" s="3" t="s">
        <v>1523</v>
      </c>
      <c r="C4539" s="3" t="s">
        <v>169</v>
      </c>
    </row>
    <row r="4540" spans="1:3" x14ac:dyDescent="0.2">
      <c r="A4540" s="3" t="s">
        <v>1543</v>
      </c>
      <c r="B4540" s="3" t="s">
        <v>1527</v>
      </c>
      <c r="C4540" s="3" t="s">
        <v>169</v>
      </c>
    </row>
    <row r="4541" spans="1:3" x14ac:dyDescent="0.2">
      <c r="A4541" s="3" t="s">
        <v>1543</v>
      </c>
      <c r="B4541" s="3" t="s">
        <v>1529</v>
      </c>
      <c r="C4541" s="3" t="s">
        <v>169</v>
      </c>
    </row>
    <row r="4542" spans="1:3" x14ac:dyDescent="0.2">
      <c r="A4542" s="3" t="s">
        <v>1543</v>
      </c>
      <c r="B4542" s="3" t="s">
        <v>1488</v>
      </c>
      <c r="C4542" s="3" t="s">
        <v>169</v>
      </c>
    </row>
    <row r="4543" spans="1:3" x14ac:dyDescent="0.2">
      <c r="A4543" s="3" t="s">
        <v>1543</v>
      </c>
      <c r="B4543" s="3" t="s">
        <v>1469</v>
      </c>
      <c r="C4543" s="3" t="s">
        <v>169</v>
      </c>
    </row>
    <row r="4544" spans="1:3" x14ac:dyDescent="0.2">
      <c r="A4544" s="3" t="s">
        <v>1543</v>
      </c>
      <c r="B4544" s="3" t="s">
        <v>1533</v>
      </c>
      <c r="C4544" s="3" t="s">
        <v>169</v>
      </c>
    </row>
    <row r="4545" spans="1:3" x14ac:dyDescent="0.2">
      <c r="A4545" s="3" t="s">
        <v>1543</v>
      </c>
      <c r="B4545" s="3" t="s">
        <v>1534</v>
      </c>
      <c r="C4545" s="3" t="s">
        <v>169</v>
      </c>
    </row>
    <row r="4546" spans="1:3" x14ac:dyDescent="0.2">
      <c r="A4546" s="3" t="s">
        <v>1543</v>
      </c>
      <c r="B4546" s="3" t="s">
        <v>1535</v>
      </c>
      <c r="C4546" s="3" t="s">
        <v>169</v>
      </c>
    </row>
    <row r="4547" spans="1:3" x14ac:dyDescent="0.2">
      <c r="A4547" s="3" t="s">
        <v>1543</v>
      </c>
      <c r="B4547" s="3" t="s">
        <v>1490</v>
      </c>
      <c r="C4547" s="3" t="s">
        <v>169</v>
      </c>
    </row>
    <row r="4548" spans="1:3" x14ac:dyDescent="0.2">
      <c r="A4548" s="3" t="s">
        <v>1543</v>
      </c>
      <c r="B4548" s="3" t="s">
        <v>1470</v>
      </c>
      <c r="C4548" s="3" t="s">
        <v>169</v>
      </c>
    </row>
    <row r="4549" spans="1:3" x14ac:dyDescent="0.2">
      <c r="A4549" s="3" t="s">
        <v>1543</v>
      </c>
      <c r="B4549" s="3" t="s">
        <v>1491</v>
      </c>
      <c r="C4549" s="3" t="s">
        <v>169</v>
      </c>
    </row>
    <row r="4550" spans="1:3" x14ac:dyDescent="0.2">
      <c r="A4550" s="3" t="s">
        <v>1544</v>
      </c>
      <c r="B4550" s="3" t="s">
        <v>1500</v>
      </c>
      <c r="C4550" s="3" t="s">
        <v>169</v>
      </c>
    </row>
    <row r="4551" spans="1:3" x14ac:dyDescent="0.2">
      <c r="A4551" s="3" t="s">
        <v>1544</v>
      </c>
      <c r="B4551" s="3" t="s">
        <v>1505</v>
      </c>
      <c r="C4551" s="3" t="s">
        <v>169</v>
      </c>
    </row>
    <row r="4552" spans="1:3" x14ac:dyDescent="0.2">
      <c r="A4552" s="3" t="s">
        <v>1544</v>
      </c>
      <c r="B4552" s="3" t="s">
        <v>1506</v>
      </c>
      <c r="C4552" s="3" t="s">
        <v>169</v>
      </c>
    </row>
    <row r="4553" spans="1:3" x14ac:dyDescent="0.2">
      <c r="A4553" s="3" t="s">
        <v>1544</v>
      </c>
      <c r="B4553" s="3" t="s">
        <v>1541</v>
      </c>
      <c r="C4553" s="3" t="s">
        <v>169</v>
      </c>
    </row>
    <row r="4554" spans="1:3" x14ac:dyDescent="0.2">
      <c r="A4554" s="3" t="s">
        <v>1544</v>
      </c>
      <c r="B4554" s="3" t="s">
        <v>1523</v>
      </c>
      <c r="C4554" s="3" t="s">
        <v>169</v>
      </c>
    </row>
    <row r="4555" spans="1:3" x14ac:dyDescent="0.2">
      <c r="A4555" s="3" t="s">
        <v>1544</v>
      </c>
      <c r="B4555" s="3" t="s">
        <v>1527</v>
      </c>
      <c r="C4555" s="3" t="s">
        <v>169</v>
      </c>
    </row>
    <row r="4556" spans="1:3" x14ac:dyDescent="0.2">
      <c r="A4556" s="3" t="s">
        <v>1544</v>
      </c>
      <c r="B4556" s="3" t="s">
        <v>1529</v>
      </c>
      <c r="C4556" s="3" t="s">
        <v>169</v>
      </c>
    </row>
    <row r="4557" spans="1:3" x14ac:dyDescent="0.2">
      <c r="A4557" s="3" t="s">
        <v>1544</v>
      </c>
      <c r="B4557" s="3" t="s">
        <v>1488</v>
      </c>
      <c r="C4557" s="3" t="s">
        <v>169</v>
      </c>
    </row>
    <row r="4558" spans="1:3" x14ac:dyDescent="0.2">
      <c r="A4558" s="3" t="s">
        <v>1544</v>
      </c>
      <c r="B4558" s="3" t="s">
        <v>1469</v>
      </c>
      <c r="C4558" s="3" t="s">
        <v>169</v>
      </c>
    </row>
    <row r="4559" spans="1:3" x14ac:dyDescent="0.2">
      <c r="A4559" s="3" t="s">
        <v>1544</v>
      </c>
      <c r="B4559" s="3" t="s">
        <v>1533</v>
      </c>
      <c r="C4559" s="3" t="s">
        <v>169</v>
      </c>
    </row>
    <row r="4560" spans="1:3" x14ac:dyDescent="0.2">
      <c r="A4560" s="3" t="s">
        <v>1544</v>
      </c>
      <c r="B4560" s="3" t="s">
        <v>1534</v>
      </c>
      <c r="C4560" s="3" t="s">
        <v>169</v>
      </c>
    </row>
    <row r="4561" spans="1:3" x14ac:dyDescent="0.2">
      <c r="A4561" s="3" t="s">
        <v>1544</v>
      </c>
      <c r="B4561" s="3" t="s">
        <v>1535</v>
      </c>
      <c r="C4561" s="3" t="s">
        <v>169</v>
      </c>
    </row>
    <row r="4562" spans="1:3" x14ac:dyDescent="0.2">
      <c r="A4562" s="3" t="s">
        <v>1544</v>
      </c>
      <c r="B4562" s="3" t="s">
        <v>1490</v>
      </c>
      <c r="C4562" s="3" t="s">
        <v>169</v>
      </c>
    </row>
    <row r="4563" spans="1:3" x14ac:dyDescent="0.2">
      <c r="A4563" s="3" t="s">
        <v>1544</v>
      </c>
      <c r="B4563" s="3" t="s">
        <v>1470</v>
      </c>
      <c r="C4563" s="3" t="s">
        <v>169</v>
      </c>
    </row>
    <row r="4564" spans="1:3" x14ac:dyDescent="0.2">
      <c r="A4564" s="3" t="s">
        <v>1544</v>
      </c>
      <c r="B4564" s="3" t="s">
        <v>1491</v>
      </c>
      <c r="C4564" s="3" t="s">
        <v>169</v>
      </c>
    </row>
    <row r="4565" spans="1:3" x14ac:dyDescent="0.2">
      <c r="A4565" s="3" t="s">
        <v>1545</v>
      </c>
      <c r="B4565" s="3" t="s">
        <v>1504</v>
      </c>
      <c r="C4565" s="3" t="s">
        <v>169</v>
      </c>
    </row>
    <row r="4566" spans="1:3" x14ac:dyDescent="0.2">
      <c r="A4566" s="3" t="s">
        <v>1545</v>
      </c>
      <c r="B4566" s="3" t="s">
        <v>1505</v>
      </c>
      <c r="C4566" s="3" t="s">
        <v>169</v>
      </c>
    </row>
    <row r="4567" spans="1:3" x14ac:dyDescent="0.2">
      <c r="A4567" s="3" t="s">
        <v>1545</v>
      </c>
      <c r="B4567" s="3" t="s">
        <v>1511</v>
      </c>
      <c r="C4567" s="3" t="s">
        <v>169</v>
      </c>
    </row>
    <row r="4568" spans="1:3" x14ac:dyDescent="0.2">
      <c r="A4568" s="3" t="s">
        <v>1545</v>
      </c>
      <c r="B4568" s="3" t="s">
        <v>1538</v>
      </c>
      <c r="C4568" s="3" t="s">
        <v>169</v>
      </c>
    </row>
    <row r="4569" spans="1:3" x14ac:dyDescent="0.2">
      <c r="A4569" s="3" t="s">
        <v>1545</v>
      </c>
      <c r="B4569" s="3" t="s">
        <v>1546</v>
      </c>
      <c r="C4569" s="3" t="s">
        <v>169</v>
      </c>
    </row>
    <row r="4570" spans="1:3" x14ac:dyDescent="0.2">
      <c r="A4570" s="3" t="s">
        <v>1545</v>
      </c>
      <c r="B4570" s="3" t="s">
        <v>1522</v>
      </c>
      <c r="C4570" s="3" t="s">
        <v>169</v>
      </c>
    </row>
    <row r="4571" spans="1:3" x14ac:dyDescent="0.2">
      <c r="A4571" s="3" t="s">
        <v>1545</v>
      </c>
      <c r="B4571" s="3" t="s">
        <v>1530</v>
      </c>
      <c r="C4571" s="3" t="s">
        <v>169</v>
      </c>
    </row>
    <row r="4572" spans="1:3" x14ac:dyDescent="0.2">
      <c r="A4572" s="3" t="s">
        <v>1545</v>
      </c>
      <c r="B4572" s="3" t="s">
        <v>1531</v>
      </c>
      <c r="C4572" s="3" t="s">
        <v>169</v>
      </c>
    </row>
    <row r="4573" spans="1:3" x14ac:dyDescent="0.2">
      <c r="A4573" s="3" t="s">
        <v>1545</v>
      </c>
      <c r="B4573" s="3" t="s">
        <v>1532</v>
      </c>
      <c r="C4573" s="3" t="s">
        <v>169</v>
      </c>
    </row>
    <row r="4574" spans="1:3" x14ac:dyDescent="0.2">
      <c r="A4574" s="3" t="s">
        <v>1545</v>
      </c>
      <c r="B4574" s="3" t="s">
        <v>1533</v>
      </c>
      <c r="C4574" s="3" t="s">
        <v>169</v>
      </c>
    </row>
    <row r="4575" spans="1:3" x14ac:dyDescent="0.2">
      <c r="A4575" s="3" t="s">
        <v>1547</v>
      </c>
      <c r="B4575" s="3" t="s">
        <v>1548</v>
      </c>
      <c r="C4575" s="3" t="s">
        <v>53</v>
      </c>
    </row>
    <row r="4576" spans="1:3" x14ac:dyDescent="0.2">
      <c r="A4576" s="3" t="s">
        <v>1547</v>
      </c>
      <c r="B4576" s="3" t="s">
        <v>1549</v>
      </c>
      <c r="C4576" s="3" t="s">
        <v>53</v>
      </c>
    </row>
    <row r="4577" spans="1:3" x14ac:dyDescent="0.2">
      <c r="A4577" s="3" t="s">
        <v>1547</v>
      </c>
      <c r="B4577" s="3" t="s">
        <v>1550</v>
      </c>
      <c r="C4577" s="3" t="s">
        <v>53</v>
      </c>
    </row>
    <row r="4578" spans="1:3" x14ac:dyDescent="0.2">
      <c r="A4578" s="3" t="s">
        <v>1547</v>
      </c>
      <c r="B4578" s="3" t="s">
        <v>1551</v>
      </c>
      <c r="C4578" s="3" t="s">
        <v>53</v>
      </c>
    </row>
    <row r="4579" spans="1:3" x14ac:dyDescent="0.2">
      <c r="A4579" s="3" t="s">
        <v>1547</v>
      </c>
      <c r="B4579" s="3" t="s">
        <v>1552</v>
      </c>
      <c r="C4579" s="3" t="s">
        <v>53</v>
      </c>
    </row>
    <row r="4580" spans="1:3" x14ac:dyDescent="0.2">
      <c r="A4580" s="3" t="s">
        <v>1547</v>
      </c>
      <c r="B4580" s="3" t="s">
        <v>1548</v>
      </c>
      <c r="C4580" s="3" t="s">
        <v>54</v>
      </c>
    </row>
    <row r="4581" spans="1:3" x14ac:dyDescent="0.2">
      <c r="A4581" s="3" t="s">
        <v>1547</v>
      </c>
      <c r="B4581" s="3" t="s">
        <v>1549</v>
      </c>
      <c r="C4581" s="3" t="s">
        <v>54</v>
      </c>
    </row>
    <row r="4582" spans="1:3" x14ac:dyDescent="0.2">
      <c r="A4582" s="3" t="s">
        <v>1547</v>
      </c>
      <c r="B4582" s="3" t="s">
        <v>1550</v>
      </c>
      <c r="C4582" s="3" t="s">
        <v>54</v>
      </c>
    </row>
    <row r="4583" spans="1:3" x14ac:dyDescent="0.2">
      <c r="A4583" s="3" t="s">
        <v>1547</v>
      </c>
      <c r="B4583" s="3" t="s">
        <v>1551</v>
      </c>
      <c r="C4583" s="3" t="s">
        <v>54</v>
      </c>
    </row>
    <row r="4584" spans="1:3" x14ac:dyDescent="0.2">
      <c r="A4584" s="3" t="s">
        <v>1547</v>
      </c>
      <c r="B4584" s="3" t="s">
        <v>1552</v>
      </c>
      <c r="C4584" s="3" t="s">
        <v>54</v>
      </c>
    </row>
    <row r="4585" spans="1:3" x14ac:dyDescent="0.2">
      <c r="A4585" s="3" t="s">
        <v>1547</v>
      </c>
      <c r="B4585" s="3" t="s">
        <v>1548</v>
      </c>
      <c r="C4585" s="3" t="s">
        <v>55</v>
      </c>
    </row>
    <row r="4586" spans="1:3" x14ac:dyDescent="0.2">
      <c r="A4586" s="3" t="s">
        <v>1547</v>
      </c>
      <c r="B4586" s="3" t="s">
        <v>1549</v>
      </c>
      <c r="C4586" s="3" t="s">
        <v>55</v>
      </c>
    </row>
    <row r="4587" spans="1:3" x14ac:dyDescent="0.2">
      <c r="A4587" s="3" t="s">
        <v>1547</v>
      </c>
      <c r="B4587" s="3" t="s">
        <v>1550</v>
      </c>
      <c r="C4587" s="3" t="s">
        <v>55</v>
      </c>
    </row>
    <row r="4588" spans="1:3" x14ac:dyDescent="0.2">
      <c r="A4588" s="3" t="s">
        <v>1547</v>
      </c>
      <c r="B4588" s="3" t="s">
        <v>1551</v>
      </c>
      <c r="C4588" s="3" t="s">
        <v>55</v>
      </c>
    </row>
    <row r="4589" spans="1:3" x14ac:dyDescent="0.2">
      <c r="A4589" s="3" t="s">
        <v>1547</v>
      </c>
      <c r="B4589" s="3" t="s">
        <v>1552</v>
      </c>
      <c r="C4589" s="3" t="s">
        <v>55</v>
      </c>
    </row>
    <row r="4590" spans="1:3" x14ac:dyDescent="0.2">
      <c r="A4590" s="3" t="s">
        <v>1547</v>
      </c>
      <c r="B4590" s="3" t="s">
        <v>1548</v>
      </c>
      <c r="C4590" s="3" t="s">
        <v>56</v>
      </c>
    </row>
    <row r="4591" spans="1:3" x14ac:dyDescent="0.2">
      <c r="A4591" s="3" t="s">
        <v>1547</v>
      </c>
      <c r="B4591" s="3" t="s">
        <v>1549</v>
      </c>
      <c r="C4591" s="3" t="s">
        <v>56</v>
      </c>
    </row>
    <row r="4592" spans="1:3" x14ac:dyDescent="0.2">
      <c r="A4592" s="3" t="s">
        <v>1547</v>
      </c>
      <c r="B4592" s="3" t="s">
        <v>1550</v>
      </c>
      <c r="C4592" s="3" t="s">
        <v>56</v>
      </c>
    </row>
    <row r="4593" spans="1:3" x14ac:dyDescent="0.2">
      <c r="A4593" s="3" t="s">
        <v>1547</v>
      </c>
      <c r="B4593" s="3" t="s">
        <v>1551</v>
      </c>
      <c r="C4593" s="3" t="s">
        <v>56</v>
      </c>
    </row>
    <row r="4594" spans="1:3" x14ac:dyDescent="0.2">
      <c r="A4594" s="3" t="s">
        <v>1547</v>
      </c>
      <c r="B4594" s="3" t="s">
        <v>1552</v>
      </c>
      <c r="C4594" s="3" t="s">
        <v>56</v>
      </c>
    </row>
    <row r="4595" spans="1:3" x14ac:dyDescent="0.2">
      <c r="A4595" s="3" t="s">
        <v>1547</v>
      </c>
      <c r="B4595" s="3" t="s">
        <v>1548</v>
      </c>
      <c r="C4595" s="3" t="s">
        <v>57</v>
      </c>
    </row>
    <row r="4596" spans="1:3" x14ac:dyDescent="0.2">
      <c r="A4596" s="3" t="s">
        <v>1547</v>
      </c>
      <c r="B4596" s="3" t="s">
        <v>1549</v>
      </c>
      <c r="C4596" s="3" t="s">
        <v>57</v>
      </c>
    </row>
    <row r="4597" spans="1:3" x14ac:dyDescent="0.2">
      <c r="A4597" s="3" t="s">
        <v>1547</v>
      </c>
      <c r="B4597" s="3" t="s">
        <v>1550</v>
      </c>
      <c r="C4597" s="3" t="s">
        <v>57</v>
      </c>
    </row>
    <row r="4598" spans="1:3" x14ac:dyDescent="0.2">
      <c r="A4598" s="3" t="s">
        <v>1547</v>
      </c>
      <c r="B4598" s="3" t="s">
        <v>1551</v>
      </c>
      <c r="C4598" s="3" t="s">
        <v>57</v>
      </c>
    </row>
    <row r="4599" spans="1:3" x14ac:dyDescent="0.2">
      <c r="A4599" s="3" t="s">
        <v>1547</v>
      </c>
      <c r="B4599" s="3" t="s">
        <v>1552</v>
      </c>
      <c r="C4599" s="3" t="s">
        <v>57</v>
      </c>
    </row>
    <row r="4600" spans="1:3" x14ac:dyDescent="0.2">
      <c r="A4600" s="3" t="s">
        <v>1547</v>
      </c>
      <c r="B4600" s="3" t="s">
        <v>1553</v>
      </c>
      <c r="C4600" s="3" t="s">
        <v>22</v>
      </c>
    </row>
    <row r="4601" spans="1:3" x14ac:dyDescent="0.2">
      <c r="A4601" s="3" t="s">
        <v>1547</v>
      </c>
      <c r="B4601" s="3" t="s">
        <v>1554</v>
      </c>
      <c r="C4601" s="3" t="s">
        <v>22</v>
      </c>
    </row>
    <row r="4602" spans="1:3" x14ac:dyDescent="0.2">
      <c r="A4602" s="3" t="s">
        <v>1547</v>
      </c>
      <c r="B4602" s="3" t="s">
        <v>1555</v>
      </c>
      <c r="C4602" s="3" t="s">
        <v>22</v>
      </c>
    </row>
    <row r="4603" spans="1:3" x14ac:dyDescent="0.2">
      <c r="A4603" s="3" t="s">
        <v>1547</v>
      </c>
      <c r="B4603" s="3" t="s">
        <v>1556</v>
      </c>
      <c r="C4603" s="3" t="s">
        <v>22</v>
      </c>
    </row>
    <row r="4604" spans="1:3" x14ac:dyDescent="0.2">
      <c r="A4604" s="3" t="s">
        <v>1547</v>
      </c>
      <c r="B4604" s="3" t="s">
        <v>1557</v>
      </c>
      <c r="C4604" s="3" t="s">
        <v>22</v>
      </c>
    </row>
    <row r="4605" spans="1:3" x14ac:dyDescent="0.2">
      <c r="A4605" s="3" t="s">
        <v>1547</v>
      </c>
      <c r="B4605" s="3" t="s">
        <v>1558</v>
      </c>
      <c r="C4605" s="3" t="s">
        <v>22</v>
      </c>
    </row>
    <row r="4606" spans="1:3" x14ac:dyDescent="0.2">
      <c r="A4606" s="3" t="s">
        <v>1547</v>
      </c>
      <c r="B4606" s="3" t="s">
        <v>1559</v>
      </c>
      <c r="C4606" s="3" t="s">
        <v>22</v>
      </c>
    </row>
    <row r="4607" spans="1:3" x14ac:dyDescent="0.2">
      <c r="A4607" s="3" t="s">
        <v>1547</v>
      </c>
      <c r="B4607" s="3" t="s">
        <v>1560</v>
      </c>
      <c r="C4607" s="3" t="s">
        <v>22</v>
      </c>
    </row>
    <row r="4608" spans="1:3" x14ac:dyDescent="0.2">
      <c r="A4608" s="3" t="s">
        <v>1547</v>
      </c>
      <c r="B4608" s="3" t="s">
        <v>1561</v>
      </c>
      <c r="C4608" s="3" t="s">
        <v>22</v>
      </c>
    </row>
    <row r="4609" spans="1:3" x14ac:dyDescent="0.2">
      <c r="A4609" s="3" t="s">
        <v>1547</v>
      </c>
      <c r="B4609" s="3" t="s">
        <v>1562</v>
      </c>
      <c r="C4609" s="3" t="s">
        <v>22</v>
      </c>
    </row>
    <row r="4610" spans="1:3" x14ac:dyDescent="0.2">
      <c r="A4610" s="3" t="s">
        <v>1563</v>
      </c>
      <c r="B4610" s="3" t="s">
        <v>984</v>
      </c>
      <c r="C4610" s="3" t="s">
        <v>53</v>
      </c>
    </row>
    <row r="4611" spans="1:3" x14ac:dyDescent="0.2">
      <c r="A4611" s="3" t="s">
        <v>1563</v>
      </c>
      <c r="B4611" s="3" t="s">
        <v>985</v>
      </c>
      <c r="C4611" s="3" t="s">
        <v>53</v>
      </c>
    </row>
    <row r="4612" spans="1:3" x14ac:dyDescent="0.2">
      <c r="A4612" s="3" t="s">
        <v>1563</v>
      </c>
      <c r="B4612" s="3" t="s">
        <v>986</v>
      </c>
      <c r="C4612" s="3" t="s">
        <v>53</v>
      </c>
    </row>
    <row r="4613" spans="1:3" x14ac:dyDescent="0.2">
      <c r="A4613" s="3" t="s">
        <v>1563</v>
      </c>
      <c r="B4613" s="3" t="s">
        <v>987</v>
      </c>
      <c r="C4613" s="3" t="s">
        <v>53</v>
      </c>
    </row>
    <row r="4614" spans="1:3" x14ac:dyDescent="0.2">
      <c r="A4614" s="3" t="s">
        <v>1563</v>
      </c>
      <c r="B4614" s="3" t="s">
        <v>1564</v>
      </c>
      <c r="C4614" s="3" t="s">
        <v>53</v>
      </c>
    </row>
    <row r="4615" spans="1:3" x14ac:dyDescent="0.2">
      <c r="A4615" s="3" t="s">
        <v>1563</v>
      </c>
      <c r="B4615" s="3" t="s">
        <v>1565</v>
      </c>
      <c r="C4615" s="3" t="s">
        <v>53</v>
      </c>
    </row>
    <row r="4616" spans="1:3" x14ac:dyDescent="0.2">
      <c r="A4616" s="3" t="s">
        <v>1563</v>
      </c>
      <c r="B4616" s="3" t="s">
        <v>1566</v>
      </c>
      <c r="C4616" s="3" t="s">
        <v>53</v>
      </c>
    </row>
    <row r="4617" spans="1:3" x14ac:dyDescent="0.2">
      <c r="A4617" s="3" t="s">
        <v>1563</v>
      </c>
      <c r="B4617" s="3" t="s">
        <v>1548</v>
      </c>
      <c r="C4617" s="3" t="s">
        <v>53</v>
      </c>
    </row>
    <row r="4618" spans="1:3" x14ac:dyDescent="0.2">
      <c r="A4618" s="3" t="s">
        <v>1563</v>
      </c>
      <c r="B4618" s="3" t="s">
        <v>1550</v>
      </c>
      <c r="C4618" s="3" t="s">
        <v>53</v>
      </c>
    </row>
    <row r="4619" spans="1:3" x14ac:dyDescent="0.2">
      <c r="A4619" s="3" t="s">
        <v>1563</v>
      </c>
      <c r="B4619" s="3" t="s">
        <v>1552</v>
      </c>
      <c r="C4619" s="3" t="s">
        <v>53</v>
      </c>
    </row>
    <row r="4620" spans="1:3" x14ac:dyDescent="0.2">
      <c r="A4620" s="3" t="s">
        <v>1563</v>
      </c>
      <c r="B4620" s="3" t="s">
        <v>1567</v>
      </c>
      <c r="C4620" s="3" t="s">
        <v>53</v>
      </c>
    </row>
    <row r="4621" spans="1:3" x14ac:dyDescent="0.2">
      <c r="A4621" s="3" t="s">
        <v>1563</v>
      </c>
      <c r="B4621" s="3" t="s">
        <v>984</v>
      </c>
      <c r="C4621" s="3" t="s">
        <v>54</v>
      </c>
    </row>
    <row r="4622" spans="1:3" x14ac:dyDescent="0.2">
      <c r="A4622" s="3" t="s">
        <v>1563</v>
      </c>
      <c r="B4622" s="3" t="s">
        <v>985</v>
      </c>
      <c r="C4622" s="3" t="s">
        <v>54</v>
      </c>
    </row>
    <row r="4623" spans="1:3" x14ac:dyDescent="0.2">
      <c r="A4623" s="3" t="s">
        <v>1563</v>
      </c>
      <c r="B4623" s="3" t="s">
        <v>986</v>
      </c>
      <c r="C4623" s="3" t="s">
        <v>54</v>
      </c>
    </row>
    <row r="4624" spans="1:3" x14ac:dyDescent="0.2">
      <c r="A4624" s="3" t="s">
        <v>1563</v>
      </c>
      <c r="B4624" s="3" t="s">
        <v>987</v>
      </c>
      <c r="C4624" s="3" t="s">
        <v>54</v>
      </c>
    </row>
    <row r="4625" spans="1:3" x14ac:dyDescent="0.2">
      <c r="A4625" s="3" t="s">
        <v>1563</v>
      </c>
      <c r="B4625" s="3" t="s">
        <v>1564</v>
      </c>
      <c r="C4625" s="3" t="s">
        <v>54</v>
      </c>
    </row>
    <row r="4626" spans="1:3" x14ac:dyDescent="0.2">
      <c r="A4626" s="3" t="s">
        <v>1563</v>
      </c>
      <c r="B4626" s="3" t="s">
        <v>1565</v>
      </c>
      <c r="C4626" s="3" t="s">
        <v>54</v>
      </c>
    </row>
    <row r="4627" spans="1:3" x14ac:dyDescent="0.2">
      <c r="A4627" s="3" t="s">
        <v>1563</v>
      </c>
      <c r="B4627" s="3" t="s">
        <v>1566</v>
      </c>
      <c r="C4627" s="3" t="s">
        <v>54</v>
      </c>
    </row>
    <row r="4628" spans="1:3" x14ac:dyDescent="0.2">
      <c r="A4628" s="3" t="s">
        <v>1563</v>
      </c>
      <c r="B4628" s="3" t="s">
        <v>1548</v>
      </c>
      <c r="C4628" s="3" t="s">
        <v>54</v>
      </c>
    </row>
    <row r="4629" spans="1:3" x14ac:dyDescent="0.2">
      <c r="A4629" s="3" t="s">
        <v>1563</v>
      </c>
      <c r="B4629" s="3" t="s">
        <v>1550</v>
      </c>
      <c r="C4629" s="3" t="s">
        <v>54</v>
      </c>
    </row>
    <row r="4630" spans="1:3" x14ac:dyDescent="0.2">
      <c r="A4630" s="3" t="s">
        <v>1563</v>
      </c>
      <c r="B4630" s="3" t="s">
        <v>1552</v>
      </c>
      <c r="C4630" s="3" t="s">
        <v>54</v>
      </c>
    </row>
    <row r="4631" spans="1:3" x14ac:dyDescent="0.2">
      <c r="A4631" s="3" t="s">
        <v>1563</v>
      </c>
      <c r="B4631" s="3" t="s">
        <v>1567</v>
      </c>
      <c r="C4631" s="3" t="s">
        <v>54</v>
      </c>
    </row>
    <row r="4632" spans="1:3" x14ac:dyDescent="0.2">
      <c r="A4632" s="3" t="s">
        <v>1563</v>
      </c>
      <c r="B4632" s="3" t="s">
        <v>984</v>
      </c>
      <c r="C4632" s="3" t="s">
        <v>55</v>
      </c>
    </row>
    <row r="4633" spans="1:3" x14ac:dyDescent="0.2">
      <c r="A4633" s="3" t="s">
        <v>1563</v>
      </c>
      <c r="B4633" s="3" t="s">
        <v>985</v>
      </c>
      <c r="C4633" s="3" t="s">
        <v>55</v>
      </c>
    </row>
    <row r="4634" spans="1:3" x14ac:dyDescent="0.2">
      <c r="A4634" s="3" t="s">
        <v>1563</v>
      </c>
      <c r="B4634" s="3" t="s">
        <v>986</v>
      </c>
      <c r="C4634" s="3" t="s">
        <v>55</v>
      </c>
    </row>
    <row r="4635" spans="1:3" x14ac:dyDescent="0.2">
      <c r="A4635" s="3" t="s">
        <v>1563</v>
      </c>
      <c r="B4635" s="3" t="s">
        <v>987</v>
      </c>
      <c r="C4635" s="3" t="s">
        <v>55</v>
      </c>
    </row>
    <row r="4636" spans="1:3" x14ac:dyDescent="0.2">
      <c r="A4636" s="3" t="s">
        <v>1563</v>
      </c>
      <c r="B4636" s="3" t="s">
        <v>1564</v>
      </c>
      <c r="C4636" s="3" t="s">
        <v>55</v>
      </c>
    </row>
    <row r="4637" spans="1:3" x14ac:dyDescent="0.2">
      <c r="A4637" s="3" t="s">
        <v>1563</v>
      </c>
      <c r="B4637" s="3" t="s">
        <v>1565</v>
      </c>
      <c r="C4637" s="3" t="s">
        <v>55</v>
      </c>
    </row>
    <row r="4638" spans="1:3" x14ac:dyDescent="0.2">
      <c r="A4638" s="3" t="s">
        <v>1563</v>
      </c>
      <c r="B4638" s="3" t="s">
        <v>1566</v>
      </c>
      <c r="C4638" s="3" t="s">
        <v>55</v>
      </c>
    </row>
    <row r="4639" spans="1:3" x14ac:dyDescent="0.2">
      <c r="A4639" s="3" t="s">
        <v>1563</v>
      </c>
      <c r="B4639" s="3" t="s">
        <v>1548</v>
      </c>
      <c r="C4639" s="3" t="s">
        <v>55</v>
      </c>
    </row>
    <row r="4640" spans="1:3" x14ac:dyDescent="0.2">
      <c r="A4640" s="3" t="s">
        <v>1563</v>
      </c>
      <c r="B4640" s="3" t="s">
        <v>1550</v>
      </c>
      <c r="C4640" s="3" t="s">
        <v>55</v>
      </c>
    </row>
    <row r="4641" spans="1:3" x14ac:dyDescent="0.2">
      <c r="A4641" s="3" t="s">
        <v>1563</v>
      </c>
      <c r="B4641" s="3" t="s">
        <v>1552</v>
      </c>
      <c r="C4641" s="3" t="s">
        <v>55</v>
      </c>
    </row>
    <row r="4642" spans="1:3" x14ac:dyDescent="0.2">
      <c r="A4642" s="3" t="s">
        <v>1563</v>
      </c>
      <c r="B4642" s="3" t="s">
        <v>1567</v>
      </c>
      <c r="C4642" s="3" t="s">
        <v>55</v>
      </c>
    </row>
    <row r="4643" spans="1:3" x14ac:dyDescent="0.2">
      <c r="A4643" s="3" t="s">
        <v>1563</v>
      </c>
      <c r="B4643" s="3" t="s">
        <v>984</v>
      </c>
      <c r="C4643" s="3" t="s">
        <v>56</v>
      </c>
    </row>
    <row r="4644" spans="1:3" x14ac:dyDescent="0.2">
      <c r="A4644" s="3" t="s">
        <v>1563</v>
      </c>
      <c r="B4644" s="3" t="s">
        <v>985</v>
      </c>
      <c r="C4644" s="3" t="s">
        <v>56</v>
      </c>
    </row>
    <row r="4645" spans="1:3" x14ac:dyDescent="0.2">
      <c r="A4645" s="3" t="s">
        <v>1563</v>
      </c>
      <c r="B4645" s="3" t="s">
        <v>986</v>
      </c>
      <c r="C4645" s="3" t="s">
        <v>56</v>
      </c>
    </row>
    <row r="4646" spans="1:3" x14ac:dyDescent="0.2">
      <c r="A4646" s="3" t="s">
        <v>1563</v>
      </c>
      <c r="B4646" s="3" t="s">
        <v>987</v>
      </c>
      <c r="C4646" s="3" t="s">
        <v>56</v>
      </c>
    </row>
    <row r="4647" spans="1:3" x14ac:dyDescent="0.2">
      <c r="A4647" s="3" t="s">
        <v>1563</v>
      </c>
      <c r="B4647" s="3" t="s">
        <v>1564</v>
      </c>
      <c r="C4647" s="3" t="s">
        <v>56</v>
      </c>
    </row>
    <row r="4648" spans="1:3" x14ac:dyDescent="0.2">
      <c r="A4648" s="3" t="s">
        <v>1563</v>
      </c>
      <c r="B4648" s="3" t="s">
        <v>1565</v>
      </c>
      <c r="C4648" s="3" t="s">
        <v>56</v>
      </c>
    </row>
    <row r="4649" spans="1:3" x14ac:dyDescent="0.2">
      <c r="A4649" s="3" t="s">
        <v>1563</v>
      </c>
      <c r="B4649" s="3" t="s">
        <v>1566</v>
      </c>
      <c r="C4649" s="3" t="s">
        <v>56</v>
      </c>
    </row>
    <row r="4650" spans="1:3" x14ac:dyDescent="0.2">
      <c r="A4650" s="3" t="s">
        <v>1563</v>
      </c>
      <c r="B4650" s="3" t="s">
        <v>1548</v>
      </c>
      <c r="C4650" s="3" t="s">
        <v>56</v>
      </c>
    </row>
    <row r="4651" spans="1:3" x14ac:dyDescent="0.2">
      <c r="A4651" s="3" t="s">
        <v>1563</v>
      </c>
      <c r="B4651" s="3" t="s">
        <v>1550</v>
      </c>
      <c r="C4651" s="3" t="s">
        <v>56</v>
      </c>
    </row>
    <row r="4652" spans="1:3" x14ac:dyDescent="0.2">
      <c r="A4652" s="3" t="s">
        <v>1563</v>
      </c>
      <c r="B4652" s="3" t="s">
        <v>1552</v>
      </c>
      <c r="C4652" s="3" t="s">
        <v>56</v>
      </c>
    </row>
    <row r="4653" spans="1:3" x14ac:dyDescent="0.2">
      <c r="A4653" s="3" t="s">
        <v>1563</v>
      </c>
      <c r="B4653" s="3" t="s">
        <v>1567</v>
      </c>
      <c r="C4653" s="3" t="s">
        <v>56</v>
      </c>
    </row>
    <row r="4654" spans="1:3" x14ac:dyDescent="0.2">
      <c r="A4654" s="3" t="s">
        <v>1563</v>
      </c>
      <c r="B4654" s="3" t="s">
        <v>984</v>
      </c>
      <c r="C4654" s="3" t="s">
        <v>57</v>
      </c>
    </row>
    <row r="4655" spans="1:3" x14ac:dyDescent="0.2">
      <c r="A4655" s="3" t="s">
        <v>1563</v>
      </c>
      <c r="B4655" s="3" t="s">
        <v>985</v>
      </c>
      <c r="C4655" s="3" t="s">
        <v>57</v>
      </c>
    </row>
    <row r="4656" spans="1:3" x14ac:dyDescent="0.2">
      <c r="A4656" s="3" t="s">
        <v>1563</v>
      </c>
      <c r="B4656" s="3" t="s">
        <v>986</v>
      </c>
      <c r="C4656" s="3" t="s">
        <v>57</v>
      </c>
    </row>
    <row r="4657" spans="1:3" x14ac:dyDescent="0.2">
      <c r="A4657" s="3" t="s">
        <v>1563</v>
      </c>
      <c r="B4657" s="3" t="s">
        <v>987</v>
      </c>
      <c r="C4657" s="3" t="s">
        <v>57</v>
      </c>
    </row>
    <row r="4658" spans="1:3" x14ac:dyDescent="0.2">
      <c r="A4658" s="3" t="s">
        <v>1563</v>
      </c>
      <c r="B4658" s="3" t="s">
        <v>1564</v>
      </c>
      <c r="C4658" s="3" t="s">
        <v>57</v>
      </c>
    </row>
    <row r="4659" spans="1:3" x14ac:dyDescent="0.2">
      <c r="A4659" s="3" t="s">
        <v>1563</v>
      </c>
      <c r="B4659" s="3" t="s">
        <v>1565</v>
      </c>
      <c r="C4659" s="3" t="s">
        <v>57</v>
      </c>
    </row>
    <row r="4660" spans="1:3" x14ac:dyDescent="0.2">
      <c r="A4660" s="3" t="s">
        <v>1563</v>
      </c>
      <c r="B4660" s="3" t="s">
        <v>1566</v>
      </c>
      <c r="C4660" s="3" t="s">
        <v>57</v>
      </c>
    </row>
    <row r="4661" spans="1:3" x14ac:dyDescent="0.2">
      <c r="A4661" s="3" t="s">
        <v>1563</v>
      </c>
      <c r="B4661" s="3" t="s">
        <v>1548</v>
      </c>
      <c r="C4661" s="3" t="s">
        <v>57</v>
      </c>
    </row>
    <row r="4662" spans="1:3" x14ac:dyDescent="0.2">
      <c r="A4662" s="3" t="s">
        <v>1563</v>
      </c>
      <c r="B4662" s="3" t="s">
        <v>1550</v>
      </c>
      <c r="C4662" s="3" t="s">
        <v>57</v>
      </c>
    </row>
    <row r="4663" spans="1:3" x14ac:dyDescent="0.2">
      <c r="A4663" s="3" t="s">
        <v>1563</v>
      </c>
      <c r="B4663" s="3" t="s">
        <v>1552</v>
      </c>
      <c r="C4663" s="3" t="s">
        <v>57</v>
      </c>
    </row>
    <row r="4664" spans="1:3" x14ac:dyDescent="0.2">
      <c r="A4664" s="3" t="s">
        <v>1563</v>
      </c>
      <c r="B4664" s="3" t="s">
        <v>1567</v>
      </c>
      <c r="C4664" s="3" t="s">
        <v>57</v>
      </c>
    </row>
    <row r="4665" spans="1:3" x14ac:dyDescent="0.2">
      <c r="A4665" s="3" t="s">
        <v>1563</v>
      </c>
      <c r="B4665" s="3" t="s">
        <v>1554</v>
      </c>
      <c r="C4665" s="3" t="s">
        <v>22</v>
      </c>
    </row>
    <row r="4666" spans="1:3" x14ac:dyDescent="0.2">
      <c r="A4666" s="3" t="s">
        <v>1563</v>
      </c>
      <c r="B4666" s="3" t="s">
        <v>1555</v>
      </c>
      <c r="C4666" s="3" t="s">
        <v>22</v>
      </c>
    </row>
    <row r="4667" spans="1:3" x14ac:dyDescent="0.2">
      <c r="A4667" s="3" t="s">
        <v>1563</v>
      </c>
      <c r="B4667" s="3" t="s">
        <v>1556</v>
      </c>
      <c r="C4667" s="3" t="s">
        <v>22</v>
      </c>
    </row>
    <row r="4668" spans="1:3" x14ac:dyDescent="0.2">
      <c r="A4668" s="3" t="s">
        <v>1563</v>
      </c>
      <c r="B4668" s="3" t="s">
        <v>1568</v>
      </c>
      <c r="C4668" s="3" t="s">
        <v>22</v>
      </c>
    </row>
    <row r="4669" spans="1:3" x14ac:dyDescent="0.2">
      <c r="A4669" s="3" t="s">
        <v>1563</v>
      </c>
      <c r="B4669" s="3" t="s">
        <v>1569</v>
      </c>
      <c r="C4669" s="3" t="s">
        <v>22</v>
      </c>
    </row>
    <row r="4670" spans="1:3" x14ac:dyDescent="0.2">
      <c r="A4670" s="3" t="s">
        <v>1563</v>
      </c>
      <c r="B4670" s="3" t="s">
        <v>1557</v>
      </c>
      <c r="C4670" s="3" t="s">
        <v>22</v>
      </c>
    </row>
    <row r="4671" spans="1:3" x14ac:dyDescent="0.2">
      <c r="A4671" s="3" t="s">
        <v>1563</v>
      </c>
      <c r="B4671" s="3" t="s">
        <v>1558</v>
      </c>
      <c r="C4671" s="3" t="s">
        <v>22</v>
      </c>
    </row>
    <row r="4672" spans="1:3" x14ac:dyDescent="0.2">
      <c r="A4672" s="3" t="s">
        <v>1563</v>
      </c>
      <c r="B4672" s="3" t="s">
        <v>1570</v>
      </c>
      <c r="C4672" s="3" t="s">
        <v>22</v>
      </c>
    </row>
    <row r="4673" spans="1:3" x14ac:dyDescent="0.2">
      <c r="A4673" s="3" t="s">
        <v>1563</v>
      </c>
      <c r="B4673" s="3" t="s">
        <v>1571</v>
      </c>
      <c r="C4673" s="3" t="s">
        <v>22</v>
      </c>
    </row>
    <row r="4674" spans="1:3" x14ac:dyDescent="0.2">
      <c r="A4674" s="3" t="s">
        <v>1563</v>
      </c>
      <c r="B4674" s="3" t="s">
        <v>1559</v>
      </c>
      <c r="C4674" s="3" t="s">
        <v>22</v>
      </c>
    </row>
    <row r="4675" spans="1:3" x14ac:dyDescent="0.2">
      <c r="A4675" s="3" t="s">
        <v>1563</v>
      </c>
      <c r="B4675" s="3" t="s">
        <v>1560</v>
      </c>
      <c r="C4675" s="3" t="s">
        <v>22</v>
      </c>
    </row>
    <row r="4676" spans="1:3" x14ac:dyDescent="0.2">
      <c r="A4676" s="3" t="s">
        <v>1563</v>
      </c>
      <c r="B4676" s="3" t="s">
        <v>1561</v>
      </c>
      <c r="C4676" s="3" t="s">
        <v>22</v>
      </c>
    </row>
    <row r="4677" spans="1:3" x14ac:dyDescent="0.2">
      <c r="A4677" s="3" t="s">
        <v>1563</v>
      </c>
      <c r="B4677" s="3" t="s">
        <v>1572</v>
      </c>
      <c r="C4677" s="3" t="s">
        <v>22</v>
      </c>
    </row>
    <row r="4678" spans="1:3" x14ac:dyDescent="0.2">
      <c r="A4678" s="3" t="s">
        <v>1563</v>
      </c>
      <c r="B4678" s="3" t="s">
        <v>1562</v>
      </c>
      <c r="C4678" s="3" t="s">
        <v>22</v>
      </c>
    </row>
    <row r="4679" spans="1:3" x14ac:dyDescent="0.2">
      <c r="A4679" s="3" t="s">
        <v>1573</v>
      </c>
      <c r="B4679" s="3" t="s">
        <v>1411</v>
      </c>
      <c r="C4679" s="3" t="s">
        <v>53</v>
      </c>
    </row>
    <row r="4680" spans="1:3" x14ac:dyDescent="0.2">
      <c r="A4680" s="3" t="s">
        <v>1573</v>
      </c>
      <c r="B4680" s="3" t="s">
        <v>1412</v>
      </c>
      <c r="C4680" s="3" t="s">
        <v>53</v>
      </c>
    </row>
    <row r="4681" spans="1:3" x14ac:dyDescent="0.2">
      <c r="A4681" s="3" t="s">
        <v>1573</v>
      </c>
      <c r="B4681" s="3" t="s">
        <v>1574</v>
      </c>
      <c r="C4681" s="3" t="s">
        <v>53</v>
      </c>
    </row>
    <row r="4682" spans="1:3" x14ac:dyDescent="0.2">
      <c r="A4682" s="3" t="s">
        <v>1573</v>
      </c>
      <c r="B4682" s="3" t="s">
        <v>1413</v>
      </c>
      <c r="C4682" s="3" t="s">
        <v>53</v>
      </c>
    </row>
    <row r="4683" spans="1:3" x14ac:dyDescent="0.2">
      <c r="A4683" s="3" t="s">
        <v>1573</v>
      </c>
      <c r="B4683" s="3" t="s">
        <v>254</v>
      </c>
      <c r="C4683" s="3" t="s">
        <v>53</v>
      </c>
    </row>
    <row r="4684" spans="1:3" x14ac:dyDescent="0.2">
      <c r="A4684" s="3" t="s">
        <v>1573</v>
      </c>
      <c r="B4684" s="3" t="s">
        <v>255</v>
      </c>
      <c r="C4684" s="3" t="s">
        <v>53</v>
      </c>
    </row>
    <row r="4685" spans="1:3" x14ac:dyDescent="0.2">
      <c r="A4685" s="3" t="s">
        <v>1573</v>
      </c>
      <c r="B4685" s="3" t="s">
        <v>1575</v>
      </c>
      <c r="C4685" s="3" t="s">
        <v>53</v>
      </c>
    </row>
    <row r="4686" spans="1:3" x14ac:dyDescent="0.2">
      <c r="A4686" s="3" t="s">
        <v>1573</v>
      </c>
      <c r="B4686" s="3" t="s">
        <v>1411</v>
      </c>
      <c r="C4686" s="3" t="s">
        <v>54</v>
      </c>
    </row>
    <row r="4687" spans="1:3" x14ac:dyDescent="0.2">
      <c r="A4687" s="3" t="s">
        <v>1573</v>
      </c>
      <c r="B4687" s="3" t="s">
        <v>1412</v>
      </c>
      <c r="C4687" s="3" t="s">
        <v>54</v>
      </c>
    </row>
    <row r="4688" spans="1:3" x14ac:dyDescent="0.2">
      <c r="A4688" s="3" t="s">
        <v>1573</v>
      </c>
      <c r="B4688" s="3" t="s">
        <v>1574</v>
      </c>
      <c r="C4688" s="3" t="s">
        <v>54</v>
      </c>
    </row>
    <row r="4689" spans="1:3" x14ac:dyDescent="0.2">
      <c r="A4689" s="3" t="s">
        <v>1573</v>
      </c>
      <c r="B4689" s="3" t="s">
        <v>1413</v>
      </c>
      <c r="C4689" s="3" t="s">
        <v>54</v>
      </c>
    </row>
    <row r="4690" spans="1:3" x14ac:dyDescent="0.2">
      <c r="A4690" s="3" t="s">
        <v>1573</v>
      </c>
      <c r="B4690" s="3" t="s">
        <v>254</v>
      </c>
      <c r="C4690" s="3" t="s">
        <v>54</v>
      </c>
    </row>
    <row r="4691" spans="1:3" x14ac:dyDescent="0.2">
      <c r="A4691" s="3" t="s">
        <v>1573</v>
      </c>
      <c r="B4691" s="3" t="s">
        <v>255</v>
      </c>
      <c r="C4691" s="3" t="s">
        <v>54</v>
      </c>
    </row>
    <row r="4692" spans="1:3" x14ac:dyDescent="0.2">
      <c r="A4692" s="3" t="s">
        <v>1573</v>
      </c>
      <c r="B4692" s="3" t="s">
        <v>1575</v>
      </c>
      <c r="C4692" s="3" t="s">
        <v>54</v>
      </c>
    </row>
    <row r="4693" spans="1:3" x14ac:dyDescent="0.2">
      <c r="A4693" s="3" t="s">
        <v>1573</v>
      </c>
      <c r="B4693" s="3" t="s">
        <v>1411</v>
      </c>
      <c r="C4693" s="3" t="s">
        <v>55</v>
      </c>
    </row>
    <row r="4694" spans="1:3" x14ac:dyDescent="0.2">
      <c r="A4694" s="3" t="s">
        <v>1573</v>
      </c>
      <c r="B4694" s="3" t="s">
        <v>1412</v>
      </c>
      <c r="C4694" s="3" t="s">
        <v>55</v>
      </c>
    </row>
    <row r="4695" spans="1:3" x14ac:dyDescent="0.2">
      <c r="A4695" s="3" t="s">
        <v>1573</v>
      </c>
      <c r="B4695" s="3" t="s">
        <v>1574</v>
      </c>
      <c r="C4695" s="3" t="s">
        <v>55</v>
      </c>
    </row>
    <row r="4696" spans="1:3" x14ac:dyDescent="0.2">
      <c r="A4696" s="3" t="s">
        <v>1573</v>
      </c>
      <c r="B4696" s="3" t="s">
        <v>1413</v>
      </c>
      <c r="C4696" s="3" t="s">
        <v>55</v>
      </c>
    </row>
    <row r="4697" spans="1:3" x14ac:dyDescent="0.2">
      <c r="A4697" s="3" t="s">
        <v>1573</v>
      </c>
      <c r="B4697" s="3" t="s">
        <v>254</v>
      </c>
      <c r="C4697" s="3" t="s">
        <v>55</v>
      </c>
    </row>
    <row r="4698" spans="1:3" x14ac:dyDescent="0.2">
      <c r="A4698" s="3" t="s">
        <v>1573</v>
      </c>
      <c r="B4698" s="3" t="s">
        <v>1575</v>
      </c>
      <c r="C4698" s="3" t="s">
        <v>55</v>
      </c>
    </row>
    <row r="4699" spans="1:3" x14ac:dyDescent="0.2">
      <c r="A4699" s="3" t="s">
        <v>1573</v>
      </c>
      <c r="B4699" s="3" t="s">
        <v>1411</v>
      </c>
      <c r="C4699" s="3" t="s">
        <v>56</v>
      </c>
    </row>
    <row r="4700" spans="1:3" x14ac:dyDescent="0.2">
      <c r="A4700" s="3" t="s">
        <v>1573</v>
      </c>
      <c r="B4700" s="3" t="s">
        <v>1412</v>
      </c>
      <c r="C4700" s="3" t="s">
        <v>56</v>
      </c>
    </row>
    <row r="4701" spans="1:3" x14ac:dyDescent="0.2">
      <c r="A4701" s="3" t="s">
        <v>1573</v>
      </c>
      <c r="B4701" s="3" t="s">
        <v>1574</v>
      </c>
      <c r="C4701" s="3" t="s">
        <v>56</v>
      </c>
    </row>
    <row r="4702" spans="1:3" x14ac:dyDescent="0.2">
      <c r="A4702" s="3" t="s">
        <v>1573</v>
      </c>
      <c r="B4702" s="3" t="s">
        <v>1413</v>
      </c>
      <c r="C4702" s="3" t="s">
        <v>56</v>
      </c>
    </row>
    <row r="4703" spans="1:3" x14ac:dyDescent="0.2">
      <c r="A4703" s="3" t="s">
        <v>1573</v>
      </c>
      <c r="B4703" s="3" t="s">
        <v>254</v>
      </c>
      <c r="C4703" s="3" t="s">
        <v>56</v>
      </c>
    </row>
    <row r="4704" spans="1:3" x14ac:dyDescent="0.2">
      <c r="A4704" s="3" t="s">
        <v>1573</v>
      </c>
      <c r="B4704" s="3" t="s">
        <v>1575</v>
      </c>
      <c r="C4704" s="3" t="s">
        <v>56</v>
      </c>
    </row>
    <row r="4705" spans="1:3" x14ac:dyDescent="0.2">
      <c r="A4705" s="3" t="s">
        <v>1573</v>
      </c>
      <c r="B4705" s="3" t="s">
        <v>1411</v>
      </c>
      <c r="C4705" s="3" t="s">
        <v>57</v>
      </c>
    </row>
    <row r="4706" spans="1:3" x14ac:dyDescent="0.2">
      <c r="A4706" s="3" t="s">
        <v>1573</v>
      </c>
      <c r="B4706" s="3" t="s">
        <v>1412</v>
      </c>
      <c r="C4706" s="3" t="s">
        <v>57</v>
      </c>
    </row>
    <row r="4707" spans="1:3" x14ac:dyDescent="0.2">
      <c r="A4707" s="3" t="s">
        <v>1573</v>
      </c>
      <c r="B4707" s="3" t="s">
        <v>1574</v>
      </c>
      <c r="C4707" s="3" t="s">
        <v>57</v>
      </c>
    </row>
    <row r="4708" spans="1:3" x14ac:dyDescent="0.2">
      <c r="A4708" s="3" t="s">
        <v>1573</v>
      </c>
      <c r="B4708" s="3" t="s">
        <v>1413</v>
      </c>
      <c r="C4708" s="3" t="s">
        <v>57</v>
      </c>
    </row>
    <row r="4709" spans="1:3" x14ac:dyDescent="0.2">
      <c r="A4709" s="3" t="s">
        <v>1573</v>
      </c>
      <c r="B4709" s="3" t="s">
        <v>254</v>
      </c>
      <c r="C4709" s="3" t="s">
        <v>57</v>
      </c>
    </row>
    <row r="4710" spans="1:3" x14ac:dyDescent="0.2">
      <c r="A4710" s="3" t="s">
        <v>1573</v>
      </c>
      <c r="B4710" s="3" t="s">
        <v>255</v>
      </c>
      <c r="C4710" s="3" t="s">
        <v>57</v>
      </c>
    </row>
    <row r="4711" spans="1:3" x14ac:dyDescent="0.2">
      <c r="A4711" s="3" t="s">
        <v>1573</v>
      </c>
      <c r="B4711" s="3" t="s">
        <v>1575</v>
      </c>
      <c r="C4711" s="3" t="s">
        <v>57</v>
      </c>
    </row>
    <row r="4712" spans="1:3" x14ac:dyDescent="0.2">
      <c r="A4712" s="3" t="s">
        <v>1573</v>
      </c>
      <c r="B4712" s="3" t="s">
        <v>1576</v>
      </c>
      <c r="C4712" s="3" t="s">
        <v>169</v>
      </c>
    </row>
    <row r="4713" spans="1:3" x14ac:dyDescent="0.2">
      <c r="A4713" s="3" t="s">
        <v>1573</v>
      </c>
      <c r="B4713" s="3" t="s">
        <v>243</v>
      </c>
      <c r="C4713" s="3" t="s">
        <v>169</v>
      </c>
    </row>
    <row r="4714" spans="1:3" x14ac:dyDescent="0.2">
      <c r="A4714" s="3" t="s">
        <v>1573</v>
      </c>
      <c r="B4714" s="3" t="s">
        <v>246</v>
      </c>
      <c r="C4714" s="3" t="s">
        <v>169</v>
      </c>
    </row>
    <row r="4715" spans="1:3" x14ac:dyDescent="0.2">
      <c r="A4715" s="3" t="s">
        <v>1573</v>
      </c>
      <c r="B4715" s="3" t="s">
        <v>1577</v>
      </c>
      <c r="C4715" s="3" t="s">
        <v>22</v>
      </c>
    </row>
    <row r="4716" spans="1:3" x14ac:dyDescent="0.2">
      <c r="A4716" s="3" t="s">
        <v>1573</v>
      </c>
      <c r="B4716" s="3" t="s">
        <v>1578</v>
      </c>
      <c r="C4716" s="3" t="s">
        <v>22</v>
      </c>
    </row>
    <row r="4717" spans="1:3" x14ac:dyDescent="0.2">
      <c r="A4717" s="3" t="s">
        <v>1573</v>
      </c>
      <c r="B4717" s="3" t="s">
        <v>1579</v>
      </c>
      <c r="C4717" s="3" t="s">
        <v>22</v>
      </c>
    </row>
    <row r="4718" spans="1:3" x14ac:dyDescent="0.2">
      <c r="A4718" s="3" t="s">
        <v>1573</v>
      </c>
      <c r="B4718" s="3" t="s">
        <v>1580</v>
      </c>
      <c r="C4718" s="3" t="s">
        <v>22</v>
      </c>
    </row>
    <row r="4719" spans="1:3" x14ac:dyDescent="0.2">
      <c r="A4719" s="3" t="s">
        <v>1581</v>
      </c>
      <c r="B4719" s="3" t="s">
        <v>1411</v>
      </c>
      <c r="C4719" s="3" t="s">
        <v>53</v>
      </c>
    </row>
    <row r="4720" spans="1:3" x14ac:dyDescent="0.2">
      <c r="A4720" s="3" t="s">
        <v>1581</v>
      </c>
      <c r="B4720" s="3" t="s">
        <v>1412</v>
      </c>
      <c r="C4720" s="3" t="s">
        <v>53</v>
      </c>
    </row>
    <row r="4721" spans="1:3" x14ac:dyDescent="0.2">
      <c r="A4721" s="3" t="s">
        <v>1581</v>
      </c>
      <c r="B4721" s="3" t="s">
        <v>1413</v>
      </c>
      <c r="C4721" s="3" t="s">
        <v>53</v>
      </c>
    </row>
    <row r="4722" spans="1:3" x14ac:dyDescent="0.2">
      <c r="A4722" s="3" t="s">
        <v>1581</v>
      </c>
      <c r="B4722" s="3" t="s">
        <v>1411</v>
      </c>
      <c r="C4722" s="3" t="s">
        <v>54</v>
      </c>
    </row>
    <row r="4723" spans="1:3" x14ac:dyDescent="0.2">
      <c r="A4723" s="3" t="s">
        <v>1581</v>
      </c>
      <c r="B4723" s="3" t="s">
        <v>1412</v>
      </c>
      <c r="C4723" s="3" t="s">
        <v>54</v>
      </c>
    </row>
    <row r="4724" spans="1:3" x14ac:dyDescent="0.2">
      <c r="A4724" s="3" t="s">
        <v>1581</v>
      </c>
      <c r="B4724" s="3" t="s">
        <v>1413</v>
      </c>
      <c r="C4724" s="3" t="s">
        <v>54</v>
      </c>
    </row>
    <row r="4725" spans="1:3" x14ac:dyDescent="0.2">
      <c r="A4725" s="3" t="s">
        <v>1581</v>
      </c>
      <c r="B4725" s="3" t="s">
        <v>1411</v>
      </c>
      <c r="C4725" s="3" t="s">
        <v>55</v>
      </c>
    </row>
    <row r="4726" spans="1:3" x14ac:dyDescent="0.2">
      <c r="A4726" s="3" t="s">
        <v>1581</v>
      </c>
      <c r="B4726" s="3" t="s">
        <v>1412</v>
      </c>
      <c r="C4726" s="3" t="s">
        <v>55</v>
      </c>
    </row>
    <row r="4727" spans="1:3" x14ac:dyDescent="0.2">
      <c r="A4727" s="3" t="s">
        <v>1581</v>
      </c>
      <c r="B4727" s="3" t="s">
        <v>1413</v>
      </c>
      <c r="C4727" s="3" t="s">
        <v>55</v>
      </c>
    </row>
    <row r="4728" spans="1:3" x14ac:dyDescent="0.2">
      <c r="A4728" s="3" t="s">
        <v>1581</v>
      </c>
      <c r="B4728" s="3" t="s">
        <v>1411</v>
      </c>
      <c r="C4728" s="3" t="s">
        <v>56</v>
      </c>
    </row>
    <row r="4729" spans="1:3" x14ac:dyDescent="0.2">
      <c r="A4729" s="3" t="s">
        <v>1581</v>
      </c>
      <c r="B4729" s="3" t="s">
        <v>1412</v>
      </c>
      <c r="C4729" s="3" t="s">
        <v>56</v>
      </c>
    </row>
    <row r="4730" spans="1:3" x14ac:dyDescent="0.2">
      <c r="A4730" s="3" t="s">
        <v>1581</v>
      </c>
      <c r="B4730" s="3" t="s">
        <v>1413</v>
      </c>
      <c r="C4730" s="3" t="s">
        <v>56</v>
      </c>
    </row>
    <row r="4731" spans="1:3" x14ac:dyDescent="0.2">
      <c r="A4731" s="3" t="s">
        <v>1581</v>
      </c>
      <c r="B4731" s="3" t="s">
        <v>1411</v>
      </c>
      <c r="C4731" s="3" t="s">
        <v>57</v>
      </c>
    </row>
    <row r="4732" spans="1:3" x14ac:dyDescent="0.2">
      <c r="A4732" s="3" t="s">
        <v>1581</v>
      </c>
      <c r="B4732" s="3" t="s">
        <v>1412</v>
      </c>
      <c r="C4732" s="3" t="s">
        <v>57</v>
      </c>
    </row>
    <row r="4733" spans="1:3" x14ac:dyDescent="0.2">
      <c r="A4733" s="3" t="s">
        <v>1581</v>
      </c>
      <c r="B4733" s="3" t="s">
        <v>1413</v>
      </c>
      <c r="C4733" s="3" t="s">
        <v>57</v>
      </c>
    </row>
    <row r="4734" spans="1:3" x14ac:dyDescent="0.2">
      <c r="A4734" s="3" t="s">
        <v>1581</v>
      </c>
      <c r="B4734" s="3" t="s">
        <v>243</v>
      </c>
      <c r="C4734" s="3" t="s">
        <v>169</v>
      </c>
    </row>
    <row r="4735" spans="1:3" x14ac:dyDescent="0.2">
      <c r="A4735" s="3" t="s">
        <v>1581</v>
      </c>
      <c r="B4735" s="3" t="s">
        <v>1577</v>
      </c>
      <c r="C4735" s="3" t="s">
        <v>22</v>
      </c>
    </row>
    <row r="4736" spans="1:3" x14ac:dyDescent="0.2">
      <c r="A4736" s="3" t="s">
        <v>1581</v>
      </c>
      <c r="B4736" s="3" t="s">
        <v>1578</v>
      </c>
      <c r="C4736" s="3" t="s">
        <v>22</v>
      </c>
    </row>
    <row r="4737" spans="1:3" x14ac:dyDescent="0.2">
      <c r="A4737" s="3" t="s">
        <v>1581</v>
      </c>
      <c r="B4737" s="3" t="s">
        <v>1579</v>
      </c>
      <c r="C4737" s="3" t="s">
        <v>22</v>
      </c>
    </row>
    <row r="4738" spans="1:3" x14ac:dyDescent="0.2">
      <c r="A4738" s="3" t="s">
        <v>1581</v>
      </c>
      <c r="B4738" s="3" t="s">
        <v>1580</v>
      </c>
      <c r="C4738" s="3" t="s">
        <v>22</v>
      </c>
    </row>
    <row r="4739" spans="1:3" x14ac:dyDescent="0.2">
      <c r="A4739" s="3" t="s">
        <v>1582</v>
      </c>
      <c r="B4739" s="3" t="s">
        <v>1583</v>
      </c>
      <c r="C4739" s="3" t="s">
        <v>53</v>
      </c>
    </row>
    <row r="4740" spans="1:3" x14ac:dyDescent="0.2">
      <c r="A4740" s="3" t="s">
        <v>1582</v>
      </c>
      <c r="B4740" s="3" t="s">
        <v>1583</v>
      </c>
      <c r="C4740" s="3" t="s">
        <v>54</v>
      </c>
    </row>
    <row r="4741" spans="1:3" x14ac:dyDescent="0.2">
      <c r="A4741" s="3" t="s">
        <v>1582</v>
      </c>
      <c r="B4741" s="3" t="s">
        <v>1583</v>
      </c>
      <c r="C4741" s="3" t="s">
        <v>55</v>
      </c>
    </row>
    <row r="4742" spans="1:3" x14ac:dyDescent="0.2">
      <c r="A4742" s="3" t="s">
        <v>1582</v>
      </c>
      <c r="B4742" s="3" t="s">
        <v>1583</v>
      </c>
      <c r="C4742" s="3" t="s">
        <v>56</v>
      </c>
    </row>
    <row r="4743" spans="1:3" x14ac:dyDescent="0.2">
      <c r="A4743" s="3" t="s">
        <v>1582</v>
      </c>
      <c r="B4743" s="3" t="s">
        <v>1583</v>
      </c>
      <c r="C4743" s="3" t="s">
        <v>57</v>
      </c>
    </row>
    <row r="4744" spans="1:3" x14ac:dyDescent="0.2">
      <c r="A4744" s="3" t="s">
        <v>1584</v>
      </c>
      <c r="B4744" s="3" t="s">
        <v>1583</v>
      </c>
      <c r="C4744" s="3" t="s">
        <v>53</v>
      </c>
    </row>
    <row r="4745" spans="1:3" x14ac:dyDescent="0.2">
      <c r="A4745" s="3" t="s">
        <v>1584</v>
      </c>
      <c r="B4745" s="3" t="s">
        <v>1583</v>
      </c>
      <c r="C4745" s="3" t="s">
        <v>54</v>
      </c>
    </row>
    <row r="4746" spans="1:3" x14ac:dyDescent="0.2">
      <c r="A4746" s="3" t="s">
        <v>1584</v>
      </c>
      <c r="B4746" s="3" t="s">
        <v>1583</v>
      </c>
      <c r="C4746" s="3" t="s">
        <v>55</v>
      </c>
    </row>
    <row r="4747" spans="1:3" x14ac:dyDescent="0.2">
      <c r="A4747" s="3" t="s">
        <v>1584</v>
      </c>
      <c r="B4747" s="3" t="s">
        <v>1583</v>
      </c>
      <c r="C4747" s="3" t="s">
        <v>56</v>
      </c>
    </row>
    <row r="4748" spans="1:3" x14ac:dyDescent="0.2">
      <c r="A4748" s="3" t="s">
        <v>1584</v>
      </c>
      <c r="B4748" s="3" t="s">
        <v>1583</v>
      </c>
      <c r="C4748" s="3" t="s">
        <v>57</v>
      </c>
    </row>
    <row r="4749" spans="1:3" x14ac:dyDescent="0.2">
      <c r="A4749" s="3" t="s">
        <v>1585</v>
      </c>
      <c r="B4749" s="3" t="s">
        <v>1448</v>
      </c>
      <c r="C4749" s="3" t="s">
        <v>53</v>
      </c>
    </row>
    <row r="4750" spans="1:3" x14ac:dyDescent="0.2">
      <c r="A4750" s="3" t="s">
        <v>1585</v>
      </c>
      <c r="B4750" s="3" t="s">
        <v>882</v>
      </c>
      <c r="C4750" s="3" t="s">
        <v>53</v>
      </c>
    </row>
    <row r="4751" spans="1:3" x14ac:dyDescent="0.2">
      <c r="A4751" s="3" t="s">
        <v>1585</v>
      </c>
      <c r="B4751" s="3" t="s">
        <v>988</v>
      </c>
      <c r="C4751" s="3" t="s">
        <v>53</v>
      </c>
    </row>
    <row r="4752" spans="1:3" x14ac:dyDescent="0.2">
      <c r="A4752" s="3" t="s">
        <v>1585</v>
      </c>
      <c r="B4752" s="3" t="s">
        <v>989</v>
      </c>
      <c r="C4752" s="3" t="s">
        <v>53</v>
      </c>
    </row>
    <row r="4753" spans="1:3" x14ac:dyDescent="0.2">
      <c r="A4753" s="3" t="s">
        <v>1585</v>
      </c>
      <c r="B4753" s="3" t="s">
        <v>883</v>
      </c>
      <c r="C4753" s="3" t="s">
        <v>53</v>
      </c>
    </row>
    <row r="4754" spans="1:3" x14ac:dyDescent="0.2">
      <c r="A4754" s="3" t="s">
        <v>1585</v>
      </c>
      <c r="B4754" s="3" t="s">
        <v>884</v>
      </c>
      <c r="C4754" s="3" t="s">
        <v>53</v>
      </c>
    </row>
    <row r="4755" spans="1:3" x14ac:dyDescent="0.2">
      <c r="A4755" s="3" t="s">
        <v>1585</v>
      </c>
      <c r="B4755" s="3" t="s">
        <v>991</v>
      </c>
      <c r="C4755" s="3" t="s">
        <v>53</v>
      </c>
    </row>
    <row r="4756" spans="1:3" x14ac:dyDescent="0.2">
      <c r="A4756" s="3" t="s">
        <v>1585</v>
      </c>
      <c r="B4756" s="3" t="s">
        <v>992</v>
      </c>
      <c r="C4756" s="3" t="s">
        <v>53</v>
      </c>
    </row>
    <row r="4757" spans="1:3" x14ac:dyDescent="0.2">
      <c r="A4757" s="3" t="s">
        <v>1585</v>
      </c>
      <c r="B4757" s="3" t="s">
        <v>1448</v>
      </c>
      <c r="C4757" s="3" t="s">
        <v>54</v>
      </c>
    </row>
    <row r="4758" spans="1:3" x14ac:dyDescent="0.2">
      <c r="A4758" s="3" t="s">
        <v>1585</v>
      </c>
      <c r="B4758" s="3" t="s">
        <v>882</v>
      </c>
      <c r="C4758" s="3" t="s">
        <v>54</v>
      </c>
    </row>
    <row r="4759" spans="1:3" x14ac:dyDescent="0.2">
      <c r="A4759" s="3" t="s">
        <v>1585</v>
      </c>
      <c r="B4759" s="3" t="s">
        <v>988</v>
      </c>
      <c r="C4759" s="3" t="s">
        <v>54</v>
      </c>
    </row>
    <row r="4760" spans="1:3" x14ac:dyDescent="0.2">
      <c r="A4760" s="3" t="s">
        <v>1585</v>
      </c>
      <c r="B4760" s="3" t="s">
        <v>989</v>
      </c>
      <c r="C4760" s="3" t="s">
        <v>54</v>
      </c>
    </row>
    <row r="4761" spans="1:3" x14ac:dyDescent="0.2">
      <c r="A4761" s="3" t="s">
        <v>1585</v>
      </c>
      <c r="B4761" s="3" t="s">
        <v>883</v>
      </c>
      <c r="C4761" s="3" t="s">
        <v>54</v>
      </c>
    </row>
    <row r="4762" spans="1:3" x14ac:dyDescent="0.2">
      <c r="A4762" s="3" t="s">
        <v>1585</v>
      </c>
      <c r="B4762" s="3" t="s">
        <v>884</v>
      </c>
      <c r="C4762" s="3" t="s">
        <v>54</v>
      </c>
    </row>
    <row r="4763" spans="1:3" x14ac:dyDescent="0.2">
      <c r="A4763" s="3" t="s">
        <v>1585</v>
      </c>
      <c r="B4763" s="3" t="s">
        <v>991</v>
      </c>
      <c r="C4763" s="3" t="s">
        <v>54</v>
      </c>
    </row>
    <row r="4764" spans="1:3" x14ac:dyDescent="0.2">
      <c r="A4764" s="3" t="s">
        <v>1585</v>
      </c>
      <c r="B4764" s="3" t="s">
        <v>992</v>
      </c>
      <c r="C4764" s="3" t="s">
        <v>54</v>
      </c>
    </row>
    <row r="4765" spans="1:3" x14ac:dyDescent="0.2">
      <c r="A4765" s="3" t="s">
        <v>1585</v>
      </c>
      <c r="B4765" s="3" t="s">
        <v>1448</v>
      </c>
      <c r="C4765" s="3" t="s">
        <v>55</v>
      </c>
    </row>
    <row r="4766" spans="1:3" x14ac:dyDescent="0.2">
      <c r="A4766" s="3" t="s">
        <v>1585</v>
      </c>
      <c r="B4766" s="3" t="s">
        <v>882</v>
      </c>
      <c r="C4766" s="3" t="s">
        <v>55</v>
      </c>
    </row>
    <row r="4767" spans="1:3" x14ac:dyDescent="0.2">
      <c r="A4767" s="3" t="s">
        <v>1585</v>
      </c>
      <c r="B4767" s="3" t="s">
        <v>988</v>
      </c>
      <c r="C4767" s="3" t="s">
        <v>55</v>
      </c>
    </row>
    <row r="4768" spans="1:3" x14ac:dyDescent="0.2">
      <c r="A4768" s="3" t="s">
        <v>1585</v>
      </c>
      <c r="B4768" s="3" t="s">
        <v>989</v>
      </c>
      <c r="C4768" s="3" t="s">
        <v>55</v>
      </c>
    </row>
    <row r="4769" spans="1:3" x14ac:dyDescent="0.2">
      <c r="A4769" s="3" t="s">
        <v>1585</v>
      </c>
      <c r="B4769" s="3" t="s">
        <v>883</v>
      </c>
      <c r="C4769" s="3" t="s">
        <v>55</v>
      </c>
    </row>
    <row r="4770" spans="1:3" x14ac:dyDescent="0.2">
      <c r="A4770" s="3" t="s">
        <v>1585</v>
      </c>
      <c r="B4770" s="3" t="s">
        <v>884</v>
      </c>
      <c r="C4770" s="3" t="s">
        <v>55</v>
      </c>
    </row>
    <row r="4771" spans="1:3" x14ac:dyDescent="0.2">
      <c r="A4771" s="3" t="s">
        <v>1585</v>
      </c>
      <c r="B4771" s="3" t="s">
        <v>991</v>
      </c>
      <c r="C4771" s="3" t="s">
        <v>55</v>
      </c>
    </row>
    <row r="4772" spans="1:3" x14ac:dyDescent="0.2">
      <c r="A4772" s="3" t="s">
        <v>1585</v>
      </c>
      <c r="B4772" s="3" t="s">
        <v>992</v>
      </c>
      <c r="C4772" s="3" t="s">
        <v>55</v>
      </c>
    </row>
    <row r="4773" spans="1:3" x14ac:dyDescent="0.2">
      <c r="A4773" s="3" t="s">
        <v>1585</v>
      </c>
      <c r="B4773" s="3" t="s">
        <v>1448</v>
      </c>
      <c r="C4773" s="3" t="s">
        <v>56</v>
      </c>
    </row>
    <row r="4774" spans="1:3" x14ac:dyDescent="0.2">
      <c r="A4774" s="3" t="s">
        <v>1585</v>
      </c>
      <c r="B4774" s="3" t="s">
        <v>882</v>
      </c>
      <c r="C4774" s="3" t="s">
        <v>56</v>
      </c>
    </row>
    <row r="4775" spans="1:3" x14ac:dyDescent="0.2">
      <c r="A4775" s="3" t="s">
        <v>1585</v>
      </c>
      <c r="B4775" s="3" t="s">
        <v>988</v>
      </c>
      <c r="C4775" s="3" t="s">
        <v>56</v>
      </c>
    </row>
    <row r="4776" spans="1:3" x14ac:dyDescent="0.2">
      <c r="A4776" s="3" t="s">
        <v>1585</v>
      </c>
      <c r="B4776" s="3" t="s">
        <v>989</v>
      </c>
      <c r="C4776" s="3" t="s">
        <v>56</v>
      </c>
    </row>
    <row r="4777" spans="1:3" x14ac:dyDescent="0.2">
      <c r="A4777" s="3" t="s">
        <v>1585</v>
      </c>
      <c r="B4777" s="3" t="s">
        <v>883</v>
      </c>
      <c r="C4777" s="3" t="s">
        <v>56</v>
      </c>
    </row>
    <row r="4778" spans="1:3" x14ac:dyDescent="0.2">
      <c r="A4778" s="3" t="s">
        <v>1585</v>
      </c>
      <c r="B4778" s="3" t="s">
        <v>884</v>
      </c>
      <c r="C4778" s="3" t="s">
        <v>56</v>
      </c>
    </row>
    <row r="4779" spans="1:3" x14ac:dyDescent="0.2">
      <c r="A4779" s="3" t="s">
        <v>1585</v>
      </c>
      <c r="B4779" s="3" t="s">
        <v>991</v>
      </c>
      <c r="C4779" s="3" t="s">
        <v>56</v>
      </c>
    </row>
    <row r="4780" spans="1:3" x14ac:dyDescent="0.2">
      <c r="A4780" s="3" t="s">
        <v>1585</v>
      </c>
      <c r="B4780" s="3" t="s">
        <v>992</v>
      </c>
      <c r="C4780" s="3" t="s">
        <v>56</v>
      </c>
    </row>
    <row r="4781" spans="1:3" x14ac:dyDescent="0.2">
      <c r="A4781" s="3" t="s">
        <v>1585</v>
      </c>
      <c r="B4781" s="3" t="s">
        <v>1448</v>
      </c>
      <c r="C4781" s="3" t="s">
        <v>57</v>
      </c>
    </row>
    <row r="4782" spans="1:3" x14ac:dyDescent="0.2">
      <c r="A4782" s="3" t="s">
        <v>1585</v>
      </c>
      <c r="B4782" s="3" t="s">
        <v>882</v>
      </c>
      <c r="C4782" s="3" t="s">
        <v>57</v>
      </c>
    </row>
    <row r="4783" spans="1:3" x14ac:dyDescent="0.2">
      <c r="A4783" s="3" t="s">
        <v>1585</v>
      </c>
      <c r="B4783" s="3" t="s">
        <v>988</v>
      </c>
      <c r="C4783" s="3" t="s">
        <v>57</v>
      </c>
    </row>
    <row r="4784" spans="1:3" x14ac:dyDescent="0.2">
      <c r="A4784" s="3" t="s">
        <v>1585</v>
      </c>
      <c r="B4784" s="3" t="s">
        <v>989</v>
      </c>
      <c r="C4784" s="3" t="s">
        <v>57</v>
      </c>
    </row>
    <row r="4785" spans="1:3" x14ac:dyDescent="0.2">
      <c r="A4785" s="3" t="s">
        <v>1585</v>
      </c>
      <c r="B4785" s="3" t="s">
        <v>883</v>
      </c>
      <c r="C4785" s="3" t="s">
        <v>57</v>
      </c>
    </row>
    <row r="4786" spans="1:3" x14ac:dyDescent="0.2">
      <c r="A4786" s="3" t="s">
        <v>1585</v>
      </c>
      <c r="B4786" s="3" t="s">
        <v>884</v>
      </c>
      <c r="C4786" s="3" t="s">
        <v>57</v>
      </c>
    </row>
    <row r="4787" spans="1:3" x14ac:dyDescent="0.2">
      <c r="A4787" s="3" t="s">
        <v>1585</v>
      </c>
      <c r="B4787" s="3" t="s">
        <v>991</v>
      </c>
      <c r="C4787" s="3" t="s">
        <v>57</v>
      </c>
    </row>
    <row r="4788" spans="1:3" x14ac:dyDescent="0.2">
      <c r="A4788" s="3" t="s">
        <v>1585</v>
      </c>
      <c r="B4788" s="3" t="s">
        <v>992</v>
      </c>
      <c r="C4788" s="3" t="s">
        <v>57</v>
      </c>
    </row>
    <row r="4789" spans="1:3" x14ac:dyDescent="0.2">
      <c r="A4789" s="3" t="s">
        <v>1585</v>
      </c>
      <c r="B4789" s="3" t="s">
        <v>1586</v>
      </c>
      <c r="C4789" s="3" t="s">
        <v>22</v>
      </c>
    </row>
    <row r="4790" spans="1:3" x14ac:dyDescent="0.2">
      <c r="A4790" s="3" t="s">
        <v>1585</v>
      </c>
      <c r="B4790" s="3" t="s">
        <v>1587</v>
      </c>
      <c r="C4790" s="3" t="s">
        <v>22</v>
      </c>
    </row>
    <row r="4791" spans="1:3" x14ac:dyDescent="0.2">
      <c r="A4791" s="3" t="s">
        <v>1585</v>
      </c>
      <c r="B4791" s="3" t="s">
        <v>1588</v>
      </c>
      <c r="C4791" s="3" t="s">
        <v>22</v>
      </c>
    </row>
    <row r="4792" spans="1:3" x14ac:dyDescent="0.2">
      <c r="A4792" s="3" t="s">
        <v>1585</v>
      </c>
      <c r="B4792" s="3" t="s">
        <v>1589</v>
      </c>
      <c r="C4792" s="3" t="s">
        <v>22</v>
      </c>
    </row>
    <row r="4793" spans="1:3" x14ac:dyDescent="0.2">
      <c r="A4793" s="3" t="s">
        <v>1585</v>
      </c>
      <c r="B4793" s="3" t="s">
        <v>1590</v>
      </c>
      <c r="C4793" s="3" t="s">
        <v>22</v>
      </c>
    </row>
    <row r="4794" spans="1:3" x14ac:dyDescent="0.2">
      <c r="A4794" s="3" t="s">
        <v>1585</v>
      </c>
      <c r="B4794" s="3" t="s">
        <v>1591</v>
      </c>
      <c r="C4794" s="3" t="s">
        <v>22</v>
      </c>
    </row>
    <row r="4795" spans="1:3" x14ac:dyDescent="0.2">
      <c r="A4795" s="3" t="s">
        <v>1585</v>
      </c>
      <c r="B4795" s="3" t="s">
        <v>1592</v>
      </c>
      <c r="C4795" s="3" t="s">
        <v>22</v>
      </c>
    </row>
    <row r="4796" spans="1:3" x14ac:dyDescent="0.2">
      <c r="A4796" s="3" t="s">
        <v>1593</v>
      </c>
      <c r="B4796" s="3" t="s">
        <v>1564</v>
      </c>
      <c r="C4796" s="3" t="s">
        <v>53</v>
      </c>
    </row>
    <row r="4797" spans="1:3" x14ac:dyDescent="0.2">
      <c r="A4797" s="3" t="s">
        <v>1593</v>
      </c>
      <c r="B4797" s="3" t="s">
        <v>1564</v>
      </c>
      <c r="C4797" s="3" t="s">
        <v>54</v>
      </c>
    </row>
    <row r="4798" spans="1:3" x14ac:dyDescent="0.2">
      <c r="A4798" s="3" t="s">
        <v>1593</v>
      </c>
      <c r="B4798" s="3" t="s">
        <v>1564</v>
      </c>
      <c r="C4798" s="3" t="s">
        <v>55</v>
      </c>
    </row>
    <row r="4799" spans="1:3" x14ac:dyDescent="0.2">
      <c r="A4799" s="3" t="s">
        <v>1593</v>
      </c>
      <c r="B4799" s="3" t="s">
        <v>1564</v>
      </c>
      <c r="C4799" s="3" t="s">
        <v>56</v>
      </c>
    </row>
    <row r="4800" spans="1:3" x14ac:dyDescent="0.2">
      <c r="A4800" s="3" t="s">
        <v>1593</v>
      </c>
      <c r="B4800" s="3" t="s">
        <v>1564</v>
      </c>
      <c r="C4800" s="3" t="s">
        <v>57</v>
      </c>
    </row>
    <row r="4801" spans="1:3" x14ac:dyDescent="0.2">
      <c r="A4801" s="3" t="s">
        <v>1595</v>
      </c>
      <c r="B4801" s="3" t="s">
        <v>1308</v>
      </c>
      <c r="C4801" s="3" t="s">
        <v>11</v>
      </c>
    </row>
    <row r="4802" spans="1:3" x14ac:dyDescent="0.2">
      <c r="A4802" s="3" t="s">
        <v>1595</v>
      </c>
      <c r="B4802" s="3" t="s">
        <v>1309</v>
      </c>
      <c r="C4802" s="3" t="s">
        <v>11</v>
      </c>
    </row>
    <row r="4803" spans="1:3" x14ac:dyDescent="0.2">
      <c r="A4803" s="3" t="s">
        <v>1596</v>
      </c>
      <c r="B4803" s="3" t="s">
        <v>1597</v>
      </c>
      <c r="C4803" s="3" t="s">
        <v>53</v>
      </c>
    </row>
    <row r="4804" spans="1:3" x14ac:dyDescent="0.2">
      <c r="A4804" s="3" t="s">
        <v>1596</v>
      </c>
      <c r="B4804" s="3" t="s">
        <v>990</v>
      </c>
      <c r="C4804" s="3" t="s">
        <v>53</v>
      </c>
    </row>
    <row r="4805" spans="1:3" x14ac:dyDescent="0.2">
      <c r="A4805" s="3" t="s">
        <v>1596</v>
      </c>
      <c r="B4805" s="3" t="s">
        <v>1598</v>
      </c>
      <c r="C4805" s="3" t="s">
        <v>53</v>
      </c>
    </row>
    <row r="4806" spans="1:3" x14ac:dyDescent="0.2">
      <c r="A4806" s="3" t="s">
        <v>1596</v>
      </c>
      <c r="B4806" s="3" t="s">
        <v>1599</v>
      </c>
      <c r="C4806" s="3" t="s">
        <v>53</v>
      </c>
    </row>
    <row r="4807" spans="1:3" x14ac:dyDescent="0.2">
      <c r="A4807" s="3" t="s">
        <v>1596</v>
      </c>
      <c r="B4807" s="3" t="s">
        <v>1597</v>
      </c>
      <c r="C4807" s="3" t="s">
        <v>54</v>
      </c>
    </row>
    <row r="4808" spans="1:3" x14ac:dyDescent="0.2">
      <c r="A4808" s="3" t="s">
        <v>1596</v>
      </c>
      <c r="B4808" s="3" t="s">
        <v>990</v>
      </c>
      <c r="C4808" s="3" t="s">
        <v>54</v>
      </c>
    </row>
    <row r="4809" spans="1:3" x14ac:dyDescent="0.2">
      <c r="A4809" s="3" t="s">
        <v>1596</v>
      </c>
      <c r="B4809" s="3" t="s">
        <v>1598</v>
      </c>
      <c r="C4809" s="3" t="s">
        <v>54</v>
      </c>
    </row>
    <row r="4810" spans="1:3" x14ac:dyDescent="0.2">
      <c r="A4810" s="3" t="s">
        <v>1596</v>
      </c>
      <c r="B4810" s="3" t="s">
        <v>1599</v>
      </c>
      <c r="C4810" s="3" t="s">
        <v>54</v>
      </c>
    </row>
    <row r="4811" spans="1:3" x14ac:dyDescent="0.2">
      <c r="A4811" s="3" t="s">
        <v>1596</v>
      </c>
      <c r="B4811" s="3" t="s">
        <v>931</v>
      </c>
      <c r="C4811" s="3" t="s">
        <v>10</v>
      </c>
    </row>
    <row r="4812" spans="1:3" x14ac:dyDescent="0.2">
      <c r="A4812" s="3" t="s">
        <v>1596</v>
      </c>
      <c r="B4812" s="3" t="s">
        <v>186</v>
      </c>
      <c r="C4812" s="3" t="s">
        <v>10</v>
      </c>
    </row>
    <row r="4813" spans="1:3" x14ac:dyDescent="0.2">
      <c r="A4813" s="3" t="s">
        <v>1596</v>
      </c>
      <c r="B4813" s="3" t="s">
        <v>187</v>
      </c>
      <c r="C4813" s="3" t="s">
        <v>10</v>
      </c>
    </row>
    <row r="4814" spans="1:3" x14ac:dyDescent="0.2">
      <c r="A4814" s="3" t="s">
        <v>1596</v>
      </c>
      <c r="B4814" s="3" t="s">
        <v>931</v>
      </c>
      <c r="C4814" s="3" t="s">
        <v>11</v>
      </c>
    </row>
    <row r="4815" spans="1:3" x14ac:dyDescent="0.2">
      <c r="A4815" s="3" t="s">
        <v>1596</v>
      </c>
      <c r="B4815" s="3" t="s">
        <v>186</v>
      </c>
      <c r="C4815" s="3" t="s">
        <v>11</v>
      </c>
    </row>
    <row r="4816" spans="1:3" x14ac:dyDescent="0.2">
      <c r="A4816" s="3" t="s">
        <v>1603</v>
      </c>
      <c r="B4816" s="3" t="s">
        <v>978</v>
      </c>
      <c r="C4816" s="3" t="s">
        <v>53</v>
      </c>
    </row>
    <row r="4817" spans="1:3" x14ac:dyDescent="0.2">
      <c r="A4817" s="3" t="s">
        <v>1603</v>
      </c>
      <c r="B4817" s="3" t="s">
        <v>1604</v>
      </c>
      <c r="C4817" s="3" t="s">
        <v>53</v>
      </c>
    </row>
    <row r="4818" spans="1:3" x14ac:dyDescent="0.2">
      <c r="A4818" s="3" t="s">
        <v>1603</v>
      </c>
      <c r="B4818" s="3" t="s">
        <v>983</v>
      </c>
      <c r="C4818" s="3" t="s">
        <v>53</v>
      </c>
    </row>
    <row r="4819" spans="1:3" x14ac:dyDescent="0.2">
      <c r="A4819" s="3" t="s">
        <v>1603</v>
      </c>
      <c r="B4819" s="3" t="s">
        <v>978</v>
      </c>
      <c r="C4819" s="3" t="s">
        <v>54</v>
      </c>
    </row>
    <row r="4820" spans="1:3" x14ac:dyDescent="0.2">
      <c r="A4820" s="3" t="s">
        <v>1603</v>
      </c>
      <c r="B4820" s="3" t="s">
        <v>1604</v>
      </c>
      <c r="C4820" s="3" t="s">
        <v>54</v>
      </c>
    </row>
    <row r="4821" spans="1:3" x14ac:dyDescent="0.2">
      <c r="A4821" s="3" t="s">
        <v>1603</v>
      </c>
      <c r="B4821" s="3" t="s">
        <v>983</v>
      </c>
      <c r="C4821" s="3" t="s">
        <v>54</v>
      </c>
    </row>
    <row r="4822" spans="1:3" x14ac:dyDescent="0.2">
      <c r="A4822" s="3" t="s">
        <v>1605</v>
      </c>
      <c r="B4822" s="3" t="s">
        <v>1601</v>
      </c>
      <c r="C4822" s="3" t="s">
        <v>53</v>
      </c>
    </row>
    <row r="4823" spans="1:3" x14ac:dyDescent="0.2">
      <c r="A4823" s="3" t="s">
        <v>1605</v>
      </c>
      <c r="B4823" s="3" t="s">
        <v>1602</v>
      </c>
      <c r="C4823" s="3" t="s">
        <v>53</v>
      </c>
    </row>
    <row r="4824" spans="1:3" x14ac:dyDescent="0.2">
      <c r="A4824" s="3" t="s">
        <v>1605</v>
      </c>
      <c r="B4824" s="3" t="s">
        <v>994</v>
      </c>
      <c r="C4824" s="3" t="s">
        <v>53</v>
      </c>
    </row>
    <row r="4825" spans="1:3" x14ac:dyDescent="0.2">
      <c r="A4825" s="3" t="s">
        <v>1605</v>
      </c>
      <c r="B4825" s="3" t="s">
        <v>926</v>
      </c>
      <c r="C4825" s="3" t="s">
        <v>53</v>
      </c>
    </row>
    <row r="4826" spans="1:3" x14ac:dyDescent="0.2">
      <c r="A4826" s="3" t="s">
        <v>1605</v>
      </c>
      <c r="B4826" s="3" t="s">
        <v>944</v>
      </c>
      <c r="C4826" s="3" t="s">
        <v>53</v>
      </c>
    </row>
    <row r="4827" spans="1:3" x14ac:dyDescent="0.2">
      <c r="A4827" s="3" t="s">
        <v>1605</v>
      </c>
      <c r="B4827" s="3" t="s">
        <v>974</v>
      </c>
      <c r="C4827" s="3" t="s">
        <v>53</v>
      </c>
    </row>
    <row r="4828" spans="1:3" x14ac:dyDescent="0.2">
      <c r="A4828" s="3" t="s">
        <v>1605</v>
      </c>
      <c r="B4828" s="3" t="s">
        <v>945</v>
      </c>
      <c r="C4828" s="3" t="s">
        <v>53</v>
      </c>
    </row>
    <row r="4829" spans="1:3" x14ac:dyDescent="0.2">
      <c r="A4829" s="3" t="s">
        <v>1605</v>
      </c>
      <c r="B4829" s="3" t="s">
        <v>946</v>
      </c>
      <c r="C4829" s="3" t="s">
        <v>53</v>
      </c>
    </row>
    <row r="4830" spans="1:3" x14ac:dyDescent="0.2">
      <c r="A4830" s="3" t="s">
        <v>1605</v>
      </c>
      <c r="B4830" s="3" t="s">
        <v>947</v>
      </c>
      <c r="C4830" s="3" t="s">
        <v>53</v>
      </c>
    </row>
    <row r="4831" spans="1:3" x14ac:dyDescent="0.2">
      <c r="A4831" s="3" t="s">
        <v>1605</v>
      </c>
      <c r="B4831" s="3" t="s">
        <v>1601</v>
      </c>
      <c r="C4831" s="3" t="s">
        <v>54</v>
      </c>
    </row>
    <row r="4832" spans="1:3" x14ac:dyDescent="0.2">
      <c r="A4832" s="3" t="s">
        <v>1605</v>
      </c>
      <c r="B4832" s="3" t="s">
        <v>1602</v>
      </c>
      <c r="C4832" s="3" t="s">
        <v>54</v>
      </c>
    </row>
    <row r="4833" spans="1:3" x14ac:dyDescent="0.2">
      <c r="A4833" s="3" t="s">
        <v>1605</v>
      </c>
      <c r="B4833" s="3" t="s">
        <v>994</v>
      </c>
      <c r="C4833" s="3" t="s">
        <v>54</v>
      </c>
    </row>
    <row r="4834" spans="1:3" x14ac:dyDescent="0.2">
      <c r="A4834" s="3" t="s">
        <v>1605</v>
      </c>
      <c r="B4834" s="3" t="s">
        <v>926</v>
      </c>
      <c r="C4834" s="3" t="s">
        <v>54</v>
      </c>
    </row>
    <row r="4835" spans="1:3" x14ac:dyDescent="0.2">
      <c r="A4835" s="3" t="s">
        <v>1605</v>
      </c>
      <c r="B4835" s="3" t="s">
        <v>944</v>
      </c>
      <c r="C4835" s="3" t="s">
        <v>54</v>
      </c>
    </row>
    <row r="4836" spans="1:3" x14ac:dyDescent="0.2">
      <c r="A4836" s="3" t="s">
        <v>1605</v>
      </c>
      <c r="B4836" s="3" t="s">
        <v>974</v>
      </c>
      <c r="C4836" s="3" t="s">
        <v>54</v>
      </c>
    </row>
    <row r="4837" spans="1:3" x14ac:dyDescent="0.2">
      <c r="A4837" s="3" t="s">
        <v>1605</v>
      </c>
      <c r="B4837" s="3" t="s">
        <v>945</v>
      </c>
      <c r="C4837" s="3" t="s">
        <v>54</v>
      </c>
    </row>
    <row r="4838" spans="1:3" x14ac:dyDescent="0.2">
      <c r="A4838" s="3" t="s">
        <v>1605</v>
      </c>
      <c r="B4838" s="3" t="s">
        <v>946</v>
      </c>
      <c r="C4838" s="3" t="s">
        <v>54</v>
      </c>
    </row>
    <row r="4839" spans="1:3" x14ac:dyDescent="0.2">
      <c r="A4839" s="3" t="s">
        <v>1605</v>
      </c>
      <c r="B4839" s="3" t="s">
        <v>947</v>
      </c>
      <c r="C4839" s="3" t="s">
        <v>54</v>
      </c>
    </row>
    <row r="4840" spans="1:3" x14ac:dyDescent="0.2">
      <c r="A4840" s="3" t="s">
        <v>1605</v>
      </c>
      <c r="B4840" s="3" t="s">
        <v>1601</v>
      </c>
      <c r="C4840" s="3" t="s">
        <v>55</v>
      </c>
    </row>
    <row r="4841" spans="1:3" x14ac:dyDescent="0.2">
      <c r="A4841" s="3" t="s">
        <v>1605</v>
      </c>
      <c r="B4841" s="3" t="s">
        <v>1602</v>
      </c>
      <c r="C4841" s="3" t="s">
        <v>55</v>
      </c>
    </row>
    <row r="4842" spans="1:3" x14ac:dyDescent="0.2">
      <c r="A4842" s="3" t="s">
        <v>1605</v>
      </c>
      <c r="B4842" s="3" t="s">
        <v>994</v>
      </c>
      <c r="C4842" s="3" t="s">
        <v>55</v>
      </c>
    </row>
    <row r="4843" spans="1:3" x14ac:dyDescent="0.2">
      <c r="A4843" s="3" t="s">
        <v>1605</v>
      </c>
      <c r="B4843" s="3" t="s">
        <v>926</v>
      </c>
      <c r="C4843" s="3" t="s">
        <v>55</v>
      </c>
    </row>
    <row r="4844" spans="1:3" x14ac:dyDescent="0.2">
      <c r="A4844" s="3" t="s">
        <v>1605</v>
      </c>
      <c r="B4844" s="3" t="s">
        <v>944</v>
      </c>
      <c r="C4844" s="3" t="s">
        <v>55</v>
      </c>
    </row>
    <row r="4845" spans="1:3" x14ac:dyDescent="0.2">
      <c r="A4845" s="3" t="s">
        <v>1605</v>
      </c>
      <c r="B4845" s="3" t="s">
        <v>974</v>
      </c>
      <c r="C4845" s="3" t="s">
        <v>55</v>
      </c>
    </row>
    <row r="4846" spans="1:3" x14ac:dyDescent="0.2">
      <c r="A4846" s="3" t="s">
        <v>1605</v>
      </c>
      <c r="B4846" s="3" t="s">
        <v>945</v>
      </c>
      <c r="C4846" s="3" t="s">
        <v>55</v>
      </c>
    </row>
    <row r="4847" spans="1:3" x14ac:dyDescent="0.2">
      <c r="A4847" s="3" t="s">
        <v>1605</v>
      </c>
      <c r="B4847" s="3" t="s">
        <v>946</v>
      </c>
      <c r="C4847" s="3" t="s">
        <v>55</v>
      </c>
    </row>
    <row r="4848" spans="1:3" x14ac:dyDescent="0.2">
      <c r="A4848" s="3" t="s">
        <v>1605</v>
      </c>
      <c r="B4848" s="3" t="s">
        <v>947</v>
      </c>
      <c r="C4848" s="3" t="s">
        <v>55</v>
      </c>
    </row>
    <row r="4849" spans="1:3" x14ac:dyDescent="0.2">
      <c r="A4849" s="3" t="s">
        <v>1605</v>
      </c>
      <c r="B4849" s="3" t="s">
        <v>1601</v>
      </c>
      <c r="C4849" s="3" t="s">
        <v>56</v>
      </c>
    </row>
    <row r="4850" spans="1:3" x14ac:dyDescent="0.2">
      <c r="A4850" s="3" t="s">
        <v>1605</v>
      </c>
      <c r="B4850" s="3" t="s">
        <v>1602</v>
      </c>
      <c r="C4850" s="3" t="s">
        <v>56</v>
      </c>
    </row>
    <row r="4851" spans="1:3" x14ac:dyDescent="0.2">
      <c r="A4851" s="3" t="s">
        <v>1605</v>
      </c>
      <c r="B4851" s="3" t="s">
        <v>994</v>
      </c>
      <c r="C4851" s="3" t="s">
        <v>56</v>
      </c>
    </row>
    <row r="4852" spans="1:3" x14ac:dyDescent="0.2">
      <c r="A4852" s="3" t="s">
        <v>1605</v>
      </c>
      <c r="B4852" s="3" t="s">
        <v>926</v>
      </c>
      <c r="C4852" s="3" t="s">
        <v>56</v>
      </c>
    </row>
    <row r="4853" spans="1:3" x14ac:dyDescent="0.2">
      <c r="A4853" s="3" t="s">
        <v>1605</v>
      </c>
      <c r="B4853" s="3" t="s">
        <v>944</v>
      </c>
      <c r="C4853" s="3" t="s">
        <v>56</v>
      </c>
    </row>
    <row r="4854" spans="1:3" x14ac:dyDescent="0.2">
      <c r="A4854" s="3" t="s">
        <v>1605</v>
      </c>
      <c r="B4854" s="3" t="s">
        <v>974</v>
      </c>
      <c r="C4854" s="3" t="s">
        <v>56</v>
      </c>
    </row>
    <row r="4855" spans="1:3" x14ac:dyDescent="0.2">
      <c r="A4855" s="3" t="s">
        <v>1605</v>
      </c>
      <c r="B4855" s="3" t="s">
        <v>945</v>
      </c>
      <c r="C4855" s="3" t="s">
        <v>56</v>
      </c>
    </row>
    <row r="4856" spans="1:3" x14ac:dyDescent="0.2">
      <c r="A4856" s="3" t="s">
        <v>1605</v>
      </c>
      <c r="B4856" s="3" t="s">
        <v>946</v>
      </c>
      <c r="C4856" s="3" t="s">
        <v>56</v>
      </c>
    </row>
    <row r="4857" spans="1:3" x14ac:dyDescent="0.2">
      <c r="A4857" s="3" t="s">
        <v>1605</v>
      </c>
      <c r="B4857" s="3" t="s">
        <v>947</v>
      </c>
      <c r="C4857" s="3" t="s">
        <v>56</v>
      </c>
    </row>
    <row r="4858" spans="1:3" x14ac:dyDescent="0.2">
      <c r="A4858" s="3" t="s">
        <v>1605</v>
      </c>
      <c r="B4858" s="3" t="s">
        <v>1601</v>
      </c>
      <c r="C4858" s="3" t="s">
        <v>57</v>
      </c>
    </row>
    <row r="4859" spans="1:3" x14ac:dyDescent="0.2">
      <c r="A4859" s="3" t="s">
        <v>1605</v>
      </c>
      <c r="B4859" s="3" t="s">
        <v>1602</v>
      </c>
      <c r="C4859" s="3" t="s">
        <v>57</v>
      </c>
    </row>
    <row r="4860" spans="1:3" x14ac:dyDescent="0.2">
      <c r="A4860" s="3" t="s">
        <v>1605</v>
      </c>
      <c r="B4860" s="3" t="s">
        <v>994</v>
      </c>
      <c r="C4860" s="3" t="s">
        <v>57</v>
      </c>
    </row>
    <row r="4861" spans="1:3" x14ac:dyDescent="0.2">
      <c r="A4861" s="3" t="s">
        <v>1605</v>
      </c>
      <c r="B4861" s="3" t="s">
        <v>926</v>
      </c>
      <c r="C4861" s="3" t="s">
        <v>57</v>
      </c>
    </row>
    <row r="4862" spans="1:3" x14ac:dyDescent="0.2">
      <c r="A4862" s="3" t="s">
        <v>1605</v>
      </c>
      <c r="B4862" s="3" t="s">
        <v>944</v>
      </c>
      <c r="C4862" s="3" t="s">
        <v>57</v>
      </c>
    </row>
    <row r="4863" spans="1:3" x14ac:dyDescent="0.2">
      <c r="A4863" s="3" t="s">
        <v>1605</v>
      </c>
      <c r="B4863" s="3" t="s">
        <v>974</v>
      </c>
      <c r="C4863" s="3" t="s">
        <v>57</v>
      </c>
    </row>
    <row r="4864" spans="1:3" x14ac:dyDescent="0.2">
      <c r="A4864" s="3" t="s">
        <v>1605</v>
      </c>
      <c r="B4864" s="3" t="s">
        <v>945</v>
      </c>
      <c r="C4864" s="3" t="s">
        <v>57</v>
      </c>
    </row>
    <row r="4865" spans="1:3" x14ac:dyDescent="0.2">
      <c r="A4865" s="3" t="s">
        <v>1605</v>
      </c>
      <c r="B4865" s="3" t="s">
        <v>946</v>
      </c>
      <c r="C4865" s="3" t="s">
        <v>57</v>
      </c>
    </row>
    <row r="4866" spans="1:3" x14ac:dyDescent="0.2">
      <c r="A4866" s="3" t="s">
        <v>1605</v>
      </c>
      <c r="B4866" s="3" t="s">
        <v>947</v>
      </c>
      <c r="C4866" s="3" t="s">
        <v>57</v>
      </c>
    </row>
    <row r="4867" spans="1:3" x14ac:dyDescent="0.2">
      <c r="A4867" s="3" t="s">
        <v>1605</v>
      </c>
      <c r="B4867" s="3" t="s">
        <v>960</v>
      </c>
      <c r="C4867" s="3" t="s">
        <v>169</v>
      </c>
    </row>
    <row r="4868" spans="1:3" x14ac:dyDescent="0.2">
      <c r="A4868" s="3" t="s">
        <v>1606</v>
      </c>
      <c r="B4868" s="3" t="s">
        <v>1601</v>
      </c>
      <c r="C4868" s="3" t="s">
        <v>53</v>
      </c>
    </row>
    <row r="4869" spans="1:3" x14ac:dyDescent="0.2">
      <c r="A4869" s="3" t="s">
        <v>1606</v>
      </c>
      <c r="B4869" s="3" t="s">
        <v>1602</v>
      </c>
      <c r="C4869" s="3" t="s">
        <v>53</v>
      </c>
    </row>
    <row r="4870" spans="1:3" x14ac:dyDescent="0.2">
      <c r="A4870" s="3" t="s">
        <v>1606</v>
      </c>
      <c r="B4870" s="3" t="s">
        <v>927</v>
      </c>
      <c r="C4870" s="3" t="s">
        <v>53</v>
      </c>
    </row>
    <row r="4871" spans="1:3" x14ac:dyDescent="0.2">
      <c r="A4871" s="3" t="s">
        <v>1606</v>
      </c>
      <c r="B4871" s="3" t="s">
        <v>1601</v>
      </c>
      <c r="C4871" s="3" t="s">
        <v>54</v>
      </c>
    </row>
    <row r="4872" spans="1:3" x14ac:dyDescent="0.2">
      <c r="A4872" s="3" t="s">
        <v>1606</v>
      </c>
      <c r="B4872" s="3" t="s">
        <v>1602</v>
      </c>
      <c r="C4872" s="3" t="s">
        <v>54</v>
      </c>
    </row>
    <row r="4873" spans="1:3" x14ac:dyDescent="0.2">
      <c r="A4873" s="3" t="s">
        <v>1606</v>
      </c>
      <c r="B4873" s="3" t="s">
        <v>927</v>
      </c>
      <c r="C4873" s="3" t="s">
        <v>54</v>
      </c>
    </row>
    <row r="4874" spans="1:3" x14ac:dyDescent="0.2">
      <c r="A4874" s="3" t="s">
        <v>1606</v>
      </c>
      <c r="B4874" s="3" t="s">
        <v>1601</v>
      </c>
      <c r="C4874" s="3" t="s">
        <v>55</v>
      </c>
    </row>
    <row r="4875" spans="1:3" x14ac:dyDescent="0.2">
      <c r="A4875" s="3" t="s">
        <v>1606</v>
      </c>
      <c r="B4875" s="3" t="s">
        <v>1602</v>
      </c>
      <c r="C4875" s="3" t="s">
        <v>55</v>
      </c>
    </row>
    <row r="4876" spans="1:3" x14ac:dyDescent="0.2">
      <c r="A4876" s="3" t="s">
        <v>1606</v>
      </c>
      <c r="B4876" s="3" t="s">
        <v>927</v>
      </c>
      <c r="C4876" s="3" t="s">
        <v>55</v>
      </c>
    </row>
    <row r="4877" spans="1:3" x14ac:dyDescent="0.2">
      <c r="A4877" s="3" t="s">
        <v>1606</v>
      </c>
      <c r="B4877" s="3" t="s">
        <v>1601</v>
      </c>
      <c r="C4877" s="3" t="s">
        <v>56</v>
      </c>
    </row>
    <row r="4878" spans="1:3" x14ac:dyDescent="0.2">
      <c r="A4878" s="3" t="s">
        <v>1606</v>
      </c>
      <c r="B4878" s="3" t="s">
        <v>1602</v>
      </c>
      <c r="C4878" s="3" t="s">
        <v>56</v>
      </c>
    </row>
    <row r="4879" spans="1:3" x14ac:dyDescent="0.2">
      <c r="A4879" s="3" t="s">
        <v>1606</v>
      </c>
      <c r="B4879" s="3" t="s">
        <v>927</v>
      </c>
      <c r="C4879" s="3" t="s">
        <v>56</v>
      </c>
    </row>
    <row r="4880" spans="1:3" x14ac:dyDescent="0.2">
      <c r="A4880" s="3" t="s">
        <v>1606</v>
      </c>
      <c r="B4880" s="3" t="s">
        <v>1601</v>
      </c>
      <c r="C4880" s="3" t="s">
        <v>57</v>
      </c>
    </row>
    <row r="4881" spans="1:3" x14ac:dyDescent="0.2">
      <c r="A4881" s="3" t="s">
        <v>1606</v>
      </c>
      <c r="B4881" s="3" t="s">
        <v>1602</v>
      </c>
      <c r="C4881" s="3" t="s">
        <v>57</v>
      </c>
    </row>
    <row r="4882" spans="1:3" x14ac:dyDescent="0.2">
      <c r="A4882" s="3" t="s">
        <v>1606</v>
      </c>
      <c r="B4882" s="3" t="s">
        <v>927</v>
      </c>
      <c r="C4882" s="3" t="s">
        <v>57</v>
      </c>
    </row>
    <row r="4883" spans="1:3" x14ac:dyDescent="0.2">
      <c r="A4883" s="3" t="s">
        <v>1606</v>
      </c>
      <c r="B4883" s="3" t="s">
        <v>942</v>
      </c>
      <c r="C4883" s="3" t="s">
        <v>22</v>
      </c>
    </row>
    <row r="4884" spans="1:3" x14ac:dyDescent="0.2">
      <c r="A4884" s="3" t="s">
        <v>1606</v>
      </c>
      <c r="B4884" s="3" t="s">
        <v>1607</v>
      </c>
      <c r="C4884" s="3" t="s">
        <v>22</v>
      </c>
    </row>
    <row r="4885" spans="1:3" x14ac:dyDescent="0.2">
      <c r="A4885" s="3" t="s">
        <v>1606</v>
      </c>
      <c r="B4885" s="3" t="s">
        <v>1608</v>
      </c>
      <c r="C4885" s="3" t="s">
        <v>22</v>
      </c>
    </row>
    <row r="4886" spans="1:3" x14ac:dyDescent="0.2">
      <c r="A4886" s="3" t="s">
        <v>1609</v>
      </c>
      <c r="B4886" s="3" t="s">
        <v>869</v>
      </c>
      <c r="C4886" s="3" t="s">
        <v>53</v>
      </c>
    </row>
    <row r="4887" spans="1:3" x14ac:dyDescent="0.2">
      <c r="A4887" s="3" t="s">
        <v>1609</v>
      </c>
      <c r="B4887" s="3" t="s">
        <v>869</v>
      </c>
      <c r="C4887" s="3" t="s">
        <v>54</v>
      </c>
    </row>
    <row r="4888" spans="1:3" x14ac:dyDescent="0.2">
      <c r="A4888" s="3" t="s">
        <v>1609</v>
      </c>
      <c r="B4888" s="3" t="s">
        <v>869</v>
      </c>
      <c r="C4888" s="3" t="s">
        <v>55</v>
      </c>
    </row>
    <row r="4889" spans="1:3" x14ac:dyDescent="0.2">
      <c r="A4889" s="3" t="s">
        <v>1609</v>
      </c>
      <c r="B4889" s="3" t="s">
        <v>869</v>
      </c>
      <c r="C4889" s="3" t="s">
        <v>56</v>
      </c>
    </row>
    <row r="4890" spans="1:3" x14ac:dyDescent="0.2">
      <c r="A4890" s="3" t="s">
        <v>1609</v>
      </c>
      <c r="B4890" s="3" t="s">
        <v>869</v>
      </c>
      <c r="C4890" s="3" t="s">
        <v>57</v>
      </c>
    </row>
    <row r="4891" spans="1:3" x14ac:dyDescent="0.2">
      <c r="A4891" s="3" t="s">
        <v>1609</v>
      </c>
      <c r="B4891" s="3" t="s">
        <v>1554</v>
      </c>
      <c r="C4891" s="3" t="s">
        <v>22</v>
      </c>
    </row>
    <row r="4892" spans="1:3" x14ac:dyDescent="0.2">
      <c r="A4892" s="3" t="s">
        <v>1609</v>
      </c>
      <c r="B4892" s="3" t="s">
        <v>1555</v>
      </c>
      <c r="C4892" s="3" t="s">
        <v>22</v>
      </c>
    </row>
    <row r="4893" spans="1:3" x14ac:dyDescent="0.2">
      <c r="A4893" s="3" t="s">
        <v>1609</v>
      </c>
      <c r="B4893" s="3" t="s">
        <v>1556</v>
      </c>
      <c r="C4893" s="3" t="s">
        <v>22</v>
      </c>
    </row>
    <row r="4894" spans="1:3" x14ac:dyDescent="0.2">
      <c r="A4894" s="3" t="s">
        <v>1610</v>
      </c>
      <c r="B4894" s="3" t="s">
        <v>1601</v>
      </c>
      <c r="C4894" s="3" t="s">
        <v>53</v>
      </c>
    </row>
    <row r="4895" spans="1:3" x14ac:dyDescent="0.2">
      <c r="A4895" s="3" t="s">
        <v>1610</v>
      </c>
      <c r="B4895" s="3" t="s">
        <v>1602</v>
      </c>
      <c r="C4895" s="3" t="s">
        <v>53</v>
      </c>
    </row>
    <row r="4896" spans="1:3" x14ac:dyDescent="0.2">
      <c r="A4896" s="3" t="s">
        <v>1610</v>
      </c>
      <c r="B4896" s="3" t="s">
        <v>1611</v>
      </c>
      <c r="C4896" s="3" t="s">
        <v>53</v>
      </c>
    </row>
    <row r="4897" spans="1:3" x14ac:dyDescent="0.2">
      <c r="A4897" s="3" t="s">
        <v>1610</v>
      </c>
      <c r="B4897" s="3" t="s">
        <v>1612</v>
      </c>
      <c r="C4897" s="3" t="s">
        <v>53</v>
      </c>
    </row>
    <row r="4898" spans="1:3" x14ac:dyDescent="0.2">
      <c r="A4898" s="3" t="s">
        <v>1610</v>
      </c>
      <c r="B4898" s="3" t="s">
        <v>927</v>
      </c>
      <c r="C4898" s="3" t="s">
        <v>53</v>
      </c>
    </row>
    <row r="4899" spans="1:3" x14ac:dyDescent="0.2">
      <c r="A4899" s="3" t="s">
        <v>1610</v>
      </c>
      <c r="B4899" s="3" t="s">
        <v>928</v>
      </c>
      <c r="C4899" s="3" t="s">
        <v>53</v>
      </c>
    </row>
    <row r="4900" spans="1:3" x14ac:dyDescent="0.2">
      <c r="A4900" s="3" t="s">
        <v>1610</v>
      </c>
      <c r="B4900" s="3" t="s">
        <v>1613</v>
      </c>
      <c r="C4900" s="3" t="s">
        <v>53</v>
      </c>
    </row>
    <row r="4901" spans="1:3" x14ac:dyDescent="0.2">
      <c r="A4901" s="3" t="s">
        <v>1610</v>
      </c>
      <c r="B4901" s="3" t="s">
        <v>948</v>
      </c>
      <c r="C4901" s="3" t="s">
        <v>53</v>
      </c>
    </row>
    <row r="4902" spans="1:3" x14ac:dyDescent="0.2">
      <c r="A4902" s="3" t="s">
        <v>1610</v>
      </c>
      <c r="B4902" s="3" t="s">
        <v>949</v>
      </c>
      <c r="C4902" s="3" t="s">
        <v>53</v>
      </c>
    </row>
    <row r="4903" spans="1:3" x14ac:dyDescent="0.2">
      <c r="A4903" s="3" t="s">
        <v>1610</v>
      </c>
      <c r="B4903" s="3" t="s">
        <v>1614</v>
      </c>
      <c r="C4903" s="3" t="s">
        <v>53</v>
      </c>
    </row>
    <row r="4904" spans="1:3" x14ac:dyDescent="0.2">
      <c r="A4904" s="3" t="s">
        <v>1610</v>
      </c>
      <c r="B4904" s="3" t="s">
        <v>1615</v>
      </c>
      <c r="C4904" s="3" t="s">
        <v>53</v>
      </c>
    </row>
    <row r="4905" spans="1:3" x14ac:dyDescent="0.2">
      <c r="A4905" s="3" t="s">
        <v>1610</v>
      </c>
      <c r="B4905" s="3" t="s">
        <v>1616</v>
      </c>
      <c r="C4905" s="3" t="s">
        <v>53</v>
      </c>
    </row>
    <row r="4906" spans="1:3" x14ac:dyDescent="0.2">
      <c r="A4906" s="3" t="s">
        <v>1610</v>
      </c>
      <c r="B4906" s="3" t="s">
        <v>1617</v>
      </c>
      <c r="C4906" s="3" t="s">
        <v>53</v>
      </c>
    </row>
    <row r="4907" spans="1:3" x14ac:dyDescent="0.2">
      <c r="A4907" s="3" t="s">
        <v>1610</v>
      </c>
      <c r="B4907" s="3" t="s">
        <v>1618</v>
      </c>
      <c r="C4907" s="3" t="s">
        <v>53</v>
      </c>
    </row>
    <row r="4908" spans="1:3" x14ac:dyDescent="0.2">
      <c r="A4908" s="3" t="s">
        <v>1610</v>
      </c>
      <c r="B4908" s="3" t="s">
        <v>1619</v>
      </c>
      <c r="C4908" s="3" t="s">
        <v>53</v>
      </c>
    </row>
    <row r="4909" spans="1:3" x14ac:dyDescent="0.2">
      <c r="A4909" s="3" t="s">
        <v>1610</v>
      </c>
      <c r="B4909" s="3" t="s">
        <v>1601</v>
      </c>
      <c r="C4909" s="3" t="s">
        <v>54</v>
      </c>
    </row>
    <row r="4910" spans="1:3" x14ac:dyDescent="0.2">
      <c r="A4910" s="3" t="s">
        <v>1610</v>
      </c>
      <c r="B4910" s="3" t="s">
        <v>1602</v>
      </c>
      <c r="C4910" s="3" t="s">
        <v>54</v>
      </c>
    </row>
    <row r="4911" spans="1:3" x14ac:dyDescent="0.2">
      <c r="A4911" s="3" t="s">
        <v>1610</v>
      </c>
      <c r="B4911" s="3" t="s">
        <v>1611</v>
      </c>
      <c r="C4911" s="3" t="s">
        <v>54</v>
      </c>
    </row>
    <row r="4912" spans="1:3" x14ac:dyDescent="0.2">
      <c r="A4912" s="3" t="s">
        <v>1610</v>
      </c>
      <c r="B4912" s="3" t="s">
        <v>1612</v>
      </c>
      <c r="C4912" s="3" t="s">
        <v>54</v>
      </c>
    </row>
    <row r="4913" spans="1:3" x14ac:dyDescent="0.2">
      <c r="A4913" s="3" t="s">
        <v>1610</v>
      </c>
      <c r="B4913" s="3" t="s">
        <v>927</v>
      </c>
      <c r="C4913" s="3" t="s">
        <v>54</v>
      </c>
    </row>
    <row r="4914" spans="1:3" x14ac:dyDescent="0.2">
      <c r="A4914" s="3" t="s">
        <v>1610</v>
      </c>
      <c r="B4914" s="3" t="s">
        <v>928</v>
      </c>
      <c r="C4914" s="3" t="s">
        <v>54</v>
      </c>
    </row>
    <row r="4915" spans="1:3" x14ac:dyDescent="0.2">
      <c r="A4915" s="3" t="s">
        <v>1610</v>
      </c>
      <c r="B4915" s="3" t="s">
        <v>1613</v>
      </c>
      <c r="C4915" s="3" t="s">
        <v>54</v>
      </c>
    </row>
    <row r="4916" spans="1:3" x14ac:dyDescent="0.2">
      <c r="A4916" s="3" t="s">
        <v>1610</v>
      </c>
      <c r="B4916" s="3" t="s">
        <v>948</v>
      </c>
      <c r="C4916" s="3" t="s">
        <v>54</v>
      </c>
    </row>
    <row r="4917" spans="1:3" x14ac:dyDescent="0.2">
      <c r="A4917" s="3" t="s">
        <v>1610</v>
      </c>
      <c r="B4917" s="3" t="s">
        <v>949</v>
      </c>
      <c r="C4917" s="3" t="s">
        <v>54</v>
      </c>
    </row>
    <row r="4918" spans="1:3" x14ac:dyDescent="0.2">
      <c r="A4918" s="3" t="s">
        <v>1610</v>
      </c>
      <c r="B4918" s="3" t="s">
        <v>1614</v>
      </c>
      <c r="C4918" s="3" t="s">
        <v>54</v>
      </c>
    </row>
    <row r="4919" spans="1:3" x14ac:dyDescent="0.2">
      <c r="A4919" s="3" t="s">
        <v>1610</v>
      </c>
      <c r="B4919" s="3" t="s">
        <v>1615</v>
      </c>
      <c r="C4919" s="3" t="s">
        <v>54</v>
      </c>
    </row>
    <row r="4920" spans="1:3" x14ac:dyDescent="0.2">
      <c r="A4920" s="3" t="s">
        <v>1610</v>
      </c>
      <c r="B4920" s="3" t="s">
        <v>1616</v>
      </c>
      <c r="C4920" s="3" t="s">
        <v>54</v>
      </c>
    </row>
    <row r="4921" spans="1:3" x14ac:dyDescent="0.2">
      <c r="A4921" s="3" t="s">
        <v>1610</v>
      </c>
      <c r="B4921" s="3" t="s">
        <v>1617</v>
      </c>
      <c r="C4921" s="3" t="s">
        <v>54</v>
      </c>
    </row>
    <row r="4922" spans="1:3" x14ac:dyDescent="0.2">
      <c r="A4922" s="3" t="s">
        <v>1610</v>
      </c>
      <c r="B4922" s="3" t="s">
        <v>1618</v>
      </c>
      <c r="C4922" s="3" t="s">
        <v>54</v>
      </c>
    </row>
    <row r="4923" spans="1:3" x14ac:dyDescent="0.2">
      <c r="A4923" s="3" t="s">
        <v>1610</v>
      </c>
      <c r="B4923" s="3" t="s">
        <v>1619</v>
      </c>
      <c r="C4923" s="3" t="s">
        <v>54</v>
      </c>
    </row>
    <row r="4924" spans="1:3" x14ac:dyDescent="0.2">
      <c r="A4924" s="3" t="s">
        <v>1610</v>
      </c>
      <c r="B4924" s="3" t="s">
        <v>1601</v>
      </c>
      <c r="C4924" s="3" t="s">
        <v>55</v>
      </c>
    </row>
    <row r="4925" spans="1:3" x14ac:dyDescent="0.2">
      <c r="A4925" s="3" t="s">
        <v>1610</v>
      </c>
      <c r="B4925" s="3" t="s">
        <v>1602</v>
      </c>
      <c r="C4925" s="3" t="s">
        <v>55</v>
      </c>
    </row>
    <row r="4926" spans="1:3" x14ac:dyDescent="0.2">
      <c r="A4926" s="3" t="s">
        <v>1610</v>
      </c>
      <c r="B4926" s="3" t="s">
        <v>1611</v>
      </c>
      <c r="C4926" s="3" t="s">
        <v>55</v>
      </c>
    </row>
    <row r="4927" spans="1:3" x14ac:dyDescent="0.2">
      <c r="A4927" s="3" t="s">
        <v>1610</v>
      </c>
      <c r="B4927" s="3" t="s">
        <v>1612</v>
      </c>
      <c r="C4927" s="3" t="s">
        <v>55</v>
      </c>
    </row>
    <row r="4928" spans="1:3" x14ac:dyDescent="0.2">
      <c r="A4928" s="3" t="s">
        <v>1610</v>
      </c>
      <c r="B4928" s="3" t="s">
        <v>927</v>
      </c>
      <c r="C4928" s="3" t="s">
        <v>55</v>
      </c>
    </row>
    <row r="4929" spans="1:3" x14ac:dyDescent="0.2">
      <c r="A4929" s="3" t="s">
        <v>1610</v>
      </c>
      <c r="B4929" s="3" t="s">
        <v>928</v>
      </c>
      <c r="C4929" s="3" t="s">
        <v>55</v>
      </c>
    </row>
    <row r="4930" spans="1:3" x14ac:dyDescent="0.2">
      <c r="A4930" s="3" t="s">
        <v>1610</v>
      </c>
      <c r="B4930" s="3" t="s">
        <v>1613</v>
      </c>
      <c r="C4930" s="3" t="s">
        <v>55</v>
      </c>
    </row>
    <row r="4931" spans="1:3" x14ac:dyDescent="0.2">
      <c r="A4931" s="3" t="s">
        <v>1610</v>
      </c>
      <c r="B4931" s="3" t="s">
        <v>948</v>
      </c>
      <c r="C4931" s="3" t="s">
        <v>55</v>
      </c>
    </row>
    <row r="4932" spans="1:3" x14ac:dyDescent="0.2">
      <c r="A4932" s="3" t="s">
        <v>1610</v>
      </c>
      <c r="B4932" s="3" t="s">
        <v>949</v>
      </c>
      <c r="C4932" s="3" t="s">
        <v>55</v>
      </c>
    </row>
    <row r="4933" spans="1:3" x14ac:dyDescent="0.2">
      <c r="A4933" s="3" t="s">
        <v>1610</v>
      </c>
      <c r="B4933" s="3" t="s">
        <v>1614</v>
      </c>
      <c r="C4933" s="3" t="s">
        <v>55</v>
      </c>
    </row>
    <row r="4934" spans="1:3" x14ac:dyDescent="0.2">
      <c r="A4934" s="3" t="s">
        <v>1610</v>
      </c>
      <c r="B4934" s="3" t="s">
        <v>1615</v>
      </c>
      <c r="C4934" s="3" t="s">
        <v>55</v>
      </c>
    </row>
    <row r="4935" spans="1:3" x14ac:dyDescent="0.2">
      <c r="A4935" s="3" t="s">
        <v>1610</v>
      </c>
      <c r="B4935" s="3" t="s">
        <v>1616</v>
      </c>
      <c r="C4935" s="3" t="s">
        <v>55</v>
      </c>
    </row>
    <row r="4936" spans="1:3" x14ac:dyDescent="0.2">
      <c r="A4936" s="3" t="s">
        <v>1610</v>
      </c>
      <c r="B4936" s="3" t="s">
        <v>1617</v>
      </c>
      <c r="C4936" s="3" t="s">
        <v>55</v>
      </c>
    </row>
    <row r="4937" spans="1:3" x14ac:dyDescent="0.2">
      <c r="A4937" s="3" t="s">
        <v>1610</v>
      </c>
      <c r="B4937" s="3" t="s">
        <v>1618</v>
      </c>
      <c r="C4937" s="3" t="s">
        <v>55</v>
      </c>
    </row>
    <row r="4938" spans="1:3" x14ac:dyDescent="0.2">
      <c r="A4938" s="3" t="s">
        <v>1610</v>
      </c>
      <c r="B4938" s="3" t="s">
        <v>1619</v>
      </c>
      <c r="C4938" s="3" t="s">
        <v>55</v>
      </c>
    </row>
    <row r="4939" spans="1:3" x14ac:dyDescent="0.2">
      <c r="A4939" s="3" t="s">
        <v>1610</v>
      </c>
      <c r="B4939" s="3" t="s">
        <v>1601</v>
      </c>
      <c r="C4939" s="3" t="s">
        <v>56</v>
      </c>
    </row>
    <row r="4940" spans="1:3" x14ac:dyDescent="0.2">
      <c r="A4940" s="3" t="s">
        <v>1610</v>
      </c>
      <c r="B4940" s="3" t="s">
        <v>1602</v>
      </c>
      <c r="C4940" s="3" t="s">
        <v>56</v>
      </c>
    </row>
    <row r="4941" spans="1:3" x14ac:dyDescent="0.2">
      <c r="A4941" s="3" t="s">
        <v>1610</v>
      </c>
      <c r="B4941" s="3" t="s">
        <v>1611</v>
      </c>
      <c r="C4941" s="3" t="s">
        <v>56</v>
      </c>
    </row>
    <row r="4942" spans="1:3" x14ac:dyDescent="0.2">
      <c r="A4942" s="3" t="s">
        <v>1610</v>
      </c>
      <c r="B4942" s="3" t="s">
        <v>1612</v>
      </c>
      <c r="C4942" s="3" t="s">
        <v>56</v>
      </c>
    </row>
    <row r="4943" spans="1:3" x14ac:dyDescent="0.2">
      <c r="A4943" s="3" t="s">
        <v>1610</v>
      </c>
      <c r="B4943" s="3" t="s">
        <v>927</v>
      </c>
      <c r="C4943" s="3" t="s">
        <v>56</v>
      </c>
    </row>
    <row r="4944" spans="1:3" x14ac:dyDescent="0.2">
      <c r="A4944" s="3" t="s">
        <v>1610</v>
      </c>
      <c r="B4944" s="3" t="s">
        <v>928</v>
      </c>
      <c r="C4944" s="3" t="s">
        <v>56</v>
      </c>
    </row>
    <row r="4945" spans="1:3" x14ac:dyDescent="0.2">
      <c r="A4945" s="3" t="s">
        <v>1610</v>
      </c>
      <c r="B4945" s="3" t="s">
        <v>1613</v>
      </c>
      <c r="C4945" s="3" t="s">
        <v>56</v>
      </c>
    </row>
    <row r="4946" spans="1:3" x14ac:dyDescent="0.2">
      <c r="A4946" s="3" t="s">
        <v>1610</v>
      </c>
      <c r="B4946" s="3" t="s">
        <v>948</v>
      </c>
      <c r="C4946" s="3" t="s">
        <v>56</v>
      </c>
    </row>
    <row r="4947" spans="1:3" x14ac:dyDescent="0.2">
      <c r="A4947" s="3" t="s">
        <v>1610</v>
      </c>
      <c r="B4947" s="3" t="s">
        <v>949</v>
      </c>
      <c r="C4947" s="3" t="s">
        <v>56</v>
      </c>
    </row>
    <row r="4948" spans="1:3" x14ac:dyDescent="0.2">
      <c r="A4948" s="3" t="s">
        <v>1610</v>
      </c>
      <c r="B4948" s="3" t="s">
        <v>1614</v>
      </c>
      <c r="C4948" s="3" t="s">
        <v>56</v>
      </c>
    </row>
    <row r="4949" spans="1:3" x14ac:dyDescent="0.2">
      <c r="A4949" s="3" t="s">
        <v>1610</v>
      </c>
      <c r="B4949" s="3" t="s">
        <v>1615</v>
      </c>
      <c r="C4949" s="3" t="s">
        <v>56</v>
      </c>
    </row>
    <row r="4950" spans="1:3" x14ac:dyDescent="0.2">
      <c r="A4950" s="3" t="s">
        <v>1610</v>
      </c>
      <c r="B4950" s="3" t="s">
        <v>1616</v>
      </c>
      <c r="C4950" s="3" t="s">
        <v>56</v>
      </c>
    </row>
    <row r="4951" spans="1:3" x14ac:dyDescent="0.2">
      <c r="A4951" s="3" t="s">
        <v>1610</v>
      </c>
      <c r="B4951" s="3" t="s">
        <v>1617</v>
      </c>
      <c r="C4951" s="3" t="s">
        <v>56</v>
      </c>
    </row>
    <row r="4952" spans="1:3" x14ac:dyDescent="0.2">
      <c r="A4952" s="3" t="s">
        <v>1610</v>
      </c>
      <c r="B4952" s="3" t="s">
        <v>1618</v>
      </c>
      <c r="C4952" s="3" t="s">
        <v>56</v>
      </c>
    </row>
    <row r="4953" spans="1:3" x14ac:dyDescent="0.2">
      <c r="A4953" s="3" t="s">
        <v>1610</v>
      </c>
      <c r="B4953" s="3" t="s">
        <v>1619</v>
      </c>
      <c r="C4953" s="3" t="s">
        <v>56</v>
      </c>
    </row>
    <row r="4954" spans="1:3" x14ac:dyDescent="0.2">
      <c r="A4954" s="3" t="s">
        <v>1610</v>
      </c>
      <c r="B4954" s="3" t="s">
        <v>1601</v>
      </c>
      <c r="C4954" s="3" t="s">
        <v>57</v>
      </c>
    </row>
    <row r="4955" spans="1:3" x14ac:dyDescent="0.2">
      <c r="A4955" s="3" t="s">
        <v>1610</v>
      </c>
      <c r="B4955" s="3" t="s">
        <v>1602</v>
      </c>
      <c r="C4955" s="3" t="s">
        <v>57</v>
      </c>
    </row>
    <row r="4956" spans="1:3" x14ac:dyDescent="0.2">
      <c r="A4956" s="3" t="s">
        <v>1610</v>
      </c>
      <c r="B4956" s="3" t="s">
        <v>1611</v>
      </c>
      <c r="C4956" s="3" t="s">
        <v>57</v>
      </c>
    </row>
    <row r="4957" spans="1:3" x14ac:dyDescent="0.2">
      <c r="A4957" s="3" t="s">
        <v>1610</v>
      </c>
      <c r="B4957" s="3" t="s">
        <v>1612</v>
      </c>
      <c r="C4957" s="3" t="s">
        <v>57</v>
      </c>
    </row>
    <row r="4958" spans="1:3" x14ac:dyDescent="0.2">
      <c r="A4958" s="3" t="s">
        <v>1610</v>
      </c>
      <c r="B4958" s="3" t="s">
        <v>927</v>
      </c>
      <c r="C4958" s="3" t="s">
        <v>57</v>
      </c>
    </row>
    <row r="4959" spans="1:3" x14ac:dyDescent="0.2">
      <c r="A4959" s="3" t="s">
        <v>1610</v>
      </c>
      <c r="B4959" s="3" t="s">
        <v>928</v>
      </c>
      <c r="C4959" s="3" t="s">
        <v>57</v>
      </c>
    </row>
    <row r="4960" spans="1:3" x14ac:dyDescent="0.2">
      <c r="A4960" s="3" t="s">
        <v>1610</v>
      </c>
      <c r="B4960" s="3" t="s">
        <v>1613</v>
      </c>
      <c r="C4960" s="3" t="s">
        <v>57</v>
      </c>
    </row>
    <row r="4961" spans="1:3" x14ac:dyDescent="0.2">
      <c r="A4961" s="3" t="s">
        <v>1610</v>
      </c>
      <c r="B4961" s="3" t="s">
        <v>948</v>
      </c>
      <c r="C4961" s="3" t="s">
        <v>57</v>
      </c>
    </row>
    <row r="4962" spans="1:3" x14ac:dyDescent="0.2">
      <c r="A4962" s="3" t="s">
        <v>1610</v>
      </c>
      <c r="B4962" s="3" t="s">
        <v>949</v>
      </c>
      <c r="C4962" s="3" t="s">
        <v>57</v>
      </c>
    </row>
    <row r="4963" spans="1:3" x14ac:dyDescent="0.2">
      <c r="A4963" s="3" t="s">
        <v>1610</v>
      </c>
      <c r="B4963" s="3" t="s">
        <v>1614</v>
      </c>
      <c r="C4963" s="3" t="s">
        <v>57</v>
      </c>
    </row>
    <row r="4964" spans="1:3" x14ac:dyDescent="0.2">
      <c r="A4964" s="3" t="s">
        <v>1610</v>
      </c>
      <c r="B4964" s="3" t="s">
        <v>1615</v>
      </c>
      <c r="C4964" s="3" t="s">
        <v>57</v>
      </c>
    </row>
    <row r="4965" spans="1:3" x14ac:dyDescent="0.2">
      <c r="A4965" s="3" t="s">
        <v>1610</v>
      </c>
      <c r="B4965" s="3" t="s">
        <v>1616</v>
      </c>
      <c r="C4965" s="3" t="s">
        <v>57</v>
      </c>
    </row>
    <row r="4966" spans="1:3" x14ac:dyDescent="0.2">
      <c r="A4966" s="3" t="s">
        <v>1610</v>
      </c>
      <c r="B4966" s="3" t="s">
        <v>1617</v>
      </c>
      <c r="C4966" s="3" t="s">
        <v>57</v>
      </c>
    </row>
    <row r="4967" spans="1:3" x14ac:dyDescent="0.2">
      <c r="A4967" s="3" t="s">
        <v>1610</v>
      </c>
      <c r="B4967" s="3" t="s">
        <v>1618</v>
      </c>
      <c r="C4967" s="3" t="s">
        <v>57</v>
      </c>
    </row>
    <row r="4968" spans="1:3" x14ac:dyDescent="0.2">
      <c r="A4968" s="3" t="s">
        <v>1610</v>
      </c>
      <c r="B4968" s="3" t="s">
        <v>1619</v>
      </c>
      <c r="C4968" s="3" t="s">
        <v>57</v>
      </c>
    </row>
    <row r="4969" spans="1:3" x14ac:dyDescent="0.2">
      <c r="A4969" s="3" t="s">
        <v>1610</v>
      </c>
      <c r="B4969" s="3" t="s">
        <v>960</v>
      </c>
      <c r="C4969" s="3" t="s">
        <v>169</v>
      </c>
    </row>
    <row r="4970" spans="1:3" x14ac:dyDescent="0.2">
      <c r="A4970" s="3" t="s">
        <v>1620</v>
      </c>
      <c r="B4970" s="3" t="s">
        <v>1601</v>
      </c>
      <c r="C4970" s="3" t="s">
        <v>53</v>
      </c>
    </row>
    <row r="4971" spans="1:3" x14ac:dyDescent="0.2">
      <c r="A4971" s="3" t="s">
        <v>1620</v>
      </c>
      <c r="B4971" s="3" t="s">
        <v>1602</v>
      </c>
      <c r="C4971" s="3" t="s">
        <v>53</v>
      </c>
    </row>
    <row r="4972" spans="1:3" x14ac:dyDescent="0.2">
      <c r="A4972" s="3" t="s">
        <v>1620</v>
      </c>
      <c r="B4972" s="3" t="s">
        <v>929</v>
      </c>
      <c r="C4972" s="3" t="s">
        <v>53</v>
      </c>
    </row>
    <row r="4973" spans="1:3" x14ac:dyDescent="0.2">
      <c r="A4973" s="3" t="s">
        <v>1620</v>
      </c>
      <c r="B4973" s="3" t="s">
        <v>1601</v>
      </c>
      <c r="C4973" s="3" t="s">
        <v>54</v>
      </c>
    </row>
    <row r="4974" spans="1:3" x14ac:dyDescent="0.2">
      <c r="A4974" s="3" t="s">
        <v>1620</v>
      </c>
      <c r="B4974" s="3" t="s">
        <v>1602</v>
      </c>
      <c r="C4974" s="3" t="s">
        <v>54</v>
      </c>
    </row>
    <row r="4975" spans="1:3" x14ac:dyDescent="0.2">
      <c r="A4975" s="3" t="s">
        <v>1620</v>
      </c>
      <c r="B4975" s="3" t="s">
        <v>929</v>
      </c>
      <c r="C4975" s="3" t="s">
        <v>54</v>
      </c>
    </row>
    <row r="4976" spans="1:3" x14ac:dyDescent="0.2">
      <c r="A4976" s="3" t="s">
        <v>1620</v>
      </c>
      <c r="B4976" s="3" t="s">
        <v>1601</v>
      </c>
      <c r="C4976" s="3" t="s">
        <v>55</v>
      </c>
    </row>
    <row r="4977" spans="1:3" x14ac:dyDescent="0.2">
      <c r="A4977" s="3" t="s">
        <v>1620</v>
      </c>
      <c r="B4977" s="3" t="s">
        <v>1602</v>
      </c>
      <c r="C4977" s="3" t="s">
        <v>55</v>
      </c>
    </row>
    <row r="4978" spans="1:3" x14ac:dyDescent="0.2">
      <c r="A4978" s="3" t="s">
        <v>1620</v>
      </c>
      <c r="B4978" s="3" t="s">
        <v>929</v>
      </c>
      <c r="C4978" s="3" t="s">
        <v>55</v>
      </c>
    </row>
    <row r="4979" spans="1:3" x14ac:dyDescent="0.2">
      <c r="A4979" s="3" t="s">
        <v>1620</v>
      </c>
      <c r="B4979" s="3" t="s">
        <v>1601</v>
      </c>
      <c r="C4979" s="3" t="s">
        <v>56</v>
      </c>
    </row>
    <row r="4980" spans="1:3" x14ac:dyDescent="0.2">
      <c r="A4980" s="3" t="s">
        <v>1620</v>
      </c>
      <c r="B4980" s="3" t="s">
        <v>1602</v>
      </c>
      <c r="C4980" s="3" t="s">
        <v>56</v>
      </c>
    </row>
    <row r="4981" spans="1:3" x14ac:dyDescent="0.2">
      <c r="A4981" s="3" t="s">
        <v>1620</v>
      </c>
      <c r="B4981" s="3" t="s">
        <v>929</v>
      </c>
      <c r="C4981" s="3" t="s">
        <v>56</v>
      </c>
    </row>
    <row r="4982" spans="1:3" x14ac:dyDescent="0.2">
      <c r="A4982" s="3" t="s">
        <v>1620</v>
      </c>
      <c r="B4982" s="3" t="s">
        <v>1601</v>
      </c>
      <c r="C4982" s="3" t="s">
        <v>57</v>
      </c>
    </row>
    <row r="4983" spans="1:3" x14ac:dyDescent="0.2">
      <c r="A4983" s="3" t="s">
        <v>1620</v>
      </c>
      <c r="B4983" s="3" t="s">
        <v>1602</v>
      </c>
      <c r="C4983" s="3" t="s">
        <v>57</v>
      </c>
    </row>
    <row r="4984" spans="1:3" x14ac:dyDescent="0.2">
      <c r="A4984" s="3" t="s">
        <v>1620</v>
      </c>
      <c r="B4984" s="3" t="s">
        <v>929</v>
      </c>
      <c r="C4984" s="3" t="s">
        <v>57</v>
      </c>
    </row>
    <row r="4985" spans="1:3" x14ac:dyDescent="0.2">
      <c r="A4985" s="3" t="s">
        <v>1620</v>
      </c>
      <c r="B4985" s="3" t="s">
        <v>942</v>
      </c>
      <c r="C4985" s="3" t="s">
        <v>22</v>
      </c>
    </row>
    <row r="4986" spans="1:3" x14ac:dyDescent="0.2">
      <c r="A4986" s="3" t="s">
        <v>1620</v>
      </c>
      <c r="B4986" s="3" t="s">
        <v>1607</v>
      </c>
      <c r="C4986" s="3" t="s">
        <v>22</v>
      </c>
    </row>
    <row r="4987" spans="1:3" x14ac:dyDescent="0.2">
      <c r="A4987" s="3" t="s">
        <v>1620</v>
      </c>
      <c r="B4987" s="3" t="s">
        <v>1608</v>
      </c>
      <c r="C4987" s="3" t="s">
        <v>22</v>
      </c>
    </row>
    <row r="4988" spans="1:3" x14ac:dyDescent="0.2">
      <c r="A4988" s="3" t="s">
        <v>1621</v>
      </c>
      <c r="B4988" s="3" t="s">
        <v>869</v>
      </c>
      <c r="C4988" s="3" t="s">
        <v>53</v>
      </c>
    </row>
    <row r="4989" spans="1:3" x14ac:dyDescent="0.2">
      <c r="A4989" s="3" t="s">
        <v>1621</v>
      </c>
      <c r="B4989" s="3" t="s">
        <v>869</v>
      </c>
      <c r="C4989" s="3" t="s">
        <v>54</v>
      </c>
    </row>
    <row r="4990" spans="1:3" x14ac:dyDescent="0.2">
      <c r="A4990" s="3" t="s">
        <v>1621</v>
      </c>
      <c r="B4990" s="3" t="s">
        <v>869</v>
      </c>
      <c r="C4990" s="3" t="s">
        <v>55</v>
      </c>
    </row>
    <row r="4991" spans="1:3" x14ac:dyDescent="0.2">
      <c r="A4991" s="3" t="s">
        <v>1621</v>
      </c>
      <c r="B4991" s="3" t="s">
        <v>869</v>
      </c>
      <c r="C4991" s="3" t="s">
        <v>56</v>
      </c>
    </row>
    <row r="4992" spans="1:3" x14ac:dyDescent="0.2">
      <c r="A4992" s="3" t="s">
        <v>1621</v>
      </c>
      <c r="B4992" s="3" t="s">
        <v>869</v>
      </c>
      <c r="C4992" s="3" t="s">
        <v>57</v>
      </c>
    </row>
    <row r="4993" spans="1:3" x14ac:dyDescent="0.2">
      <c r="A4993" s="3" t="s">
        <v>1621</v>
      </c>
      <c r="B4993" s="3" t="s">
        <v>1557</v>
      </c>
      <c r="C4993" s="3" t="s">
        <v>22</v>
      </c>
    </row>
    <row r="4994" spans="1:3" x14ac:dyDescent="0.2">
      <c r="A4994" s="3" t="s">
        <v>1621</v>
      </c>
      <c r="B4994" s="3" t="s">
        <v>1558</v>
      </c>
      <c r="C4994" s="3" t="s">
        <v>22</v>
      </c>
    </row>
    <row r="4995" spans="1:3" x14ac:dyDescent="0.2">
      <c r="A4995" s="3" t="s">
        <v>1622</v>
      </c>
      <c r="B4995" s="3" t="s">
        <v>1601</v>
      </c>
      <c r="C4995" s="3" t="s">
        <v>53</v>
      </c>
    </row>
    <row r="4996" spans="1:3" x14ac:dyDescent="0.2">
      <c r="A4996" s="3" t="s">
        <v>1622</v>
      </c>
      <c r="B4996" s="3" t="s">
        <v>1602</v>
      </c>
      <c r="C4996" s="3" t="s">
        <v>53</v>
      </c>
    </row>
    <row r="4997" spans="1:3" x14ac:dyDescent="0.2">
      <c r="A4997" s="3" t="s">
        <v>1622</v>
      </c>
      <c r="B4997" s="3" t="s">
        <v>1623</v>
      </c>
      <c r="C4997" s="3" t="s">
        <v>53</v>
      </c>
    </row>
    <row r="4998" spans="1:3" x14ac:dyDescent="0.2">
      <c r="A4998" s="3" t="s">
        <v>1622</v>
      </c>
      <c r="B4998" s="3" t="s">
        <v>1624</v>
      </c>
      <c r="C4998" s="3" t="s">
        <v>53</v>
      </c>
    </row>
    <row r="4999" spans="1:3" x14ac:dyDescent="0.2">
      <c r="A4999" s="3" t="s">
        <v>1622</v>
      </c>
      <c r="B4999" s="3" t="s">
        <v>929</v>
      </c>
      <c r="C4999" s="3" t="s">
        <v>53</v>
      </c>
    </row>
    <row r="5000" spans="1:3" x14ac:dyDescent="0.2">
      <c r="A5000" s="3" t="s">
        <v>1622</v>
      </c>
      <c r="B5000" s="3" t="s">
        <v>930</v>
      </c>
      <c r="C5000" s="3" t="s">
        <v>53</v>
      </c>
    </row>
    <row r="5001" spans="1:3" x14ac:dyDescent="0.2">
      <c r="A5001" s="3" t="s">
        <v>1622</v>
      </c>
      <c r="B5001" s="3" t="s">
        <v>1625</v>
      </c>
      <c r="C5001" s="3" t="s">
        <v>53</v>
      </c>
    </row>
    <row r="5002" spans="1:3" x14ac:dyDescent="0.2">
      <c r="A5002" s="3" t="s">
        <v>1622</v>
      </c>
      <c r="B5002" s="3" t="s">
        <v>1601</v>
      </c>
      <c r="C5002" s="3" t="s">
        <v>54</v>
      </c>
    </row>
    <row r="5003" spans="1:3" x14ac:dyDescent="0.2">
      <c r="A5003" s="3" t="s">
        <v>1622</v>
      </c>
      <c r="B5003" s="3" t="s">
        <v>1602</v>
      </c>
      <c r="C5003" s="3" t="s">
        <v>54</v>
      </c>
    </row>
    <row r="5004" spans="1:3" x14ac:dyDescent="0.2">
      <c r="A5004" s="3" t="s">
        <v>1622</v>
      </c>
      <c r="B5004" s="3" t="s">
        <v>1623</v>
      </c>
      <c r="C5004" s="3" t="s">
        <v>54</v>
      </c>
    </row>
    <row r="5005" spans="1:3" x14ac:dyDescent="0.2">
      <c r="A5005" s="3" t="s">
        <v>1622</v>
      </c>
      <c r="B5005" s="3" t="s">
        <v>1624</v>
      </c>
      <c r="C5005" s="3" t="s">
        <v>54</v>
      </c>
    </row>
    <row r="5006" spans="1:3" x14ac:dyDescent="0.2">
      <c r="A5006" s="3" t="s">
        <v>1622</v>
      </c>
      <c r="B5006" s="3" t="s">
        <v>929</v>
      </c>
      <c r="C5006" s="3" t="s">
        <v>54</v>
      </c>
    </row>
    <row r="5007" spans="1:3" x14ac:dyDescent="0.2">
      <c r="A5007" s="3" t="s">
        <v>1622</v>
      </c>
      <c r="B5007" s="3" t="s">
        <v>930</v>
      </c>
      <c r="C5007" s="3" t="s">
        <v>54</v>
      </c>
    </row>
    <row r="5008" spans="1:3" x14ac:dyDescent="0.2">
      <c r="A5008" s="3" t="s">
        <v>1622</v>
      </c>
      <c r="B5008" s="3" t="s">
        <v>1625</v>
      </c>
      <c r="C5008" s="3" t="s">
        <v>54</v>
      </c>
    </row>
    <row r="5009" spans="1:3" x14ac:dyDescent="0.2">
      <c r="A5009" s="3" t="s">
        <v>1622</v>
      </c>
      <c r="B5009" s="3" t="s">
        <v>1626</v>
      </c>
      <c r="C5009" s="3" t="s">
        <v>54</v>
      </c>
    </row>
    <row r="5010" spans="1:3" x14ac:dyDescent="0.2">
      <c r="A5010" s="3" t="s">
        <v>1622</v>
      </c>
      <c r="B5010" s="3" t="s">
        <v>1601</v>
      </c>
      <c r="C5010" s="3" t="s">
        <v>55</v>
      </c>
    </row>
    <row r="5011" spans="1:3" x14ac:dyDescent="0.2">
      <c r="A5011" s="3" t="s">
        <v>1622</v>
      </c>
      <c r="B5011" s="3" t="s">
        <v>1602</v>
      </c>
      <c r="C5011" s="3" t="s">
        <v>55</v>
      </c>
    </row>
    <row r="5012" spans="1:3" x14ac:dyDescent="0.2">
      <c r="A5012" s="3" t="s">
        <v>1622</v>
      </c>
      <c r="B5012" s="3" t="s">
        <v>1623</v>
      </c>
      <c r="C5012" s="3" t="s">
        <v>55</v>
      </c>
    </row>
    <row r="5013" spans="1:3" x14ac:dyDescent="0.2">
      <c r="A5013" s="3" t="s">
        <v>1622</v>
      </c>
      <c r="B5013" s="3" t="s">
        <v>1624</v>
      </c>
      <c r="C5013" s="3" t="s">
        <v>55</v>
      </c>
    </row>
    <row r="5014" spans="1:3" x14ac:dyDescent="0.2">
      <c r="A5014" s="3" t="s">
        <v>1622</v>
      </c>
      <c r="B5014" s="3" t="s">
        <v>929</v>
      </c>
      <c r="C5014" s="3" t="s">
        <v>55</v>
      </c>
    </row>
    <row r="5015" spans="1:3" x14ac:dyDescent="0.2">
      <c r="A5015" s="3" t="s">
        <v>1622</v>
      </c>
      <c r="B5015" s="3" t="s">
        <v>930</v>
      </c>
      <c r="C5015" s="3" t="s">
        <v>55</v>
      </c>
    </row>
    <row r="5016" spans="1:3" x14ac:dyDescent="0.2">
      <c r="A5016" s="3" t="s">
        <v>1622</v>
      </c>
      <c r="B5016" s="3" t="s">
        <v>1625</v>
      </c>
      <c r="C5016" s="3" t="s">
        <v>55</v>
      </c>
    </row>
    <row r="5017" spans="1:3" x14ac:dyDescent="0.2">
      <c r="A5017" s="3" t="s">
        <v>1622</v>
      </c>
      <c r="B5017" s="3" t="s">
        <v>1601</v>
      </c>
      <c r="C5017" s="3" t="s">
        <v>56</v>
      </c>
    </row>
    <row r="5018" spans="1:3" x14ac:dyDescent="0.2">
      <c r="A5018" s="3" t="s">
        <v>1622</v>
      </c>
      <c r="B5018" s="3" t="s">
        <v>1602</v>
      </c>
      <c r="C5018" s="3" t="s">
        <v>56</v>
      </c>
    </row>
    <row r="5019" spans="1:3" x14ac:dyDescent="0.2">
      <c r="A5019" s="3" t="s">
        <v>1622</v>
      </c>
      <c r="B5019" s="3" t="s">
        <v>1623</v>
      </c>
      <c r="C5019" s="3" t="s">
        <v>56</v>
      </c>
    </row>
    <row r="5020" spans="1:3" x14ac:dyDescent="0.2">
      <c r="A5020" s="3" t="s">
        <v>1622</v>
      </c>
      <c r="B5020" s="3" t="s">
        <v>1624</v>
      </c>
      <c r="C5020" s="3" t="s">
        <v>56</v>
      </c>
    </row>
    <row r="5021" spans="1:3" x14ac:dyDescent="0.2">
      <c r="A5021" s="3" t="s">
        <v>1622</v>
      </c>
      <c r="B5021" s="3" t="s">
        <v>929</v>
      </c>
      <c r="C5021" s="3" t="s">
        <v>56</v>
      </c>
    </row>
    <row r="5022" spans="1:3" x14ac:dyDescent="0.2">
      <c r="A5022" s="3" t="s">
        <v>1622</v>
      </c>
      <c r="B5022" s="3" t="s">
        <v>930</v>
      </c>
      <c r="C5022" s="3" t="s">
        <v>56</v>
      </c>
    </row>
    <row r="5023" spans="1:3" x14ac:dyDescent="0.2">
      <c r="A5023" s="3" t="s">
        <v>1622</v>
      </c>
      <c r="B5023" s="3" t="s">
        <v>1625</v>
      </c>
      <c r="C5023" s="3" t="s">
        <v>56</v>
      </c>
    </row>
    <row r="5024" spans="1:3" x14ac:dyDescent="0.2">
      <c r="A5024" s="3" t="s">
        <v>1622</v>
      </c>
      <c r="B5024" s="3" t="s">
        <v>1627</v>
      </c>
      <c r="C5024" s="3" t="s">
        <v>56</v>
      </c>
    </row>
    <row r="5025" spans="1:3" x14ac:dyDescent="0.2">
      <c r="A5025" s="3" t="s">
        <v>1622</v>
      </c>
      <c r="B5025" s="3" t="s">
        <v>1601</v>
      </c>
      <c r="C5025" s="3" t="s">
        <v>57</v>
      </c>
    </row>
    <row r="5026" spans="1:3" x14ac:dyDescent="0.2">
      <c r="A5026" s="3" t="s">
        <v>1622</v>
      </c>
      <c r="B5026" s="3" t="s">
        <v>1602</v>
      </c>
      <c r="C5026" s="3" t="s">
        <v>57</v>
      </c>
    </row>
    <row r="5027" spans="1:3" x14ac:dyDescent="0.2">
      <c r="A5027" s="3" t="s">
        <v>1622</v>
      </c>
      <c r="B5027" s="3" t="s">
        <v>1623</v>
      </c>
      <c r="C5027" s="3" t="s">
        <v>57</v>
      </c>
    </row>
    <row r="5028" spans="1:3" x14ac:dyDescent="0.2">
      <c r="A5028" s="3" t="s">
        <v>1622</v>
      </c>
      <c r="B5028" s="3" t="s">
        <v>1624</v>
      </c>
      <c r="C5028" s="3" t="s">
        <v>57</v>
      </c>
    </row>
    <row r="5029" spans="1:3" x14ac:dyDescent="0.2">
      <c r="A5029" s="3" t="s">
        <v>1622</v>
      </c>
      <c r="B5029" s="3" t="s">
        <v>929</v>
      </c>
      <c r="C5029" s="3" t="s">
        <v>57</v>
      </c>
    </row>
    <row r="5030" spans="1:3" x14ac:dyDescent="0.2">
      <c r="A5030" s="3" t="s">
        <v>1622</v>
      </c>
      <c r="B5030" s="3" t="s">
        <v>930</v>
      </c>
      <c r="C5030" s="3" t="s">
        <v>57</v>
      </c>
    </row>
    <row r="5031" spans="1:3" x14ac:dyDescent="0.2">
      <c r="A5031" s="3" t="s">
        <v>1622</v>
      </c>
      <c r="B5031" s="3" t="s">
        <v>1625</v>
      </c>
      <c r="C5031" s="3" t="s">
        <v>57</v>
      </c>
    </row>
    <row r="5032" spans="1:3" x14ac:dyDescent="0.2">
      <c r="A5032" s="3" t="s">
        <v>1622</v>
      </c>
      <c r="B5032" s="3" t="s">
        <v>1628</v>
      </c>
      <c r="C5032" s="3" t="s">
        <v>57</v>
      </c>
    </row>
    <row r="5033" spans="1:3" x14ac:dyDescent="0.2">
      <c r="A5033" s="3" t="s">
        <v>1622</v>
      </c>
      <c r="B5033" s="3" t="s">
        <v>960</v>
      </c>
      <c r="C5033" s="3" t="s">
        <v>169</v>
      </c>
    </row>
    <row r="5034" spans="1:3" x14ac:dyDescent="0.2">
      <c r="A5034" s="3" t="s">
        <v>1629</v>
      </c>
      <c r="B5034" s="3" t="s">
        <v>1601</v>
      </c>
      <c r="C5034" s="3" t="s">
        <v>53</v>
      </c>
    </row>
    <row r="5035" spans="1:3" x14ac:dyDescent="0.2">
      <c r="A5035" s="3" t="s">
        <v>1629</v>
      </c>
      <c r="B5035" s="3" t="s">
        <v>1602</v>
      </c>
      <c r="C5035" s="3" t="s">
        <v>53</v>
      </c>
    </row>
    <row r="5036" spans="1:3" x14ac:dyDescent="0.2">
      <c r="A5036" s="3" t="s">
        <v>1629</v>
      </c>
      <c r="B5036" s="3" t="s">
        <v>1601</v>
      </c>
      <c r="C5036" s="3" t="s">
        <v>54</v>
      </c>
    </row>
    <row r="5037" spans="1:3" x14ac:dyDescent="0.2">
      <c r="A5037" s="3" t="s">
        <v>1629</v>
      </c>
      <c r="B5037" s="3" t="s">
        <v>1602</v>
      </c>
      <c r="C5037" s="3" t="s">
        <v>54</v>
      </c>
    </row>
    <row r="5038" spans="1:3" x14ac:dyDescent="0.2">
      <c r="A5038" s="3" t="s">
        <v>1629</v>
      </c>
      <c r="B5038" s="3" t="s">
        <v>1601</v>
      </c>
      <c r="C5038" s="3" t="s">
        <v>55</v>
      </c>
    </row>
    <row r="5039" spans="1:3" x14ac:dyDescent="0.2">
      <c r="A5039" s="3" t="s">
        <v>1629</v>
      </c>
      <c r="B5039" s="3" t="s">
        <v>1602</v>
      </c>
      <c r="C5039" s="3" t="s">
        <v>55</v>
      </c>
    </row>
    <row r="5040" spans="1:3" x14ac:dyDescent="0.2">
      <c r="A5040" s="3" t="s">
        <v>1629</v>
      </c>
      <c r="B5040" s="3" t="s">
        <v>1601</v>
      </c>
      <c r="C5040" s="3" t="s">
        <v>56</v>
      </c>
    </row>
    <row r="5041" spans="1:3" x14ac:dyDescent="0.2">
      <c r="A5041" s="3" t="s">
        <v>1629</v>
      </c>
      <c r="B5041" s="3" t="s">
        <v>1602</v>
      </c>
      <c r="C5041" s="3" t="s">
        <v>56</v>
      </c>
    </row>
    <row r="5042" spans="1:3" x14ac:dyDescent="0.2">
      <c r="A5042" s="3" t="s">
        <v>1629</v>
      </c>
      <c r="B5042" s="3" t="s">
        <v>1601</v>
      </c>
      <c r="C5042" s="3" t="s">
        <v>57</v>
      </c>
    </row>
    <row r="5043" spans="1:3" x14ac:dyDescent="0.2">
      <c r="A5043" s="3" t="s">
        <v>1629</v>
      </c>
      <c r="B5043" s="3" t="s">
        <v>1602</v>
      </c>
      <c r="C5043" s="3" t="s">
        <v>57</v>
      </c>
    </row>
    <row r="5044" spans="1:3" x14ac:dyDescent="0.2">
      <c r="A5044" s="3" t="s">
        <v>1629</v>
      </c>
      <c r="B5044" s="3" t="s">
        <v>942</v>
      </c>
      <c r="C5044" s="3" t="s">
        <v>22</v>
      </c>
    </row>
    <row r="5045" spans="1:3" x14ac:dyDescent="0.2">
      <c r="A5045" s="3" t="s">
        <v>1629</v>
      </c>
      <c r="B5045" s="3" t="s">
        <v>1607</v>
      </c>
      <c r="C5045" s="3" t="s">
        <v>22</v>
      </c>
    </row>
    <row r="5046" spans="1:3" x14ac:dyDescent="0.2">
      <c r="A5046" s="3" t="s">
        <v>1629</v>
      </c>
      <c r="B5046" s="3" t="s">
        <v>1608</v>
      </c>
      <c r="C5046" s="3" t="s">
        <v>22</v>
      </c>
    </row>
    <row r="5047" spans="1:3" x14ac:dyDescent="0.2">
      <c r="A5047" s="3" t="s">
        <v>1630</v>
      </c>
      <c r="B5047" s="3" t="s">
        <v>1559</v>
      </c>
      <c r="C5047" s="3" t="s">
        <v>22</v>
      </c>
    </row>
    <row r="5048" spans="1:3" x14ac:dyDescent="0.2">
      <c r="A5048" s="3" t="s">
        <v>1630</v>
      </c>
      <c r="B5048" s="3" t="s">
        <v>1560</v>
      </c>
      <c r="C5048" s="3" t="s">
        <v>22</v>
      </c>
    </row>
    <row r="5049" spans="1:3" x14ac:dyDescent="0.2">
      <c r="A5049" s="3" t="s">
        <v>1631</v>
      </c>
      <c r="B5049" s="3" t="s">
        <v>1601</v>
      </c>
      <c r="C5049" s="3" t="s">
        <v>53</v>
      </c>
    </row>
    <row r="5050" spans="1:3" x14ac:dyDescent="0.2">
      <c r="A5050" s="3" t="s">
        <v>1631</v>
      </c>
      <c r="B5050" s="3" t="s">
        <v>1602</v>
      </c>
      <c r="C5050" s="3" t="s">
        <v>53</v>
      </c>
    </row>
    <row r="5051" spans="1:3" x14ac:dyDescent="0.2">
      <c r="A5051" s="3" t="s">
        <v>1631</v>
      </c>
      <c r="B5051" s="3" t="s">
        <v>1632</v>
      </c>
      <c r="C5051" s="3" t="s">
        <v>53</v>
      </c>
    </row>
    <row r="5052" spans="1:3" x14ac:dyDescent="0.2">
      <c r="A5052" s="3" t="s">
        <v>1631</v>
      </c>
      <c r="B5052" s="3" t="s">
        <v>1633</v>
      </c>
      <c r="C5052" s="3" t="s">
        <v>53</v>
      </c>
    </row>
    <row r="5053" spans="1:3" x14ac:dyDescent="0.2">
      <c r="A5053" s="3" t="s">
        <v>1631</v>
      </c>
      <c r="B5053" s="3" t="s">
        <v>1634</v>
      </c>
      <c r="C5053" s="3" t="s">
        <v>53</v>
      </c>
    </row>
    <row r="5054" spans="1:3" x14ac:dyDescent="0.2">
      <c r="A5054" s="3" t="s">
        <v>1631</v>
      </c>
      <c r="B5054" s="3" t="s">
        <v>1635</v>
      </c>
      <c r="C5054" s="3" t="s">
        <v>53</v>
      </c>
    </row>
    <row r="5055" spans="1:3" x14ac:dyDescent="0.2">
      <c r="A5055" s="3" t="s">
        <v>1631</v>
      </c>
      <c r="B5055" s="3" t="s">
        <v>1636</v>
      </c>
      <c r="C5055" s="3" t="s">
        <v>53</v>
      </c>
    </row>
    <row r="5056" spans="1:3" x14ac:dyDescent="0.2">
      <c r="A5056" s="3" t="s">
        <v>1631</v>
      </c>
      <c r="B5056" s="3" t="s">
        <v>1637</v>
      </c>
      <c r="C5056" s="3" t="s">
        <v>53</v>
      </c>
    </row>
    <row r="5057" spans="1:3" x14ac:dyDescent="0.2">
      <c r="A5057" s="3" t="s">
        <v>1631</v>
      </c>
      <c r="B5057" s="3" t="s">
        <v>1601</v>
      </c>
      <c r="C5057" s="3" t="s">
        <v>54</v>
      </c>
    </row>
    <row r="5058" spans="1:3" x14ac:dyDescent="0.2">
      <c r="A5058" s="3" t="s">
        <v>1631</v>
      </c>
      <c r="B5058" s="3" t="s">
        <v>1602</v>
      </c>
      <c r="C5058" s="3" t="s">
        <v>54</v>
      </c>
    </row>
    <row r="5059" spans="1:3" x14ac:dyDescent="0.2">
      <c r="A5059" s="3" t="s">
        <v>1631</v>
      </c>
      <c r="B5059" s="3" t="s">
        <v>1632</v>
      </c>
      <c r="C5059" s="3" t="s">
        <v>54</v>
      </c>
    </row>
    <row r="5060" spans="1:3" x14ac:dyDescent="0.2">
      <c r="A5060" s="3" t="s">
        <v>1631</v>
      </c>
      <c r="B5060" s="3" t="s">
        <v>1633</v>
      </c>
      <c r="C5060" s="3" t="s">
        <v>54</v>
      </c>
    </row>
    <row r="5061" spans="1:3" x14ac:dyDescent="0.2">
      <c r="A5061" s="3" t="s">
        <v>1631</v>
      </c>
      <c r="B5061" s="3" t="s">
        <v>1634</v>
      </c>
      <c r="C5061" s="3" t="s">
        <v>54</v>
      </c>
    </row>
    <row r="5062" spans="1:3" x14ac:dyDescent="0.2">
      <c r="A5062" s="3" t="s">
        <v>1631</v>
      </c>
      <c r="B5062" s="3" t="s">
        <v>1635</v>
      </c>
      <c r="C5062" s="3" t="s">
        <v>54</v>
      </c>
    </row>
    <row r="5063" spans="1:3" x14ac:dyDescent="0.2">
      <c r="A5063" s="3" t="s">
        <v>1631</v>
      </c>
      <c r="B5063" s="3" t="s">
        <v>1636</v>
      </c>
      <c r="C5063" s="3" t="s">
        <v>54</v>
      </c>
    </row>
    <row r="5064" spans="1:3" x14ac:dyDescent="0.2">
      <c r="A5064" s="3" t="s">
        <v>1631</v>
      </c>
      <c r="B5064" s="3" t="s">
        <v>1637</v>
      </c>
      <c r="C5064" s="3" t="s">
        <v>54</v>
      </c>
    </row>
    <row r="5065" spans="1:3" x14ac:dyDescent="0.2">
      <c r="A5065" s="3" t="s">
        <v>1631</v>
      </c>
      <c r="B5065" s="3" t="s">
        <v>1601</v>
      </c>
      <c r="C5065" s="3" t="s">
        <v>55</v>
      </c>
    </row>
    <row r="5066" spans="1:3" x14ac:dyDescent="0.2">
      <c r="A5066" s="3" t="s">
        <v>1631</v>
      </c>
      <c r="B5066" s="3" t="s">
        <v>1602</v>
      </c>
      <c r="C5066" s="3" t="s">
        <v>55</v>
      </c>
    </row>
    <row r="5067" spans="1:3" x14ac:dyDescent="0.2">
      <c r="A5067" s="3" t="s">
        <v>1631</v>
      </c>
      <c r="B5067" s="3" t="s">
        <v>1632</v>
      </c>
      <c r="C5067" s="3" t="s">
        <v>55</v>
      </c>
    </row>
    <row r="5068" spans="1:3" x14ac:dyDescent="0.2">
      <c r="A5068" s="3" t="s">
        <v>1631</v>
      </c>
      <c r="B5068" s="3" t="s">
        <v>1633</v>
      </c>
      <c r="C5068" s="3" t="s">
        <v>55</v>
      </c>
    </row>
    <row r="5069" spans="1:3" x14ac:dyDescent="0.2">
      <c r="A5069" s="3" t="s">
        <v>1631</v>
      </c>
      <c r="B5069" s="3" t="s">
        <v>1634</v>
      </c>
      <c r="C5069" s="3" t="s">
        <v>55</v>
      </c>
    </row>
    <row r="5070" spans="1:3" x14ac:dyDescent="0.2">
      <c r="A5070" s="3" t="s">
        <v>1631</v>
      </c>
      <c r="B5070" s="3" t="s">
        <v>1635</v>
      </c>
      <c r="C5070" s="3" t="s">
        <v>55</v>
      </c>
    </row>
    <row r="5071" spans="1:3" x14ac:dyDescent="0.2">
      <c r="A5071" s="3" t="s">
        <v>1631</v>
      </c>
      <c r="B5071" s="3" t="s">
        <v>1636</v>
      </c>
      <c r="C5071" s="3" t="s">
        <v>55</v>
      </c>
    </row>
    <row r="5072" spans="1:3" x14ac:dyDescent="0.2">
      <c r="A5072" s="3" t="s">
        <v>1631</v>
      </c>
      <c r="B5072" s="3" t="s">
        <v>1637</v>
      </c>
      <c r="C5072" s="3" t="s">
        <v>55</v>
      </c>
    </row>
    <row r="5073" spans="1:3" x14ac:dyDescent="0.2">
      <c r="A5073" s="3" t="s">
        <v>1631</v>
      </c>
      <c r="B5073" s="3" t="s">
        <v>1601</v>
      </c>
      <c r="C5073" s="3" t="s">
        <v>56</v>
      </c>
    </row>
    <row r="5074" spans="1:3" x14ac:dyDescent="0.2">
      <c r="A5074" s="3" t="s">
        <v>1631</v>
      </c>
      <c r="B5074" s="3" t="s">
        <v>1602</v>
      </c>
      <c r="C5074" s="3" t="s">
        <v>56</v>
      </c>
    </row>
    <row r="5075" spans="1:3" x14ac:dyDescent="0.2">
      <c r="A5075" s="3" t="s">
        <v>1631</v>
      </c>
      <c r="B5075" s="3" t="s">
        <v>1632</v>
      </c>
      <c r="C5075" s="3" t="s">
        <v>56</v>
      </c>
    </row>
    <row r="5076" spans="1:3" x14ac:dyDescent="0.2">
      <c r="A5076" s="3" t="s">
        <v>1631</v>
      </c>
      <c r="B5076" s="3" t="s">
        <v>1633</v>
      </c>
      <c r="C5076" s="3" t="s">
        <v>56</v>
      </c>
    </row>
    <row r="5077" spans="1:3" x14ac:dyDescent="0.2">
      <c r="A5077" s="3" t="s">
        <v>1631</v>
      </c>
      <c r="B5077" s="3" t="s">
        <v>1634</v>
      </c>
      <c r="C5077" s="3" t="s">
        <v>56</v>
      </c>
    </row>
    <row r="5078" spans="1:3" x14ac:dyDescent="0.2">
      <c r="A5078" s="3" t="s">
        <v>1631</v>
      </c>
      <c r="B5078" s="3" t="s">
        <v>1635</v>
      </c>
      <c r="C5078" s="3" t="s">
        <v>56</v>
      </c>
    </row>
    <row r="5079" spans="1:3" x14ac:dyDescent="0.2">
      <c r="A5079" s="3" t="s">
        <v>1631</v>
      </c>
      <c r="B5079" s="3" t="s">
        <v>1636</v>
      </c>
      <c r="C5079" s="3" t="s">
        <v>56</v>
      </c>
    </row>
    <row r="5080" spans="1:3" x14ac:dyDescent="0.2">
      <c r="A5080" s="3" t="s">
        <v>1631</v>
      </c>
      <c r="B5080" s="3" t="s">
        <v>1637</v>
      </c>
      <c r="C5080" s="3" t="s">
        <v>56</v>
      </c>
    </row>
    <row r="5081" spans="1:3" x14ac:dyDescent="0.2">
      <c r="A5081" s="3" t="s">
        <v>1631</v>
      </c>
      <c r="B5081" s="3" t="s">
        <v>1601</v>
      </c>
      <c r="C5081" s="3" t="s">
        <v>57</v>
      </c>
    </row>
    <row r="5082" spans="1:3" x14ac:dyDescent="0.2">
      <c r="A5082" s="3" t="s">
        <v>1631</v>
      </c>
      <c r="B5082" s="3" t="s">
        <v>1602</v>
      </c>
      <c r="C5082" s="3" t="s">
        <v>57</v>
      </c>
    </row>
    <row r="5083" spans="1:3" x14ac:dyDescent="0.2">
      <c r="A5083" s="3" t="s">
        <v>1631</v>
      </c>
      <c r="B5083" s="3" t="s">
        <v>1632</v>
      </c>
      <c r="C5083" s="3" t="s">
        <v>57</v>
      </c>
    </row>
    <row r="5084" spans="1:3" x14ac:dyDescent="0.2">
      <c r="A5084" s="3" t="s">
        <v>1631</v>
      </c>
      <c r="B5084" s="3" t="s">
        <v>1633</v>
      </c>
      <c r="C5084" s="3" t="s">
        <v>57</v>
      </c>
    </row>
    <row r="5085" spans="1:3" x14ac:dyDescent="0.2">
      <c r="A5085" s="3" t="s">
        <v>1631</v>
      </c>
      <c r="B5085" s="3" t="s">
        <v>1634</v>
      </c>
      <c r="C5085" s="3" t="s">
        <v>57</v>
      </c>
    </row>
    <row r="5086" spans="1:3" x14ac:dyDescent="0.2">
      <c r="A5086" s="3" t="s">
        <v>1631</v>
      </c>
      <c r="B5086" s="3" t="s">
        <v>1635</v>
      </c>
      <c r="C5086" s="3" t="s">
        <v>57</v>
      </c>
    </row>
    <row r="5087" spans="1:3" x14ac:dyDescent="0.2">
      <c r="A5087" s="3" t="s">
        <v>1631</v>
      </c>
      <c r="B5087" s="3" t="s">
        <v>1636</v>
      </c>
      <c r="C5087" s="3" t="s">
        <v>57</v>
      </c>
    </row>
    <row r="5088" spans="1:3" x14ac:dyDescent="0.2">
      <c r="A5088" s="3" t="s">
        <v>1631</v>
      </c>
      <c r="B5088" s="3" t="s">
        <v>1637</v>
      </c>
      <c r="C5088" s="3" t="s">
        <v>57</v>
      </c>
    </row>
    <row r="5089" spans="1:3" x14ac:dyDescent="0.2">
      <c r="A5089" s="3" t="s">
        <v>1631</v>
      </c>
      <c r="B5089" s="3" t="s">
        <v>960</v>
      </c>
      <c r="C5089" s="3" t="s">
        <v>169</v>
      </c>
    </row>
    <row r="5090" spans="1:3" x14ac:dyDescent="0.2">
      <c r="A5090" s="3" t="s">
        <v>1638</v>
      </c>
      <c r="B5090" s="3" t="s">
        <v>1639</v>
      </c>
      <c r="C5090" s="3" t="s">
        <v>53</v>
      </c>
    </row>
    <row r="5091" spans="1:3" x14ac:dyDescent="0.2">
      <c r="A5091" s="3" t="s">
        <v>1638</v>
      </c>
      <c r="B5091" s="3" t="s">
        <v>779</v>
      </c>
      <c r="C5091" s="3" t="s">
        <v>53</v>
      </c>
    </row>
    <row r="5092" spans="1:3" x14ac:dyDescent="0.2">
      <c r="A5092" s="3" t="s">
        <v>1638</v>
      </c>
      <c r="B5092" s="3" t="s">
        <v>1639</v>
      </c>
      <c r="C5092" s="3" t="s">
        <v>54</v>
      </c>
    </row>
    <row r="5093" spans="1:3" x14ac:dyDescent="0.2">
      <c r="A5093" s="3" t="s">
        <v>1638</v>
      </c>
      <c r="B5093" s="3" t="s">
        <v>779</v>
      </c>
      <c r="C5093" s="3" t="s">
        <v>54</v>
      </c>
    </row>
    <row r="5094" spans="1:3" x14ac:dyDescent="0.2">
      <c r="A5094" s="3" t="s">
        <v>1638</v>
      </c>
      <c r="B5094" s="3" t="s">
        <v>1639</v>
      </c>
      <c r="C5094" s="3" t="s">
        <v>55</v>
      </c>
    </row>
    <row r="5095" spans="1:3" x14ac:dyDescent="0.2">
      <c r="A5095" s="3" t="s">
        <v>1638</v>
      </c>
      <c r="B5095" s="3" t="s">
        <v>779</v>
      </c>
      <c r="C5095" s="3" t="s">
        <v>55</v>
      </c>
    </row>
    <row r="5096" spans="1:3" x14ac:dyDescent="0.2">
      <c r="A5096" s="3" t="s">
        <v>1638</v>
      </c>
      <c r="B5096" s="3" t="s">
        <v>1639</v>
      </c>
      <c r="C5096" s="3" t="s">
        <v>56</v>
      </c>
    </row>
    <row r="5097" spans="1:3" x14ac:dyDescent="0.2">
      <c r="A5097" s="3" t="s">
        <v>1638</v>
      </c>
      <c r="B5097" s="3" t="s">
        <v>779</v>
      </c>
      <c r="C5097" s="3" t="s">
        <v>56</v>
      </c>
    </row>
    <row r="5098" spans="1:3" x14ac:dyDescent="0.2">
      <c r="A5098" s="3" t="s">
        <v>1638</v>
      </c>
      <c r="B5098" s="3" t="s">
        <v>1639</v>
      </c>
      <c r="C5098" s="3" t="s">
        <v>57</v>
      </c>
    </row>
    <row r="5099" spans="1:3" x14ac:dyDescent="0.2">
      <c r="A5099" s="3" t="s">
        <v>1638</v>
      </c>
      <c r="B5099" s="3" t="s">
        <v>779</v>
      </c>
      <c r="C5099" s="3" t="s">
        <v>57</v>
      </c>
    </row>
    <row r="5100" spans="1:3" x14ac:dyDescent="0.2">
      <c r="A5100" s="3" t="s">
        <v>1638</v>
      </c>
      <c r="B5100" s="3" t="s">
        <v>810</v>
      </c>
      <c r="C5100" s="3" t="s">
        <v>169</v>
      </c>
    </row>
    <row r="5101" spans="1:3" x14ac:dyDescent="0.2">
      <c r="A5101" s="3" t="s">
        <v>1638</v>
      </c>
      <c r="B5101" s="3" t="s">
        <v>811</v>
      </c>
      <c r="C5101" s="3" t="s">
        <v>169</v>
      </c>
    </row>
    <row r="5102" spans="1:3" x14ac:dyDescent="0.2">
      <c r="A5102" s="3" t="s">
        <v>1640</v>
      </c>
      <c r="B5102" s="3" t="s">
        <v>1641</v>
      </c>
      <c r="C5102" s="3" t="s">
        <v>53</v>
      </c>
    </row>
    <row r="5103" spans="1:3" x14ac:dyDescent="0.2">
      <c r="A5103" s="3" t="s">
        <v>1640</v>
      </c>
      <c r="B5103" s="3" t="s">
        <v>1642</v>
      </c>
      <c r="C5103" s="3" t="s">
        <v>53</v>
      </c>
    </row>
    <row r="5104" spans="1:3" x14ac:dyDescent="0.2">
      <c r="A5104" s="3" t="s">
        <v>1640</v>
      </c>
      <c r="B5104" s="3" t="s">
        <v>1643</v>
      </c>
      <c r="C5104" s="3" t="s">
        <v>53</v>
      </c>
    </row>
    <row r="5105" spans="1:3" x14ac:dyDescent="0.2">
      <c r="A5105" s="3" t="s">
        <v>1640</v>
      </c>
      <c r="B5105" s="3" t="s">
        <v>1641</v>
      </c>
      <c r="C5105" s="3" t="s">
        <v>54</v>
      </c>
    </row>
    <row r="5106" spans="1:3" x14ac:dyDescent="0.2">
      <c r="A5106" s="3" t="s">
        <v>1640</v>
      </c>
      <c r="B5106" s="3" t="s">
        <v>1642</v>
      </c>
      <c r="C5106" s="3" t="s">
        <v>54</v>
      </c>
    </row>
    <row r="5107" spans="1:3" x14ac:dyDescent="0.2">
      <c r="A5107" s="3" t="s">
        <v>1640</v>
      </c>
      <c r="B5107" s="3" t="s">
        <v>1643</v>
      </c>
      <c r="C5107" s="3" t="s">
        <v>54</v>
      </c>
    </row>
    <row r="5108" spans="1:3" x14ac:dyDescent="0.2">
      <c r="A5108" s="3" t="s">
        <v>1640</v>
      </c>
      <c r="B5108" s="3" t="s">
        <v>1641</v>
      </c>
      <c r="C5108" s="3" t="s">
        <v>55</v>
      </c>
    </row>
    <row r="5109" spans="1:3" x14ac:dyDescent="0.2">
      <c r="A5109" s="3" t="s">
        <v>1640</v>
      </c>
      <c r="B5109" s="3" t="s">
        <v>1642</v>
      </c>
      <c r="C5109" s="3" t="s">
        <v>55</v>
      </c>
    </row>
    <row r="5110" spans="1:3" x14ac:dyDescent="0.2">
      <c r="A5110" s="3" t="s">
        <v>1640</v>
      </c>
      <c r="B5110" s="3" t="s">
        <v>1643</v>
      </c>
      <c r="C5110" s="3" t="s">
        <v>55</v>
      </c>
    </row>
    <row r="5111" spans="1:3" x14ac:dyDescent="0.2">
      <c r="A5111" s="3" t="s">
        <v>1640</v>
      </c>
      <c r="B5111" s="3" t="s">
        <v>1641</v>
      </c>
      <c r="C5111" s="3" t="s">
        <v>56</v>
      </c>
    </row>
    <row r="5112" spans="1:3" x14ac:dyDescent="0.2">
      <c r="A5112" s="3" t="s">
        <v>1640</v>
      </c>
      <c r="B5112" s="3" t="s">
        <v>1642</v>
      </c>
      <c r="C5112" s="3" t="s">
        <v>56</v>
      </c>
    </row>
    <row r="5113" spans="1:3" x14ac:dyDescent="0.2">
      <c r="A5113" s="3" t="s">
        <v>1640</v>
      </c>
      <c r="B5113" s="3" t="s">
        <v>1643</v>
      </c>
      <c r="C5113" s="3" t="s">
        <v>56</v>
      </c>
    </row>
    <row r="5114" spans="1:3" x14ac:dyDescent="0.2">
      <c r="A5114" s="3" t="s">
        <v>1640</v>
      </c>
      <c r="B5114" s="3" t="s">
        <v>1641</v>
      </c>
      <c r="C5114" s="3" t="s">
        <v>57</v>
      </c>
    </row>
    <row r="5115" spans="1:3" x14ac:dyDescent="0.2">
      <c r="A5115" s="3" t="s">
        <v>1640</v>
      </c>
      <c r="B5115" s="3" t="s">
        <v>1642</v>
      </c>
      <c r="C5115" s="3" t="s">
        <v>57</v>
      </c>
    </row>
    <row r="5116" spans="1:3" x14ac:dyDescent="0.2">
      <c r="A5116" s="3" t="s">
        <v>1640</v>
      </c>
      <c r="B5116" s="3" t="s">
        <v>1643</v>
      </c>
      <c r="C5116" s="3" t="s">
        <v>57</v>
      </c>
    </row>
    <row r="5117" spans="1:3" x14ac:dyDescent="0.2">
      <c r="A5117" s="3" t="s">
        <v>1640</v>
      </c>
      <c r="B5117" s="3" t="s">
        <v>1644</v>
      </c>
      <c r="C5117" s="3" t="s">
        <v>22</v>
      </c>
    </row>
    <row r="5118" spans="1:3" x14ac:dyDescent="0.2">
      <c r="A5118" s="3" t="s">
        <v>1645</v>
      </c>
      <c r="B5118" s="3" t="s">
        <v>1646</v>
      </c>
      <c r="C5118" s="3" t="s">
        <v>53</v>
      </c>
    </row>
    <row r="5119" spans="1:3" x14ac:dyDescent="0.2">
      <c r="A5119" s="3" t="s">
        <v>1645</v>
      </c>
      <c r="B5119" s="3" t="s">
        <v>1646</v>
      </c>
      <c r="C5119" s="3" t="s">
        <v>54</v>
      </c>
    </row>
    <row r="5120" spans="1:3" x14ac:dyDescent="0.2">
      <c r="A5120" s="3" t="s">
        <v>1645</v>
      </c>
      <c r="B5120" s="3" t="s">
        <v>1646</v>
      </c>
      <c r="C5120" s="3" t="s">
        <v>55</v>
      </c>
    </row>
    <row r="5121" spans="1:3" x14ac:dyDescent="0.2">
      <c r="A5121" s="3" t="s">
        <v>1645</v>
      </c>
      <c r="B5121" s="3" t="s">
        <v>1646</v>
      </c>
      <c r="C5121" s="3" t="s">
        <v>56</v>
      </c>
    </row>
    <row r="5122" spans="1:3" x14ac:dyDescent="0.2">
      <c r="A5122" s="3" t="s">
        <v>1645</v>
      </c>
      <c r="B5122" s="3" t="s">
        <v>1646</v>
      </c>
      <c r="C5122" s="3" t="s">
        <v>57</v>
      </c>
    </row>
    <row r="5123" spans="1:3" x14ac:dyDescent="0.2">
      <c r="A5123" s="3" t="s">
        <v>1645</v>
      </c>
      <c r="B5123" s="3" t="s">
        <v>1647</v>
      </c>
      <c r="C5123" s="3" t="s">
        <v>22</v>
      </c>
    </row>
    <row r="5124" spans="1:3" x14ac:dyDescent="0.2">
      <c r="A5124" s="3" t="s">
        <v>1645</v>
      </c>
      <c r="B5124" s="3" t="s">
        <v>1648</v>
      </c>
      <c r="C5124" s="3" t="s">
        <v>22</v>
      </c>
    </row>
    <row r="5125" spans="1:3" x14ac:dyDescent="0.2">
      <c r="A5125" s="3" t="s">
        <v>1649</v>
      </c>
      <c r="B5125" s="3" t="s">
        <v>1650</v>
      </c>
      <c r="C5125" s="3" t="s">
        <v>53</v>
      </c>
    </row>
    <row r="5126" spans="1:3" x14ac:dyDescent="0.2">
      <c r="A5126" s="3" t="s">
        <v>1649</v>
      </c>
      <c r="B5126" s="3" t="s">
        <v>1651</v>
      </c>
      <c r="C5126" s="3" t="s">
        <v>53</v>
      </c>
    </row>
    <row r="5127" spans="1:3" x14ac:dyDescent="0.2">
      <c r="A5127" s="3" t="s">
        <v>1649</v>
      </c>
      <c r="B5127" s="3" t="s">
        <v>1652</v>
      </c>
      <c r="C5127" s="3" t="s">
        <v>53</v>
      </c>
    </row>
    <row r="5128" spans="1:3" x14ac:dyDescent="0.2">
      <c r="A5128" s="3" t="s">
        <v>1649</v>
      </c>
      <c r="B5128" s="3" t="s">
        <v>1653</v>
      </c>
      <c r="C5128" s="3" t="s">
        <v>53</v>
      </c>
    </row>
    <row r="5129" spans="1:3" x14ac:dyDescent="0.2">
      <c r="A5129" s="3" t="s">
        <v>1649</v>
      </c>
      <c r="B5129" s="3" t="s">
        <v>779</v>
      </c>
      <c r="C5129" s="3" t="s">
        <v>53</v>
      </c>
    </row>
    <row r="5130" spans="1:3" x14ac:dyDescent="0.2">
      <c r="A5130" s="3" t="s">
        <v>1649</v>
      </c>
      <c r="B5130" s="3" t="s">
        <v>1650</v>
      </c>
      <c r="C5130" s="3" t="s">
        <v>54</v>
      </c>
    </row>
    <row r="5131" spans="1:3" x14ac:dyDescent="0.2">
      <c r="A5131" s="3" t="s">
        <v>1649</v>
      </c>
      <c r="B5131" s="3" t="s">
        <v>1651</v>
      </c>
      <c r="C5131" s="3" t="s">
        <v>54</v>
      </c>
    </row>
    <row r="5132" spans="1:3" x14ac:dyDescent="0.2">
      <c r="A5132" s="3" t="s">
        <v>1649</v>
      </c>
      <c r="B5132" s="3" t="s">
        <v>1652</v>
      </c>
      <c r="C5132" s="3" t="s">
        <v>54</v>
      </c>
    </row>
    <row r="5133" spans="1:3" x14ac:dyDescent="0.2">
      <c r="A5133" s="3" t="s">
        <v>1649</v>
      </c>
      <c r="B5133" s="3" t="s">
        <v>1653</v>
      </c>
      <c r="C5133" s="3" t="s">
        <v>54</v>
      </c>
    </row>
    <row r="5134" spans="1:3" x14ac:dyDescent="0.2">
      <c r="A5134" s="3" t="s">
        <v>1649</v>
      </c>
      <c r="B5134" s="3" t="s">
        <v>779</v>
      </c>
      <c r="C5134" s="3" t="s">
        <v>54</v>
      </c>
    </row>
    <row r="5135" spans="1:3" x14ac:dyDescent="0.2">
      <c r="A5135" s="3" t="s">
        <v>1649</v>
      </c>
      <c r="B5135" s="3" t="s">
        <v>1650</v>
      </c>
      <c r="C5135" s="3" t="s">
        <v>55</v>
      </c>
    </row>
    <row r="5136" spans="1:3" x14ac:dyDescent="0.2">
      <c r="A5136" s="3" t="s">
        <v>1649</v>
      </c>
      <c r="B5136" s="3" t="s">
        <v>1651</v>
      </c>
      <c r="C5136" s="3" t="s">
        <v>55</v>
      </c>
    </row>
    <row r="5137" spans="1:3" x14ac:dyDescent="0.2">
      <c r="A5137" s="3" t="s">
        <v>1649</v>
      </c>
      <c r="B5137" s="3" t="s">
        <v>1652</v>
      </c>
      <c r="C5137" s="3" t="s">
        <v>55</v>
      </c>
    </row>
    <row r="5138" spans="1:3" x14ac:dyDescent="0.2">
      <c r="A5138" s="3" t="s">
        <v>1649</v>
      </c>
      <c r="B5138" s="3" t="s">
        <v>1653</v>
      </c>
      <c r="C5138" s="3" t="s">
        <v>55</v>
      </c>
    </row>
    <row r="5139" spans="1:3" x14ac:dyDescent="0.2">
      <c r="A5139" s="3" t="s">
        <v>1649</v>
      </c>
      <c r="B5139" s="3" t="s">
        <v>779</v>
      </c>
      <c r="C5139" s="3" t="s">
        <v>55</v>
      </c>
    </row>
    <row r="5140" spans="1:3" x14ac:dyDescent="0.2">
      <c r="A5140" s="3" t="s">
        <v>1649</v>
      </c>
      <c r="B5140" s="3" t="s">
        <v>1650</v>
      </c>
      <c r="C5140" s="3" t="s">
        <v>56</v>
      </c>
    </row>
    <row r="5141" spans="1:3" x14ac:dyDescent="0.2">
      <c r="A5141" s="3" t="s">
        <v>1649</v>
      </c>
      <c r="B5141" s="3" t="s">
        <v>1651</v>
      </c>
      <c r="C5141" s="3" t="s">
        <v>56</v>
      </c>
    </row>
    <row r="5142" spans="1:3" x14ac:dyDescent="0.2">
      <c r="A5142" s="3" t="s">
        <v>1649</v>
      </c>
      <c r="B5142" s="3" t="s">
        <v>1652</v>
      </c>
      <c r="C5142" s="3" t="s">
        <v>56</v>
      </c>
    </row>
    <row r="5143" spans="1:3" x14ac:dyDescent="0.2">
      <c r="A5143" s="3" t="s">
        <v>1649</v>
      </c>
      <c r="B5143" s="3" t="s">
        <v>1653</v>
      </c>
      <c r="C5143" s="3" t="s">
        <v>56</v>
      </c>
    </row>
    <row r="5144" spans="1:3" x14ac:dyDescent="0.2">
      <c r="A5144" s="3" t="s">
        <v>1649</v>
      </c>
      <c r="B5144" s="3" t="s">
        <v>779</v>
      </c>
      <c r="C5144" s="3" t="s">
        <v>56</v>
      </c>
    </row>
    <row r="5145" spans="1:3" x14ac:dyDescent="0.2">
      <c r="A5145" s="3" t="s">
        <v>1649</v>
      </c>
      <c r="B5145" s="3" t="s">
        <v>1650</v>
      </c>
      <c r="C5145" s="3" t="s">
        <v>57</v>
      </c>
    </row>
    <row r="5146" spans="1:3" x14ac:dyDescent="0.2">
      <c r="A5146" s="3" t="s">
        <v>1649</v>
      </c>
      <c r="B5146" s="3" t="s">
        <v>1651</v>
      </c>
      <c r="C5146" s="3" t="s">
        <v>57</v>
      </c>
    </row>
    <row r="5147" spans="1:3" x14ac:dyDescent="0.2">
      <c r="A5147" s="3" t="s">
        <v>1649</v>
      </c>
      <c r="B5147" s="3" t="s">
        <v>1652</v>
      </c>
      <c r="C5147" s="3" t="s">
        <v>57</v>
      </c>
    </row>
    <row r="5148" spans="1:3" x14ac:dyDescent="0.2">
      <c r="A5148" s="3" t="s">
        <v>1649</v>
      </c>
      <c r="B5148" s="3" t="s">
        <v>1653</v>
      </c>
      <c r="C5148" s="3" t="s">
        <v>57</v>
      </c>
    </row>
    <row r="5149" spans="1:3" x14ac:dyDescent="0.2">
      <c r="A5149" s="3" t="s">
        <v>1649</v>
      </c>
      <c r="B5149" s="3" t="s">
        <v>779</v>
      </c>
      <c r="C5149" s="3" t="s">
        <v>57</v>
      </c>
    </row>
    <row r="5150" spans="1:3" x14ac:dyDescent="0.2">
      <c r="A5150" s="3" t="s">
        <v>1649</v>
      </c>
      <c r="B5150" s="3" t="s">
        <v>810</v>
      </c>
      <c r="C5150" s="3" t="s">
        <v>169</v>
      </c>
    </row>
    <row r="5151" spans="1:3" x14ac:dyDescent="0.2">
      <c r="A5151" s="3" t="s">
        <v>1649</v>
      </c>
      <c r="B5151" s="3" t="s">
        <v>811</v>
      </c>
      <c r="C5151" s="3" t="s">
        <v>169</v>
      </c>
    </row>
    <row r="5152" spans="1:3" x14ac:dyDescent="0.2">
      <c r="A5152" s="3" t="s">
        <v>1649</v>
      </c>
      <c r="B5152" s="3" t="s">
        <v>1654</v>
      </c>
      <c r="C5152" s="3" t="s">
        <v>22</v>
      </c>
    </row>
    <row r="5153" spans="1:3" x14ac:dyDescent="0.2">
      <c r="A5153" s="3" t="s">
        <v>1655</v>
      </c>
      <c r="B5153" s="3" t="s">
        <v>1656</v>
      </c>
      <c r="C5153" s="3" t="s">
        <v>53</v>
      </c>
    </row>
    <row r="5154" spans="1:3" x14ac:dyDescent="0.2">
      <c r="A5154" s="3" t="s">
        <v>1655</v>
      </c>
      <c r="B5154" s="3" t="s">
        <v>1657</v>
      </c>
      <c r="C5154" s="3" t="s">
        <v>53</v>
      </c>
    </row>
    <row r="5155" spans="1:3" x14ac:dyDescent="0.2">
      <c r="A5155" s="3" t="s">
        <v>1655</v>
      </c>
      <c r="B5155" s="3" t="s">
        <v>1658</v>
      </c>
      <c r="C5155" s="3" t="s">
        <v>53</v>
      </c>
    </row>
    <row r="5156" spans="1:3" x14ac:dyDescent="0.2">
      <c r="A5156" s="3" t="s">
        <v>1655</v>
      </c>
      <c r="B5156" s="3" t="s">
        <v>1656</v>
      </c>
      <c r="C5156" s="3" t="s">
        <v>54</v>
      </c>
    </row>
    <row r="5157" spans="1:3" x14ac:dyDescent="0.2">
      <c r="A5157" s="3" t="s">
        <v>1655</v>
      </c>
      <c r="B5157" s="3" t="s">
        <v>1657</v>
      </c>
      <c r="C5157" s="3" t="s">
        <v>54</v>
      </c>
    </row>
    <row r="5158" spans="1:3" x14ac:dyDescent="0.2">
      <c r="A5158" s="3" t="s">
        <v>1655</v>
      </c>
      <c r="B5158" s="3" t="s">
        <v>1658</v>
      </c>
      <c r="C5158" s="3" t="s">
        <v>54</v>
      </c>
    </row>
    <row r="5159" spans="1:3" x14ac:dyDescent="0.2">
      <c r="A5159" s="3" t="s">
        <v>1655</v>
      </c>
      <c r="B5159" s="3" t="s">
        <v>1656</v>
      </c>
      <c r="C5159" s="3" t="s">
        <v>55</v>
      </c>
    </row>
    <row r="5160" spans="1:3" x14ac:dyDescent="0.2">
      <c r="A5160" s="3" t="s">
        <v>1655</v>
      </c>
      <c r="B5160" s="3" t="s">
        <v>1657</v>
      </c>
      <c r="C5160" s="3" t="s">
        <v>55</v>
      </c>
    </row>
    <row r="5161" spans="1:3" x14ac:dyDescent="0.2">
      <c r="A5161" s="3" t="s">
        <v>1655</v>
      </c>
      <c r="B5161" s="3" t="s">
        <v>1658</v>
      </c>
      <c r="C5161" s="3" t="s">
        <v>55</v>
      </c>
    </row>
    <row r="5162" spans="1:3" x14ac:dyDescent="0.2">
      <c r="A5162" s="3" t="s">
        <v>1655</v>
      </c>
      <c r="B5162" s="3" t="s">
        <v>1656</v>
      </c>
      <c r="C5162" s="3" t="s">
        <v>56</v>
      </c>
    </row>
    <row r="5163" spans="1:3" x14ac:dyDescent="0.2">
      <c r="A5163" s="3" t="s">
        <v>1655</v>
      </c>
      <c r="B5163" s="3" t="s">
        <v>1657</v>
      </c>
      <c r="C5163" s="3" t="s">
        <v>56</v>
      </c>
    </row>
    <row r="5164" spans="1:3" x14ac:dyDescent="0.2">
      <c r="A5164" s="3" t="s">
        <v>1655</v>
      </c>
      <c r="B5164" s="3" t="s">
        <v>1658</v>
      </c>
      <c r="C5164" s="3" t="s">
        <v>56</v>
      </c>
    </row>
    <row r="5165" spans="1:3" x14ac:dyDescent="0.2">
      <c r="A5165" s="3" t="s">
        <v>1655</v>
      </c>
      <c r="B5165" s="3" t="s">
        <v>1656</v>
      </c>
      <c r="C5165" s="3" t="s">
        <v>57</v>
      </c>
    </row>
    <row r="5166" spans="1:3" x14ac:dyDescent="0.2">
      <c r="A5166" s="3" t="s">
        <v>1655</v>
      </c>
      <c r="B5166" s="3" t="s">
        <v>1657</v>
      </c>
      <c r="C5166" s="3" t="s">
        <v>57</v>
      </c>
    </row>
    <row r="5167" spans="1:3" x14ac:dyDescent="0.2">
      <c r="A5167" s="3" t="s">
        <v>1655</v>
      </c>
      <c r="B5167" s="3" t="s">
        <v>1658</v>
      </c>
      <c r="C5167" s="3" t="s">
        <v>57</v>
      </c>
    </row>
    <row r="5168" spans="1:3" x14ac:dyDescent="0.2">
      <c r="A5168" s="3" t="s">
        <v>1655</v>
      </c>
      <c r="B5168" s="3" t="s">
        <v>1659</v>
      </c>
      <c r="C5168" s="3" t="s">
        <v>22</v>
      </c>
    </row>
    <row r="5169" spans="1:3" x14ac:dyDescent="0.2">
      <c r="A5169" s="3" t="s">
        <v>1660</v>
      </c>
      <c r="B5169" s="3" t="s">
        <v>1661</v>
      </c>
      <c r="C5169" s="3" t="s">
        <v>53</v>
      </c>
    </row>
    <row r="5170" spans="1:3" x14ac:dyDescent="0.2">
      <c r="A5170" s="3" t="s">
        <v>1660</v>
      </c>
      <c r="B5170" s="3" t="s">
        <v>1662</v>
      </c>
      <c r="C5170" s="3" t="s">
        <v>53</v>
      </c>
    </row>
    <row r="5171" spans="1:3" x14ac:dyDescent="0.2">
      <c r="A5171" s="3" t="s">
        <v>1660</v>
      </c>
      <c r="B5171" s="3" t="s">
        <v>1663</v>
      </c>
      <c r="C5171" s="3" t="s">
        <v>53</v>
      </c>
    </row>
    <row r="5172" spans="1:3" x14ac:dyDescent="0.2">
      <c r="A5172" s="3" t="s">
        <v>1660</v>
      </c>
      <c r="B5172" s="3" t="s">
        <v>1664</v>
      </c>
      <c r="C5172" s="3" t="s">
        <v>53</v>
      </c>
    </row>
    <row r="5173" spans="1:3" x14ac:dyDescent="0.2">
      <c r="A5173" s="3" t="s">
        <v>1660</v>
      </c>
      <c r="B5173" s="3" t="s">
        <v>1665</v>
      </c>
      <c r="C5173" s="3" t="s">
        <v>53</v>
      </c>
    </row>
    <row r="5174" spans="1:3" x14ac:dyDescent="0.2">
      <c r="A5174" s="3" t="s">
        <v>1660</v>
      </c>
      <c r="B5174" s="3" t="s">
        <v>1661</v>
      </c>
      <c r="C5174" s="3" t="s">
        <v>54</v>
      </c>
    </row>
    <row r="5175" spans="1:3" x14ac:dyDescent="0.2">
      <c r="A5175" s="3" t="s">
        <v>1660</v>
      </c>
      <c r="B5175" s="3" t="s">
        <v>1662</v>
      </c>
      <c r="C5175" s="3" t="s">
        <v>54</v>
      </c>
    </row>
    <row r="5176" spans="1:3" x14ac:dyDescent="0.2">
      <c r="A5176" s="3" t="s">
        <v>1660</v>
      </c>
      <c r="B5176" s="3" t="s">
        <v>1663</v>
      </c>
      <c r="C5176" s="3" t="s">
        <v>54</v>
      </c>
    </row>
    <row r="5177" spans="1:3" x14ac:dyDescent="0.2">
      <c r="A5177" s="3" t="s">
        <v>1660</v>
      </c>
      <c r="B5177" s="3" t="s">
        <v>1664</v>
      </c>
      <c r="C5177" s="3" t="s">
        <v>54</v>
      </c>
    </row>
    <row r="5178" spans="1:3" x14ac:dyDescent="0.2">
      <c r="A5178" s="3" t="s">
        <v>1660</v>
      </c>
      <c r="B5178" s="3" t="s">
        <v>1665</v>
      </c>
      <c r="C5178" s="3" t="s">
        <v>54</v>
      </c>
    </row>
    <row r="5179" spans="1:3" x14ac:dyDescent="0.2">
      <c r="A5179" s="3" t="s">
        <v>1660</v>
      </c>
      <c r="B5179" s="3" t="s">
        <v>1661</v>
      </c>
      <c r="C5179" s="3" t="s">
        <v>55</v>
      </c>
    </row>
    <row r="5180" spans="1:3" x14ac:dyDescent="0.2">
      <c r="A5180" s="3" t="s">
        <v>1660</v>
      </c>
      <c r="B5180" s="3" t="s">
        <v>1662</v>
      </c>
      <c r="C5180" s="3" t="s">
        <v>55</v>
      </c>
    </row>
    <row r="5181" spans="1:3" x14ac:dyDescent="0.2">
      <c r="A5181" s="3" t="s">
        <v>1660</v>
      </c>
      <c r="B5181" s="3" t="s">
        <v>1663</v>
      </c>
      <c r="C5181" s="3" t="s">
        <v>55</v>
      </c>
    </row>
    <row r="5182" spans="1:3" x14ac:dyDescent="0.2">
      <c r="A5182" s="3" t="s">
        <v>1660</v>
      </c>
      <c r="B5182" s="3" t="s">
        <v>1664</v>
      </c>
      <c r="C5182" s="3" t="s">
        <v>55</v>
      </c>
    </row>
    <row r="5183" spans="1:3" x14ac:dyDescent="0.2">
      <c r="A5183" s="3" t="s">
        <v>1660</v>
      </c>
      <c r="B5183" s="3" t="s">
        <v>1665</v>
      </c>
      <c r="C5183" s="3" t="s">
        <v>55</v>
      </c>
    </row>
    <row r="5184" spans="1:3" x14ac:dyDescent="0.2">
      <c r="A5184" s="3" t="s">
        <v>1660</v>
      </c>
      <c r="B5184" s="3" t="s">
        <v>1661</v>
      </c>
      <c r="C5184" s="3" t="s">
        <v>56</v>
      </c>
    </row>
    <row r="5185" spans="1:3" x14ac:dyDescent="0.2">
      <c r="A5185" s="3" t="s">
        <v>1660</v>
      </c>
      <c r="B5185" s="3" t="s">
        <v>1662</v>
      </c>
      <c r="C5185" s="3" t="s">
        <v>56</v>
      </c>
    </row>
    <row r="5186" spans="1:3" x14ac:dyDescent="0.2">
      <c r="A5186" s="3" t="s">
        <v>1660</v>
      </c>
      <c r="B5186" s="3" t="s">
        <v>1663</v>
      </c>
      <c r="C5186" s="3" t="s">
        <v>56</v>
      </c>
    </row>
    <row r="5187" spans="1:3" x14ac:dyDescent="0.2">
      <c r="A5187" s="3" t="s">
        <v>1660</v>
      </c>
      <c r="B5187" s="3" t="s">
        <v>1664</v>
      </c>
      <c r="C5187" s="3" t="s">
        <v>56</v>
      </c>
    </row>
    <row r="5188" spans="1:3" x14ac:dyDescent="0.2">
      <c r="A5188" s="3" t="s">
        <v>1660</v>
      </c>
      <c r="B5188" s="3" t="s">
        <v>1665</v>
      </c>
      <c r="C5188" s="3" t="s">
        <v>56</v>
      </c>
    </row>
    <row r="5189" spans="1:3" x14ac:dyDescent="0.2">
      <c r="A5189" s="3" t="s">
        <v>1660</v>
      </c>
      <c r="B5189" s="3" t="s">
        <v>1661</v>
      </c>
      <c r="C5189" s="3" t="s">
        <v>57</v>
      </c>
    </row>
    <row r="5190" spans="1:3" x14ac:dyDescent="0.2">
      <c r="A5190" s="3" t="s">
        <v>1660</v>
      </c>
      <c r="B5190" s="3" t="s">
        <v>1662</v>
      </c>
      <c r="C5190" s="3" t="s">
        <v>57</v>
      </c>
    </row>
    <row r="5191" spans="1:3" x14ac:dyDescent="0.2">
      <c r="A5191" s="3" t="s">
        <v>1660</v>
      </c>
      <c r="B5191" s="3" t="s">
        <v>1663</v>
      </c>
      <c r="C5191" s="3" t="s">
        <v>57</v>
      </c>
    </row>
    <row r="5192" spans="1:3" x14ac:dyDescent="0.2">
      <c r="A5192" s="3" t="s">
        <v>1660</v>
      </c>
      <c r="B5192" s="3" t="s">
        <v>1664</v>
      </c>
      <c r="C5192" s="3" t="s">
        <v>57</v>
      </c>
    </row>
    <row r="5193" spans="1:3" x14ac:dyDescent="0.2">
      <c r="A5193" s="3" t="s">
        <v>1660</v>
      </c>
      <c r="B5193" s="3" t="s">
        <v>1665</v>
      </c>
      <c r="C5193" s="3" t="s">
        <v>57</v>
      </c>
    </row>
    <row r="5194" spans="1:3" x14ac:dyDescent="0.2">
      <c r="A5194" s="3" t="s">
        <v>1660</v>
      </c>
      <c r="B5194" s="3" t="s">
        <v>1666</v>
      </c>
      <c r="C5194" s="3" t="s">
        <v>22</v>
      </c>
    </row>
    <row r="5195" spans="1:3" x14ac:dyDescent="0.2">
      <c r="A5195" s="3" t="s">
        <v>1667</v>
      </c>
      <c r="B5195" s="3" t="s">
        <v>766</v>
      </c>
      <c r="C5195" s="3" t="s">
        <v>53</v>
      </c>
    </row>
    <row r="5196" spans="1:3" x14ac:dyDescent="0.2">
      <c r="A5196" s="3" t="s">
        <v>1667</v>
      </c>
      <c r="B5196" s="3" t="s">
        <v>766</v>
      </c>
      <c r="C5196" s="3" t="s">
        <v>54</v>
      </c>
    </row>
    <row r="5197" spans="1:3" x14ac:dyDescent="0.2">
      <c r="A5197" s="3" t="s">
        <v>1667</v>
      </c>
      <c r="B5197" s="3" t="s">
        <v>766</v>
      </c>
      <c r="C5197" s="3" t="s">
        <v>55</v>
      </c>
    </row>
    <row r="5198" spans="1:3" x14ac:dyDescent="0.2">
      <c r="A5198" s="3" t="s">
        <v>1667</v>
      </c>
      <c r="B5198" s="3" t="s">
        <v>766</v>
      </c>
      <c r="C5198" s="3" t="s">
        <v>56</v>
      </c>
    </row>
    <row r="5199" spans="1:3" x14ac:dyDescent="0.2">
      <c r="A5199" s="3" t="s">
        <v>1667</v>
      </c>
      <c r="B5199" s="3" t="s">
        <v>766</v>
      </c>
      <c r="C5199" s="3" t="s">
        <v>57</v>
      </c>
    </row>
    <row r="5200" spans="1:3" x14ac:dyDescent="0.2">
      <c r="A5200" s="3" t="s">
        <v>1668</v>
      </c>
      <c r="B5200" s="3" t="s">
        <v>1669</v>
      </c>
      <c r="C5200" s="3" t="s">
        <v>53</v>
      </c>
    </row>
    <row r="5201" spans="1:3" x14ac:dyDescent="0.2">
      <c r="A5201" s="3" t="s">
        <v>1668</v>
      </c>
      <c r="B5201" s="3" t="s">
        <v>1670</v>
      </c>
      <c r="C5201" s="3" t="s">
        <v>53</v>
      </c>
    </row>
    <row r="5202" spans="1:3" x14ac:dyDescent="0.2">
      <c r="A5202" s="3" t="s">
        <v>1668</v>
      </c>
      <c r="B5202" s="3" t="s">
        <v>1671</v>
      </c>
      <c r="C5202" s="3" t="s">
        <v>53</v>
      </c>
    </row>
    <row r="5203" spans="1:3" x14ac:dyDescent="0.2">
      <c r="A5203" s="3" t="s">
        <v>1668</v>
      </c>
      <c r="B5203" s="3" t="s">
        <v>1669</v>
      </c>
      <c r="C5203" s="3" t="s">
        <v>54</v>
      </c>
    </row>
    <row r="5204" spans="1:3" x14ac:dyDescent="0.2">
      <c r="A5204" s="3" t="s">
        <v>1668</v>
      </c>
      <c r="B5204" s="3" t="s">
        <v>1670</v>
      </c>
      <c r="C5204" s="3" t="s">
        <v>54</v>
      </c>
    </row>
    <row r="5205" spans="1:3" x14ac:dyDescent="0.2">
      <c r="A5205" s="3" t="s">
        <v>1668</v>
      </c>
      <c r="B5205" s="3" t="s">
        <v>1671</v>
      </c>
      <c r="C5205" s="3" t="s">
        <v>54</v>
      </c>
    </row>
    <row r="5206" spans="1:3" x14ac:dyDescent="0.2">
      <c r="A5206" s="3" t="s">
        <v>1668</v>
      </c>
      <c r="B5206" s="3" t="s">
        <v>1669</v>
      </c>
      <c r="C5206" s="3" t="s">
        <v>55</v>
      </c>
    </row>
    <row r="5207" spans="1:3" x14ac:dyDescent="0.2">
      <c r="A5207" s="3" t="s">
        <v>1668</v>
      </c>
      <c r="B5207" s="3" t="s">
        <v>1670</v>
      </c>
      <c r="C5207" s="3" t="s">
        <v>55</v>
      </c>
    </row>
    <row r="5208" spans="1:3" x14ac:dyDescent="0.2">
      <c r="A5208" s="3" t="s">
        <v>1668</v>
      </c>
      <c r="B5208" s="3" t="s">
        <v>1669</v>
      </c>
      <c r="C5208" s="3" t="s">
        <v>56</v>
      </c>
    </row>
    <row r="5209" spans="1:3" x14ac:dyDescent="0.2">
      <c r="A5209" s="3" t="s">
        <v>1668</v>
      </c>
      <c r="B5209" s="3" t="s">
        <v>1670</v>
      </c>
      <c r="C5209" s="3" t="s">
        <v>56</v>
      </c>
    </row>
    <row r="5210" spans="1:3" x14ac:dyDescent="0.2">
      <c r="A5210" s="3" t="s">
        <v>1668</v>
      </c>
      <c r="B5210" s="3" t="s">
        <v>1669</v>
      </c>
      <c r="C5210" s="3" t="s">
        <v>57</v>
      </c>
    </row>
    <row r="5211" spans="1:3" x14ac:dyDescent="0.2">
      <c r="A5211" s="3" t="s">
        <v>1668</v>
      </c>
      <c r="B5211" s="3" t="s">
        <v>1670</v>
      </c>
      <c r="C5211" s="3" t="s">
        <v>57</v>
      </c>
    </row>
    <row r="5212" spans="1:3" x14ac:dyDescent="0.2">
      <c r="A5212" s="3" t="s">
        <v>1668</v>
      </c>
      <c r="B5212" s="3" t="s">
        <v>1672</v>
      </c>
      <c r="C5212" s="3" t="s">
        <v>22</v>
      </c>
    </row>
    <row r="5213" spans="1:3" x14ac:dyDescent="0.2">
      <c r="A5213" s="3" t="s">
        <v>1668</v>
      </c>
      <c r="B5213" s="3" t="s">
        <v>1673</v>
      </c>
      <c r="C5213" s="3" t="s">
        <v>22</v>
      </c>
    </row>
    <row r="5214" spans="1:3" x14ac:dyDescent="0.2">
      <c r="A5214" s="3" t="s">
        <v>1668</v>
      </c>
      <c r="B5214" s="3" t="s">
        <v>1674</v>
      </c>
      <c r="C5214" s="3" t="s">
        <v>22</v>
      </c>
    </row>
    <row r="5215" spans="1:3" x14ac:dyDescent="0.2">
      <c r="A5215" s="3" t="s">
        <v>1668</v>
      </c>
      <c r="B5215" s="3" t="s">
        <v>1675</v>
      </c>
      <c r="C5215" s="3" t="s">
        <v>22</v>
      </c>
    </row>
    <row r="5216" spans="1:3" x14ac:dyDescent="0.2">
      <c r="A5216" s="3" t="s">
        <v>1676</v>
      </c>
      <c r="B5216" s="3" t="s">
        <v>1677</v>
      </c>
      <c r="C5216" s="3" t="s">
        <v>53</v>
      </c>
    </row>
    <row r="5217" spans="1:3" x14ac:dyDescent="0.2">
      <c r="A5217" s="3" t="s">
        <v>1676</v>
      </c>
      <c r="B5217" s="3" t="s">
        <v>1678</v>
      </c>
      <c r="C5217" s="3" t="s">
        <v>53</v>
      </c>
    </row>
    <row r="5218" spans="1:3" x14ac:dyDescent="0.2">
      <c r="A5218" s="3" t="s">
        <v>1676</v>
      </c>
      <c r="B5218" s="3" t="s">
        <v>1679</v>
      </c>
      <c r="C5218" s="3" t="s">
        <v>53</v>
      </c>
    </row>
    <row r="5219" spans="1:3" x14ac:dyDescent="0.2">
      <c r="A5219" s="3" t="s">
        <v>1676</v>
      </c>
      <c r="B5219" s="3" t="s">
        <v>1680</v>
      </c>
      <c r="C5219" s="3" t="s">
        <v>53</v>
      </c>
    </row>
    <row r="5220" spans="1:3" x14ac:dyDescent="0.2">
      <c r="A5220" s="3" t="s">
        <v>1676</v>
      </c>
      <c r="B5220" s="3" t="s">
        <v>1681</v>
      </c>
      <c r="C5220" s="3" t="s">
        <v>53</v>
      </c>
    </row>
    <row r="5221" spans="1:3" x14ac:dyDescent="0.2">
      <c r="A5221" s="3" t="s">
        <v>1676</v>
      </c>
      <c r="B5221" s="3" t="s">
        <v>1677</v>
      </c>
      <c r="C5221" s="3" t="s">
        <v>54</v>
      </c>
    </row>
    <row r="5222" spans="1:3" x14ac:dyDescent="0.2">
      <c r="A5222" s="3" t="s">
        <v>1676</v>
      </c>
      <c r="B5222" s="3" t="s">
        <v>1678</v>
      </c>
      <c r="C5222" s="3" t="s">
        <v>54</v>
      </c>
    </row>
    <row r="5223" spans="1:3" x14ac:dyDescent="0.2">
      <c r="A5223" s="3" t="s">
        <v>1676</v>
      </c>
      <c r="B5223" s="3" t="s">
        <v>1679</v>
      </c>
      <c r="C5223" s="3" t="s">
        <v>54</v>
      </c>
    </row>
    <row r="5224" spans="1:3" x14ac:dyDescent="0.2">
      <c r="A5224" s="3" t="s">
        <v>1676</v>
      </c>
      <c r="B5224" s="3" t="s">
        <v>1680</v>
      </c>
      <c r="C5224" s="3" t="s">
        <v>54</v>
      </c>
    </row>
    <row r="5225" spans="1:3" x14ac:dyDescent="0.2">
      <c r="A5225" s="3" t="s">
        <v>1676</v>
      </c>
      <c r="B5225" s="3" t="s">
        <v>1677</v>
      </c>
      <c r="C5225" s="3" t="s">
        <v>55</v>
      </c>
    </row>
    <row r="5226" spans="1:3" x14ac:dyDescent="0.2">
      <c r="A5226" s="3" t="s">
        <v>1676</v>
      </c>
      <c r="B5226" s="3" t="s">
        <v>1678</v>
      </c>
      <c r="C5226" s="3" t="s">
        <v>55</v>
      </c>
    </row>
    <row r="5227" spans="1:3" x14ac:dyDescent="0.2">
      <c r="A5227" s="3" t="s">
        <v>1676</v>
      </c>
      <c r="B5227" s="3" t="s">
        <v>1679</v>
      </c>
      <c r="C5227" s="3" t="s">
        <v>55</v>
      </c>
    </row>
    <row r="5228" spans="1:3" x14ac:dyDescent="0.2">
      <c r="A5228" s="3" t="s">
        <v>1676</v>
      </c>
      <c r="B5228" s="3" t="s">
        <v>1680</v>
      </c>
      <c r="C5228" s="3" t="s">
        <v>55</v>
      </c>
    </row>
    <row r="5229" spans="1:3" x14ac:dyDescent="0.2">
      <c r="A5229" s="3" t="s">
        <v>1676</v>
      </c>
      <c r="B5229" s="3" t="s">
        <v>1677</v>
      </c>
      <c r="C5229" s="3" t="s">
        <v>56</v>
      </c>
    </row>
    <row r="5230" spans="1:3" x14ac:dyDescent="0.2">
      <c r="A5230" s="3" t="s">
        <v>1676</v>
      </c>
      <c r="B5230" s="3" t="s">
        <v>1678</v>
      </c>
      <c r="C5230" s="3" t="s">
        <v>56</v>
      </c>
    </row>
    <row r="5231" spans="1:3" x14ac:dyDescent="0.2">
      <c r="A5231" s="3" t="s">
        <v>1676</v>
      </c>
      <c r="B5231" s="3" t="s">
        <v>1679</v>
      </c>
      <c r="C5231" s="3" t="s">
        <v>56</v>
      </c>
    </row>
    <row r="5232" spans="1:3" x14ac:dyDescent="0.2">
      <c r="A5232" s="3" t="s">
        <v>1676</v>
      </c>
      <c r="B5232" s="3" t="s">
        <v>1680</v>
      </c>
      <c r="C5232" s="3" t="s">
        <v>56</v>
      </c>
    </row>
    <row r="5233" spans="1:3" x14ac:dyDescent="0.2">
      <c r="A5233" s="3" t="s">
        <v>1676</v>
      </c>
      <c r="B5233" s="3" t="s">
        <v>1677</v>
      </c>
      <c r="C5233" s="3" t="s">
        <v>57</v>
      </c>
    </row>
    <row r="5234" spans="1:3" x14ac:dyDescent="0.2">
      <c r="A5234" s="3" t="s">
        <v>1676</v>
      </c>
      <c r="B5234" s="3" t="s">
        <v>1678</v>
      </c>
      <c r="C5234" s="3" t="s">
        <v>57</v>
      </c>
    </row>
    <row r="5235" spans="1:3" x14ac:dyDescent="0.2">
      <c r="A5235" s="3" t="s">
        <v>1676</v>
      </c>
      <c r="B5235" s="3" t="s">
        <v>1679</v>
      </c>
      <c r="C5235" s="3" t="s">
        <v>57</v>
      </c>
    </row>
    <row r="5236" spans="1:3" x14ac:dyDescent="0.2">
      <c r="A5236" s="3" t="s">
        <v>1676</v>
      </c>
      <c r="B5236" s="3" t="s">
        <v>1680</v>
      </c>
      <c r="C5236" s="3" t="s">
        <v>57</v>
      </c>
    </row>
    <row r="5237" spans="1:3" x14ac:dyDescent="0.2">
      <c r="A5237" s="3" t="s">
        <v>1676</v>
      </c>
      <c r="B5237" s="3" t="s">
        <v>1682</v>
      </c>
      <c r="C5237" s="3" t="s">
        <v>169</v>
      </c>
    </row>
    <row r="5238" spans="1:3" x14ac:dyDescent="0.2">
      <c r="A5238" s="3" t="s">
        <v>1676</v>
      </c>
      <c r="B5238" s="3" t="s">
        <v>1683</v>
      </c>
      <c r="C5238" s="3" t="s">
        <v>22</v>
      </c>
    </row>
    <row r="5239" spans="1:3" x14ac:dyDescent="0.2">
      <c r="A5239" s="3" t="s">
        <v>1676</v>
      </c>
      <c r="B5239" s="3" t="s">
        <v>1684</v>
      </c>
      <c r="C5239" s="3" t="s">
        <v>22</v>
      </c>
    </row>
    <row r="5240" spans="1:3" x14ac:dyDescent="0.2">
      <c r="A5240" s="3" t="s">
        <v>1685</v>
      </c>
      <c r="B5240" s="3" t="s">
        <v>1686</v>
      </c>
      <c r="C5240" s="3" t="s">
        <v>53</v>
      </c>
    </row>
    <row r="5241" spans="1:3" x14ac:dyDescent="0.2">
      <c r="A5241" s="3" t="s">
        <v>1685</v>
      </c>
      <c r="B5241" s="3" t="s">
        <v>1687</v>
      </c>
      <c r="C5241" s="3" t="s">
        <v>53</v>
      </c>
    </row>
    <row r="5242" spans="1:3" x14ac:dyDescent="0.2">
      <c r="A5242" s="3" t="s">
        <v>1685</v>
      </c>
      <c r="B5242" s="3" t="s">
        <v>1688</v>
      </c>
      <c r="C5242" s="3" t="s">
        <v>53</v>
      </c>
    </row>
    <row r="5243" spans="1:3" x14ac:dyDescent="0.2">
      <c r="A5243" s="3" t="s">
        <v>1685</v>
      </c>
      <c r="B5243" s="3" t="s">
        <v>1689</v>
      </c>
      <c r="C5243" s="3" t="s">
        <v>53</v>
      </c>
    </row>
    <row r="5244" spans="1:3" x14ac:dyDescent="0.2">
      <c r="A5244" s="3" t="s">
        <v>1685</v>
      </c>
      <c r="B5244" s="3" t="s">
        <v>1690</v>
      </c>
      <c r="C5244" s="3" t="s">
        <v>53</v>
      </c>
    </row>
    <row r="5245" spans="1:3" x14ac:dyDescent="0.2">
      <c r="A5245" s="3" t="s">
        <v>1685</v>
      </c>
      <c r="B5245" s="3" t="s">
        <v>1691</v>
      </c>
      <c r="C5245" s="3" t="s">
        <v>53</v>
      </c>
    </row>
    <row r="5246" spans="1:3" x14ac:dyDescent="0.2">
      <c r="A5246" s="3" t="s">
        <v>1685</v>
      </c>
      <c r="B5246" s="3" t="s">
        <v>1692</v>
      </c>
      <c r="C5246" s="3" t="s">
        <v>53</v>
      </c>
    </row>
    <row r="5247" spans="1:3" x14ac:dyDescent="0.2">
      <c r="A5247" s="3" t="s">
        <v>1685</v>
      </c>
      <c r="B5247" s="3" t="s">
        <v>1680</v>
      </c>
      <c r="C5247" s="3" t="s">
        <v>53</v>
      </c>
    </row>
    <row r="5248" spans="1:3" x14ac:dyDescent="0.2">
      <c r="A5248" s="3" t="s">
        <v>1685</v>
      </c>
      <c r="B5248" s="3" t="s">
        <v>1693</v>
      </c>
      <c r="C5248" s="3" t="s">
        <v>53</v>
      </c>
    </row>
    <row r="5249" spans="1:3" x14ac:dyDescent="0.2">
      <c r="A5249" s="3" t="s">
        <v>1685</v>
      </c>
      <c r="B5249" s="3" t="s">
        <v>1694</v>
      </c>
      <c r="C5249" s="3" t="s">
        <v>53</v>
      </c>
    </row>
    <row r="5250" spans="1:3" x14ac:dyDescent="0.2">
      <c r="A5250" s="3" t="s">
        <v>1685</v>
      </c>
      <c r="B5250" s="3" t="s">
        <v>1681</v>
      </c>
      <c r="C5250" s="3" t="s">
        <v>53</v>
      </c>
    </row>
    <row r="5251" spans="1:3" x14ac:dyDescent="0.2">
      <c r="A5251" s="3" t="s">
        <v>1685</v>
      </c>
      <c r="B5251" s="3" t="s">
        <v>1686</v>
      </c>
      <c r="C5251" s="3" t="s">
        <v>54</v>
      </c>
    </row>
    <row r="5252" spans="1:3" x14ac:dyDescent="0.2">
      <c r="A5252" s="3" t="s">
        <v>1685</v>
      </c>
      <c r="B5252" s="3" t="s">
        <v>1687</v>
      </c>
      <c r="C5252" s="3" t="s">
        <v>54</v>
      </c>
    </row>
    <row r="5253" spans="1:3" x14ac:dyDescent="0.2">
      <c r="A5253" s="3" t="s">
        <v>1685</v>
      </c>
      <c r="B5253" s="3" t="s">
        <v>1688</v>
      </c>
      <c r="C5253" s="3" t="s">
        <v>54</v>
      </c>
    </row>
    <row r="5254" spans="1:3" x14ac:dyDescent="0.2">
      <c r="A5254" s="3" t="s">
        <v>1685</v>
      </c>
      <c r="B5254" s="3" t="s">
        <v>1689</v>
      </c>
      <c r="C5254" s="3" t="s">
        <v>54</v>
      </c>
    </row>
    <row r="5255" spans="1:3" x14ac:dyDescent="0.2">
      <c r="A5255" s="3" t="s">
        <v>1685</v>
      </c>
      <c r="B5255" s="3" t="s">
        <v>1690</v>
      </c>
      <c r="C5255" s="3" t="s">
        <v>54</v>
      </c>
    </row>
    <row r="5256" spans="1:3" x14ac:dyDescent="0.2">
      <c r="A5256" s="3" t="s">
        <v>1685</v>
      </c>
      <c r="B5256" s="3" t="s">
        <v>1691</v>
      </c>
      <c r="C5256" s="3" t="s">
        <v>54</v>
      </c>
    </row>
    <row r="5257" spans="1:3" x14ac:dyDescent="0.2">
      <c r="A5257" s="3" t="s">
        <v>1685</v>
      </c>
      <c r="B5257" s="3" t="s">
        <v>1692</v>
      </c>
      <c r="C5257" s="3" t="s">
        <v>54</v>
      </c>
    </row>
    <row r="5258" spans="1:3" x14ac:dyDescent="0.2">
      <c r="A5258" s="3" t="s">
        <v>1685</v>
      </c>
      <c r="B5258" s="3" t="s">
        <v>1680</v>
      </c>
      <c r="C5258" s="3" t="s">
        <v>54</v>
      </c>
    </row>
    <row r="5259" spans="1:3" x14ac:dyDescent="0.2">
      <c r="A5259" s="3" t="s">
        <v>1685</v>
      </c>
      <c r="B5259" s="3" t="s">
        <v>1693</v>
      </c>
      <c r="C5259" s="3" t="s">
        <v>54</v>
      </c>
    </row>
    <row r="5260" spans="1:3" x14ac:dyDescent="0.2">
      <c r="A5260" s="3" t="s">
        <v>1685</v>
      </c>
      <c r="B5260" s="3" t="s">
        <v>1694</v>
      </c>
      <c r="C5260" s="3" t="s">
        <v>54</v>
      </c>
    </row>
    <row r="5261" spans="1:3" x14ac:dyDescent="0.2">
      <c r="A5261" s="3" t="s">
        <v>1685</v>
      </c>
      <c r="B5261" s="3" t="s">
        <v>1686</v>
      </c>
      <c r="C5261" s="3" t="s">
        <v>55</v>
      </c>
    </row>
    <row r="5262" spans="1:3" x14ac:dyDescent="0.2">
      <c r="A5262" s="3" t="s">
        <v>1685</v>
      </c>
      <c r="B5262" s="3" t="s">
        <v>1687</v>
      </c>
      <c r="C5262" s="3" t="s">
        <v>55</v>
      </c>
    </row>
    <row r="5263" spans="1:3" x14ac:dyDescent="0.2">
      <c r="A5263" s="3" t="s">
        <v>1685</v>
      </c>
      <c r="B5263" s="3" t="s">
        <v>1688</v>
      </c>
      <c r="C5263" s="3" t="s">
        <v>55</v>
      </c>
    </row>
    <row r="5264" spans="1:3" x14ac:dyDescent="0.2">
      <c r="A5264" s="3" t="s">
        <v>1685</v>
      </c>
      <c r="B5264" s="3" t="s">
        <v>1689</v>
      </c>
      <c r="C5264" s="3" t="s">
        <v>55</v>
      </c>
    </row>
    <row r="5265" spans="1:3" x14ac:dyDescent="0.2">
      <c r="A5265" s="3" t="s">
        <v>1685</v>
      </c>
      <c r="B5265" s="3" t="s">
        <v>1690</v>
      </c>
      <c r="C5265" s="3" t="s">
        <v>55</v>
      </c>
    </row>
    <row r="5266" spans="1:3" x14ac:dyDescent="0.2">
      <c r="A5266" s="3" t="s">
        <v>1685</v>
      </c>
      <c r="B5266" s="3" t="s">
        <v>1691</v>
      </c>
      <c r="C5266" s="3" t="s">
        <v>55</v>
      </c>
    </row>
    <row r="5267" spans="1:3" x14ac:dyDescent="0.2">
      <c r="A5267" s="3" t="s">
        <v>1685</v>
      </c>
      <c r="B5267" s="3" t="s">
        <v>1692</v>
      </c>
      <c r="C5267" s="3" t="s">
        <v>55</v>
      </c>
    </row>
    <row r="5268" spans="1:3" x14ac:dyDescent="0.2">
      <c r="A5268" s="3" t="s">
        <v>1685</v>
      </c>
      <c r="B5268" s="3" t="s">
        <v>1680</v>
      </c>
      <c r="C5268" s="3" t="s">
        <v>55</v>
      </c>
    </row>
    <row r="5269" spans="1:3" x14ac:dyDescent="0.2">
      <c r="A5269" s="3" t="s">
        <v>1685</v>
      </c>
      <c r="B5269" s="3" t="s">
        <v>1693</v>
      </c>
      <c r="C5269" s="3" t="s">
        <v>55</v>
      </c>
    </row>
    <row r="5270" spans="1:3" x14ac:dyDescent="0.2">
      <c r="A5270" s="3" t="s">
        <v>1685</v>
      </c>
      <c r="B5270" s="3" t="s">
        <v>1694</v>
      </c>
      <c r="C5270" s="3" t="s">
        <v>55</v>
      </c>
    </row>
    <row r="5271" spans="1:3" x14ac:dyDescent="0.2">
      <c r="A5271" s="3" t="s">
        <v>1685</v>
      </c>
      <c r="B5271" s="3" t="s">
        <v>1686</v>
      </c>
      <c r="C5271" s="3" t="s">
        <v>56</v>
      </c>
    </row>
    <row r="5272" spans="1:3" x14ac:dyDescent="0.2">
      <c r="A5272" s="3" t="s">
        <v>1685</v>
      </c>
      <c r="B5272" s="3" t="s">
        <v>1687</v>
      </c>
      <c r="C5272" s="3" t="s">
        <v>56</v>
      </c>
    </row>
    <row r="5273" spans="1:3" x14ac:dyDescent="0.2">
      <c r="A5273" s="3" t="s">
        <v>1685</v>
      </c>
      <c r="B5273" s="3" t="s">
        <v>1688</v>
      </c>
      <c r="C5273" s="3" t="s">
        <v>56</v>
      </c>
    </row>
    <row r="5274" spans="1:3" x14ac:dyDescent="0.2">
      <c r="A5274" s="3" t="s">
        <v>1685</v>
      </c>
      <c r="B5274" s="3" t="s">
        <v>1689</v>
      </c>
      <c r="C5274" s="3" t="s">
        <v>56</v>
      </c>
    </row>
    <row r="5275" spans="1:3" x14ac:dyDescent="0.2">
      <c r="A5275" s="3" t="s">
        <v>1685</v>
      </c>
      <c r="B5275" s="3" t="s">
        <v>1690</v>
      </c>
      <c r="C5275" s="3" t="s">
        <v>56</v>
      </c>
    </row>
    <row r="5276" spans="1:3" x14ac:dyDescent="0.2">
      <c r="A5276" s="3" t="s">
        <v>1685</v>
      </c>
      <c r="B5276" s="3" t="s">
        <v>1691</v>
      </c>
      <c r="C5276" s="3" t="s">
        <v>56</v>
      </c>
    </row>
    <row r="5277" spans="1:3" x14ac:dyDescent="0.2">
      <c r="A5277" s="3" t="s">
        <v>1685</v>
      </c>
      <c r="B5277" s="3" t="s">
        <v>1692</v>
      </c>
      <c r="C5277" s="3" t="s">
        <v>56</v>
      </c>
    </row>
    <row r="5278" spans="1:3" x14ac:dyDescent="0.2">
      <c r="A5278" s="3" t="s">
        <v>1685</v>
      </c>
      <c r="B5278" s="3" t="s">
        <v>1680</v>
      </c>
      <c r="C5278" s="3" t="s">
        <v>56</v>
      </c>
    </row>
    <row r="5279" spans="1:3" x14ac:dyDescent="0.2">
      <c r="A5279" s="3" t="s">
        <v>1685</v>
      </c>
      <c r="B5279" s="3" t="s">
        <v>1693</v>
      </c>
      <c r="C5279" s="3" t="s">
        <v>56</v>
      </c>
    </row>
    <row r="5280" spans="1:3" x14ac:dyDescent="0.2">
      <c r="A5280" s="3" t="s">
        <v>1685</v>
      </c>
      <c r="B5280" s="3" t="s">
        <v>1694</v>
      </c>
      <c r="C5280" s="3" t="s">
        <v>56</v>
      </c>
    </row>
    <row r="5281" spans="1:3" x14ac:dyDescent="0.2">
      <c r="A5281" s="3" t="s">
        <v>1685</v>
      </c>
      <c r="B5281" s="3" t="s">
        <v>1686</v>
      </c>
      <c r="C5281" s="3" t="s">
        <v>57</v>
      </c>
    </row>
    <row r="5282" spans="1:3" x14ac:dyDescent="0.2">
      <c r="A5282" s="3" t="s">
        <v>1685</v>
      </c>
      <c r="B5282" s="3" t="s">
        <v>1687</v>
      </c>
      <c r="C5282" s="3" t="s">
        <v>57</v>
      </c>
    </row>
    <row r="5283" spans="1:3" x14ac:dyDescent="0.2">
      <c r="A5283" s="3" t="s">
        <v>1685</v>
      </c>
      <c r="B5283" s="3" t="s">
        <v>1688</v>
      </c>
      <c r="C5283" s="3" t="s">
        <v>57</v>
      </c>
    </row>
    <row r="5284" spans="1:3" x14ac:dyDescent="0.2">
      <c r="A5284" s="3" t="s">
        <v>1685</v>
      </c>
      <c r="B5284" s="3" t="s">
        <v>1689</v>
      </c>
      <c r="C5284" s="3" t="s">
        <v>57</v>
      </c>
    </row>
    <row r="5285" spans="1:3" x14ac:dyDescent="0.2">
      <c r="A5285" s="3" t="s">
        <v>1685</v>
      </c>
      <c r="B5285" s="3" t="s">
        <v>1690</v>
      </c>
      <c r="C5285" s="3" t="s">
        <v>57</v>
      </c>
    </row>
    <row r="5286" spans="1:3" x14ac:dyDescent="0.2">
      <c r="A5286" s="3" t="s">
        <v>1685</v>
      </c>
      <c r="B5286" s="3" t="s">
        <v>1691</v>
      </c>
      <c r="C5286" s="3" t="s">
        <v>57</v>
      </c>
    </row>
    <row r="5287" spans="1:3" x14ac:dyDescent="0.2">
      <c r="A5287" s="3" t="s">
        <v>1685</v>
      </c>
      <c r="B5287" s="3" t="s">
        <v>1692</v>
      </c>
      <c r="C5287" s="3" t="s">
        <v>57</v>
      </c>
    </row>
    <row r="5288" spans="1:3" x14ac:dyDescent="0.2">
      <c r="A5288" s="3" t="s">
        <v>1685</v>
      </c>
      <c r="B5288" s="3" t="s">
        <v>1680</v>
      </c>
      <c r="C5288" s="3" t="s">
        <v>57</v>
      </c>
    </row>
    <row r="5289" spans="1:3" x14ac:dyDescent="0.2">
      <c r="A5289" s="3" t="s">
        <v>1685</v>
      </c>
      <c r="B5289" s="3" t="s">
        <v>1693</v>
      </c>
      <c r="C5289" s="3" t="s">
        <v>57</v>
      </c>
    </row>
    <row r="5290" spans="1:3" x14ac:dyDescent="0.2">
      <c r="A5290" s="3" t="s">
        <v>1685</v>
      </c>
      <c r="B5290" s="3" t="s">
        <v>1694</v>
      </c>
      <c r="C5290" s="3" t="s">
        <v>57</v>
      </c>
    </row>
    <row r="5291" spans="1:3" x14ac:dyDescent="0.2">
      <c r="A5291" s="3" t="s">
        <v>1685</v>
      </c>
      <c r="B5291" s="3" t="s">
        <v>1695</v>
      </c>
      <c r="C5291" s="3" t="s">
        <v>169</v>
      </c>
    </row>
    <row r="5292" spans="1:3" x14ac:dyDescent="0.2">
      <c r="A5292" s="3" t="s">
        <v>1685</v>
      </c>
      <c r="B5292" s="3" t="s">
        <v>1696</v>
      </c>
      <c r="C5292" s="3" t="s">
        <v>22</v>
      </c>
    </row>
    <row r="5293" spans="1:3" x14ac:dyDescent="0.2">
      <c r="A5293" s="3" t="s">
        <v>1685</v>
      </c>
      <c r="B5293" s="3" t="s">
        <v>1654</v>
      </c>
      <c r="C5293" s="3" t="s">
        <v>22</v>
      </c>
    </row>
    <row r="5294" spans="1:3" x14ac:dyDescent="0.2">
      <c r="A5294" s="3" t="s">
        <v>1685</v>
      </c>
      <c r="B5294" s="3" t="s">
        <v>1697</v>
      </c>
      <c r="C5294" s="3" t="s">
        <v>22</v>
      </c>
    </row>
    <row r="5295" spans="1:3" x14ac:dyDescent="0.2">
      <c r="A5295" s="3" t="s">
        <v>1685</v>
      </c>
      <c r="B5295" s="3" t="s">
        <v>1698</v>
      </c>
      <c r="C5295" s="3" t="s">
        <v>22</v>
      </c>
    </row>
    <row r="5296" spans="1:3" x14ac:dyDescent="0.2">
      <c r="A5296" s="3" t="s">
        <v>1685</v>
      </c>
      <c r="B5296" s="3" t="s">
        <v>1699</v>
      </c>
      <c r="C5296" s="3" t="s">
        <v>22</v>
      </c>
    </row>
    <row r="5297" spans="1:3" x14ac:dyDescent="0.2">
      <c r="A5297" s="3" t="s">
        <v>1685</v>
      </c>
      <c r="B5297" s="3" t="s">
        <v>1647</v>
      </c>
      <c r="C5297" s="3" t="s">
        <v>22</v>
      </c>
    </row>
    <row r="5298" spans="1:3" x14ac:dyDescent="0.2">
      <c r="A5298" s="3" t="s">
        <v>1685</v>
      </c>
      <c r="B5298" s="3" t="s">
        <v>1700</v>
      </c>
      <c r="C5298" s="3" t="s">
        <v>22</v>
      </c>
    </row>
    <row r="5299" spans="1:3" x14ac:dyDescent="0.2">
      <c r="A5299" s="3" t="s">
        <v>1685</v>
      </c>
      <c r="B5299" s="3" t="s">
        <v>1701</v>
      </c>
      <c r="C5299" s="3" t="s">
        <v>22</v>
      </c>
    </row>
    <row r="5300" spans="1:3" x14ac:dyDescent="0.2">
      <c r="A5300" s="3" t="s">
        <v>1685</v>
      </c>
      <c r="B5300" s="3" t="s">
        <v>1644</v>
      </c>
      <c r="C5300" s="3" t="s">
        <v>22</v>
      </c>
    </row>
    <row r="5301" spans="1:3" x14ac:dyDescent="0.2">
      <c r="A5301" s="3" t="s">
        <v>1685</v>
      </c>
      <c r="B5301" s="3" t="s">
        <v>1648</v>
      </c>
      <c r="C5301" s="3" t="s">
        <v>22</v>
      </c>
    </row>
    <row r="5302" spans="1:3" x14ac:dyDescent="0.2">
      <c r="A5302" s="3" t="s">
        <v>1685</v>
      </c>
      <c r="B5302" s="3" t="s">
        <v>1702</v>
      </c>
      <c r="C5302" s="3" t="s">
        <v>22</v>
      </c>
    </row>
    <row r="5303" spans="1:3" x14ac:dyDescent="0.2">
      <c r="A5303" s="3" t="s">
        <v>1685</v>
      </c>
      <c r="B5303" s="3" t="s">
        <v>1703</v>
      </c>
      <c r="C5303" s="3" t="s">
        <v>22</v>
      </c>
    </row>
    <row r="5304" spans="1:3" x14ac:dyDescent="0.2">
      <c r="A5304" s="3" t="s">
        <v>1685</v>
      </c>
      <c r="B5304" s="3" t="s">
        <v>1704</v>
      </c>
      <c r="C5304" s="3" t="s">
        <v>22</v>
      </c>
    </row>
    <row r="5305" spans="1:3" x14ac:dyDescent="0.2">
      <c r="A5305" s="3" t="s">
        <v>1705</v>
      </c>
      <c r="B5305" s="3" t="s">
        <v>1706</v>
      </c>
      <c r="C5305" s="3" t="s">
        <v>53</v>
      </c>
    </row>
    <row r="5306" spans="1:3" x14ac:dyDescent="0.2">
      <c r="A5306" s="3" t="s">
        <v>1705</v>
      </c>
      <c r="B5306" s="3" t="s">
        <v>1706</v>
      </c>
      <c r="C5306" s="3" t="s">
        <v>54</v>
      </c>
    </row>
    <row r="5307" spans="1:3" x14ac:dyDescent="0.2">
      <c r="A5307" s="3" t="s">
        <v>1705</v>
      </c>
      <c r="B5307" s="3" t="s">
        <v>1672</v>
      </c>
      <c r="C5307" s="3" t="s">
        <v>22</v>
      </c>
    </row>
    <row r="5308" spans="1:3" x14ac:dyDescent="0.2">
      <c r="A5308" s="3" t="s">
        <v>1705</v>
      </c>
      <c r="B5308" s="3" t="s">
        <v>1707</v>
      </c>
      <c r="C5308" s="3" t="s">
        <v>22</v>
      </c>
    </row>
    <row r="5309" spans="1:3" x14ac:dyDescent="0.2">
      <c r="A5309" s="3" t="s">
        <v>1705</v>
      </c>
      <c r="B5309" s="3" t="s">
        <v>1674</v>
      </c>
      <c r="C5309" s="3" t="s">
        <v>22</v>
      </c>
    </row>
    <row r="5310" spans="1:3" x14ac:dyDescent="0.2">
      <c r="A5310" s="3" t="s">
        <v>1705</v>
      </c>
      <c r="B5310" s="3" t="s">
        <v>1675</v>
      </c>
      <c r="C5310" s="3" t="s">
        <v>22</v>
      </c>
    </row>
    <row r="5311" spans="1:3" x14ac:dyDescent="0.2">
      <c r="A5311" s="3" t="s">
        <v>1708</v>
      </c>
      <c r="B5311" s="3" t="s">
        <v>199</v>
      </c>
      <c r="C5311" s="3" t="s">
        <v>53</v>
      </c>
    </row>
    <row r="5312" spans="1:3" x14ac:dyDescent="0.2">
      <c r="A5312" s="3" t="s">
        <v>1708</v>
      </c>
      <c r="B5312" s="3" t="s">
        <v>221</v>
      </c>
      <c r="C5312" s="3" t="s">
        <v>54</v>
      </c>
    </row>
    <row r="5313" spans="1:3" x14ac:dyDescent="0.2">
      <c r="A5313" s="3" t="s">
        <v>1708</v>
      </c>
      <c r="B5313" s="3" t="s">
        <v>199</v>
      </c>
      <c r="C5313" s="3" t="s">
        <v>54</v>
      </c>
    </row>
    <row r="5314" spans="1:3" x14ac:dyDescent="0.2">
      <c r="A5314" s="3" t="s">
        <v>1708</v>
      </c>
      <c r="B5314" s="3" t="s">
        <v>221</v>
      </c>
      <c r="C5314" s="3" t="s">
        <v>55</v>
      </c>
    </row>
    <row r="5315" spans="1:3" x14ac:dyDescent="0.2">
      <c r="A5315" s="3" t="s">
        <v>1708</v>
      </c>
      <c r="B5315" s="3" t="s">
        <v>221</v>
      </c>
      <c r="C5315" s="3" t="s">
        <v>56</v>
      </c>
    </row>
    <row r="5316" spans="1:3" x14ac:dyDescent="0.2">
      <c r="A5316" s="3" t="s">
        <v>1708</v>
      </c>
      <c r="B5316" s="3" t="s">
        <v>199</v>
      </c>
      <c r="C5316" s="3" t="s">
        <v>56</v>
      </c>
    </row>
    <row r="5317" spans="1:3" x14ac:dyDescent="0.2">
      <c r="A5317" s="3" t="s">
        <v>1708</v>
      </c>
      <c r="B5317" s="3" t="s">
        <v>221</v>
      </c>
      <c r="C5317" s="3" t="s">
        <v>57</v>
      </c>
    </row>
    <row r="5318" spans="1:3" x14ac:dyDescent="0.2">
      <c r="A5318" s="3" t="s">
        <v>1708</v>
      </c>
      <c r="B5318" s="3" t="s">
        <v>199</v>
      </c>
      <c r="C5318" s="3" t="s">
        <v>57</v>
      </c>
    </row>
    <row r="5319" spans="1:3" x14ac:dyDescent="0.2">
      <c r="A5319" s="3" t="s">
        <v>1708</v>
      </c>
      <c r="B5319" s="3" t="s">
        <v>1709</v>
      </c>
      <c r="C5319" s="3" t="s">
        <v>169</v>
      </c>
    </row>
    <row r="5320" spans="1:3" x14ac:dyDescent="0.2">
      <c r="A5320" s="3" t="s">
        <v>1708</v>
      </c>
      <c r="B5320" s="3" t="s">
        <v>1710</v>
      </c>
      <c r="C5320" s="3" t="s">
        <v>169</v>
      </c>
    </row>
    <row r="5321" spans="1:3" x14ac:dyDescent="0.2">
      <c r="A5321" s="3" t="s">
        <v>1711</v>
      </c>
      <c r="B5321" s="3" t="s">
        <v>1677</v>
      </c>
      <c r="C5321" s="3" t="s">
        <v>53</v>
      </c>
    </row>
    <row r="5322" spans="1:3" x14ac:dyDescent="0.2">
      <c r="A5322" s="3" t="s">
        <v>1711</v>
      </c>
      <c r="B5322" s="3" t="s">
        <v>1678</v>
      </c>
      <c r="C5322" s="3" t="s">
        <v>53</v>
      </c>
    </row>
    <row r="5323" spans="1:3" x14ac:dyDescent="0.2">
      <c r="A5323" s="3" t="s">
        <v>1711</v>
      </c>
      <c r="B5323" s="3" t="s">
        <v>1679</v>
      </c>
      <c r="C5323" s="3" t="s">
        <v>53</v>
      </c>
    </row>
    <row r="5324" spans="1:3" x14ac:dyDescent="0.2">
      <c r="A5324" s="3" t="s">
        <v>1711</v>
      </c>
      <c r="B5324" s="3" t="s">
        <v>1680</v>
      </c>
      <c r="C5324" s="3" t="s">
        <v>53</v>
      </c>
    </row>
    <row r="5325" spans="1:3" x14ac:dyDescent="0.2">
      <c r="A5325" s="3" t="s">
        <v>1711</v>
      </c>
      <c r="B5325" s="3" t="s">
        <v>1681</v>
      </c>
      <c r="C5325" s="3" t="s">
        <v>53</v>
      </c>
    </row>
    <row r="5326" spans="1:3" x14ac:dyDescent="0.2">
      <c r="A5326" s="3" t="s">
        <v>1711</v>
      </c>
      <c r="B5326" s="3" t="s">
        <v>1677</v>
      </c>
      <c r="C5326" s="3" t="s">
        <v>54</v>
      </c>
    </row>
    <row r="5327" spans="1:3" x14ac:dyDescent="0.2">
      <c r="A5327" s="3" t="s">
        <v>1711</v>
      </c>
      <c r="B5327" s="3" t="s">
        <v>1678</v>
      </c>
      <c r="C5327" s="3" t="s">
        <v>54</v>
      </c>
    </row>
    <row r="5328" spans="1:3" x14ac:dyDescent="0.2">
      <c r="A5328" s="3" t="s">
        <v>1711</v>
      </c>
      <c r="B5328" s="3" t="s">
        <v>1679</v>
      </c>
      <c r="C5328" s="3" t="s">
        <v>54</v>
      </c>
    </row>
    <row r="5329" spans="1:3" x14ac:dyDescent="0.2">
      <c r="A5329" s="3" t="s">
        <v>1711</v>
      </c>
      <c r="B5329" s="3" t="s">
        <v>1680</v>
      </c>
      <c r="C5329" s="3" t="s">
        <v>54</v>
      </c>
    </row>
    <row r="5330" spans="1:3" x14ac:dyDescent="0.2">
      <c r="A5330" s="3" t="s">
        <v>1711</v>
      </c>
      <c r="B5330" s="3" t="s">
        <v>1677</v>
      </c>
      <c r="C5330" s="3" t="s">
        <v>55</v>
      </c>
    </row>
    <row r="5331" spans="1:3" x14ac:dyDescent="0.2">
      <c r="A5331" s="3" t="s">
        <v>1711</v>
      </c>
      <c r="B5331" s="3" t="s">
        <v>1678</v>
      </c>
      <c r="C5331" s="3" t="s">
        <v>55</v>
      </c>
    </row>
    <row r="5332" spans="1:3" x14ac:dyDescent="0.2">
      <c r="A5332" s="3" t="s">
        <v>1711</v>
      </c>
      <c r="B5332" s="3" t="s">
        <v>1679</v>
      </c>
      <c r="C5332" s="3" t="s">
        <v>55</v>
      </c>
    </row>
    <row r="5333" spans="1:3" x14ac:dyDescent="0.2">
      <c r="A5333" s="3" t="s">
        <v>1711</v>
      </c>
      <c r="B5333" s="3" t="s">
        <v>1680</v>
      </c>
      <c r="C5333" s="3" t="s">
        <v>55</v>
      </c>
    </row>
    <row r="5334" spans="1:3" x14ac:dyDescent="0.2">
      <c r="A5334" s="3" t="s">
        <v>1711</v>
      </c>
      <c r="B5334" s="3" t="s">
        <v>1677</v>
      </c>
      <c r="C5334" s="3" t="s">
        <v>56</v>
      </c>
    </row>
    <row r="5335" spans="1:3" x14ac:dyDescent="0.2">
      <c r="A5335" s="3" t="s">
        <v>1711</v>
      </c>
      <c r="B5335" s="3" t="s">
        <v>1678</v>
      </c>
      <c r="C5335" s="3" t="s">
        <v>56</v>
      </c>
    </row>
    <row r="5336" spans="1:3" x14ac:dyDescent="0.2">
      <c r="A5336" s="3" t="s">
        <v>1711</v>
      </c>
      <c r="B5336" s="3" t="s">
        <v>1679</v>
      </c>
      <c r="C5336" s="3" t="s">
        <v>56</v>
      </c>
    </row>
    <row r="5337" spans="1:3" x14ac:dyDescent="0.2">
      <c r="A5337" s="3" t="s">
        <v>1711</v>
      </c>
      <c r="B5337" s="3" t="s">
        <v>1680</v>
      </c>
      <c r="C5337" s="3" t="s">
        <v>56</v>
      </c>
    </row>
    <row r="5338" spans="1:3" x14ac:dyDescent="0.2">
      <c r="A5338" s="3" t="s">
        <v>1711</v>
      </c>
      <c r="B5338" s="3" t="s">
        <v>1677</v>
      </c>
      <c r="C5338" s="3" t="s">
        <v>57</v>
      </c>
    </row>
    <row r="5339" spans="1:3" x14ac:dyDescent="0.2">
      <c r="A5339" s="3" t="s">
        <v>1711</v>
      </c>
      <c r="B5339" s="3" t="s">
        <v>1678</v>
      </c>
      <c r="C5339" s="3" t="s">
        <v>57</v>
      </c>
    </row>
    <row r="5340" spans="1:3" x14ac:dyDescent="0.2">
      <c r="A5340" s="3" t="s">
        <v>1711</v>
      </c>
      <c r="B5340" s="3" t="s">
        <v>1679</v>
      </c>
      <c r="C5340" s="3" t="s">
        <v>57</v>
      </c>
    </row>
    <row r="5341" spans="1:3" x14ac:dyDescent="0.2">
      <c r="A5341" s="3" t="s">
        <v>1711</v>
      </c>
      <c r="B5341" s="3" t="s">
        <v>1680</v>
      </c>
      <c r="C5341" s="3" t="s">
        <v>57</v>
      </c>
    </row>
    <row r="5342" spans="1:3" x14ac:dyDescent="0.2">
      <c r="A5342" s="3" t="s">
        <v>1711</v>
      </c>
      <c r="B5342" s="3" t="s">
        <v>1682</v>
      </c>
      <c r="C5342" s="3" t="s">
        <v>169</v>
      </c>
    </row>
    <row r="5343" spans="1:3" x14ac:dyDescent="0.2">
      <c r="A5343" s="3" t="s">
        <v>1712</v>
      </c>
      <c r="B5343" s="3" t="s">
        <v>1696</v>
      </c>
      <c r="C5343" s="3" t="s">
        <v>22</v>
      </c>
    </row>
    <row r="5344" spans="1:3" x14ac:dyDescent="0.2">
      <c r="A5344" s="3" t="s">
        <v>1712</v>
      </c>
      <c r="B5344" s="3" t="s">
        <v>1654</v>
      </c>
      <c r="C5344" s="3" t="s">
        <v>22</v>
      </c>
    </row>
    <row r="5345" spans="1:3" x14ac:dyDescent="0.2">
      <c r="A5345" s="3" t="s">
        <v>1712</v>
      </c>
      <c r="B5345" s="3" t="s">
        <v>1697</v>
      </c>
      <c r="C5345" s="3" t="s">
        <v>22</v>
      </c>
    </row>
    <row r="5346" spans="1:3" x14ac:dyDescent="0.2">
      <c r="A5346" s="3" t="s">
        <v>1712</v>
      </c>
      <c r="B5346" s="3" t="s">
        <v>1698</v>
      </c>
      <c r="C5346" s="3" t="s">
        <v>22</v>
      </c>
    </row>
    <row r="5347" spans="1:3" x14ac:dyDescent="0.2">
      <c r="A5347" s="3" t="s">
        <v>1712</v>
      </c>
      <c r="B5347" s="3" t="s">
        <v>1699</v>
      </c>
      <c r="C5347" s="3" t="s">
        <v>22</v>
      </c>
    </row>
    <row r="5348" spans="1:3" x14ac:dyDescent="0.2">
      <c r="A5348" s="3" t="s">
        <v>1712</v>
      </c>
      <c r="B5348" s="3" t="s">
        <v>1647</v>
      </c>
      <c r="C5348" s="3" t="s">
        <v>22</v>
      </c>
    </row>
    <row r="5349" spans="1:3" x14ac:dyDescent="0.2">
      <c r="A5349" s="3" t="s">
        <v>1712</v>
      </c>
      <c r="B5349" s="3" t="s">
        <v>1700</v>
      </c>
      <c r="C5349" s="3" t="s">
        <v>22</v>
      </c>
    </row>
    <row r="5350" spans="1:3" x14ac:dyDescent="0.2">
      <c r="A5350" s="3" t="s">
        <v>1712</v>
      </c>
      <c r="B5350" s="3" t="s">
        <v>1713</v>
      </c>
      <c r="C5350" s="3" t="s">
        <v>22</v>
      </c>
    </row>
    <row r="5351" spans="1:3" x14ac:dyDescent="0.2">
      <c r="A5351" s="3" t="s">
        <v>1712</v>
      </c>
      <c r="B5351" s="3" t="s">
        <v>1701</v>
      </c>
      <c r="C5351" s="3" t="s">
        <v>22</v>
      </c>
    </row>
    <row r="5352" spans="1:3" x14ac:dyDescent="0.2">
      <c r="A5352" s="3" t="s">
        <v>1712</v>
      </c>
      <c r="B5352" s="3" t="s">
        <v>1644</v>
      </c>
      <c r="C5352" s="3" t="s">
        <v>22</v>
      </c>
    </row>
    <row r="5353" spans="1:3" x14ac:dyDescent="0.2">
      <c r="A5353" s="3" t="s">
        <v>1712</v>
      </c>
      <c r="B5353" s="3" t="s">
        <v>1648</v>
      </c>
      <c r="C5353" s="3" t="s">
        <v>22</v>
      </c>
    </row>
    <row r="5354" spans="1:3" x14ac:dyDescent="0.2">
      <c r="A5354" s="3" t="s">
        <v>1712</v>
      </c>
      <c r="B5354" s="3" t="s">
        <v>1702</v>
      </c>
      <c r="C5354" s="3" t="s">
        <v>22</v>
      </c>
    </row>
    <row r="5355" spans="1:3" x14ac:dyDescent="0.2">
      <c r="A5355" s="3" t="s">
        <v>1712</v>
      </c>
      <c r="B5355" s="3" t="s">
        <v>1703</v>
      </c>
      <c r="C5355" s="3" t="s">
        <v>22</v>
      </c>
    </row>
    <row r="5356" spans="1:3" x14ac:dyDescent="0.2">
      <c r="A5356" s="3" t="s">
        <v>1714</v>
      </c>
      <c r="B5356" s="3" t="s">
        <v>1715</v>
      </c>
      <c r="C5356" s="3" t="s">
        <v>22</v>
      </c>
    </row>
    <row r="5357" spans="1:3" x14ac:dyDescent="0.2">
      <c r="A5357" s="3" t="s">
        <v>1714</v>
      </c>
      <c r="B5357" s="3" t="s">
        <v>1716</v>
      </c>
      <c r="C5357" s="3" t="s">
        <v>22</v>
      </c>
    </row>
    <row r="5358" spans="1:3" x14ac:dyDescent="0.2">
      <c r="A5358" s="3" t="s">
        <v>1714</v>
      </c>
      <c r="B5358" s="3" t="s">
        <v>1717</v>
      </c>
      <c r="C5358" s="3" t="s">
        <v>22</v>
      </c>
    </row>
    <row r="5359" spans="1:3" x14ac:dyDescent="0.2">
      <c r="A5359" s="3" t="s">
        <v>1714</v>
      </c>
      <c r="B5359" s="3" t="s">
        <v>1718</v>
      </c>
      <c r="C5359" s="3" t="s">
        <v>22</v>
      </c>
    </row>
    <row r="5360" spans="1:3" x14ac:dyDescent="0.2">
      <c r="A5360" s="3" t="s">
        <v>1714</v>
      </c>
      <c r="B5360" s="3" t="s">
        <v>1719</v>
      </c>
      <c r="C5360" s="3" t="s">
        <v>22</v>
      </c>
    </row>
    <row r="5361" spans="1:3" x14ac:dyDescent="0.2">
      <c r="A5361" s="3" t="s">
        <v>1714</v>
      </c>
      <c r="B5361" s="3" t="s">
        <v>1720</v>
      </c>
      <c r="C5361" s="3" t="s">
        <v>22</v>
      </c>
    </row>
    <row r="5362" spans="1:3" x14ac:dyDescent="0.2">
      <c r="A5362" s="3" t="s">
        <v>1714</v>
      </c>
      <c r="B5362" s="3" t="s">
        <v>1721</v>
      </c>
      <c r="C5362" s="3" t="s">
        <v>22</v>
      </c>
    </row>
    <row r="5363" spans="1:3" x14ac:dyDescent="0.2">
      <c r="A5363" s="3" t="s">
        <v>1714</v>
      </c>
      <c r="B5363" s="3" t="s">
        <v>1722</v>
      </c>
      <c r="C5363" s="3" t="s">
        <v>22</v>
      </c>
    </row>
    <row r="5364" spans="1:3" x14ac:dyDescent="0.2">
      <c r="A5364" s="3" t="s">
        <v>1714</v>
      </c>
      <c r="B5364" s="3" t="s">
        <v>1723</v>
      </c>
      <c r="C5364" s="3" t="s">
        <v>22</v>
      </c>
    </row>
    <row r="5365" spans="1:3" x14ac:dyDescent="0.2">
      <c r="A5365" s="3" t="s">
        <v>1714</v>
      </c>
      <c r="B5365" s="3" t="s">
        <v>1724</v>
      </c>
      <c r="C5365" s="3" t="s">
        <v>22</v>
      </c>
    </row>
    <row r="5366" spans="1:3" x14ac:dyDescent="0.2">
      <c r="A5366" s="3" t="s">
        <v>1714</v>
      </c>
      <c r="B5366" s="3" t="s">
        <v>1725</v>
      </c>
      <c r="C5366" s="3" t="s">
        <v>22</v>
      </c>
    </row>
    <row r="5367" spans="1:3" x14ac:dyDescent="0.2">
      <c r="A5367" s="3" t="s">
        <v>1726</v>
      </c>
      <c r="B5367" s="3" t="s">
        <v>1727</v>
      </c>
      <c r="C5367" s="3" t="s">
        <v>22</v>
      </c>
    </row>
    <row r="5368" spans="1:3" x14ac:dyDescent="0.2">
      <c r="A5368" s="3" t="s">
        <v>1726</v>
      </c>
      <c r="B5368" s="3" t="s">
        <v>1728</v>
      </c>
      <c r="C5368" s="3" t="s">
        <v>22</v>
      </c>
    </row>
    <row r="5369" spans="1:3" x14ac:dyDescent="0.2">
      <c r="A5369" s="3" t="s">
        <v>1726</v>
      </c>
      <c r="B5369" s="3" t="s">
        <v>1704</v>
      </c>
      <c r="C5369" s="3" t="s">
        <v>22</v>
      </c>
    </row>
    <row r="5370" spans="1:3" x14ac:dyDescent="0.2">
      <c r="A5370" s="3" t="s">
        <v>1729</v>
      </c>
      <c r="B5370" s="3" t="s">
        <v>1650</v>
      </c>
      <c r="C5370" s="3" t="s">
        <v>53</v>
      </c>
    </row>
    <row r="5371" spans="1:3" x14ac:dyDescent="0.2">
      <c r="A5371" s="3" t="s">
        <v>1729</v>
      </c>
      <c r="B5371" s="3" t="s">
        <v>1651</v>
      </c>
      <c r="C5371" s="3" t="s">
        <v>53</v>
      </c>
    </row>
    <row r="5372" spans="1:3" x14ac:dyDescent="0.2">
      <c r="A5372" s="3" t="s">
        <v>1729</v>
      </c>
      <c r="B5372" s="3" t="s">
        <v>1650</v>
      </c>
      <c r="C5372" s="3" t="s">
        <v>54</v>
      </c>
    </row>
    <row r="5373" spans="1:3" x14ac:dyDescent="0.2">
      <c r="A5373" s="3" t="s">
        <v>1729</v>
      </c>
      <c r="B5373" s="3" t="s">
        <v>1651</v>
      </c>
      <c r="C5373" s="3" t="s">
        <v>54</v>
      </c>
    </row>
    <row r="5374" spans="1:3" x14ac:dyDescent="0.2">
      <c r="A5374" s="3" t="s">
        <v>1729</v>
      </c>
      <c r="B5374" s="3" t="s">
        <v>1650</v>
      </c>
      <c r="C5374" s="3" t="s">
        <v>55</v>
      </c>
    </row>
    <row r="5375" spans="1:3" x14ac:dyDescent="0.2">
      <c r="A5375" s="3" t="s">
        <v>1729</v>
      </c>
      <c r="B5375" s="3" t="s">
        <v>1651</v>
      </c>
      <c r="C5375" s="3" t="s">
        <v>55</v>
      </c>
    </row>
    <row r="5376" spans="1:3" x14ac:dyDescent="0.2">
      <c r="A5376" s="3" t="s">
        <v>1729</v>
      </c>
      <c r="B5376" s="3" t="s">
        <v>1650</v>
      </c>
      <c r="C5376" s="3" t="s">
        <v>56</v>
      </c>
    </row>
    <row r="5377" spans="1:3" x14ac:dyDescent="0.2">
      <c r="A5377" s="3" t="s">
        <v>1729</v>
      </c>
      <c r="B5377" s="3" t="s">
        <v>1651</v>
      </c>
      <c r="C5377" s="3" t="s">
        <v>56</v>
      </c>
    </row>
    <row r="5378" spans="1:3" x14ac:dyDescent="0.2">
      <c r="A5378" s="3" t="s">
        <v>1729</v>
      </c>
      <c r="B5378" s="3" t="s">
        <v>1650</v>
      </c>
      <c r="C5378" s="3" t="s">
        <v>57</v>
      </c>
    </row>
    <row r="5379" spans="1:3" x14ac:dyDescent="0.2">
      <c r="A5379" s="3" t="s">
        <v>1729</v>
      </c>
      <c r="B5379" s="3" t="s">
        <v>1651</v>
      </c>
      <c r="C5379" s="3" t="s">
        <v>57</v>
      </c>
    </row>
    <row r="5380" spans="1:3" x14ac:dyDescent="0.2">
      <c r="A5380" s="3" t="s">
        <v>1729</v>
      </c>
      <c r="B5380" s="3" t="s">
        <v>1654</v>
      </c>
      <c r="C5380" s="3" t="s">
        <v>22</v>
      </c>
    </row>
    <row r="5381" spans="1:3" x14ac:dyDescent="0.2">
      <c r="A5381" s="3" t="s">
        <v>1729</v>
      </c>
      <c r="B5381" s="3" t="s">
        <v>1730</v>
      </c>
      <c r="C5381" s="3" t="s">
        <v>22</v>
      </c>
    </row>
    <row r="5382" spans="1:3" x14ac:dyDescent="0.2">
      <c r="A5382" s="3" t="s">
        <v>1729</v>
      </c>
      <c r="B5382" s="3" t="s">
        <v>1731</v>
      </c>
      <c r="C5382" s="3" t="s">
        <v>22</v>
      </c>
    </row>
    <row r="5383" spans="1:3" x14ac:dyDescent="0.2">
      <c r="A5383" s="3" t="s">
        <v>1729</v>
      </c>
      <c r="B5383" s="3" t="s">
        <v>1666</v>
      </c>
      <c r="C5383" s="3" t="s">
        <v>22</v>
      </c>
    </row>
    <row r="5384" spans="1:3" x14ac:dyDescent="0.2">
      <c r="A5384" s="3" t="s">
        <v>1729</v>
      </c>
      <c r="B5384" s="3" t="s">
        <v>1659</v>
      </c>
      <c r="C5384" s="3" t="s">
        <v>22</v>
      </c>
    </row>
    <row r="5385" spans="1:3" x14ac:dyDescent="0.2">
      <c r="A5385" s="3" t="s">
        <v>1732</v>
      </c>
      <c r="B5385" s="3" t="s">
        <v>1669</v>
      </c>
      <c r="C5385" s="3" t="s">
        <v>53</v>
      </c>
    </row>
    <row r="5386" spans="1:3" x14ac:dyDescent="0.2">
      <c r="A5386" s="3" t="s">
        <v>1732</v>
      </c>
      <c r="B5386" s="3" t="s">
        <v>1670</v>
      </c>
      <c r="C5386" s="3" t="s">
        <v>53</v>
      </c>
    </row>
    <row r="5387" spans="1:3" x14ac:dyDescent="0.2">
      <c r="A5387" s="3" t="s">
        <v>1732</v>
      </c>
      <c r="B5387" s="3" t="s">
        <v>1671</v>
      </c>
      <c r="C5387" s="3" t="s">
        <v>53</v>
      </c>
    </row>
    <row r="5388" spans="1:3" x14ac:dyDescent="0.2">
      <c r="A5388" s="3" t="s">
        <v>1732</v>
      </c>
      <c r="B5388" s="3" t="s">
        <v>1706</v>
      </c>
      <c r="C5388" s="3" t="s">
        <v>53</v>
      </c>
    </row>
    <row r="5389" spans="1:3" x14ac:dyDescent="0.2">
      <c r="A5389" s="3" t="s">
        <v>1732</v>
      </c>
      <c r="B5389" s="3" t="s">
        <v>1669</v>
      </c>
      <c r="C5389" s="3" t="s">
        <v>54</v>
      </c>
    </row>
    <row r="5390" spans="1:3" x14ac:dyDescent="0.2">
      <c r="A5390" s="3" t="s">
        <v>1732</v>
      </c>
      <c r="B5390" s="3" t="s">
        <v>1670</v>
      </c>
      <c r="C5390" s="3" t="s">
        <v>54</v>
      </c>
    </row>
    <row r="5391" spans="1:3" x14ac:dyDescent="0.2">
      <c r="A5391" s="3" t="s">
        <v>1732</v>
      </c>
      <c r="B5391" s="3" t="s">
        <v>1671</v>
      </c>
      <c r="C5391" s="3" t="s">
        <v>54</v>
      </c>
    </row>
    <row r="5392" spans="1:3" x14ac:dyDescent="0.2">
      <c r="A5392" s="3" t="s">
        <v>1732</v>
      </c>
      <c r="B5392" s="3" t="s">
        <v>1706</v>
      </c>
      <c r="C5392" s="3" t="s">
        <v>54</v>
      </c>
    </row>
    <row r="5393" spans="1:3" x14ac:dyDescent="0.2">
      <c r="A5393" s="3" t="s">
        <v>1732</v>
      </c>
      <c r="B5393" s="3" t="s">
        <v>1669</v>
      </c>
      <c r="C5393" s="3" t="s">
        <v>55</v>
      </c>
    </row>
    <row r="5394" spans="1:3" x14ac:dyDescent="0.2">
      <c r="A5394" s="3" t="s">
        <v>1732</v>
      </c>
      <c r="B5394" s="3" t="s">
        <v>1670</v>
      </c>
      <c r="C5394" s="3" t="s">
        <v>55</v>
      </c>
    </row>
    <row r="5395" spans="1:3" x14ac:dyDescent="0.2">
      <c r="A5395" s="3" t="s">
        <v>1732</v>
      </c>
      <c r="B5395" s="3" t="s">
        <v>1669</v>
      </c>
      <c r="C5395" s="3" t="s">
        <v>56</v>
      </c>
    </row>
    <row r="5396" spans="1:3" x14ac:dyDescent="0.2">
      <c r="A5396" s="3" t="s">
        <v>1732</v>
      </c>
      <c r="B5396" s="3" t="s">
        <v>1670</v>
      </c>
      <c r="C5396" s="3" t="s">
        <v>56</v>
      </c>
    </row>
    <row r="5397" spans="1:3" x14ac:dyDescent="0.2">
      <c r="A5397" s="3" t="s">
        <v>1732</v>
      </c>
      <c r="B5397" s="3" t="s">
        <v>1669</v>
      </c>
      <c r="C5397" s="3" t="s">
        <v>57</v>
      </c>
    </row>
    <row r="5398" spans="1:3" x14ac:dyDescent="0.2">
      <c r="A5398" s="3" t="s">
        <v>1732</v>
      </c>
      <c r="B5398" s="3" t="s">
        <v>1670</v>
      </c>
      <c r="C5398" s="3" t="s">
        <v>57</v>
      </c>
    </row>
    <row r="5399" spans="1:3" x14ac:dyDescent="0.2">
      <c r="A5399" s="3" t="s">
        <v>1732</v>
      </c>
      <c r="B5399" s="3" t="s">
        <v>1733</v>
      </c>
      <c r="C5399" s="3" t="s">
        <v>169</v>
      </c>
    </row>
    <row r="5400" spans="1:3" x14ac:dyDescent="0.2">
      <c r="A5400" s="3" t="s">
        <v>1732</v>
      </c>
      <c r="B5400" s="3" t="s">
        <v>1734</v>
      </c>
      <c r="C5400" s="3" t="s">
        <v>169</v>
      </c>
    </row>
    <row r="5401" spans="1:3" x14ac:dyDescent="0.2">
      <c r="A5401" s="3" t="s">
        <v>1735</v>
      </c>
      <c r="B5401" s="3" t="s">
        <v>1736</v>
      </c>
      <c r="C5401" s="3" t="s">
        <v>53</v>
      </c>
    </row>
    <row r="5402" spans="1:3" x14ac:dyDescent="0.2">
      <c r="A5402" s="3" t="s">
        <v>1735</v>
      </c>
      <c r="B5402" s="3" t="s">
        <v>1736</v>
      </c>
      <c r="C5402" s="3" t="s">
        <v>54</v>
      </c>
    </row>
    <row r="5403" spans="1:3" x14ac:dyDescent="0.2">
      <c r="A5403" s="3" t="s">
        <v>1735</v>
      </c>
      <c r="B5403" s="3" t="s">
        <v>1736</v>
      </c>
      <c r="C5403" s="3" t="s">
        <v>55</v>
      </c>
    </row>
    <row r="5404" spans="1:3" x14ac:dyDescent="0.2">
      <c r="A5404" s="3" t="s">
        <v>1735</v>
      </c>
      <c r="B5404" s="3" t="s">
        <v>1736</v>
      </c>
      <c r="C5404" s="3" t="s">
        <v>56</v>
      </c>
    </row>
    <row r="5405" spans="1:3" x14ac:dyDescent="0.2">
      <c r="A5405" s="3" t="s">
        <v>1735</v>
      </c>
      <c r="B5405" s="3" t="s">
        <v>1736</v>
      </c>
      <c r="C5405" s="3" t="s">
        <v>57</v>
      </c>
    </row>
    <row r="5406" spans="1:3" x14ac:dyDescent="0.2">
      <c r="A5406" s="3" t="s">
        <v>1735</v>
      </c>
      <c r="B5406" s="3" t="s">
        <v>1737</v>
      </c>
      <c r="C5406" s="3" t="s">
        <v>169</v>
      </c>
    </row>
    <row r="5407" spans="1:3" x14ac:dyDescent="0.2">
      <c r="A5407" s="3" t="s">
        <v>1735</v>
      </c>
      <c r="B5407" s="3" t="s">
        <v>1738</v>
      </c>
      <c r="C5407" s="3" t="s">
        <v>169</v>
      </c>
    </row>
    <row r="5408" spans="1:3" x14ac:dyDescent="0.2">
      <c r="A5408" s="3" t="s">
        <v>1735</v>
      </c>
      <c r="B5408" s="3" t="s">
        <v>1739</v>
      </c>
      <c r="C5408" s="3" t="s">
        <v>169</v>
      </c>
    </row>
    <row r="5409" spans="1:3" x14ac:dyDescent="0.2">
      <c r="A5409" s="3" t="s">
        <v>1735</v>
      </c>
      <c r="B5409" s="3" t="s">
        <v>1727</v>
      </c>
      <c r="C5409" s="3" t="s">
        <v>22</v>
      </c>
    </row>
    <row r="5410" spans="1:3" x14ac:dyDescent="0.2">
      <c r="A5410" s="3" t="s">
        <v>2386</v>
      </c>
      <c r="B5410" s="3" t="s">
        <v>2387</v>
      </c>
      <c r="C5410" s="3" t="s">
        <v>10</v>
      </c>
    </row>
    <row r="5411" spans="1:3" x14ac:dyDescent="0.2">
      <c r="A5411" s="3" t="s">
        <v>2388</v>
      </c>
      <c r="B5411" s="3" t="s">
        <v>2387</v>
      </c>
      <c r="C5411" s="3" t="s">
        <v>10</v>
      </c>
    </row>
    <row r="5412" spans="1:3" x14ac:dyDescent="0.2">
      <c r="A5412" s="3" t="s">
        <v>2389</v>
      </c>
      <c r="B5412" s="3" t="s">
        <v>2387</v>
      </c>
      <c r="C5412" s="3" t="s">
        <v>10</v>
      </c>
    </row>
    <row r="5413" spans="1:3" x14ac:dyDescent="0.2">
      <c r="A5413" s="3" t="s">
        <v>2390</v>
      </c>
      <c r="B5413" s="3" t="s">
        <v>2391</v>
      </c>
      <c r="C5413" s="3" t="s">
        <v>10</v>
      </c>
    </row>
    <row r="5414" spans="1:3" x14ac:dyDescent="0.2">
      <c r="A5414" s="3" t="s">
        <v>2390</v>
      </c>
      <c r="B5414" s="3" t="s">
        <v>2392</v>
      </c>
      <c r="C5414" s="3" t="s">
        <v>10</v>
      </c>
    </row>
    <row r="5415" spans="1:3" x14ac:dyDescent="0.2">
      <c r="A5415" s="3" t="s">
        <v>2390</v>
      </c>
      <c r="B5415" s="3" t="s">
        <v>2393</v>
      </c>
      <c r="C5415" s="3" t="s">
        <v>10</v>
      </c>
    </row>
    <row r="5416" spans="1:3" x14ac:dyDescent="0.2">
      <c r="A5416" s="3" t="s">
        <v>2394</v>
      </c>
      <c r="B5416" s="3" t="s">
        <v>2387</v>
      </c>
      <c r="C5416" s="3" t="s">
        <v>10</v>
      </c>
    </row>
    <row r="5417" spans="1:3" x14ac:dyDescent="0.2">
      <c r="A5417" s="3" t="s">
        <v>2394</v>
      </c>
      <c r="B5417" s="3" t="s">
        <v>2391</v>
      </c>
      <c r="C5417" s="3" t="s">
        <v>10</v>
      </c>
    </row>
    <row r="5418" spans="1:3" x14ac:dyDescent="0.2">
      <c r="A5418" s="3" t="s">
        <v>2395</v>
      </c>
      <c r="B5418" s="3" t="s">
        <v>2396</v>
      </c>
      <c r="C5418" s="3" t="s">
        <v>10</v>
      </c>
    </row>
    <row r="5419" spans="1:3" x14ac:dyDescent="0.2">
      <c r="A5419" s="3" t="s">
        <v>2397</v>
      </c>
      <c r="B5419" s="3" t="s">
        <v>1342</v>
      </c>
      <c r="C5419" s="3" t="s">
        <v>10</v>
      </c>
    </row>
    <row r="5420" spans="1:3" x14ac:dyDescent="0.2">
      <c r="A5420" s="3" t="s">
        <v>2397</v>
      </c>
      <c r="B5420" s="3" t="s">
        <v>1342</v>
      </c>
      <c r="C5420" s="3" t="s">
        <v>11</v>
      </c>
    </row>
    <row r="5421" spans="1:3" x14ac:dyDescent="0.2">
      <c r="A5421" s="3" t="s">
        <v>2398</v>
      </c>
      <c r="B5421" s="3" t="s">
        <v>2392</v>
      </c>
      <c r="C5421" s="3" t="s">
        <v>10</v>
      </c>
    </row>
    <row r="5422" spans="1:3" x14ac:dyDescent="0.2">
      <c r="A5422" s="3" t="s">
        <v>2398</v>
      </c>
      <c r="B5422" s="3" t="s">
        <v>2399</v>
      </c>
      <c r="C5422" s="3" t="s">
        <v>10</v>
      </c>
    </row>
    <row r="5423" spans="1:3" x14ac:dyDescent="0.2">
      <c r="A5423" s="3" t="s">
        <v>2398</v>
      </c>
      <c r="B5423" s="3" t="s">
        <v>2400</v>
      </c>
      <c r="C5423" s="3" t="s">
        <v>11</v>
      </c>
    </row>
    <row r="5424" spans="1:3" x14ac:dyDescent="0.2">
      <c r="A5424" s="3" t="s">
        <v>1740</v>
      </c>
      <c r="B5424" s="3" t="s">
        <v>1741</v>
      </c>
      <c r="C5424" s="3" t="s">
        <v>169</v>
      </c>
    </row>
    <row r="5425" spans="1:3" x14ac:dyDescent="0.2">
      <c r="A5425" s="3" t="s">
        <v>1740</v>
      </c>
      <c r="B5425" s="3" t="s">
        <v>1742</v>
      </c>
      <c r="C5425" s="3" t="s">
        <v>169</v>
      </c>
    </row>
    <row r="5426" spans="1:3" x14ac:dyDescent="0.2">
      <c r="A5426" s="3" t="s">
        <v>1740</v>
      </c>
      <c r="B5426" s="3" t="s">
        <v>1743</v>
      </c>
      <c r="C5426" s="3" t="s">
        <v>169</v>
      </c>
    </row>
    <row r="5427" spans="1:3" x14ac:dyDescent="0.2">
      <c r="A5427" s="3" t="s">
        <v>1740</v>
      </c>
      <c r="B5427" s="3" t="s">
        <v>1744</v>
      </c>
      <c r="C5427" s="3" t="s">
        <v>169</v>
      </c>
    </row>
    <row r="5428" spans="1:3" x14ac:dyDescent="0.2">
      <c r="A5428" s="3" t="s">
        <v>1740</v>
      </c>
      <c r="B5428" s="3" t="s">
        <v>1745</v>
      </c>
      <c r="C5428" s="3" t="s">
        <v>169</v>
      </c>
    </row>
    <row r="5429" spans="1:3" x14ac:dyDescent="0.2">
      <c r="A5429" s="3" t="s">
        <v>1740</v>
      </c>
      <c r="B5429" s="3" t="s">
        <v>1746</v>
      </c>
      <c r="C5429" s="3" t="s">
        <v>169</v>
      </c>
    </row>
    <row r="5430" spans="1:3" x14ac:dyDescent="0.2">
      <c r="A5430" s="3" t="s">
        <v>1740</v>
      </c>
      <c r="B5430" s="3" t="s">
        <v>1747</v>
      </c>
      <c r="C5430" s="3" t="s">
        <v>169</v>
      </c>
    </row>
    <row r="5431" spans="1:3" x14ac:dyDescent="0.2">
      <c r="A5431" s="3" t="s">
        <v>1740</v>
      </c>
      <c r="B5431" s="3" t="s">
        <v>1748</v>
      </c>
      <c r="C5431" s="3" t="s">
        <v>169</v>
      </c>
    </row>
    <row r="5432" spans="1:3" x14ac:dyDescent="0.2">
      <c r="A5432" s="3" t="s">
        <v>1740</v>
      </c>
      <c r="B5432" s="3" t="s">
        <v>1749</v>
      </c>
      <c r="C5432" s="3" t="s">
        <v>169</v>
      </c>
    </row>
    <row r="5433" spans="1:3" x14ac:dyDescent="0.2">
      <c r="A5433" s="3" t="s">
        <v>1740</v>
      </c>
      <c r="B5433" s="3" t="s">
        <v>1750</v>
      </c>
      <c r="C5433" s="3" t="s">
        <v>169</v>
      </c>
    </row>
    <row r="5434" spans="1:3" x14ac:dyDescent="0.2">
      <c r="A5434" s="3" t="s">
        <v>1740</v>
      </c>
      <c r="B5434" s="3" t="s">
        <v>1751</v>
      </c>
      <c r="C5434" s="3" t="s">
        <v>169</v>
      </c>
    </row>
    <row r="5435" spans="1:3" x14ac:dyDescent="0.2">
      <c r="A5435" s="3" t="s">
        <v>1740</v>
      </c>
      <c r="B5435" s="3" t="s">
        <v>1752</v>
      </c>
      <c r="C5435" s="3" t="s">
        <v>169</v>
      </c>
    </row>
    <row r="5436" spans="1:3" x14ac:dyDescent="0.2">
      <c r="A5436" s="3" t="s">
        <v>1740</v>
      </c>
      <c r="B5436" s="3" t="s">
        <v>1753</v>
      </c>
      <c r="C5436" s="3" t="s">
        <v>169</v>
      </c>
    </row>
    <row r="5437" spans="1:3" x14ac:dyDescent="0.2">
      <c r="A5437" s="3" t="s">
        <v>1740</v>
      </c>
      <c r="B5437" s="3" t="s">
        <v>1754</v>
      </c>
      <c r="C5437" s="3" t="s">
        <v>169</v>
      </c>
    </row>
    <row r="5438" spans="1:3" x14ac:dyDescent="0.2">
      <c r="A5438" s="3" t="s">
        <v>1740</v>
      </c>
      <c r="B5438" s="3" t="s">
        <v>1755</v>
      </c>
      <c r="C5438" s="3" t="s">
        <v>169</v>
      </c>
    </row>
    <row r="5439" spans="1:3" x14ac:dyDescent="0.2">
      <c r="A5439" s="3" t="s">
        <v>1740</v>
      </c>
      <c r="B5439" s="3" t="s">
        <v>1756</v>
      </c>
      <c r="C5439" s="3" t="s">
        <v>169</v>
      </c>
    </row>
    <row r="5440" spans="1:3" x14ac:dyDescent="0.2">
      <c r="A5440" s="3" t="s">
        <v>1740</v>
      </c>
      <c r="B5440" s="3" t="s">
        <v>1757</v>
      </c>
      <c r="C5440" s="3" t="s">
        <v>169</v>
      </c>
    </row>
    <row r="5441" spans="1:3" x14ac:dyDescent="0.2">
      <c r="A5441" s="3" t="s">
        <v>1740</v>
      </c>
      <c r="B5441" s="3" t="s">
        <v>1758</v>
      </c>
      <c r="C5441" s="3" t="s">
        <v>169</v>
      </c>
    </row>
    <row r="5442" spans="1:3" x14ac:dyDescent="0.2">
      <c r="A5442" s="3" t="s">
        <v>1740</v>
      </c>
      <c r="B5442" s="3" t="s">
        <v>1759</v>
      </c>
      <c r="C5442" s="3" t="s">
        <v>169</v>
      </c>
    </row>
    <row r="5443" spans="1:3" x14ac:dyDescent="0.2">
      <c r="A5443" s="3" t="s">
        <v>1740</v>
      </c>
      <c r="B5443" s="3" t="s">
        <v>1760</v>
      </c>
      <c r="C5443" s="3" t="s">
        <v>169</v>
      </c>
    </row>
    <row r="5444" spans="1:3" x14ac:dyDescent="0.2">
      <c r="A5444" s="3" t="s">
        <v>1740</v>
      </c>
      <c r="B5444" s="3" t="s">
        <v>1761</v>
      </c>
      <c r="C5444" s="3" t="s">
        <v>169</v>
      </c>
    </row>
    <row r="5445" spans="1:3" x14ac:dyDescent="0.2">
      <c r="A5445" s="3" t="s">
        <v>1740</v>
      </c>
      <c r="B5445" s="3" t="s">
        <v>1762</v>
      </c>
      <c r="C5445" s="3" t="s">
        <v>169</v>
      </c>
    </row>
    <row r="5446" spans="1:3" x14ac:dyDescent="0.2">
      <c r="A5446" s="3" t="s">
        <v>1740</v>
      </c>
      <c r="B5446" s="3" t="s">
        <v>1763</v>
      </c>
      <c r="C5446" s="3" t="s">
        <v>169</v>
      </c>
    </row>
    <row r="5447" spans="1:3" x14ac:dyDescent="0.2">
      <c r="A5447" s="3" t="s">
        <v>1740</v>
      </c>
      <c r="B5447" s="3" t="s">
        <v>1764</v>
      </c>
      <c r="C5447" s="3" t="s">
        <v>169</v>
      </c>
    </row>
    <row r="5448" spans="1:3" x14ac:dyDescent="0.2">
      <c r="A5448" s="3" t="s">
        <v>1740</v>
      </c>
      <c r="B5448" s="3" t="s">
        <v>1765</v>
      </c>
      <c r="C5448" s="3" t="s">
        <v>169</v>
      </c>
    </row>
    <row r="5449" spans="1:3" x14ac:dyDescent="0.2">
      <c r="A5449" s="3" t="s">
        <v>1740</v>
      </c>
      <c r="B5449" s="3" t="s">
        <v>1766</v>
      </c>
      <c r="C5449" s="3" t="s">
        <v>169</v>
      </c>
    </row>
    <row r="5450" spans="1:3" x14ac:dyDescent="0.2">
      <c r="A5450" s="3" t="s">
        <v>1740</v>
      </c>
      <c r="B5450" s="3" t="s">
        <v>1767</v>
      </c>
      <c r="C5450" s="3" t="s">
        <v>169</v>
      </c>
    </row>
    <row r="5451" spans="1:3" x14ac:dyDescent="0.2">
      <c r="A5451" s="3" t="s">
        <v>1740</v>
      </c>
      <c r="B5451" s="3" t="s">
        <v>1768</v>
      </c>
      <c r="C5451" s="3" t="s">
        <v>169</v>
      </c>
    </row>
    <row r="5452" spans="1:3" x14ac:dyDescent="0.2">
      <c r="A5452" s="3" t="s">
        <v>1740</v>
      </c>
      <c r="B5452" s="3" t="s">
        <v>1769</v>
      </c>
      <c r="C5452" s="3" t="s">
        <v>169</v>
      </c>
    </row>
    <row r="5453" spans="1:3" x14ac:dyDescent="0.2">
      <c r="A5453" s="3" t="s">
        <v>1740</v>
      </c>
      <c r="B5453" s="3" t="s">
        <v>1770</v>
      </c>
      <c r="C5453" s="3" t="s">
        <v>169</v>
      </c>
    </row>
    <row r="5454" spans="1:3" x14ac:dyDescent="0.2">
      <c r="A5454" s="3" t="s">
        <v>1740</v>
      </c>
      <c r="B5454" s="3" t="s">
        <v>1771</v>
      </c>
      <c r="C5454" s="3" t="s">
        <v>169</v>
      </c>
    </row>
    <row r="5455" spans="1:3" x14ac:dyDescent="0.2">
      <c r="A5455" s="3" t="s">
        <v>1740</v>
      </c>
      <c r="B5455" s="3" t="s">
        <v>1772</v>
      </c>
      <c r="C5455" s="3" t="s">
        <v>169</v>
      </c>
    </row>
    <row r="5456" spans="1:3" x14ac:dyDescent="0.2">
      <c r="A5456" s="3" t="s">
        <v>1740</v>
      </c>
      <c r="B5456" s="3" t="s">
        <v>1773</v>
      </c>
      <c r="C5456" s="3" t="s">
        <v>169</v>
      </c>
    </row>
    <row r="5457" spans="1:3" x14ac:dyDescent="0.2">
      <c r="A5457" s="3" t="s">
        <v>1740</v>
      </c>
      <c r="B5457" s="3" t="s">
        <v>1774</v>
      </c>
      <c r="C5457" s="3" t="s">
        <v>169</v>
      </c>
    </row>
    <row r="5458" spans="1:3" x14ac:dyDescent="0.2">
      <c r="A5458" s="3" t="s">
        <v>1740</v>
      </c>
      <c r="B5458" s="3" t="s">
        <v>1775</v>
      </c>
      <c r="C5458" s="3" t="s">
        <v>169</v>
      </c>
    </row>
    <row r="5459" spans="1:3" x14ac:dyDescent="0.2">
      <c r="A5459" s="3" t="s">
        <v>1740</v>
      </c>
      <c r="B5459" s="3" t="s">
        <v>1776</v>
      </c>
      <c r="C5459" s="3" t="s">
        <v>169</v>
      </c>
    </row>
    <row r="5460" spans="1:3" x14ac:dyDescent="0.2">
      <c r="A5460" s="3" t="s">
        <v>1740</v>
      </c>
      <c r="B5460" s="3" t="s">
        <v>1777</v>
      </c>
      <c r="C5460" s="3" t="s">
        <v>169</v>
      </c>
    </row>
    <row r="5461" spans="1:3" x14ac:dyDescent="0.2">
      <c r="A5461" s="3" t="s">
        <v>1740</v>
      </c>
      <c r="B5461" s="3" t="s">
        <v>1778</v>
      </c>
      <c r="C5461" s="3" t="s">
        <v>169</v>
      </c>
    </row>
    <row r="5462" spans="1:3" x14ac:dyDescent="0.2">
      <c r="A5462" s="3" t="s">
        <v>1740</v>
      </c>
      <c r="B5462" s="3" t="s">
        <v>1779</v>
      </c>
      <c r="C5462" s="3" t="s">
        <v>169</v>
      </c>
    </row>
    <row r="5463" spans="1:3" x14ac:dyDescent="0.2">
      <c r="A5463" s="3" t="s">
        <v>1740</v>
      </c>
      <c r="B5463" s="3" t="s">
        <v>1780</v>
      </c>
      <c r="C5463" s="3" t="s">
        <v>169</v>
      </c>
    </row>
    <row r="5464" spans="1:3" x14ac:dyDescent="0.2">
      <c r="A5464" s="3" t="s">
        <v>1740</v>
      </c>
      <c r="B5464" s="3" t="s">
        <v>1781</v>
      </c>
      <c r="C5464" s="3" t="s">
        <v>169</v>
      </c>
    </row>
    <row r="5465" spans="1:3" x14ac:dyDescent="0.2">
      <c r="A5465" s="3" t="s">
        <v>1740</v>
      </c>
      <c r="B5465" s="3" t="s">
        <v>1782</v>
      </c>
      <c r="C5465" s="3" t="s">
        <v>169</v>
      </c>
    </row>
    <row r="5466" spans="1:3" x14ac:dyDescent="0.2">
      <c r="A5466" s="3" t="s">
        <v>1740</v>
      </c>
      <c r="B5466" s="3" t="s">
        <v>1783</v>
      </c>
      <c r="C5466" s="3" t="s">
        <v>169</v>
      </c>
    </row>
    <row r="5467" spans="1:3" x14ac:dyDescent="0.2">
      <c r="A5467" s="3" t="s">
        <v>1740</v>
      </c>
      <c r="B5467" s="3" t="s">
        <v>1784</v>
      </c>
      <c r="C5467" s="3" t="s">
        <v>169</v>
      </c>
    </row>
    <row r="5468" spans="1:3" x14ac:dyDescent="0.2">
      <c r="A5468" s="3" t="s">
        <v>1740</v>
      </c>
      <c r="B5468" s="3" t="s">
        <v>1785</v>
      </c>
      <c r="C5468" s="3" t="s">
        <v>169</v>
      </c>
    </row>
    <row r="5469" spans="1:3" x14ac:dyDescent="0.2">
      <c r="A5469" s="3" t="s">
        <v>1740</v>
      </c>
      <c r="B5469" s="3" t="s">
        <v>1786</v>
      </c>
      <c r="C5469" s="3" t="s">
        <v>169</v>
      </c>
    </row>
    <row r="5470" spans="1:3" x14ac:dyDescent="0.2">
      <c r="A5470" s="3" t="s">
        <v>1740</v>
      </c>
      <c r="B5470" s="3" t="s">
        <v>1787</v>
      </c>
      <c r="C5470" s="3" t="s">
        <v>169</v>
      </c>
    </row>
    <row r="5471" spans="1:3" x14ac:dyDescent="0.2">
      <c r="A5471" s="3" t="s">
        <v>1740</v>
      </c>
      <c r="B5471" s="3" t="s">
        <v>1788</v>
      </c>
      <c r="C5471" s="3" t="s">
        <v>169</v>
      </c>
    </row>
    <row r="5472" spans="1:3" x14ac:dyDescent="0.2">
      <c r="A5472" s="3" t="s">
        <v>1740</v>
      </c>
      <c r="B5472" s="3" t="s">
        <v>1789</v>
      </c>
      <c r="C5472" s="3" t="s">
        <v>169</v>
      </c>
    </row>
    <row r="5473" spans="1:3" x14ac:dyDescent="0.2">
      <c r="A5473" s="3" t="s">
        <v>1740</v>
      </c>
      <c r="B5473" s="3" t="s">
        <v>1790</v>
      </c>
      <c r="C5473" s="3" t="s">
        <v>169</v>
      </c>
    </row>
    <row r="5474" spans="1:3" x14ac:dyDescent="0.2">
      <c r="A5474" s="3" t="s">
        <v>1740</v>
      </c>
      <c r="B5474" s="3" t="s">
        <v>1791</v>
      </c>
      <c r="C5474" s="3" t="s">
        <v>169</v>
      </c>
    </row>
    <row r="5475" spans="1:3" x14ac:dyDescent="0.2">
      <c r="A5475" s="3" t="s">
        <v>1740</v>
      </c>
      <c r="B5475" s="3" t="s">
        <v>1792</v>
      </c>
      <c r="C5475" s="3" t="s">
        <v>169</v>
      </c>
    </row>
    <row r="5476" spans="1:3" x14ac:dyDescent="0.2">
      <c r="A5476" s="3" t="s">
        <v>1740</v>
      </c>
      <c r="B5476" s="3" t="s">
        <v>1793</v>
      </c>
      <c r="C5476" s="3" t="s">
        <v>169</v>
      </c>
    </row>
    <row r="5477" spans="1:3" x14ac:dyDescent="0.2">
      <c r="A5477" s="3" t="s">
        <v>1740</v>
      </c>
      <c r="B5477" s="3" t="s">
        <v>1794</v>
      </c>
      <c r="C5477" s="3" t="s">
        <v>169</v>
      </c>
    </row>
    <row r="5478" spans="1:3" x14ac:dyDescent="0.2">
      <c r="A5478" s="3" t="s">
        <v>1740</v>
      </c>
      <c r="B5478" s="3" t="s">
        <v>1795</v>
      </c>
      <c r="C5478" s="3" t="s">
        <v>169</v>
      </c>
    </row>
    <row r="5479" spans="1:3" x14ac:dyDescent="0.2">
      <c r="A5479" s="3" t="s">
        <v>1740</v>
      </c>
      <c r="B5479" s="3" t="s">
        <v>1796</v>
      </c>
      <c r="C5479" s="3" t="s">
        <v>169</v>
      </c>
    </row>
    <row r="5480" spans="1:3" x14ac:dyDescent="0.2">
      <c r="A5480" s="3" t="s">
        <v>1740</v>
      </c>
      <c r="B5480" s="3" t="s">
        <v>1797</v>
      </c>
      <c r="C5480" s="3" t="s">
        <v>169</v>
      </c>
    </row>
    <row r="5481" spans="1:3" x14ac:dyDescent="0.2">
      <c r="A5481" s="3" t="s">
        <v>1740</v>
      </c>
      <c r="B5481" s="3" t="s">
        <v>1798</v>
      </c>
      <c r="C5481" s="3" t="s">
        <v>169</v>
      </c>
    </row>
    <row r="5482" spans="1:3" x14ac:dyDescent="0.2">
      <c r="A5482" s="3" t="s">
        <v>1740</v>
      </c>
      <c r="B5482" s="3" t="s">
        <v>1799</v>
      </c>
      <c r="C5482" s="3" t="s">
        <v>169</v>
      </c>
    </row>
    <row r="5483" spans="1:3" x14ac:dyDescent="0.2">
      <c r="A5483" s="3" t="s">
        <v>1740</v>
      </c>
      <c r="B5483" s="3" t="s">
        <v>1800</v>
      </c>
      <c r="C5483" s="3" t="s">
        <v>169</v>
      </c>
    </row>
    <row r="5484" spans="1:3" x14ac:dyDescent="0.2">
      <c r="A5484" s="3" t="s">
        <v>1740</v>
      </c>
      <c r="B5484" s="3" t="s">
        <v>1801</v>
      </c>
      <c r="C5484" s="3" t="s">
        <v>169</v>
      </c>
    </row>
    <row r="5485" spans="1:3" x14ac:dyDescent="0.2">
      <c r="A5485" s="3" t="s">
        <v>1740</v>
      </c>
      <c r="B5485" s="3" t="s">
        <v>1802</v>
      </c>
      <c r="C5485" s="3" t="s">
        <v>169</v>
      </c>
    </row>
    <row r="5486" spans="1:3" x14ac:dyDescent="0.2">
      <c r="A5486" s="3" t="s">
        <v>1740</v>
      </c>
      <c r="B5486" s="3" t="s">
        <v>1803</v>
      </c>
      <c r="C5486" s="3" t="s">
        <v>169</v>
      </c>
    </row>
    <row r="5487" spans="1:3" x14ac:dyDescent="0.2">
      <c r="A5487" s="3" t="s">
        <v>1740</v>
      </c>
      <c r="B5487" s="3" t="s">
        <v>1804</v>
      </c>
      <c r="C5487" s="3" t="s">
        <v>169</v>
      </c>
    </row>
    <row r="5488" spans="1:3" x14ac:dyDescent="0.2">
      <c r="A5488" s="3" t="s">
        <v>1740</v>
      </c>
      <c r="B5488" s="3" t="s">
        <v>1805</v>
      </c>
      <c r="C5488" s="3" t="s">
        <v>169</v>
      </c>
    </row>
    <row r="5489" spans="1:3" x14ac:dyDescent="0.2">
      <c r="A5489" s="3" t="s">
        <v>1740</v>
      </c>
      <c r="B5489" s="3" t="s">
        <v>1806</v>
      </c>
      <c r="C5489" s="3" t="s">
        <v>169</v>
      </c>
    </row>
    <row r="5490" spans="1:3" x14ac:dyDescent="0.2">
      <c r="A5490" s="3" t="s">
        <v>1740</v>
      </c>
      <c r="B5490" s="3" t="s">
        <v>1807</v>
      </c>
      <c r="C5490" s="3" t="s">
        <v>169</v>
      </c>
    </row>
    <row r="5491" spans="1:3" x14ac:dyDescent="0.2">
      <c r="A5491" s="3" t="s">
        <v>1740</v>
      </c>
      <c r="B5491" s="3" t="s">
        <v>1808</v>
      </c>
      <c r="C5491" s="3" t="s">
        <v>169</v>
      </c>
    </row>
    <row r="5492" spans="1:3" x14ac:dyDescent="0.2">
      <c r="A5492" s="3" t="s">
        <v>1740</v>
      </c>
      <c r="B5492" s="3" t="s">
        <v>1809</v>
      </c>
      <c r="C5492" s="3" t="s">
        <v>169</v>
      </c>
    </row>
    <row r="5493" spans="1:3" x14ac:dyDescent="0.2">
      <c r="A5493" s="3" t="s">
        <v>1740</v>
      </c>
      <c r="B5493" s="3" t="s">
        <v>1810</v>
      </c>
      <c r="C5493" s="3" t="s">
        <v>169</v>
      </c>
    </row>
    <row r="5494" spans="1:3" x14ac:dyDescent="0.2">
      <c r="A5494" s="3" t="s">
        <v>1740</v>
      </c>
      <c r="B5494" s="3" t="s">
        <v>1811</v>
      </c>
      <c r="C5494" s="3" t="s">
        <v>169</v>
      </c>
    </row>
    <row r="5495" spans="1:3" x14ac:dyDescent="0.2">
      <c r="A5495" s="3" t="s">
        <v>1740</v>
      </c>
      <c r="B5495" s="3" t="s">
        <v>1812</v>
      </c>
      <c r="C5495" s="3" t="s">
        <v>169</v>
      </c>
    </row>
    <row r="5496" spans="1:3" x14ac:dyDescent="0.2">
      <c r="A5496" s="3" t="s">
        <v>1740</v>
      </c>
      <c r="B5496" s="3" t="s">
        <v>1813</v>
      </c>
      <c r="C5496" s="3" t="s">
        <v>169</v>
      </c>
    </row>
    <row r="5497" spans="1:3" x14ac:dyDescent="0.2">
      <c r="A5497" s="3" t="s">
        <v>1740</v>
      </c>
      <c r="B5497" s="3" t="s">
        <v>1814</v>
      </c>
      <c r="C5497" s="3" t="s">
        <v>169</v>
      </c>
    </row>
    <row r="5498" spans="1:3" x14ac:dyDescent="0.2">
      <c r="A5498" s="3" t="s">
        <v>1740</v>
      </c>
      <c r="B5498" s="3" t="s">
        <v>1815</v>
      </c>
      <c r="C5498" s="3" t="s">
        <v>169</v>
      </c>
    </row>
    <row r="5499" spans="1:3" x14ac:dyDescent="0.2">
      <c r="A5499" s="3" t="s">
        <v>1740</v>
      </c>
      <c r="B5499" s="3" t="s">
        <v>1816</v>
      </c>
      <c r="C5499" s="3" t="s">
        <v>169</v>
      </c>
    </row>
    <row r="5500" spans="1:3" x14ac:dyDescent="0.2">
      <c r="A5500" s="3" t="s">
        <v>1740</v>
      </c>
      <c r="B5500" s="3" t="s">
        <v>1817</v>
      </c>
      <c r="C5500" s="3" t="s">
        <v>169</v>
      </c>
    </row>
    <row r="5501" spans="1:3" x14ac:dyDescent="0.2">
      <c r="A5501" s="3" t="s">
        <v>1740</v>
      </c>
      <c r="B5501" s="3" t="s">
        <v>1818</v>
      </c>
      <c r="C5501" s="3" t="s">
        <v>169</v>
      </c>
    </row>
    <row r="5502" spans="1:3" x14ac:dyDescent="0.2">
      <c r="A5502" s="3" t="s">
        <v>1740</v>
      </c>
      <c r="B5502" s="3" t="s">
        <v>1819</v>
      </c>
      <c r="C5502" s="3" t="s">
        <v>169</v>
      </c>
    </row>
    <row r="5503" spans="1:3" x14ac:dyDescent="0.2">
      <c r="A5503" s="3" t="s">
        <v>1740</v>
      </c>
      <c r="B5503" s="3" t="s">
        <v>1820</v>
      </c>
      <c r="C5503" s="3" t="s">
        <v>169</v>
      </c>
    </row>
    <row r="5504" spans="1:3" x14ac:dyDescent="0.2">
      <c r="A5504" s="3" t="s">
        <v>1740</v>
      </c>
      <c r="B5504" s="3" t="s">
        <v>1821</v>
      </c>
      <c r="C5504" s="3" t="s">
        <v>169</v>
      </c>
    </row>
    <row r="5505" spans="1:3" x14ac:dyDescent="0.2">
      <c r="A5505" s="3" t="s">
        <v>1740</v>
      </c>
      <c r="B5505" s="3" t="s">
        <v>1822</v>
      </c>
      <c r="C5505" s="3" t="s">
        <v>169</v>
      </c>
    </row>
    <row r="5506" spans="1:3" x14ac:dyDescent="0.2">
      <c r="A5506" s="3" t="s">
        <v>1740</v>
      </c>
      <c r="B5506" s="3" t="s">
        <v>1823</v>
      </c>
      <c r="C5506" s="3" t="s">
        <v>169</v>
      </c>
    </row>
    <row r="5507" spans="1:3" x14ac:dyDescent="0.2">
      <c r="A5507" s="3" t="s">
        <v>1740</v>
      </c>
      <c r="B5507" s="3" t="s">
        <v>1824</v>
      </c>
      <c r="C5507" s="3" t="s">
        <v>169</v>
      </c>
    </row>
    <row r="5508" spans="1:3" x14ac:dyDescent="0.2">
      <c r="A5508" s="3" t="s">
        <v>1740</v>
      </c>
      <c r="B5508" s="3" t="s">
        <v>1825</v>
      </c>
      <c r="C5508" s="3" t="s">
        <v>169</v>
      </c>
    </row>
    <row r="5509" spans="1:3" x14ac:dyDescent="0.2">
      <c r="A5509" s="3" t="s">
        <v>1740</v>
      </c>
      <c r="B5509" s="3" t="s">
        <v>1826</v>
      </c>
      <c r="C5509" s="3" t="s">
        <v>169</v>
      </c>
    </row>
    <row r="5510" spans="1:3" x14ac:dyDescent="0.2">
      <c r="A5510" s="3" t="s">
        <v>1740</v>
      </c>
      <c r="B5510" s="3" t="s">
        <v>1827</v>
      </c>
      <c r="C5510" s="3" t="s">
        <v>169</v>
      </c>
    </row>
    <row r="5511" spans="1:3" x14ac:dyDescent="0.2">
      <c r="A5511" s="3" t="s">
        <v>1740</v>
      </c>
      <c r="B5511" s="3" t="s">
        <v>1828</v>
      </c>
      <c r="C5511" s="3" t="s">
        <v>169</v>
      </c>
    </row>
    <row r="5512" spans="1:3" x14ac:dyDescent="0.2">
      <c r="A5512" s="3" t="s">
        <v>1740</v>
      </c>
      <c r="B5512" s="3" t="s">
        <v>1829</v>
      </c>
      <c r="C5512" s="3" t="s">
        <v>169</v>
      </c>
    </row>
    <row r="5513" spans="1:3" x14ac:dyDescent="0.2">
      <c r="A5513" s="3" t="s">
        <v>1740</v>
      </c>
      <c r="B5513" s="3" t="s">
        <v>1830</v>
      </c>
      <c r="C5513" s="3" t="s">
        <v>169</v>
      </c>
    </row>
    <row r="5514" spans="1:3" x14ac:dyDescent="0.2">
      <c r="A5514" s="3" t="s">
        <v>1740</v>
      </c>
      <c r="B5514" s="3" t="s">
        <v>1831</v>
      </c>
      <c r="C5514" s="3" t="s">
        <v>169</v>
      </c>
    </row>
    <row r="5515" spans="1:3" x14ac:dyDescent="0.2">
      <c r="A5515" s="3" t="s">
        <v>1740</v>
      </c>
      <c r="B5515" s="3" t="s">
        <v>1832</v>
      </c>
      <c r="C5515" s="3" t="s">
        <v>169</v>
      </c>
    </row>
    <row r="5516" spans="1:3" x14ac:dyDescent="0.2">
      <c r="A5516" s="3" t="s">
        <v>1740</v>
      </c>
      <c r="B5516" s="3" t="s">
        <v>1833</v>
      </c>
      <c r="C5516" s="3" t="s">
        <v>169</v>
      </c>
    </row>
    <row r="5517" spans="1:3" x14ac:dyDescent="0.2">
      <c r="A5517" s="3" t="s">
        <v>1740</v>
      </c>
      <c r="B5517" s="3" t="s">
        <v>1834</v>
      </c>
      <c r="C5517" s="3" t="s">
        <v>169</v>
      </c>
    </row>
    <row r="5518" spans="1:3" x14ac:dyDescent="0.2">
      <c r="A5518" s="3" t="s">
        <v>1740</v>
      </c>
      <c r="B5518" s="3" t="s">
        <v>1835</v>
      </c>
      <c r="C5518" s="3" t="s">
        <v>169</v>
      </c>
    </row>
    <row r="5519" spans="1:3" x14ac:dyDescent="0.2">
      <c r="A5519" s="3" t="s">
        <v>1740</v>
      </c>
      <c r="B5519" s="3" t="s">
        <v>1836</v>
      </c>
      <c r="C5519" s="3" t="s">
        <v>169</v>
      </c>
    </row>
    <row r="5520" spans="1:3" x14ac:dyDescent="0.2">
      <c r="A5520" s="3" t="s">
        <v>1740</v>
      </c>
      <c r="B5520" s="3" t="s">
        <v>1837</v>
      </c>
      <c r="C5520" s="3" t="s">
        <v>169</v>
      </c>
    </row>
    <row r="5521" spans="1:3" x14ac:dyDescent="0.2">
      <c r="A5521" s="3" t="s">
        <v>1740</v>
      </c>
      <c r="B5521" s="3" t="s">
        <v>1838</v>
      </c>
      <c r="C5521" s="3" t="s">
        <v>169</v>
      </c>
    </row>
    <row r="5522" spans="1:3" x14ac:dyDescent="0.2">
      <c r="A5522" s="3" t="s">
        <v>1740</v>
      </c>
      <c r="B5522" s="3" t="s">
        <v>1839</v>
      </c>
      <c r="C5522" s="3" t="s">
        <v>22</v>
      </c>
    </row>
    <row r="5523" spans="1:3" x14ac:dyDescent="0.2">
      <c r="A5523" s="3" t="s">
        <v>1740</v>
      </c>
      <c r="B5523" s="3" t="s">
        <v>1840</v>
      </c>
      <c r="C5523" s="3" t="s">
        <v>22</v>
      </c>
    </row>
    <row r="5524" spans="1:3" x14ac:dyDescent="0.2">
      <c r="A5524" s="3" t="s">
        <v>1740</v>
      </c>
      <c r="B5524" s="3" t="s">
        <v>1841</v>
      </c>
      <c r="C5524" s="3" t="s">
        <v>22</v>
      </c>
    </row>
    <row r="5525" spans="1:3" x14ac:dyDescent="0.2">
      <c r="A5525" s="3" t="s">
        <v>1740</v>
      </c>
      <c r="B5525" s="3" t="s">
        <v>1842</v>
      </c>
      <c r="C5525" s="3" t="s">
        <v>22</v>
      </c>
    </row>
    <row r="5526" spans="1:3" x14ac:dyDescent="0.2">
      <c r="A5526" s="3" t="s">
        <v>1740</v>
      </c>
      <c r="B5526" s="3" t="s">
        <v>1843</v>
      </c>
      <c r="C5526" s="3" t="s">
        <v>22</v>
      </c>
    </row>
    <row r="5527" spans="1:3" x14ac:dyDescent="0.2">
      <c r="A5527" s="3" t="s">
        <v>1740</v>
      </c>
      <c r="B5527" s="3" t="s">
        <v>1844</v>
      </c>
      <c r="C5527" s="3" t="s">
        <v>22</v>
      </c>
    </row>
    <row r="5528" spans="1:3" x14ac:dyDescent="0.2">
      <c r="A5528" s="3" t="s">
        <v>1740</v>
      </c>
      <c r="B5528" s="3" t="s">
        <v>1845</v>
      </c>
      <c r="C5528" s="3" t="s">
        <v>22</v>
      </c>
    </row>
    <row r="5529" spans="1:3" x14ac:dyDescent="0.2">
      <c r="A5529" s="3" t="s">
        <v>1740</v>
      </c>
      <c r="B5529" s="3" t="s">
        <v>1846</v>
      </c>
      <c r="C5529" s="3" t="s">
        <v>22</v>
      </c>
    </row>
    <row r="5530" spans="1:3" x14ac:dyDescent="0.2">
      <c r="A5530" s="3" t="s">
        <v>1740</v>
      </c>
      <c r="B5530" s="3" t="s">
        <v>1847</v>
      </c>
      <c r="C5530" s="3" t="s">
        <v>22</v>
      </c>
    </row>
    <row r="5531" spans="1:3" x14ac:dyDescent="0.2">
      <c r="A5531" s="3" t="s">
        <v>1740</v>
      </c>
      <c r="B5531" s="3" t="s">
        <v>1848</v>
      </c>
      <c r="C5531" s="3" t="s">
        <v>22</v>
      </c>
    </row>
    <row r="5532" spans="1:3" x14ac:dyDescent="0.2">
      <c r="A5532" s="3" t="s">
        <v>1740</v>
      </c>
      <c r="B5532" s="3" t="s">
        <v>1849</v>
      </c>
      <c r="C5532" s="3" t="s">
        <v>22</v>
      </c>
    </row>
    <row r="5533" spans="1:3" x14ac:dyDescent="0.2">
      <c r="A5533" s="3" t="s">
        <v>1740</v>
      </c>
      <c r="B5533" s="3" t="s">
        <v>1850</v>
      </c>
      <c r="C5533" s="3" t="s">
        <v>22</v>
      </c>
    </row>
    <row r="5534" spans="1:3" x14ac:dyDescent="0.2">
      <c r="A5534" s="3" t="s">
        <v>1740</v>
      </c>
      <c r="B5534" s="3" t="s">
        <v>1851</v>
      </c>
      <c r="C5534" s="3" t="s">
        <v>22</v>
      </c>
    </row>
    <row r="5535" spans="1:3" x14ac:dyDescent="0.2">
      <c r="A5535" s="3" t="s">
        <v>1740</v>
      </c>
      <c r="B5535" s="3" t="s">
        <v>1852</v>
      </c>
      <c r="C5535" s="3" t="s">
        <v>22</v>
      </c>
    </row>
    <row r="5536" spans="1:3" x14ac:dyDescent="0.2">
      <c r="A5536" s="3" t="s">
        <v>1740</v>
      </c>
      <c r="B5536" s="3" t="s">
        <v>1853</v>
      </c>
      <c r="C5536" s="3" t="s">
        <v>22</v>
      </c>
    </row>
    <row r="5537" spans="1:3" x14ac:dyDescent="0.2">
      <c r="A5537" s="3" t="s">
        <v>1740</v>
      </c>
      <c r="B5537" s="3" t="s">
        <v>1854</v>
      </c>
      <c r="C5537" s="3" t="s">
        <v>22</v>
      </c>
    </row>
    <row r="5538" spans="1:3" x14ac:dyDescent="0.2">
      <c r="A5538" s="3" t="s">
        <v>1740</v>
      </c>
      <c r="B5538" s="3" t="s">
        <v>1855</v>
      </c>
      <c r="C5538" s="3" t="s">
        <v>22</v>
      </c>
    </row>
    <row r="5539" spans="1:3" x14ac:dyDescent="0.2">
      <c r="A5539" s="3" t="s">
        <v>1740</v>
      </c>
      <c r="B5539" s="3" t="s">
        <v>1856</v>
      </c>
      <c r="C5539" s="3" t="s">
        <v>22</v>
      </c>
    </row>
    <row r="5540" spans="1:3" x14ac:dyDescent="0.2">
      <c r="A5540" s="3" t="s">
        <v>1740</v>
      </c>
      <c r="B5540" s="3" t="s">
        <v>1857</v>
      </c>
      <c r="C5540" s="3" t="s">
        <v>22</v>
      </c>
    </row>
    <row r="5541" spans="1:3" x14ac:dyDescent="0.2">
      <c r="A5541" s="3" t="s">
        <v>1740</v>
      </c>
      <c r="B5541" s="3" t="s">
        <v>1858</v>
      </c>
      <c r="C5541" s="3" t="s">
        <v>22</v>
      </c>
    </row>
    <row r="5542" spans="1:3" x14ac:dyDescent="0.2">
      <c r="A5542" s="3" t="s">
        <v>1740</v>
      </c>
      <c r="B5542" s="3" t="s">
        <v>1859</v>
      </c>
      <c r="C5542" s="3" t="s">
        <v>22</v>
      </c>
    </row>
    <row r="5543" spans="1:3" x14ac:dyDescent="0.2">
      <c r="A5543" s="3" t="s">
        <v>1740</v>
      </c>
      <c r="B5543" s="3" t="s">
        <v>1860</v>
      </c>
      <c r="C5543" s="3" t="s">
        <v>22</v>
      </c>
    </row>
    <row r="5544" spans="1:3" x14ac:dyDescent="0.2">
      <c r="A5544" s="3" t="s">
        <v>1740</v>
      </c>
      <c r="B5544" s="3" t="s">
        <v>1861</v>
      </c>
      <c r="C5544" s="3" t="s">
        <v>22</v>
      </c>
    </row>
    <row r="5545" spans="1:3" x14ac:dyDescent="0.2">
      <c r="A5545" s="3" t="s">
        <v>1740</v>
      </c>
      <c r="B5545" s="3" t="s">
        <v>1862</v>
      </c>
      <c r="C5545" s="3" t="s">
        <v>22</v>
      </c>
    </row>
    <row r="5546" spans="1:3" x14ac:dyDescent="0.2">
      <c r="A5546" s="3" t="s">
        <v>1740</v>
      </c>
      <c r="B5546" s="3" t="s">
        <v>1863</v>
      </c>
      <c r="C5546" s="3" t="s">
        <v>22</v>
      </c>
    </row>
    <row r="5547" spans="1:3" x14ac:dyDescent="0.2">
      <c r="A5547" s="3" t="s">
        <v>1740</v>
      </c>
      <c r="B5547" s="3" t="s">
        <v>1864</v>
      </c>
      <c r="C5547" s="3" t="s">
        <v>22</v>
      </c>
    </row>
    <row r="5548" spans="1:3" x14ac:dyDescent="0.2">
      <c r="A5548" s="3" t="s">
        <v>1740</v>
      </c>
      <c r="B5548" s="3" t="s">
        <v>1865</v>
      </c>
      <c r="C5548" s="3" t="s">
        <v>22</v>
      </c>
    </row>
    <row r="5549" spans="1:3" x14ac:dyDescent="0.2">
      <c r="A5549" s="3" t="s">
        <v>1740</v>
      </c>
      <c r="B5549" s="3" t="s">
        <v>1866</v>
      </c>
      <c r="C5549" s="3" t="s">
        <v>22</v>
      </c>
    </row>
    <row r="5550" spans="1:3" x14ac:dyDescent="0.2">
      <c r="A5550" s="3" t="s">
        <v>1740</v>
      </c>
      <c r="B5550" s="3" t="s">
        <v>1867</v>
      </c>
      <c r="C5550" s="3" t="s">
        <v>22</v>
      </c>
    </row>
    <row r="5551" spans="1:3" x14ac:dyDescent="0.2">
      <c r="A5551" s="3" t="s">
        <v>1740</v>
      </c>
      <c r="B5551" s="3" t="s">
        <v>1868</v>
      </c>
      <c r="C5551" s="3" t="s">
        <v>22</v>
      </c>
    </row>
    <row r="5552" spans="1:3" x14ac:dyDescent="0.2">
      <c r="A5552" s="3" t="s">
        <v>1740</v>
      </c>
      <c r="B5552" s="3" t="s">
        <v>1869</v>
      </c>
      <c r="C5552" s="3" t="s">
        <v>22</v>
      </c>
    </row>
    <row r="5553" spans="1:3" x14ac:dyDescent="0.2">
      <c r="A5553" s="3" t="s">
        <v>1740</v>
      </c>
      <c r="B5553" s="3" t="s">
        <v>1870</v>
      </c>
      <c r="C5553" s="3" t="s">
        <v>22</v>
      </c>
    </row>
    <row r="5554" spans="1:3" x14ac:dyDescent="0.2">
      <c r="A5554" s="3" t="s">
        <v>1740</v>
      </c>
      <c r="B5554" s="3" t="s">
        <v>1871</v>
      </c>
      <c r="C5554" s="3" t="s">
        <v>22</v>
      </c>
    </row>
    <row r="5555" spans="1:3" x14ac:dyDescent="0.2">
      <c r="A5555" s="3" t="s">
        <v>1740</v>
      </c>
      <c r="B5555" s="3" t="s">
        <v>1872</v>
      </c>
      <c r="C5555" s="3" t="s">
        <v>22</v>
      </c>
    </row>
    <row r="5556" spans="1:3" x14ac:dyDescent="0.2">
      <c r="A5556" s="3" t="s">
        <v>1740</v>
      </c>
      <c r="B5556" s="3" t="s">
        <v>1873</v>
      </c>
      <c r="C5556" s="3" t="s">
        <v>22</v>
      </c>
    </row>
    <row r="5557" spans="1:3" x14ac:dyDescent="0.2">
      <c r="A5557" s="3" t="s">
        <v>1740</v>
      </c>
      <c r="B5557" s="3" t="s">
        <v>1874</v>
      </c>
      <c r="C5557" s="3" t="s">
        <v>22</v>
      </c>
    </row>
    <row r="5558" spans="1:3" x14ac:dyDescent="0.2">
      <c r="A5558" s="3" t="s">
        <v>1740</v>
      </c>
      <c r="B5558" s="3" t="s">
        <v>1875</v>
      </c>
      <c r="C5558" s="3" t="s">
        <v>22</v>
      </c>
    </row>
    <row r="5559" spans="1:3" x14ac:dyDescent="0.2">
      <c r="A5559" s="3" t="s">
        <v>1740</v>
      </c>
      <c r="B5559" s="3" t="s">
        <v>1876</v>
      </c>
      <c r="C5559" s="3" t="s">
        <v>22</v>
      </c>
    </row>
    <row r="5560" spans="1:3" x14ac:dyDescent="0.2">
      <c r="A5560" s="3" t="s">
        <v>1740</v>
      </c>
      <c r="B5560" s="3" t="s">
        <v>1877</v>
      </c>
      <c r="C5560" s="3" t="s">
        <v>22</v>
      </c>
    </row>
    <row r="5561" spans="1:3" x14ac:dyDescent="0.2">
      <c r="A5561" s="3" t="s">
        <v>1740</v>
      </c>
      <c r="B5561" s="3" t="s">
        <v>1878</v>
      </c>
      <c r="C5561" s="3" t="s">
        <v>22</v>
      </c>
    </row>
    <row r="5562" spans="1:3" x14ac:dyDescent="0.2">
      <c r="A5562" s="3" t="s">
        <v>1740</v>
      </c>
      <c r="B5562" s="3" t="s">
        <v>1879</v>
      </c>
      <c r="C5562" s="3" t="s">
        <v>22</v>
      </c>
    </row>
    <row r="5563" spans="1:3" x14ac:dyDescent="0.2">
      <c r="A5563" s="3" t="s">
        <v>1740</v>
      </c>
      <c r="B5563" s="3" t="s">
        <v>1880</v>
      </c>
      <c r="C5563" s="3" t="s">
        <v>22</v>
      </c>
    </row>
    <row r="5564" spans="1:3" x14ac:dyDescent="0.2">
      <c r="A5564" s="3" t="s">
        <v>1740</v>
      </c>
      <c r="B5564" s="3" t="s">
        <v>1881</v>
      </c>
      <c r="C5564" s="3" t="s">
        <v>22</v>
      </c>
    </row>
    <row r="5565" spans="1:3" x14ac:dyDescent="0.2">
      <c r="A5565" s="3" t="s">
        <v>1740</v>
      </c>
      <c r="B5565" s="3" t="s">
        <v>1882</v>
      </c>
      <c r="C5565" s="3" t="s">
        <v>22</v>
      </c>
    </row>
    <row r="5566" spans="1:3" x14ac:dyDescent="0.2">
      <c r="A5566" s="3" t="s">
        <v>1740</v>
      </c>
      <c r="B5566" s="3" t="s">
        <v>1883</v>
      </c>
      <c r="C5566" s="3" t="s">
        <v>22</v>
      </c>
    </row>
    <row r="5567" spans="1:3" x14ac:dyDescent="0.2">
      <c r="A5567" s="3" t="s">
        <v>1740</v>
      </c>
      <c r="B5567" s="3" t="s">
        <v>1884</v>
      </c>
      <c r="C5567" s="3" t="s">
        <v>22</v>
      </c>
    </row>
    <row r="5568" spans="1:3" x14ac:dyDescent="0.2">
      <c r="A5568" s="3" t="s">
        <v>1740</v>
      </c>
      <c r="B5568" s="3" t="s">
        <v>2614</v>
      </c>
      <c r="C5568" s="3" t="s">
        <v>22</v>
      </c>
    </row>
    <row r="5569" spans="1:3" x14ac:dyDescent="0.2">
      <c r="A5569" s="3" t="s">
        <v>1740</v>
      </c>
      <c r="B5569" s="3" t="s">
        <v>1885</v>
      </c>
      <c r="C5569" s="3" t="s">
        <v>22</v>
      </c>
    </row>
    <row r="5570" spans="1:3" x14ac:dyDescent="0.2">
      <c r="A5570" s="3" t="s">
        <v>1740</v>
      </c>
      <c r="B5570" s="3" t="s">
        <v>2613</v>
      </c>
      <c r="C5570" s="3" t="s">
        <v>22</v>
      </c>
    </row>
    <row r="5571" spans="1:3" x14ac:dyDescent="0.2">
      <c r="A5571" s="3" t="s">
        <v>1740</v>
      </c>
      <c r="B5571" s="3" t="s">
        <v>1886</v>
      </c>
      <c r="C5571" s="3" t="s">
        <v>22</v>
      </c>
    </row>
    <row r="5572" spans="1:3" x14ac:dyDescent="0.2">
      <c r="A5572" s="3" t="s">
        <v>1740</v>
      </c>
      <c r="B5572" s="3" t="s">
        <v>1887</v>
      </c>
      <c r="C5572" s="3" t="s">
        <v>22</v>
      </c>
    </row>
    <row r="5573" spans="1:3" x14ac:dyDescent="0.2">
      <c r="A5573" s="3" t="s">
        <v>1740</v>
      </c>
      <c r="B5573" s="3" t="s">
        <v>1888</v>
      </c>
      <c r="C5573" s="3" t="s">
        <v>22</v>
      </c>
    </row>
    <row r="5574" spans="1:3" x14ac:dyDescent="0.2">
      <c r="A5574" s="3" t="s">
        <v>1740</v>
      </c>
      <c r="B5574" s="3" t="s">
        <v>1889</v>
      </c>
      <c r="C5574" s="3" t="s">
        <v>22</v>
      </c>
    </row>
    <row r="5575" spans="1:3" x14ac:dyDescent="0.2">
      <c r="A5575" s="3" t="s">
        <v>1740</v>
      </c>
      <c r="B5575" s="3" t="s">
        <v>1890</v>
      </c>
      <c r="C5575" s="3" t="s">
        <v>22</v>
      </c>
    </row>
    <row r="5576" spans="1:3" x14ac:dyDescent="0.2">
      <c r="A5576" s="3" t="s">
        <v>1740</v>
      </c>
      <c r="B5576" s="3" t="s">
        <v>1891</v>
      </c>
      <c r="C5576" s="3" t="s">
        <v>22</v>
      </c>
    </row>
    <row r="5577" spans="1:3" x14ac:dyDescent="0.2">
      <c r="A5577" s="3" t="s">
        <v>1740</v>
      </c>
      <c r="B5577" s="3" t="s">
        <v>1892</v>
      </c>
      <c r="C5577" s="3" t="s">
        <v>22</v>
      </c>
    </row>
    <row r="5578" spans="1:3" x14ac:dyDescent="0.2">
      <c r="A5578" s="3" t="s">
        <v>1740</v>
      </c>
      <c r="B5578" s="3" t="s">
        <v>1893</v>
      </c>
      <c r="C5578" s="3" t="s">
        <v>22</v>
      </c>
    </row>
    <row r="5579" spans="1:3" x14ac:dyDescent="0.2">
      <c r="A5579" s="3" t="s">
        <v>1740</v>
      </c>
      <c r="B5579" s="3" t="s">
        <v>1894</v>
      </c>
      <c r="C5579" s="3" t="s">
        <v>22</v>
      </c>
    </row>
    <row r="5580" spans="1:3" x14ac:dyDescent="0.2">
      <c r="A5580" s="3" t="s">
        <v>1740</v>
      </c>
      <c r="B5580" s="3" t="s">
        <v>1895</v>
      </c>
      <c r="C5580" s="3" t="s">
        <v>22</v>
      </c>
    </row>
    <row r="5581" spans="1:3" x14ac:dyDescent="0.2">
      <c r="A5581" s="3" t="s">
        <v>1740</v>
      </c>
      <c r="B5581" s="3" t="s">
        <v>1896</v>
      </c>
      <c r="C5581" s="3" t="s">
        <v>22</v>
      </c>
    </row>
    <row r="5582" spans="1:3" x14ac:dyDescent="0.2">
      <c r="A5582" s="3" t="s">
        <v>1740</v>
      </c>
      <c r="B5582" s="3" t="s">
        <v>1897</v>
      </c>
      <c r="C5582" s="3" t="s">
        <v>22</v>
      </c>
    </row>
    <row r="5583" spans="1:3" x14ac:dyDescent="0.2">
      <c r="A5583" s="3" t="s">
        <v>1740</v>
      </c>
      <c r="B5583" s="3" t="s">
        <v>1898</v>
      </c>
      <c r="C5583" s="3" t="s">
        <v>22</v>
      </c>
    </row>
    <row r="5584" spans="1:3" x14ac:dyDescent="0.2">
      <c r="A5584" s="3" t="s">
        <v>1740</v>
      </c>
      <c r="B5584" s="3" t="s">
        <v>1899</v>
      </c>
      <c r="C5584" s="3" t="s">
        <v>22</v>
      </c>
    </row>
    <row r="5585" spans="1:3" x14ac:dyDescent="0.2">
      <c r="A5585" s="3" t="s">
        <v>1740</v>
      </c>
      <c r="B5585" s="3" t="s">
        <v>1900</v>
      </c>
      <c r="C5585" s="3" t="s">
        <v>22</v>
      </c>
    </row>
    <row r="5586" spans="1:3" x14ac:dyDescent="0.2">
      <c r="A5586" s="3" t="s">
        <v>1740</v>
      </c>
      <c r="B5586" s="3" t="s">
        <v>1901</v>
      </c>
      <c r="C5586" s="3" t="s">
        <v>22</v>
      </c>
    </row>
    <row r="5587" spans="1:3" x14ac:dyDescent="0.2">
      <c r="A5587" s="3" t="s">
        <v>1740</v>
      </c>
      <c r="B5587" s="3" t="s">
        <v>1902</v>
      </c>
      <c r="C5587" s="3" t="s">
        <v>22</v>
      </c>
    </row>
    <row r="5588" spans="1:3" x14ac:dyDescent="0.2">
      <c r="A5588" s="3" t="s">
        <v>1740</v>
      </c>
      <c r="B5588" s="3" t="s">
        <v>1903</v>
      </c>
      <c r="C5588" s="3" t="s">
        <v>22</v>
      </c>
    </row>
    <row r="5589" spans="1:3" x14ac:dyDescent="0.2">
      <c r="A5589" s="3" t="s">
        <v>1740</v>
      </c>
      <c r="B5589" s="3" t="s">
        <v>1904</v>
      </c>
      <c r="C5589" s="3" t="s">
        <v>22</v>
      </c>
    </row>
    <row r="5590" spans="1:3" x14ac:dyDescent="0.2">
      <c r="A5590" s="3" t="s">
        <v>1740</v>
      </c>
      <c r="B5590" s="3" t="s">
        <v>1905</v>
      </c>
      <c r="C5590" s="3" t="s">
        <v>22</v>
      </c>
    </row>
    <row r="5591" spans="1:3" x14ac:dyDescent="0.2">
      <c r="A5591" s="3" t="s">
        <v>1740</v>
      </c>
      <c r="B5591" s="3" t="s">
        <v>1906</v>
      </c>
      <c r="C5591" s="3" t="s">
        <v>22</v>
      </c>
    </row>
    <row r="5592" spans="1:3" x14ac:dyDescent="0.2">
      <c r="A5592" s="3" t="s">
        <v>1740</v>
      </c>
      <c r="B5592" s="3" t="s">
        <v>1907</v>
      </c>
      <c r="C5592" s="3" t="s">
        <v>22</v>
      </c>
    </row>
    <row r="5593" spans="1:3" x14ac:dyDescent="0.2">
      <c r="A5593" s="3" t="s">
        <v>1740</v>
      </c>
      <c r="B5593" s="3" t="s">
        <v>1908</v>
      </c>
      <c r="C5593" s="3" t="s">
        <v>22</v>
      </c>
    </row>
    <row r="5594" spans="1:3" x14ac:dyDescent="0.2">
      <c r="A5594" s="3" t="s">
        <v>1909</v>
      </c>
      <c r="B5594" s="3" t="s">
        <v>1910</v>
      </c>
      <c r="C5594" s="3" t="s">
        <v>53</v>
      </c>
    </row>
    <row r="5595" spans="1:3" x14ac:dyDescent="0.2">
      <c r="A5595" s="3" t="s">
        <v>1909</v>
      </c>
      <c r="B5595" s="3" t="s">
        <v>1464</v>
      </c>
      <c r="C5595" s="3" t="s">
        <v>53</v>
      </c>
    </row>
    <row r="5596" spans="1:3" x14ac:dyDescent="0.2">
      <c r="A5596" s="3" t="s">
        <v>1909</v>
      </c>
      <c r="B5596" s="3" t="s">
        <v>1465</v>
      </c>
      <c r="C5596" s="3" t="s">
        <v>53</v>
      </c>
    </row>
    <row r="5597" spans="1:3" x14ac:dyDescent="0.2">
      <c r="A5597" s="3" t="s">
        <v>1909</v>
      </c>
      <c r="B5597" s="3" t="s">
        <v>1911</v>
      </c>
      <c r="C5597" s="3" t="s">
        <v>53</v>
      </c>
    </row>
    <row r="5598" spans="1:3" x14ac:dyDescent="0.2">
      <c r="A5598" s="3" t="s">
        <v>1909</v>
      </c>
      <c r="B5598" s="3" t="s">
        <v>1912</v>
      </c>
      <c r="C5598" s="3" t="s">
        <v>53</v>
      </c>
    </row>
    <row r="5599" spans="1:3" x14ac:dyDescent="0.2">
      <c r="A5599" s="3" t="s">
        <v>1909</v>
      </c>
      <c r="B5599" s="3" t="s">
        <v>1913</v>
      </c>
      <c r="C5599" s="3" t="s">
        <v>53</v>
      </c>
    </row>
    <row r="5600" spans="1:3" x14ac:dyDescent="0.2">
      <c r="A5600" s="3" t="s">
        <v>1909</v>
      </c>
      <c r="B5600" s="3" t="s">
        <v>1914</v>
      </c>
      <c r="C5600" s="3" t="s">
        <v>53</v>
      </c>
    </row>
    <row r="5601" spans="1:3" x14ac:dyDescent="0.2">
      <c r="A5601" s="3" t="s">
        <v>1909</v>
      </c>
      <c r="B5601" s="3" t="s">
        <v>1910</v>
      </c>
      <c r="C5601" s="3" t="s">
        <v>54</v>
      </c>
    </row>
    <row r="5602" spans="1:3" x14ac:dyDescent="0.2">
      <c r="A5602" s="3" t="s">
        <v>1909</v>
      </c>
      <c r="B5602" s="3" t="s">
        <v>1464</v>
      </c>
      <c r="C5602" s="3" t="s">
        <v>54</v>
      </c>
    </row>
    <row r="5603" spans="1:3" x14ac:dyDescent="0.2">
      <c r="A5603" s="3" t="s">
        <v>1909</v>
      </c>
      <c r="B5603" s="3" t="s">
        <v>1465</v>
      </c>
      <c r="C5603" s="3" t="s">
        <v>54</v>
      </c>
    </row>
    <row r="5604" spans="1:3" x14ac:dyDescent="0.2">
      <c r="A5604" s="3" t="s">
        <v>1909</v>
      </c>
      <c r="B5604" s="3" t="s">
        <v>1911</v>
      </c>
      <c r="C5604" s="3" t="s">
        <v>54</v>
      </c>
    </row>
    <row r="5605" spans="1:3" x14ac:dyDescent="0.2">
      <c r="A5605" s="3" t="s">
        <v>1909</v>
      </c>
      <c r="B5605" s="3" t="s">
        <v>1912</v>
      </c>
      <c r="C5605" s="3" t="s">
        <v>54</v>
      </c>
    </row>
    <row r="5606" spans="1:3" x14ac:dyDescent="0.2">
      <c r="A5606" s="3" t="s">
        <v>1909</v>
      </c>
      <c r="B5606" s="3" t="s">
        <v>1913</v>
      </c>
      <c r="C5606" s="3" t="s">
        <v>54</v>
      </c>
    </row>
    <row r="5607" spans="1:3" x14ac:dyDescent="0.2">
      <c r="A5607" s="3" t="s">
        <v>1909</v>
      </c>
      <c r="B5607" s="3" t="s">
        <v>1914</v>
      </c>
      <c r="C5607" s="3" t="s">
        <v>54</v>
      </c>
    </row>
    <row r="5608" spans="1:3" x14ac:dyDescent="0.2">
      <c r="A5608" s="3" t="s">
        <v>1909</v>
      </c>
      <c r="B5608" s="3" t="s">
        <v>1910</v>
      </c>
      <c r="C5608" s="3" t="s">
        <v>55</v>
      </c>
    </row>
    <row r="5609" spans="1:3" x14ac:dyDescent="0.2">
      <c r="A5609" s="3" t="s">
        <v>1909</v>
      </c>
      <c r="B5609" s="3" t="s">
        <v>1464</v>
      </c>
      <c r="C5609" s="3" t="s">
        <v>55</v>
      </c>
    </row>
    <row r="5610" spans="1:3" x14ac:dyDescent="0.2">
      <c r="A5610" s="3" t="s">
        <v>1909</v>
      </c>
      <c r="B5610" s="3" t="s">
        <v>1465</v>
      </c>
      <c r="C5610" s="3" t="s">
        <v>55</v>
      </c>
    </row>
    <row r="5611" spans="1:3" x14ac:dyDescent="0.2">
      <c r="A5611" s="3" t="s">
        <v>1909</v>
      </c>
      <c r="B5611" s="3" t="s">
        <v>1911</v>
      </c>
      <c r="C5611" s="3" t="s">
        <v>55</v>
      </c>
    </row>
    <row r="5612" spans="1:3" x14ac:dyDescent="0.2">
      <c r="A5612" s="3" t="s">
        <v>1909</v>
      </c>
      <c r="B5612" s="3" t="s">
        <v>1912</v>
      </c>
      <c r="C5612" s="3" t="s">
        <v>55</v>
      </c>
    </row>
    <row r="5613" spans="1:3" x14ac:dyDescent="0.2">
      <c r="A5613" s="3" t="s">
        <v>1909</v>
      </c>
      <c r="B5613" s="3" t="s">
        <v>1913</v>
      </c>
      <c r="C5613" s="3" t="s">
        <v>55</v>
      </c>
    </row>
    <row r="5614" spans="1:3" x14ac:dyDescent="0.2">
      <c r="A5614" s="3" t="s">
        <v>1909</v>
      </c>
      <c r="B5614" s="3" t="s">
        <v>1914</v>
      </c>
      <c r="C5614" s="3" t="s">
        <v>55</v>
      </c>
    </row>
    <row r="5615" spans="1:3" x14ac:dyDescent="0.2">
      <c r="A5615" s="3" t="s">
        <v>1909</v>
      </c>
      <c r="B5615" s="3" t="s">
        <v>1910</v>
      </c>
      <c r="C5615" s="3" t="s">
        <v>56</v>
      </c>
    </row>
    <row r="5616" spans="1:3" x14ac:dyDescent="0.2">
      <c r="A5616" s="3" t="s">
        <v>1909</v>
      </c>
      <c r="B5616" s="3" t="s">
        <v>1464</v>
      </c>
      <c r="C5616" s="3" t="s">
        <v>56</v>
      </c>
    </row>
    <row r="5617" spans="1:3" x14ac:dyDescent="0.2">
      <c r="A5617" s="3" t="s">
        <v>1909</v>
      </c>
      <c r="B5617" s="3" t="s">
        <v>1465</v>
      </c>
      <c r="C5617" s="3" t="s">
        <v>56</v>
      </c>
    </row>
    <row r="5618" spans="1:3" x14ac:dyDescent="0.2">
      <c r="A5618" s="3" t="s">
        <v>1909</v>
      </c>
      <c r="B5618" s="3" t="s">
        <v>1911</v>
      </c>
      <c r="C5618" s="3" t="s">
        <v>56</v>
      </c>
    </row>
    <row r="5619" spans="1:3" x14ac:dyDescent="0.2">
      <c r="A5619" s="3" t="s">
        <v>1909</v>
      </c>
      <c r="B5619" s="3" t="s">
        <v>1912</v>
      </c>
      <c r="C5619" s="3" t="s">
        <v>56</v>
      </c>
    </row>
    <row r="5620" spans="1:3" x14ac:dyDescent="0.2">
      <c r="A5620" s="3" t="s">
        <v>1909</v>
      </c>
      <c r="B5620" s="3" t="s">
        <v>1913</v>
      </c>
      <c r="C5620" s="3" t="s">
        <v>56</v>
      </c>
    </row>
    <row r="5621" spans="1:3" x14ac:dyDescent="0.2">
      <c r="A5621" s="3" t="s">
        <v>1909</v>
      </c>
      <c r="B5621" s="3" t="s">
        <v>1914</v>
      </c>
      <c r="C5621" s="3" t="s">
        <v>56</v>
      </c>
    </row>
    <row r="5622" spans="1:3" x14ac:dyDescent="0.2">
      <c r="A5622" s="3" t="s">
        <v>1909</v>
      </c>
      <c r="B5622" s="3" t="s">
        <v>1910</v>
      </c>
      <c r="C5622" s="3" t="s">
        <v>57</v>
      </c>
    </row>
    <row r="5623" spans="1:3" x14ac:dyDescent="0.2">
      <c r="A5623" s="3" t="s">
        <v>1909</v>
      </c>
      <c r="B5623" s="3" t="s">
        <v>1464</v>
      </c>
      <c r="C5623" s="3" t="s">
        <v>57</v>
      </c>
    </row>
    <row r="5624" spans="1:3" x14ac:dyDescent="0.2">
      <c r="A5624" s="3" t="s">
        <v>1909</v>
      </c>
      <c r="B5624" s="3" t="s">
        <v>1465</v>
      </c>
      <c r="C5624" s="3" t="s">
        <v>57</v>
      </c>
    </row>
    <row r="5625" spans="1:3" x14ac:dyDescent="0.2">
      <c r="A5625" s="3" t="s">
        <v>1909</v>
      </c>
      <c r="B5625" s="3" t="s">
        <v>1911</v>
      </c>
      <c r="C5625" s="3" t="s">
        <v>57</v>
      </c>
    </row>
    <row r="5626" spans="1:3" x14ac:dyDescent="0.2">
      <c r="A5626" s="3" t="s">
        <v>1909</v>
      </c>
      <c r="B5626" s="3" t="s">
        <v>1912</v>
      </c>
      <c r="C5626" s="3" t="s">
        <v>57</v>
      </c>
    </row>
    <row r="5627" spans="1:3" x14ac:dyDescent="0.2">
      <c r="A5627" s="3" t="s">
        <v>1909</v>
      </c>
      <c r="B5627" s="3" t="s">
        <v>1913</v>
      </c>
      <c r="C5627" s="3" t="s">
        <v>57</v>
      </c>
    </row>
    <row r="5628" spans="1:3" x14ac:dyDescent="0.2">
      <c r="A5628" s="3" t="s">
        <v>1909</v>
      </c>
      <c r="B5628" s="3" t="s">
        <v>1914</v>
      </c>
      <c r="C5628" s="3" t="s">
        <v>57</v>
      </c>
    </row>
    <row r="5629" spans="1:3" x14ac:dyDescent="0.2">
      <c r="A5629" s="3" t="s">
        <v>1909</v>
      </c>
      <c r="B5629" s="3" t="s">
        <v>1915</v>
      </c>
      <c r="C5629" s="3" t="s">
        <v>169</v>
      </c>
    </row>
    <row r="5630" spans="1:3" x14ac:dyDescent="0.2">
      <c r="A5630" s="3" t="s">
        <v>1909</v>
      </c>
      <c r="B5630" s="3" t="s">
        <v>1916</v>
      </c>
      <c r="C5630" s="3" t="s">
        <v>169</v>
      </c>
    </row>
    <row r="5631" spans="1:3" x14ac:dyDescent="0.2">
      <c r="A5631" s="3" t="s">
        <v>1909</v>
      </c>
      <c r="B5631" s="3" t="s">
        <v>1917</v>
      </c>
      <c r="C5631" s="3" t="s">
        <v>169</v>
      </c>
    </row>
    <row r="5632" spans="1:3" x14ac:dyDescent="0.2">
      <c r="A5632" s="3" t="s">
        <v>1909</v>
      </c>
      <c r="B5632" s="3" t="s">
        <v>1918</v>
      </c>
      <c r="C5632" s="3" t="s">
        <v>169</v>
      </c>
    </row>
    <row r="5633" spans="1:3" x14ac:dyDescent="0.2">
      <c r="A5633" s="3" t="s">
        <v>1909</v>
      </c>
      <c r="B5633" s="3" t="s">
        <v>1919</v>
      </c>
      <c r="C5633" s="3" t="s">
        <v>169</v>
      </c>
    </row>
    <row r="5634" spans="1:3" x14ac:dyDescent="0.2">
      <c r="A5634" s="3" t="s">
        <v>1909</v>
      </c>
      <c r="B5634" s="3" t="s">
        <v>1920</v>
      </c>
      <c r="C5634" s="3" t="s">
        <v>169</v>
      </c>
    </row>
    <row r="5635" spans="1:3" x14ac:dyDescent="0.2">
      <c r="A5635" s="3" t="s">
        <v>1909</v>
      </c>
      <c r="B5635" s="3" t="s">
        <v>1921</v>
      </c>
      <c r="C5635" s="3" t="s">
        <v>169</v>
      </c>
    </row>
    <row r="5636" spans="1:3" x14ac:dyDescent="0.2">
      <c r="A5636" s="3" t="s">
        <v>1922</v>
      </c>
      <c r="B5636" s="3" t="s">
        <v>1923</v>
      </c>
      <c r="C5636" s="3" t="s">
        <v>53</v>
      </c>
    </row>
    <row r="5637" spans="1:3" x14ac:dyDescent="0.2">
      <c r="A5637" s="3" t="s">
        <v>1922</v>
      </c>
      <c r="B5637" s="3" t="s">
        <v>1924</v>
      </c>
      <c r="C5637" s="3" t="s">
        <v>53</v>
      </c>
    </row>
    <row r="5638" spans="1:3" x14ac:dyDescent="0.2">
      <c r="A5638" s="3" t="s">
        <v>1922</v>
      </c>
      <c r="B5638" s="3" t="s">
        <v>1925</v>
      </c>
      <c r="C5638" s="3" t="s">
        <v>53</v>
      </c>
    </row>
    <row r="5639" spans="1:3" x14ac:dyDescent="0.2">
      <c r="A5639" s="3" t="s">
        <v>1922</v>
      </c>
      <c r="B5639" s="3" t="s">
        <v>1926</v>
      </c>
      <c r="C5639" s="3" t="s">
        <v>53</v>
      </c>
    </row>
    <row r="5640" spans="1:3" x14ac:dyDescent="0.2">
      <c r="A5640" s="3" t="s">
        <v>1922</v>
      </c>
      <c r="B5640" s="3" t="s">
        <v>1927</v>
      </c>
      <c r="C5640" s="3" t="s">
        <v>53</v>
      </c>
    </row>
    <row r="5641" spans="1:3" x14ac:dyDescent="0.2">
      <c r="A5641" s="3" t="s">
        <v>1922</v>
      </c>
      <c r="B5641" s="3" t="s">
        <v>1928</v>
      </c>
      <c r="C5641" s="3" t="s">
        <v>53</v>
      </c>
    </row>
    <row r="5642" spans="1:3" x14ac:dyDescent="0.2">
      <c r="A5642" s="3" t="s">
        <v>1922</v>
      </c>
      <c r="B5642" s="3" t="s">
        <v>1929</v>
      </c>
      <c r="C5642" s="3" t="s">
        <v>53</v>
      </c>
    </row>
    <row r="5643" spans="1:3" x14ac:dyDescent="0.2">
      <c r="A5643" s="3" t="s">
        <v>1922</v>
      </c>
      <c r="B5643" s="3" t="s">
        <v>1930</v>
      </c>
      <c r="C5643" s="3" t="s">
        <v>53</v>
      </c>
    </row>
    <row r="5644" spans="1:3" x14ac:dyDescent="0.2">
      <c r="A5644" s="3" t="s">
        <v>1922</v>
      </c>
      <c r="B5644" s="3" t="s">
        <v>1931</v>
      </c>
      <c r="C5644" s="3" t="s">
        <v>53</v>
      </c>
    </row>
    <row r="5645" spans="1:3" x14ac:dyDescent="0.2">
      <c r="A5645" s="3" t="s">
        <v>1922</v>
      </c>
      <c r="B5645" s="3" t="s">
        <v>1932</v>
      </c>
      <c r="C5645" s="3" t="s">
        <v>53</v>
      </c>
    </row>
    <row r="5646" spans="1:3" x14ac:dyDescent="0.2">
      <c r="A5646" s="3" t="s">
        <v>1922</v>
      </c>
      <c r="B5646" s="3" t="s">
        <v>1933</v>
      </c>
      <c r="C5646" s="3" t="s">
        <v>53</v>
      </c>
    </row>
    <row r="5647" spans="1:3" x14ac:dyDescent="0.2">
      <c r="A5647" s="3" t="s">
        <v>1922</v>
      </c>
      <c r="B5647" s="3" t="s">
        <v>1934</v>
      </c>
      <c r="C5647" s="3" t="s">
        <v>53</v>
      </c>
    </row>
    <row r="5648" spans="1:3" x14ac:dyDescent="0.2">
      <c r="A5648" s="3" t="s">
        <v>1922</v>
      </c>
      <c r="B5648" s="3" t="s">
        <v>1935</v>
      </c>
      <c r="C5648" s="3" t="s">
        <v>53</v>
      </c>
    </row>
    <row r="5649" spans="1:3" x14ac:dyDescent="0.2">
      <c r="A5649" s="3" t="s">
        <v>1922</v>
      </c>
      <c r="B5649" s="3" t="s">
        <v>1936</v>
      </c>
      <c r="C5649" s="3" t="s">
        <v>53</v>
      </c>
    </row>
    <row r="5650" spans="1:3" x14ac:dyDescent="0.2">
      <c r="A5650" s="3" t="s">
        <v>1922</v>
      </c>
      <c r="B5650" s="3" t="s">
        <v>1937</v>
      </c>
      <c r="C5650" s="3" t="s">
        <v>53</v>
      </c>
    </row>
    <row r="5651" spans="1:3" x14ac:dyDescent="0.2">
      <c r="A5651" s="3" t="s">
        <v>1922</v>
      </c>
      <c r="B5651" s="3" t="s">
        <v>1923</v>
      </c>
      <c r="C5651" s="3" t="s">
        <v>54</v>
      </c>
    </row>
    <row r="5652" spans="1:3" x14ac:dyDescent="0.2">
      <c r="A5652" s="3" t="s">
        <v>1922</v>
      </c>
      <c r="B5652" s="3" t="s">
        <v>1924</v>
      </c>
      <c r="C5652" s="3" t="s">
        <v>54</v>
      </c>
    </row>
    <row r="5653" spans="1:3" x14ac:dyDescent="0.2">
      <c r="A5653" s="3" t="s">
        <v>1922</v>
      </c>
      <c r="B5653" s="3" t="s">
        <v>1925</v>
      </c>
      <c r="C5653" s="3" t="s">
        <v>54</v>
      </c>
    </row>
    <row r="5654" spans="1:3" x14ac:dyDescent="0.2">
      <c r="A5654" s="3" t="s">
        <v>1922</v>
      </c>
      <c r="B5654" s="3" t="s">
        <v>1926</v>
      </c>
      <c r="C5654" s="3" t="s">
        <v>54</v>
      </c>
    </row>
    <row r="5655" spans="1:3" x14ac:dyDescent="0.2">
      <c r="A5655" s="3" t="s">
        <v>1922</v>
      </c>
      <c r="B5655" s="3" t="s">
        <v>1927</v>
      </c>
      <c r="C5655" s="3" t="s">
        <v>54</v>
      </c>
    </row>
    <row r="5656" spans="1:3" x14ac:dyDescent="0.2">
      <c r="A5656" s="3" t="s">
        <v>1922</v>
      </c>
      <c r="B5656" s="3" t="s">
        <v>1928</v>
      </c>
      <c r="C5656" s="3" t="s">
        <v>54</v>
      </c>
    </row>
    <row r="5657" spans="1:3" x14ac:dyDescent="0.2">
      <c r="A5657" s="3" t="s">
        <v>1922</v>
      </c>
      <c r="B5657" s="3" t="s">
        <v>1929</v>
      </c>
      <c r="C5657" s="3" t="s">
        <v>54</v>
      </c>
    </row>
    <row r="5658" spans="1:3" x14ac:dyDescent="0.2">
      <c r="A5658" s="3" t="s">
        <v>1922</v>
      </c>
      <c r="B5658" s="3" t="s">
        <v>1930</v>
      </c>
      <c r="C5658" s="3" t="s">
        <v>54</v>
      </c>
    </row>
    <row r="5659" spans="1:3" x14ac:dyDescent="0.2">
      <c r="A5659" s="3" t="s">
        <v>1922</v>
      </c>
      <c r="B5659" s="3" t="s">
        <v>1931</v>
      </c>
      <c r="C5659" s="3" t="s">
        <v>54</v>
      </c>
    </row>
    <row r="5660" spans="1:3" x14ac:dyDescent="0.2">
      <c r="A5660" s="3" t="s">
        <v>1922</v>
      </c>
      <c r="B5660" s="3" t="s">
        <v>1932</v>
      </c>
      <c r="C5660" s="3" t="s">
        <v>54</v>
      </c>
    </row>
    <row r="5661" spans="1:3" x14ac:dyDescent="0.2">
      <c r="A5661" s="3" t="s">
        <v>1922</v>
      </c>
      <c r="B5661" s="3" t="s">
        <v>1933</v>
      </c>
      <c r="C5661" s="3" t="s">
        <v>54</v>
      </c>
    </row>
    <row r="5662" spans="1:3" x14ac:dyDescent="0.2">
      <c r="A5662" s="3" t="s">
        <v>1922</v>
      </c>
      <c r="B5662" s="3" t="s">
        <v>1934</v>
      </c>
      <c r="C5662" s="3" t="s">
        <v>54</v>
      </c>
    </row>
    <row r="5663" spans="1:3" x14ac:dyDescent="0.2">
      <c r="A5663" s="3" t="s">
        <v>1922</v>
      </c>
      <c r="B5663" s="3" t="s">
        <v>1935</v>
      </c>
      <c r="C5663" s="3" t="s">
        <v>54</v>
      </c>
    </row>
    <row r="5664" spans="1:3" x14ac:dyDescent="0.2">
      <c r="A5664" s="3" t="s">
        <v>1922</v>
      </c>
      <c r="B5664" s="3" t="s">
        <v>1936</v>
      </c>
      <c r="C5664" s="3" t="s">
        <v>54</v>
      </c>
    </row>
    <row r="5665" spans="1:3" x14ac:dyDescent="0.2">
      <c r="A5665" s="3" t="s">
        <v>1922</v>
      </c>
      <c r="B5665" s="3" t="s">
        <v>1937</v>
      </c>
      <c r="C5665" s="3" t="s">
        <v>54</v>
      </c>
    </row>
    <row r="5666" spans="1:3" x14ac:dyDescent="0.2">
      <c r="A5666" s="3" t="s">
        <v>1922</v>
      </c>
      <c r="B5666" s="3" t="s">
        <v>1923</v>
      </c>
      <c r="C5666" s="3" t="s">
        <v>55</v>
      </c>
    </row>
    <row r="5667" spans="1:3" x14ac:dyDescent="0.2">
      <c r="A5667" s="3" t="s">
        <v>1922</v>
      </c>
      <c r="B5667" s="3" t="s">
        <v>1924</v>
      </c>
      <c r="C5667" s="3" t="s">
        <v>55</v>
      </c>
    </row>
    <row r="5668" spans="1:3" x14ac:dyDescent="0.2">
      <c r="A5668" s="3" t="s">
        <v>1922</v>
      </c>
      <c r="B5668" s="3" t="s">
        <v>1925</v>
      </c>
      <c r="C5668" s="3" t="s">
        <v>55</v>
      </c>
    </row>
    <row r="5669" spans="1:3" x14ac:dyDescent="0.2">
      <c r="A5669" s="3" t="s">
        <v>1922</v>
      </c>
      <c r="B5669" s="3" t="s">
        <v>1926</v>
      </c>
      <c r="C5669" s="3" t="s">
        <v>55</v>
      </c>
    </row>
    <row r="5670" spans="1:3" x14ac:dyDescent="0.2">
      <c r="A5670" s="3" t="s">
        <v>1922</v>
      </c>
      <c r="B5670" s="3" t="s">
        <v>1927</v>
      </c>
      <c r="C5670" s="3" t="s">
        <v>55</v>
      </c>
    </row>
    <row r="5671" spans="1:3" x14ac:dyDescent="0.2">
      <c r="A5671" s="3" t="s">
        <v>1922</v>
      </c>
      <c r="B5671" s="3" t="s">
        <v>1928</v>
      </c>
      <c r="C5671" s="3" t="s">
        <v>55</v>
      </c>
    </row>
    <row r="5672" spans="1:3" x14ac:dyDescent="0.2">
      <c r="A5672" s="3" t="s">
        <v>1922</v>
      </c>
      <c r="B5672" s="3" t="s">
        <v>1929</v>
      </c>
      <c r="C5672" s="3" t="s">
        <v>55</v>
      </c>
    </row>
    <row r="5673" spans="1:3" x14ac:dyDescent="0.2">
      <c r="A5673" s="3" t="s">
        <v>1922</v>
      </c>
      <c r="B5673" s="3" t="s">
        <v>1930</v>
      </c>
      <c r="C5673" s="3" t="s">
        <v>55</v>
      </c>
    </row>
    <row r="5674" spans="1:3" x14ac:dyDescent="0.2">
      <c r="A5674" s="3" t="s">
        <v>1922</v>
      </c>
      <c r="B5674" s="3" t="s">
        <v>1931</v>
      </c>
      <c r="C5674" s="3" t="s">
        <v>55</v>
      </c>
    </row>
    <row r="5675" spans="1:3" x14ac:dyDescent="0.2">
      <c r="A5675" s="3" t="s">
        <v>1922</v>
      </c>
      <c r="B5675" s="3" t="s">
        <v>1932</v>
      </c>
      <c r="C5675" s="3" t="s">
        <v>55</v>
      </c>
    </row>
    <row r="5676" spans="1:3" x14ac:dyDescent="0.2">
      <c r="A5676" s="3" t="s">
        <v>1922</v>
      </c>
      <c r="B5676" s="3" t="s">
        <v>1933</v>
      </c>
      <c r="C5676" s="3" t="s">
        <v>55</v>
      </c>
    </row>
    <row r="5677" spans="1:3" x14ac:dyDescent="0.2">
      <c r="A5677" s="3" t="s">
        <v>1922</v>
      </c>
      <c r="B5677" s="3" t="s">
        <v>1934</v>
      </c>
      <c r="C5677" s="3" t="s">
        <v>55</v>
      </c>
    </row>
    <row r="5678" spans="1:3" x14ac:dyDescent="0.2">
      <c r="A5678" s="3" t="s">
        <v>1922</v>
      </c>
      <c r="B5678" s="3" t="s">
        <v>1935</v>
      </c>
      <c r="C5678" s="3" t="s">
        <v>55</v>
      </c>
    </row>
    <row r="5679" spans="1:3" x14ac:dyDescent="0.2">
      <c r="A5679" s="3" t="s">
        <v>1922</v>
      </c>
      <c r="B5679" s="3" t="s">
        <v>1936</v>
      </c>
      <c r="C5679" s="3" t="s">
        <v>55</v>
      </c>
    </row>
    <row r="5680" spans="1:3" x14ac:dyDescent="0.2">
      <c r="A5680" s="3" t="s">
        <v>1922</v>
      </c>
      <c r="B5680" s="3" t="s">
        <v>1937</v>
      </c>
      <c r="C5680" s="3" t="s">
        <v>55</v>
      </c>
    </row>
    <row r="5681" spans="1:3" x14ac:dyDescent="0.2">
      <c r="A5681" s="3" t="s">
        <v>1922</v>
      </c>
      <c r="B5681" s="3" t="s">
        <v>1923</v>
      </c>
      <c r="C5681" s="3" t="s">
        <v>56</v>
      </c>
    </row>
    <row r="5682" spans="1:3" x14ac:dyDescent="0.2">
      <c r="A5682" s="3" t="s">
        <v>1922</v>
      </c>
      <c r="B5682" s="3" t="s">
        <v>1924</v>
      </c>
      <c r="C5682" s="3" t="s">
        <v>56</v>
      </c>
    </row>
    <row r="5683" spans="1:3" x14ac:dyDescent="0.2">
      <c r="A5683" s="3" t="s">
        <v>1922</v>
      </c>
      <c r="B5683" s="3" t="s">
        <v>1925</v>
      </c>
      <c r="C5683" s="3" t="s">
        <v>56</v>
      </c>
    </row>
    <row r="5684" spans="1:3" x14ac:dyDescent="0.2">
      <c r="A5684" s="3" t="s">
        <v>1922</v>
      </c>
      <c r="B5684" s="3" t="s">
        <v>1926</v>
      </c>
      <c r="C5684" s="3" t="s">
        <v>56</v>
      </c>
    </row>
    <row r="5685" spans="1:3" x14ac:dyDescent="0.2">
      <c r="A5685" s="3" t="s">
        <v>1922</v>
      </c>
      <c r="B5685" s="3" t="s">
        <v>1927</v>
      </c>
      <c r="C5685" s="3" t="s">
        <v>56</v>
      </c>
    </row>
    <row r="5686" spans="1:3" x14ac:dyDescent="0.2">
      <c r="A5686" s="3" t="s">
        <v>1922</v>
      </c>
      <c r="B5686" s="3" t="s">
        <v>1928</v>
      </c>
      <c r="C5686" s="3" t="s">
        <v>56</v>
      </c>
    </row>
    <row r="5687" spans="1:3" x14ac:dyDescent="0.2">
      <c r="A5687" s="3" t="s">
        <v>1922</v>
      </c>
      <c r="B5687" s="3" t="s">
        <v>1929</v>
      </c>
      <c r="C5687" s="3" t="s">
        <v>56</v>
      </c>
    </row>
    <row r="5688" spans="1:3" x14ac:dyDescent="0.2">
      <c r="A5688" s="3" t="s">
        <v>1922</v>
      </c>
      <c r="B5688" s="3" t="s">
        <v>1930</v>
      </c>
      <c r="C5688" s="3" t="s">
        <v>56</v>
      </c>
    </row>
    <row r="5689" spans="1:3" x14ac:dyDescent="0.2">
      <c r="A5689" s="3" t="s">
        <v>1922</v>
      </c>
      <c r="B5689" s="3" t="s">
        <v>1931</v>
      </c>
      <c r="C5689" s="3" t="s">
        <v>56</v>
      </c>
    </row>
    <row r="5690" spans="1:3" x14ac:dyDescent="0.2">
      <c r="A5690" s="3" t="s">
        <v>1922</v>
      </c>
      <c r="B5690" s="3" t="s">
        <v>1932</v>
      </c>
      <c r="C5690" s="3" t="s">
        <v>56</v>
      </c>
    </row>
    <row r="5691" spans="1:3" x14ac:dyDescent="0.2">
      <c r="A5691" s="3" t="s">
        <v>1922</v>
      </c>
      <c r="B5691" s="3" t="s">
        <v>1933</v>
      </c>
      <c r="C5691" s="3" t="s">
        <v>56</v>
      </c>
    </row>
    <row r="5692" spans="1:3" x14ac:dyDescent="0.2">
      <c r="A5692" s="3" t="s">
        <v>1922</v>
      </c>
      <c r="B5692" s="3" t="s">
        <v>1934</v>
      </c>
      <c r="C5692" s="3" t="s">
        <v>56</v>
      </c>
    </row>
    <row r="5693" spans="1:3" x14ac:dyDescent="0.2">
      <c r="A5693" s="3" t="s">
        <v>1922</v>
      </c>
      <c r="B5693" s="3" t="s">
        <v>1935</v>
      </c>
      <c r="C5693" s="3" t="s">
        <v>56</v>
      </c>
    </row>
    <row r="5694" spans="1:3" x14ac:dyDescent="0.2">
      <c r="A5694" s="3" t="s">
        <v>1922</v>
      </c>
      <c r="B5694" s="3" t="s">
        <v>1936</v>
      </c>
      <c r="C5694" s="3" t="s">
        <v>56</v>
      </c>
    </row>
    <row r="5695" spans="1:3" x14ac:dyDescent="0.2">
      <c r="A5695" s="3" t="s">
        <v>1922</v>
      </c>
      <c r="B5695" s="3" t="s">
        <v>1937</v>
      </c>
      <c r="C5695" s="3" t="s">
        <v>56</v>
      </c>
    </row>
    <row r="5696" spans="1:3" x14ac:dyDescent="0.2">
      <c r="A5696" s="3" t="s">
        <v>1922</v>
      </c>
      <c r="B5696" s="3" t="s">
        <v>1923</v>
      </c>
      <c r="C5696" s="3" t="s">
        <v>57</v>
      </c>
    </row>
    <row r="5697" spans="1:3" x14ac:dyDescent="0.2">
      <c r="A5697" s="3" t="s">
        <v>1922</v>
      </c>
      <c r="B5697" s="3" t="s">
        <v>1924</v>
      </c>
      <c r="C5697" s="3" t="s">
        <v>57</v>
      </c>
    </row>
    <row r="5698" spans="1:3" x14ac:dyDescent="0.2">
      <c r="A5698" s="3" t="s">
        <v>1922</v>
      </c>
      <c r="B5698" s="3" t="s">
        <v>1925</v>
      </c>
      <c r="C5698" s="3" t="s">
        <v>57</v>
      </c>
    </row>
    <row r="5699" spans="1:3" x14ac:dyDescent="0.2">
      <c r="A5699" s="3" t="s">
        <v>1922</v>
      </c>
      <c r="B5699" s="3" t="s">
        <v>1926</v>
      </c>
      <c r="C5699" s="3" t="s">
        <v>57</v>
      </c>
    </row>
    <row r="5700" spans="1:3" x14ac:dyDescent="0.2">
      <c r="A5700" s="3" t="s">
        <v>1922</v>
      </c>
      <c r="B5700" s="3" t="s">
        <v>1927</v>
      </c>
      <c r="C5700" s="3" t="s">
        <v>57</v>
      </c>
    </row>
    <row r="5701" spans="1:3" x14ac:dyDescent="0.2">
      <c r="A5701" s="3" t="s">
        <v>1922</v>
      </c>
      <c r="B5701" s="3" t="s">
        <v>1928</v>
      </c>
      <c r="C5701" s="3" t="s">
        <v>57</v>
      </c>
    </row>
    <row r="5702" spans="1:3" x14ac:dyDescent="0.2">
      <c r="A5702" s="3" t="s">
        <v>1922</v>
      </c>
      <c r="B5702" s="3" t="s">
        <v>1929</v>
      </c>
      <c r="C5702" s="3" t="s">
        <v>57</v>
      </c>
    </row>
    <row r="5703" spans="1:3" x14ac:dyDescent="0.2">
      <c r="A5703" s="3" t="s">
        <v>1922</v>
      </c>
      <c r="B5703" s="3" t="s">
        <v>1930</v>
      </c>
      <c r="C5703" s="3" t="s">
        <v>57</v>
      </c>
    </row>
    <row r="5704" spans="1:3" x14ac:dyDescent="0.2">
      <c r="A5704" s="3" t="s">
        <v>1922</v>
      </c>
      <c r="B5704" s="3" t="s">
        <v>1931</v>
      </c>
      <c r="C5704" s="3" t="s">
        <v>57</v>
      </c>
    </row>
    <row r="5705" spans="1:3" x14ac:dyDescent="0.2">
      <c r="A5705" s="3" t="s">
        <v>1922</v>
      </c>
      <c r="B5705" s="3" t="s">
        <v>1932</v>
      </c>
      <c r="C5705" s="3" t="s">
        <v>57</v>
      </c>
    </row>
    <row r="5706" spans="1:3" x14ac:dyDescent="0.2">
      <c r="A5706" s="3" t="s">
        <v>1922</v>
      </c>
      <c r="B5706" s="3" t="s">
        <v>1933</v>
      </c>
      <c r="C5706" s="3" t="s">
        <v>57</v>
      </c>
    </row>
    <row r="5707" spans="1:3" x14ac:dyDescent="0.2">
      <c r="A5707" s="3" t="s">
        <v>1922</v>
      </c>
      <c r="B5707" s="3" t="s">
        <v>1934</v>
      </c>
      <c r="C5707" s="3" t="s">
        <v>57</v>
      </c>
    </row>
    <row r="5708" spans="1:3" x14ac:dyDescent="0.2">
      <c r="A5708" s="3" t="s">
        <v>1922</v>
      </c>
      <c r="B5708" s="3" t="s">
        <v>1935</v>
      </c>
      <c r="C5708" s="3" t="s">
        <v>57</v>
      </c>
    </row>
    <row r="5709" spans="1:3" x14ac:dyDescent="0.2">
      <c r="A5709" s="3" t="s">
        <v>1922</v>
      </c>
      <c r="B5709" s="3" t="s">
        <v>1936</v>
      </c>
      <c r="C5709" s="3" t="s">
        <v>57</v>
      </c>
    </row>
    <row r="5710" spans="1:3" x14ac:dyDescent="0.2">
      <c r="A5710" s="3" t="s">
        <v>1922</v>
      </c>
      <c r="B5710" s="3" t="s">
        <v>1937</v>
      </c>
      <c r="C5710" s="3" t="s">
        <v>57</v>
      </c>
    </row>
    <row r="5711" spans="1:3" x14ac:dyDescent="0.2">
      <c r="A5711" s="3" t="s">
        <v>1922</v>
      </c>
      <c r="B5711" s="3" t="s">
        <v>1938</v>
      </c>
      <c r="C5711" s="3" t="s">
        <v>22</v>
      </c>
    </row>
    <row r="5712" spans="1:3" x14ac:dyDescent="0.2">
      <c r="A5712" s="3" t="s">
        <v>1922</v>
      </c>
      <c r="B5712" s="3" t="s">
        <v>1939</v>
      </c>
      <c r="C5712" s="3" t="s">
        <v>22</v>
      </c>
    </row>
    <row r="5713" spans="1:3" x14ac:dyDescent="0.2">
      <c r="A5713" s="3" t="s">
        <v>1922</v>
      </c>
      <c r="B5713" s="3" t="s">
        <v>1940</v>
      </c>
      <c r="C5713" s="3" t="s">
        <v>22</v>
      </c>
    </row>
    <row r="5714" spans="1:3" x14ac:dyDescent="0.2">
      <c r="A5714" s="3" t="s">
        <v>1922</v>
      </c>
      <c r="B5714" s="3" t="s">
        <v>1941</v>
      </c>
      <c r="C5714" s="3" t="s">
        <v>22</v>
      </c>
    </row>
    <row r="5715" spans="1:3" x14ac:dyDescent="0.2">
      <c r="A5715" s="3" t="s">
        <v>1922</v>
      </c>
      <c r="B5715" s="3" t="s">
        <v>1942</v>
      </c>
      <c r="C5715" s="3" t="s">
        <v>22</v>
      </c>
    </row>
    <row r="5716" spans="1:3" x14ac:dyDescent="0.2">
      <c r="A5716" s="3" t="s">
        <v>1943</v>
      </c>
      <c r="B5716" s="3" t="s">
        <v>1923</v>
      </c>
      <c r="C5716" s="3" t="s">
        <v>53</v>
      </c>
    </row>
    <row r="5717" spans="1:3" x14ac:dyDescent="0.2">
      <c r="A5717" s="3" t="s">
        <v>1943</v>
      </c>
      <c r="B5717" s="3" t="s">
        <v>1924</v>
      </c>
      <c r="C5717" s="3" t="s">
        <v>53</v>
      </c>
    </row>
    <row r="5718" spans="1:3" x14ac:dyDescent="0.2">
      <c r="A5718" s="3" t="s">
        <v>1943</v>
      </c>
      <c r="B5718" s="3" t="s">
        <v>1925</v>
      </c>
      <c r="C5718" s="3" t="s">
        <v>53</v>
      </c>
    </row>
    <row r="5719" spans="1:3" x14ac:dyDescent="0.2">
      <c r="A5719" s="3" t="s">
        <v>1943</v>
      </c>
      <c r="B5719" s="3" t="s">
        <v>1926</v>
      </c>
      <c r="C5719" s="3" t="s">
        <v>53</v>
      </c>
    </row>
    <row r="5720" spans="1:3" x14ac:dyDescent="0.2">
      <c r="A5720" s="3" t="s">
        <v>1943</v>
      </c>
      <c r="B5720" s="3" t="s">
        <v>1927</v>
      </c>
      <c r="C5720" s="3" t="s">
        <v>53</v>
      </c>
    </row>
    <row r="5721" spans="1:3" x14ac:dyDescent="0.2">
      <c r="A5721" s="3" t="s">
        <v>1943</v>
      </c>
      <c r="B5721" s="3" t="s">
        <v>1928</v>
      </c>
      <c r="C5721" s="3" t="s">
        <v>53</v>
      </c>
    </row>
    <row r="5722" spans="1:3" x14ac:dyDescent="0.2">
      <c r="A5722" s="3" t="s">
        <v>1943</v>
      </c>
      <c r="B5722" s="3" t="s">
        <v>1929</v>
      </c>
      <c r="C5722" s="3" t="s">
        <v>53</v>
      </c>
    </row>
    <row r="5723" spans="1:3" x14ac:dyDescent="0.2">
      <c r="A5723" s="3" t="s">
        <v>1943</v>
      </c>
      <c r="B5723" s="3" t="s">
        <v>1930</v>
      </c>
      <c r="C5723" s="3" t="s">
        <v>53</v>
      </c>
    </row>
    <row r="5724" spans="1:3" x14ac:dyDescent="0.2">
      <c r="A5724" s="3" t="s">
        <v>1943</v>
      </c>
      <c r="B5724" s="3" t="s">
        <v>1931</v>
      </c>
      <c r="C5724" s="3" t="s">
        <v>53</v>
      </c>
    </row>
    <row r="5725" spans="1:3" x14ac:dyDescent="0.2">
      <c r="A5725" s="3" t="s">
        <v>1943</v>
      </c>
      <c r="B5725" s="3" t="s">
        <v>1932</v>
      </c>
      <c r="C5725" s="3" t="s">
        <v>53</v>
      </c>
    </row>
    <row r="5726" spans="1:3" x14ac:dyDescent="0.2">
      <c r="A5726" s="3" t="s">
        <v>1943</v>
      </c>
      <c r="B5726" s="3" t="s">
        <v>1933</v>
      </c>
      <c r="C5726" s="3" t="s">
        <v>53</v>
      </c>
    </row>
    <row r="5727" spans="1:3" x14ac:dyDescent="0.2">
      <c r="A5727" s="3" t="s">
        <v>1943</v>
      </c>
      <c r="B5727" s="3" t="s">
        <v>1934</v>
      </c>
      <c r="C5727" s="3" t="s">
        <v>53</v>
      </c>
    </row>
    <row r="5728" spans="1:3" x14ac:dyDescent="0.2">
      <c r="A5728" s="3" t="s">
        <v>1943</v>
      </c>
      <c r="B5728" s="3" t="s">
        <v>1935</v>
      </c>
      <c r="C5728" s="3" t="s">
        <v>53</v>
      </c>
    </row>
    <row r="5729" spans="1:3" x14ac:dyDescent="0.2">
      <c r="A5729" s="3" t="s">
        <v>1943</v>
      </c>
      <c r="B5729" s="3" t="s">
        <v>1936</v>
      </c>
      <c r="C5729" s="3" t="s">
        <v>53</v>
      </c>
    </row>
    <row r="5730" spans="1:3" x14ac:dyDescent="0.2">
      <c r="A5730" s="3" t="s">
        <v>1943</v>
      </c>
      <c r="B5730" s="3" t="s">
        <v>1937</v>
      </c>
      <c r="C5730" s="3" t="s">
        <v>53</v>
      </c>
    </row>
    <row r="5731" spans="1:3" x14ac:dyDescent="0.2">
      <c r="A5731" s="3" t="s">
        <v>1943</v>
      </c>
      <c r="B5731" s="3" t="s">
        <v>1923</v>
      </c>
      <c r="C5731" s="3" t="s">
        <v>54</v>
      </c>
    </row>
    <row r="5732" spans="1:3" x14ac:dyDescent="0.2">
      <c r="A5732" s="3" t="s">
        <v>1943</v>
      </c>
      <c r="B5732" s="3" t="s">
        <v>1924</v>
      </c>
      <c r="C5732" s="3" t="s">
        <v>54</v>
      </c>
    </row>
    <row r="5733" spans="1:3" x14ac:dyDescent="0.2">
      <c r="A5733" s="3" t="s">
        <v>1943</v>
      </c>
      <c r="B5733" s="3" t="s">
        <v>1925</v>
      </c>
      <c r="C5733" s="3" t="s">
        <v>54</v>
      </c>
    </row>
    <row r="5734" spans="1:3" x14ac:dyDescent="0.2">
      <c r="A5734" s="3" t="s">
        <v>1943</v>
      </c>
      <c r="B5734" s="3" t="s">
        <v>1926</v>
      </c>
      <c r="C5734" s="3" t="s">
        <v>54</v>
      </c>
    </row>
    <row r="5735" spans="1:3" x14ac:dyDescent="0.2">
      <c r="A5735" s="3" t="s">
        <v>1943</v>
      </c>
      <c r="B5735" s="3" t="s">
        <v>1927</v>
      </c>
      <c r="C5735" s="3" t="s">
        <v>54</v>
      </c>
    </row>
    <row r="5736" spans="1:3" x14ac:dyDescent="0.2">
      <c r="A5736" s="3" t="s">
        <v>1943</v>
      </c>
      <c r="B5736" s="3" t="s">
        <v>1928</v>
      </c>
      <c r="C5736" s="3" t="s">
        <v>54</v>
      </c>
    </row>
    <row r="5737" spans="1:3" x14ac:dyDescent="0.2">
      <c r="A5737" s="3" t="s">
        <v>1943</v>
      </c>
      <c r="B5737" s="3" t="s">
        <v>1929</v>
      </c>
      <c r="C5737" s="3" t="s">
        <v>54</v>
      </c>
    </row>
    <row r="5738" spans="1:3" x14ac:dyDescent="0.2">
      <c r="A5738" s="3" t="s">
        <v>1943</v>
      </c>
      <c r="B5738" s="3" t="s">
        <v>1930</v>
      </c>
      <c r="C5738" s="3" t="s">
        <v>54</v>
      </c>
    </row>
    <row r="5739" spans="1:3" x14ac:dyDescent="0.2">
      <c r="A5739" s="3" t="s">
        <v>1943</v>
      </c>
      <c r="B5739" s="3" t="s">
        <v>1931</v>
      </c>
      <c r="C5739" s="3" t="s">
        <v>54</v>
      </c>
    </row>
    <row r="5740" spans="1:3" x14ac:dyDescent="0.2">
      <c r="A5740" s="3" t="s">
        <v>1943</v>
      </c>
      <c r="B5740" s="3" t="s">
        <v>1932</v>
      </c>
      <c r="C5740" s="3" t="s">
        <v>54</v>
      </c>
    </row>
    <row r="5741" spans="1:3" x14ac:dyDescent="0.2">
      <c r="A5741" s="3" t="s">
        <v>1943</v>
      </c>
      <c r="B5741" s="3" t="s">
        <v>1933</v>
      </c>
      <c r="C5741" s="3" t="s">
        <v>54</v>
      </c>
    </row>
    <row r="5742" spans="1:3" x14ac:dyDescent="0.2">
      <c r="A5742" s="3" t="s">
        <v>1943</v>
      </c>
      <c r="B5742" s="3" t="s">
        <v>1934</v>
      </c>
      <c r="C5742" s="3" t="s">
        <v>54</v>
      </c>
    </row>
    <row r="5743" spans="1:3" x14ac:dyDescent="0.2">
      <c r="A5743" s="3" t="s">
        <v>1943</v>
      </c>
      <c r="B5743" s="3" t="s">
        <v>1935</v>
      </c>
      <c r="C5743" s="3" t="s">
        <v>54</v>
      </c>
    </row>
    <row r="5744" spans="1:3" x14ac:dyDescent="0.2">
      <c r="A5744" s="3" t="s">
        <v>1943</v>
      </c>
      <c r="B5744" s="3" t="s">
        <v>1936</v>
      </c>
      <c r="C5744" s="3" t="s">
        <v>54</v>
      </c>
    </row>
    <row r="5745" spans="1:3" x14ac:dyDescent="0.2">
      <c r="A5745" s="3" t="s">
        <v>1943</v>
      </c>
      <c r="B5745" s="3" t="s">
        <v>1937</v>
      </c>
      <c r="C5745" s="3" t="s">
        <v>54</v>
      </c>
    </row>
    <row r="5746" spans="1:3" x14ac:dyDescent="0.2">
      <c r="A5746" s="3" t="s">
        <v>1943</v>
      </c>
      <c r="B5746" s="3" t="s">
        <v>1923</v>
      </c>
      <c r="C5746" s="3" t="s">
        <v>55</v>
      </c>
    </row>
    <row r="5747" spans="1:3" x14ac:dyDescent="0.2">
      <c r="A5747" s="3" t="s">
        <v>1943</v>
      </c>
      <c r="B5747" s="3" t="s">
        <v>1924</v>
      </c>
      <c r="C5747" s="3" t="s">
        <v>55</v>
      </c>
    </row>
    <row r="5748" spans="1:3" x14ac:dyDescent="0.2">
      <c r="A5748" s="3" t="s">
        <v>1943</v>
      </c>
      <c r="B5748" s="3" t="s">
        <v>1925</v>
      </c>
      <c r="C5748" s="3" t="s">
        <v>55</v>
      </c>
    </row>
    <row r="5749" spans="1:3" x14ac:dyDescent="0.2">
      <c r="A5749" s="3" t="s">
        <v>1943</v>
      </c>
      <c r="B5749" s="3" t="s">
        <v>1926</v>
      </c>
      <c r="C5749" s="3" t="s">
        <v>55</v>
      </c>
    </row>
    <row r="5750" spans="1:3" x14ac:dyDescent="0.2">
      <c r="A5750" s="3" t="s">
        <v>1943</v>
      </c>
      <c r="B5750" s="3" t="s">
        <v>1927</v>
      </c>
      <c r="C5750" s="3" t="s">
        <v>55</v>
      </c>
    </row>
    <row r="5751" spans="1:3" x14ac:dyDescent="0.2">
      <c r="A5751" s="3" t="s">
        <v>1943</v>
      </c>
      <c r="B5751" s="3" t="s">
        <v>1928</v>
      </c>
      <c r="C5751" s="3" t="s">
        <v>55</v>
      </c>
    </row>
    <row r="5752" spans="1:3" x14ac:dyDescent="0.2">
      <c r="A5752" s="3" t="s">
        <v>1943</v>
      </c>
      <c r="B5752" s="3" t="s">
        <v>1929</v>
      </c>
      <c r="C5752" s="3" t="s">
        <v>55</v>
      </c>
    </row>
    <row r="5753" spans="1:3" x14ac:dyDescent="0.2">
      <c r="A5753" s="3" t="s">
        <v>1943</v>
      </c>
      <c r="B5753" s="3" t="s">
        <v>1930</v>
      </c>
      <c r="C5753" s="3" t="s">
        <v>55</v>
      </c>
    </row>
    <row r="5754" spans="1:3" x14ac:dyDescent="0.2">
      <c r="A5754" s="3" t="s">
        <v>1943</v>
      </c>
      <c r="B5754" s="3" t="s">
        <v>1931</v>
      </c>
      <c r="C5754" s="3" t="s">
        <v>55</v>
      </c>
    </row>
    <row r="5755" spans="1:3" x14ac:dyDescent="0.2">
      <c r="A5755" s="3" t="s">
        <v>1943</v>
      </c>
      <c r="B5755" s="3" t="s">
        <v>1932</v>
      </c>
      <c r="C5755" s="3" t="s">
        <v>55</v>
      </c>
    </row>
    <row r="5756" spans="1:3" x14ac:dyDescent="0.2">
      <c r="A5756" s="3" t="s">
        <v>1943</v>
      </c>
      <c r="B5756" s="3" t="s">
        <v>1933</v>
      </c>
      <c r="C5756" s="3" t="s">
        <v>55</v>
      </c>
    </row>
    <row r="5757" spans="1:3" x14ac:dyDescent="0.2">
      <c r="A5757" s="3" t="s">
        <v>1943</v>
      </c>
      <c r="B5757" s="3" t="s">
        <v>1934</v>
      </c>
      <c r="C5757" s="3" t="s">
        <v>55</v>
      </c>
    </row>
    <row r="5758" spans="1:3" x14ac:dyDescent="0.2">
      <c r="A5758" s="3" t="s">
        <v>1943</v>
      </c>
      <c r="B5758" s="3" t="s">
        <v>1935</v>
      </c>
      <c r="C5758" s="3" t="s">
        <v>55</v>
      </c>
    </row>
    <row r="5759" spans="1:3" x14ac:dyDescent="0.2">
      <c r="A5759" s="3" t="s">
        <v>1943</v>
      </c>
      <c r="B5759" s="3" t="s">
        <v>1936</v>
      </c>
      <c r="C5759" s="3" t="s">
        <v>55</v>
      </c>
    </row>
    <row r="5760" spans="1:3" x14ac:dyDescent="0.2">
      <c r="A5760" s="3" t="s">
        <v>1943</v>
      </c>
      <c r="B5760" s="3" t="s">
        <v>1937</v>
      </c>
      <c r="C5760" s="3" t="s">
        <v>55</v>
      </c>
    </row>
    <row r="5761" spans="1:3" x14ac:dyDescent="0.2">
      <c r="A5761" s="3" t="s">
        <v>1943</v>
      </c>
      <c r="B5761" s="3" t="s">
        <v>1923</v>
      </c>
      <c r="C5761" s="3" t="s">
        <v>56</v>
      </c>
    </row>
    <row r="5762" spans="1:3" x14ac:dyDescent="0.2">
      <c r="A5762" s="3" t="s">
        <v>1943</v>
      </c>
      <c r="B5762" s="3" t="s">
        <v>1924</v>
      </c>
      <c r="C5762" s="3" t="s">
        <v>56</v>
      </c>
    </row>
    <row r="5763" spans="1:3" x14ac:dyDescent="0.2">
      <c r="A5763" s="3" t="s">
        <v>1943</v>
      </c>
      <c r="B5763" s="3" t="s">
        <v>1925</v>
      </c>
      <c r="C5763" s="3" t="s">
        <v>56</v>
      </c>
    </row>
    <row r="5764" spans="1:3" x14ac:dyDescent="0.2">
      <c r="A5764" s="3" t="s">
        <v>1943</v>
      </c>
      <c r="B5764" s="3" t="s">
        <v>1926</v>
      </c>
      <c r="C5764" s="3" t="s">
        <v>56</v>
      </c>
    </row>
    <row r="5765" spans="1:3" x14ac:dyDescent="0.2">
      <c r="A5765" s="3" t="s">
        <v>1943</v>
      </c>
      <c r="B5765" s="3" t="s">
        <v>1927</v>
      </c>
      <c r="C5765" s="3" t="s">
        <v>56</v>
      </c>
    </row>
    <row r="5766" spans="1:3" x14ac:dyDescent="0.2">
      <c r="A5766" s="3" t="s">
        <v>1943</v>
      </c>
      <c r="B5766" s="3" t="s">
        <v>1928</v>
      </c>
      <c r="C5766" s="3" t="s">
        <v>56</v>
      </c>
    </row>
    <row r="5767" spans="1:3" x14ac:dyDescent="0.2">
      <c r="A5767" s="3" t="s">
        <v>1943</v>
      </c>
      <c r="B5767" s="3" t="s">
        <v>1929</v>
      </c>
      <c r="C5767" s="3" t="s">
        <v>56</v>
      </c>
    </row>
    <row r="5768" spans="1:3" x14ac:dyDescent="0.2">
      <c r="A5768" s="3" t="s">
        <v>1943</v>
      </c>
      <c r="B5768" s="3" t="s">
        <v>1930</v>
      </c>
      <c r="C5768" s="3" t="s">
        <v>56</v>
      </c>
    </row>
    <row r="5769" spans="1:3" x14ac:dyDescent="0.2">
      <c r="A5769" s="3" t="s">
        <v>1943</v>
      </c>
      <c r="B5769" s="3" t="s">
        <v>1931</v>
      </c>
      <c r="C5769" s="3" t="s">
        <v>56</v>
      </c>
    </row>
    <row r="5770" spans="1:3" x14ac:dyDescent="0.2">
      <c r="A5770" s="3" t="s">
        <v>1943</v>
      </c>
      <c r="B5770" s="3" t="s">
        <v>1932</v>
      </c>
      <c r="C5770" s="3" t="s">
        <v>56</v>
      </c>
    </row>
    <row r="5771" spans="1:3" x14ac:dyDescent="0.2">
      <c r="A5771" s="3" t="s">
        <v>1943</v>
      </c>
      <c r="B5771" s="3" t="s">
        <v>1933</v>
      </c>
      <c r="C5771" s="3" t="s">
        <v>56</v>
      </c>
    </row>
    <row r="5772" spans="1:3" x14ac:dyDescent="0.2">
      <c r="A5772" s="3" t="s">
        <v>1943</v>
      </c>
      <c r="B5772" s="3" t="s">
        <v>1934</v>
      </c>
      <c r="C5772" s="3" t="s">
        <v>56</v>
      </c>
    </row>
    <row r="5773" spans="1:3" x14ac:dyDescent="0.2">
      <c r="A5773" s="3" t="s">
        <v>1943</v>
      </c>
      <c r="B5773" s="3" t="s">
        <v>1935</v>
      </c>
      <c r="C5773" s="3" t="s">
        <v>56</v>
      </c>
    </row>
    <row r="5774" spans="1:3" x14ac:dyDescent="0.2">
      <c r="A5774" s="3" t="s">
        <v>1943</v>
      </c>
      <c r="B5774" s="3" t="s">
        <v>1936</v>
      </c>
      <c r="C5774" s="3" t="s">
        <v>56</v>
      </c>
    </row>
    <row r="5775" spans="1:3" x14ac:dyDescent="0.2">
      <c r="A5775" s="3" t="s">
        <v>1943</v>
      </c>
      <c r="B5775" s="3" t="s">
        <v>1937</v>
      </c>
      <c r="C5775" s="3" t="s">
        <v>56</v>
      </c>
    </row>
    <row r="5776" spans="1:3" x14ac:dyDescent="0.2">
      <c r="A5776" s="3" t="s">
        <v>1943</v>
      </c>
      <c r="B5776" s="3" t="s">
        <v>1923</v>
      </c>
      <c r="C5776" s="3" t="s">
        <v>57</v>
      </c>
    </row>
    <row r="5777" spans="1:3" x14ac:dyDescent="0.2">
      <c r="A5777" s="3" t="s">
        <v>1943</v>
      </c>
      <c r="B5777" s="3" t="s">
        <v>1924</v>
      </c>
      <c r="C5777" s="3" t="s">
        <v>57</v>
      </c>
    </row>
    <row r="5778" spans="1:3" x14ac:dyDescent="0.2">
      <c r="A5778" s="3" t="s">
        <v>1943</v>
      </c>
      <c r="B5778" s="3" t="s">
        <v>1925</v>
      </c>
      <c r="C5778" s="3" t="s">
        <v>57</v>
      </c>
    </row>
    <row r="5779" spans="1:3" x14ac:dyDescent="0.2">
      <c r="A5779" s="3" t="s">
        <v>1943</v>
      </c>
      <c r="B5779" s="3" t="s">
        <v>1926</v>
      </c>
      <c r="C5779" s="3" t="s">
        <v>57</v>
      </c>
    </row>
    <row r="5780" spans="1:3" x14ac:dyDescent="0.2">
      <c r="A5780" s="3" t="s">
        <v>1943</v>
      </c>
      <c r="B5780" s="3" t="s">
        <v>1927</v>
      </c>
      <c r="C5780" s="3" t="s">
        <v>57</v>
      </c>
    </row>
    <row r="5781" spans="1:3" x14ac:dyDescent="0.2">
      <c r="A5781" s="3" t="s">
        <v>1943</v>
      </c>
      <c r="B5781" s="3" t="s">
        <v>1928</v>
      </c>
      <c r="C5781" s="3" t="s">
        <v>57</v>
      </c>
    </row>
    <row r="5782" spans="1:3" x14ac:dyDescent="0.2">
      <c r="A5782" s="3" t="s">
        <v>1943</v>
      </c>
      <c r="B5782" s="3" t="s">
        <v>1929</v>
      </c>
      <c r="C5782" s="3" t="s">
        <v>57</v>
      </c>
    </row>
    <row r="5783" spans="1:3" x14ac:dyDescent="0.2">
      <c r="A5783" s="3" t="s">
        <v>1943</v>
      </c>
      <c r="B5783" s="3" t="s">
        <v>1930</v>
      </c>
      <c r="C5783" s="3" t="s">
        <v>57</v>
      </c>
    </row>
    <row r="5784" spans="1:3" x14ac:dyDescent="0.2">
      <c r="A5784" s="3" t="s">
        <v>1943</v>
      </c>
      <c r="B5784" s="3" t="s">
        <v>1931</v>
      </c>
      <c r="C5784" s="3" t="s">
        <v>57</v>
      </c>
    </row>
    <row r="5785" spans="1:3" x14ac:dyDescent="0.2">
      <c r="A5785" s="3" t="s">
        <v>1943</v>
      </c>
      <c r="B5785" s="3" t="s">
        <v>1932</v>
      </c>
      <c r="C5785" s="3" t="s">
        <v>57</v>
      </c>
    </row>
    <row r="5786" spans="1:3" x14ac:dyDescent="0.2">
      <c r="A5786" s="3" t="s">
        <v>1943</v>
      </c>
      <c r="B5786" s="3" t="s">
        <v>1933</v>
      </c>
      <c r="C5786" s="3" t="s">
        <v>57</v>
      </c>
    </row>
    <row r="5787" spans="1:3" x14ac:dyDescent="0.2">
      <c r="A5787" s="3" t="s">
        <v>1943</v>
      </c>
      <c r="B5787" s="3" t="s">
        <v>1934</v>
      </c>
      <c r="C5787" s="3" t="s">
        <v>57</v>
      </c>
    </row>
    <row r="5788" spans="1:3" x14ac:dyDescent="0.2">
      <c r="A5788" s="3" t="s">
        <v>1943</v>
      </c>
      <c r="B5788" s="3" t="s">
        <v>1935</v>
      </c>
      <c r="C5788" s="3" t="s">
        <v>57</v>
      </c>
    </row>
    <row r="5789" spans="1:3" x14ac:dyDescent="0.2">
      <c r="A5789" s="3" t="s">
        <v>1943</v>
      </c>
      <c r="B5789" s="3" t="s">
        <v>1936</v>
      </c>
      <c r="C5789" s="3" t="s">
        <v>57</v>
      </c>
    </row>
    <row r="5790" spans="1:3" x14ac:dyDescent="0.2">
      <c r="A5790" s="3" t="s">
        <v>1943</v>
      </c>
      <c r="B5790" s="3" t="s">
        <v>1937</v>
      </c>
      <c r="C5790" s="3" t="s">
        <v>57</v>
      </c>
    </row>
    <row r="5791" spans="1:3" x14ac:dyDescent="0.2">
      <c r="A5791" s="3" t="s">
        <v>1943</v>
      </c>
      <c r="B5791" s="3" t="s">
        <v>1944</v>
      </c>
      <c r="C5791" s="3" t="s">
        <v>169</v>
      </c>
    </row>
    <row r="5792" spans="1:3" x14ac:dyDescent="0.2">
      <c r="A5792" s="3" t="s">
        <v>1943</v>
      </c>
      <c r="B5792" s="3" t="s">
        <v>1945</v>
      </c>
      <c r="C5792" s="3" t="s">
        <v>169</v>
      </c>
    </row>
    <row r="5793" spans="1:3" x14ac:dyDescent="0.2">
      <c r="A5793" s="3" t="s">
        <v>1943</v>
      </c>
      <c r="B5793" s="3" t="s">
        <v>1946</v>
      </c>
      <c r="C5793" s="3" t="s">
        <v>169</v>
      </c>
    </row>
    <row r="5794" spans="1:3" x14ac:dyDescent="0.2">
      <c r="A5794" s="3" t="s">
        <v>1943</v>
      </c>
      <c r="B5794" s="3" t="s">
        <v>1947</v>
      </c>
      <c r="C5794" s="3" t="s">
        <v>169</v>
      </c>
    </row>
    <row r="5795" spans="1:3" x14ac:dyDescent="0.2">
      <c r="A5795" s="3" t="s">
        <v>1943</v>
      </c>
      <c r="B5795" s="3" t="s">
        <v>1948</v>
      </c>
      <c r="C5795" s="3" t="s">
        <v>169</v>
      </c>
    </row>
    <row r="5796" spans="1:3" x14ac:dyDescent="0.2">
      <c r="A5796" s="3" t="s">
        <v>1943</v>
      </c>
      <c r="B5796" s="3" t="s">
        <v>1949</v>
      </c>
      <c r="C5796" s="3" t="s">
        <v>169</v>
      </c>
    </row>
    <row r="5797" spans="1:3" x14ac:dyDescent="0.2">
      <c r="A5797" s="3" t="s">
        <v>1943</v>
      </c>
      <c r="B5797" s="3" t="s">
        <v>1950</v>
      </c>
      <c r="C5797" s="3" t="s">
        <v>169</v>
      </c>
    </row>
    <row r="5798" spans="1:3" x14ac:dyDescent="0.2">
      <c r="A5798" s="3" t="s">
        <v>1951</v>
      </c>
      <c r="B5798" s="3" t="s">
        <v>1952</v>
      </c>
      <c r="C5798" s="3" t="s">
        <v>53</v>
      </c>
    </row>
    <row r="5799" spans="1:3" x14ac:dyDescent="0.2">
      <c r="A5799" s="3" t="s">
        <v>1951</v>
      </c>
      <c r="B5799" s="3" t="s">
        <v>1953</v>
      </c>
      <c r="C5799" s="3" t="s">
        <v>53</v>
      </c>
    </row>
    <row r="5800" spans="1:3" x14ac:dyDescent="0.2">
      <c r="A5800" s="3" t="s">
        <v>1951</v>
      </c>
      <c r="B5800" s="3" t="s">
        <v>1954</v>
      </c>
      <c r="C5800" s="3" t="s">
        <v>53</v>
      </c>
    </row>
    <row r="5801" spans="1:3" x14ac:dyDescent="0.2">
      <c r="A5801" s="3" t="s">
        <v>1951</v>
      </c>
      <c r="B5801" s="3" t="s">
        <v>1955</v>
      </c>
      <c r="C5801" s="3" t="s">
        <v>53</v>
      </c>
    </row>
    <row r="5802" spans="1:3" x14ac:dyDescent="0.2">
      <c r="A5802" s="3" t="s">
        <v>1951</v>
      </c>
      <c r="B5802" s="3" t="s">
        <v>1956</v>
      </c>
      <c r="C5802" s="3" t="s">
        <v>53</v>
      </c>
    </row>
    <row r="5803" spans="1:3" x14ac:dyDescent="0.2">
      <c r="A5803" s="3" t="s">
        <v>1951</v>
      </c>
      <c r="B5803" s="3" t="s">
        <v>1957</v>
      </c>
      <c r="C5803" s="3" t="s">
        <v>53</v>
      </c>
    </row>
    <row r="5804" spans="1:3" x14ac:dyDescent="0.2">
      <c r="A5804" s="3" t="s">
        <v>1951</v>
      </c>
      <c r="B5804" s="3" t="s">
        <v>1958</v>
      </c>
      <c r="C5804" s="3" t="s">
        <v>53</v>
      </c>
    </row>
    <row r="5805" spans="1:3" x14ac:dyDescent="0.2">
      <c r="A5805" s="3" t="s">
        <v>1951</v>
      </c>
      <c r="B5805" s="3" t="s">
        <v>1959</v>
      </c>
      <c r="C5805" s="3" t="s">
        <v>53</v>
      </c>
    </row>
    <row r="5806" spans="1:3" x14ac:dyDescent="0.2">
      <c r="A5806" s="3" t="s">
        <v>1951</v>
      </c>
      <c r="B5806" s="3" t="s">
        <v>1960</v>
      </c>
      <c r="C5806" s="3" t="s">
        <v>53</v>
      </c>
    </row>
    <row r="5807" spans="1:3" x14ac:dyDescent="0.2">
      <c r="A5807" s="3" t="s">
        <v>1951</v>
      </c>
      <c r="B5807" s="3" t="s">
        <v>1961</v>
      </c>
      <c r="C5807" s="3" t="s">
        <v>53</v>
      </c>
    </row>
    <row r="5808" spans="1:3" x14ac:dyDescent="0.2">
      <c r="A5808" s="3" t="s">
        <v>1951</v>
      </c>
      <c r="B5808" s="3" t="s">
        <v>1962</v>
      </c>
      <c r="C5808" s="3" t="s">
        <v>53</v>
      </c>
    </row>
    <row r="5809" spans="1:3" x14ac:dyDescent="0.2">
      <c r="A5809" s="3" t="s">
        <v>1951</v>
      </c>
      <c r="B5809" s="3" t="s">
        <v>1952</v>
      </c>
      <c r="C5809" s="3" t="s">
        <v>54</v>
      </c>
    </row>
    <row r="5810" spans="1:3" x14ac:dyDescent="0.2">
      <c r="A5810" s="3" t="s">
        <v>1951</v>
      </c>
      <c r="B5810" s="3" t="s">
        <v>1953</v>
      </c>
      <c r="C5810" s="3" t="s">
        <v>54</v>
      </c>
    </row>
    <row r="5811" spans="1:3" x14ac:dyDescent="0.2">
      <c r="A5811" s="3" t="s">
        <v>1951</v>
      </c>
      <c r="B5811" s="3" t="s">
        <v>1954</v>
      </c>
      <c r="C5811" s="3" t="s">
        <v>54</v>
      </c>
    </row>
    <row r="5812" spans="1:3" x14ac:dyDescent="0.2">
      <c r="A5812" s="3" t="s">
        <v>1951</v>
      </c>
      <c r="B5812" s="3" t="s">
        <v>1955</v>
      </c>
      <c r="C5812" s="3" t="s">
        <v>54</v>
      </c>
    </row>
    <row r="5813" spans="1:3" x14ac:dyDescent="0.2">
      <c r="A5813" s="3" t="s">
        <v>1951</v>
      </c>
      <c r="B5813" s="3" t="s">
        <v>1956</v>
      </c>
      <c r="C5813" s="3" t="s">
        <v>54</v>
      </c>
    </row>
    <row r="5814" spans="1:3" x14ac:dyDescent="0.2">
      <c r="A5814" s="3" t="s">
        <v>1951</v>
      </c>
      <c r="B5814" s="3" t="s">
        <v>1957</v>
      </c>
      <c r="C5814" s="3" t="s">
        <v>54</v>
      </c>
    </row>
    <row r="5815" spans="1:3" x14ac:dyDescent="0.2">
      <c r="A5815" s="3" t="s">
        <v>1951</v>
      </c>
      <c r="B5815" s="3" t="s">
        <v>1958</v>
      </c>
      <c r="C5815" s="3" t="s">
        <v>54</v>
      </c>
    </row>
    <row r="5816" spans="1:3" x14ac:dyDescent="0.2">
      <c r="A5816" s="3" t="s">
        <v>1951</v>
      </c>
      <c r="B5816" s="3" t="s">
        <v>1959</v>
      </c>
      <c r="C5816" s="3" t="s">
        <v>54</v>
      </c>
    </row>
    <row r="5817" spans="1:3" x14ac:dyDescent="0.2">
      <c r="A5817" s="3" t="s">
        <v>1951</v>
      </c>
      <c r="B5817" s="3" t="s">
        <v>1960</v>
      </c>
      <c r="C5817" s="3" t="s">
        <v>54</v>
      </c>
    </row>
    <row r="5818" spans="1:3" x14ac:dyDescent="0.2">
      <c r="A5818" s="3" t="s">
        <v>1951</v>
      </c>
      <c r="B5818" s="3" t="s">
        <v>1961</v>
      </c>
      <c r="C5818" s="3" t="s">
        <v>54</v>
      </c>
    </row>
    <row r="5819" spans="1:3" x14ac:dyDescent="0.2">
      <c r="A5819" s="3" t="s">
        <v>1951</v>
      </c>
      <c r="B5819" s="3" t="s">
        <v>1962</v>
      </c>
      <c r="C5819" s="3" t="s">
        <v>54</v>
      </c>
    </row>
    <row r="5820" spans="1:3" x14ac:dyDescent="0.2">
      <c r="A5820" s="3" t="s">
        <v>1951</v>
      </c>
      <c r="B5820" s="3" t="s">
        <v>1952</v>
      </c>
      <c r="C5820" s="3" t="s">
        <v>55</v>
      </c>
    </row>
    <row r="5821" spans="1:3" x14ac:dyDescent="0.2">
      <c r="A5821" s="3" t="s">
        <v>1951</v>
      </c>
      <c r="B5821" s="3" t="s">
        <v>1953</v>
      </c>
      <c r="C5821" s="3" t="s">
        <v>55</v>
      </c>
    </row>
    <row r="5822" spans="1:3" x14ac:dyDescent="0.2">
      <c r="A5822" s="3" t="s">
        <v>1951</v>
      </c>
      <c r="B5822" s="3" t="s">
        <v>1954</v>
      </c>
      <c r="C5822" s="3" t="s">
        <v>55</v>
      </c>
    </row>
    <row r="5823" spans="1:3" x14ac:dyDescent="0.2">
      <c r="A5823" s="3" t="s">
        <v>1951</v>
      </c>
      <c r="B5823" s="3" t="s">
        <v>1955</v>
      </c>
      <c r="C5823" s="3" t="s">
        <v>55</v>
      </c>
    </row>
    <row r="5824" spans="1:3" x14ac:dyDescent="0.2">
      <c r="A5824" s="3" t="s">
        <v>1951</v>
      </c>
      <c r="B5824" s="3" t="s">
        <v>1956</v>
      </c>
      <c r="C5824" s="3" t="s">
        <v>55</v>
      </c>
    </row>
    <row r="5825" spans="1:3" x14ac:dyDescent="0.2">
      <c r="A5825" s="3" t="s">
        <v>1951</v>
      </c>
      <c r="B5825" s="3" t="s">
        <v>1957</v>
      </c>
      <c r="C5825" s="3" t="s">
        <v>55</v>
      </c>
    </row>
    <row r="5826" spans="1:3" x14ac:dyDescent="0.2">
      <c r="A5826" s="3" t="s">
        <v>1951</v>
      </c>
      <c r="B5826" s="3" t="s">
        <v>1958</v>
      </c>
      <c r="C5826" s="3" t="s">
        <v>55</v>
      </c>
    </row>
    <row r="5827" spans="1:3" x14ac:dyDescent="0.2">
      <c r="A5827" s="3" t="s">
        <v>1951</v>
      </c>
      <c r="B5827" s="3" t="s">
        <v>1959</v>
      </c>
      <c r="C5827" s="3" t="s">
        <v>55</v>
      </c>
    </row>
    <row r="5828" spans="1:3" x14ac:dyDescent="0.2">
      <c r="A5828" s="3" t="s">
        <v>1951</v>
      </c>
      <c r="B5828" s="3" t="s">
        <v>1960</v>
      </c>
      <c r="C5828" s="3" t="s">
        <v>55</v>
      </c>
    </row>
    <row r="5829" spans="1:3" x14ac:dyDescent="0.2">
      <c r="A5829" s="3" t="s">
        <v>1951</v>
      </c>
      <c r="B5829" s="3" t="s">
        <v>1961</v>
      </c>
      <c r="C5829" s="3" t="s">
        <v>55</v>
      </c>
    </row>
    <row r="5830" spans="1:3" x14ac:dyDescent="0.2">
      <c r="A5830" s="3" t="s">
        <v>1951</v>
      </c>
      <c r="B5830" s="3" t="s">
        <v>1962</v>
      </c>
      <c r="C5830" s="3" t="s">
        <v>55</v>
      </c>
    </row>
    <row r="5831" spans="1:3" x14ac:dyDescent="0.2">
      <c r="A5831" s="3" t="s">
        <v>1951</v>
      </c>
      <c r="B5831" s="3" t="s">
        <v>1952</v>
      </c>
      <c r="C5831" s="3" t="s">
        <v>56</v>
      </c>
    </row>
    <row r="5832" spans="1:3" x14ac:dyDescent="0.2">
      <c r="A5832" s="3" t="s">
        <v>1951</v>
      </c>
      <c r="B5832" s="3" t="s">
        <v>1953</v>
      </c>
      <c r="C5832" s="3" t="s">
        <v>56</v>
      </c>
    </row>
    <row r="5833" spans="1:3" x14ac:dyDescent="0.2">
      <c r="A5833" s="3" t="s">
        <v>1951</v>
      </c>
      <c r="B5833" s="3" t="s">
        <v>1954</v>
      </c>
      <c r="C5833" s="3" t="s">
        <v>56</v>
      </c>
    </row>
    <row r="5834" spans="1:3" x14ac:dyDescent="0.2">
      <c r="A5834" s="3" t="s">
        <v>1951</v>
      </c>
      <c r="B5834" s="3" t="s">
        <v>1955</v>
      </c>
      <c r="C5834" s="3" t="s">
        <v>56</v>
      </c>
    </row>
    <row r="5835" spans="1:3" x14ac:dyDescent="0.2">
      <c r="A5835" s="3" t="s">
        <v>1951</v>
      </c>
      <c r="B5835" s="3" t="s">
        <v>1956</v>
      </c>
      <c r="C5835" s="3" t="s">
        <v>56</v>
      </c>
    </row>
    <row r="5836" spans="1:3" x14ac:dyDescent="0.2">
      <c r="A5836" s="3" t="s">
        <v>1951</v>
      </c>
      <c r="B5836" s="3" t="s">
        <v>1957</v>
      </c>
      <c r="C5836" s="3" t="s">
        <v>56</v>
      </c>
    </row>
    <row r="5837" spans="1:3" x14ac:dyDescent="0.2">
      <c r="A5837" s="3" t="s">
        <v>1951</v>
      </c>
      <c r="B5837" s="3" t="s">
        <v>1958</v>
      </c>
      <c r="C5837" s="3" t="s">
        <v>56</v>
      </c>
    </row>
    <row r="5838" spans="1:3" x14ac:dyDescent="0.2">
      <c r="A5838" s="3" t="s">
        <v>1951</v>
      </c>
      <c r="B5838" s="3" t="s">
        <v>1959</v>
      </c>
      <c r="C5838" s="3" t="s">
        <v>56</v>
      </c>
    </row>
    <row r="5839" spans="1:3" x14ac:dyDescent="0.2">
      <c r="A5839" s="3" t="s">
        <v>1951</v>
      </c>
      <c r="B5839" s="3" t="s">
        <v>1960</v>
      </c>
      <c r="C5839" s="3" t="s">
        <v>56</v>
      </c>
    </row>
    <row r="5840" spans="1:3" x14ac:dyDescent="0.2">
      <c r="A5840" s="3" t="s">
        <v>1951</v>
      </c>
      <c r="B5840" s="3" t="s">
        <v>1961</v>
      </c>
      <c r="C5840" s="3" t="s">
        <v>56</v>
      </c>
    </row>
    <row r="5841" spans="1:3" x14ac:dyDescent="0.2">
      <c r="A5841" s="3" t="s">
        <v>1951</v>
      </c>
      <c r="B5841" s="3" t="s">
        <v>1962</v>
      </c>
      <c r="C5841" s="3" t="s">
        <v>56</v>
      </c>
    </row>
    <row r="5842" spans="1:3" x14ac:dyDescent="0.2">
      <c r="A5842" s="3" t="s">
        <v>1951</v>
      </c>
      <c r="B5842" s="3" t="s">
        <v>1952</v>
      </c>
      <c r="C5842" s="3" t="s">
        <v>57</v>
      </c>
    </row>
    <row r="5843" spans="1:3" x14ac:dyDescent="0.2">
      <c r="A5843" s="3" t="s">
        <v>1951</v>
      </c>
      <c r="B5843" s="3" t="s">
        <v>1953</v>
      </c>
      <c r="C5843" s="3" t="s">
        <v>57</v>
      </c>
    </row>
    <row r="5844" spans="1:3" x14ac:dyDescent="0.2">
      <c r="A5844" s="3" t="s">
        <v>1951</v>
      </c>
      <c r="B5844" s="3" t="s">
        <v>1954</v>
      </c>
      <c r="C5844" s="3" t="s">
        <v>57</v>
      </c>
    </row>
    <row r="5845" spans="1:3" x14ac:dyDescent="0.2">
      <c r="A5845" s="3" t="s">
        <v>1951</v>
      </c>
      <c r="B5845" s="3" t="s">
        <v>1955</v>
      </c>
      <c r="C5845" s="3" t="s">
        <v>57</v>
      </c>
    </row>
    <row r="5846" spans="1:3" x14ac:dyDescent="0.2">
      <c r="A5846" s="3" t="s">
        <v>1951</v>
      </c>
      <c r="B5846" s="3" t="s">
        <v>1956</v>
      </c>
      <c r="C5846" s="3" t="s">
        <v>57</v>
      </c>
    </row>
    <row r="5847" spans="1:3" x14ac:dyDescent="0.2">
      <c r="A5847" s="3" t="s">
        <v>1951</v>
      </c>
      <c r="B5847" s="3" t="s">
        <v>1957</v>
      </c>
      <c r="C5847" s="3" t="s">
        <v>57</v>
      </c>
    </row>
    <row r="5848" spans="1:3" x14ac:dyDescent="0.2">
      <c r="A5848" s="3" t="s">
        <v>1951</v>
      </c>
      <c r="B5848" s="3" t="s">
        <v>1958</v>
      </c>
      <c r="C5848" s="3" t="s">
        <v>57</v>
      </c>
    </row>
    <row r="5849" spans="1:3" x14ac:dyDescent="0.2">
      <c r="A5849" s="3" t="s">
        <v>1951</v>
      </c>
      <c r="B5849" s="3" t="s">
        <v>1959</v>
      </c>
      <c r="C5849" s="3" t="s">
        <v>57</v>
      </c>
    </row>
    <row r="5850" spans="1:3" x14ac:dyDescent="0.2">
      <c r="A5850" s="3" t="s">
        <v>1951</v>
      </c>
      <c r="B5850" s="3" t="s">
        <v>1960</v>
      </c>
      <c r="C5850" s="3" t="s">
        <v>57</v>
      </c>
    </row>
    <row r="5851" spans="1:3" x14ac:dyDescent="0.2">
      <c r="A5851" s="3" t="s">
        <v>1951</v>
      </c>
      <c r="B5851" s="3" t="s">
        <v>1961</v>
      </c>
      <c r="C5851" s="3" t="s">
        <v>57</v>
      </c>
    </row>
    <row r="5852" spans="1:3" x14ac:dyDescent="0.2">
      <c r="A5852" s="3" t="s">
        <v>1951</v>
      </c>
      <c r="B5852" s="3" t="s">
        <v>1962</v>
      </c>
      <c r="C5852" s="3" t="s">
        <v>57</v>
      </c>
    </row>
    <row r="5853" spans="1:3" x14ac:dyDescent="0.2">
      <c r="A5853" s="3" t="s">
        <v>1951</v>
      </c>
      <c r="B5853" s="3" t="s">
        <v>1963</v>
      </c>
      <c r="C5853" s="3" t="s">
        <v>22</v>
      </c>
    </row>
    <row r="5854" spans="1:3" x14ac:dyDescent="0.2">
      <c r="A5854" s="3" t="s">
        <v>1951</v>
      </c>
      <c r="B5854" s="3" t="s">
        <v>1964</v>
      </c>
      <c r="C5854" s="3" t="s">
        <v>22</v>
      </c>
    </row>
    <row r="5855" spans="1:3" x14ac:dyDescent="0.2">
      <c r="A5855" s="3" t="s">
        <v>1951</v>
      </c>
      <c r="B5855" s="3" t="s">
        <v>1965</v>
      </c>
      <c r="C5855" s="3" t="s">
        <v>22</v>
      </c>
    </row>
    <row r="5856" spans="1:3" x14ac:dyDescent="0.2">
      <c r="A5856" s="3" t="s">
        <v>1951</v>
      </c>
      <c r="B5856" s="3" t="s">
        <v>1966</v>
      </c>
      <c r="C5856" s="3" t="s">
        <v>22</v>
      </c>
    </row>
    <row r="5857" spans="1:3" x14ac:dyDescent="0.2">
      <c r="A5857" s="3" t="s">
        <v>1951</v>
      </c>
      <c r="B5857" s="3" t="s">
        <v>1967</v>
      </c>
      <c r="C5857" s="3" t="s">
        <v>22</v>
      </c>
    </row>
    <row r="5858" spans="1:3" x14ac:dyDescent="0.2">
      <c r="A5858" s="3" t="s">
        <v>1951</v>
      </c>
      <c r="B5858" s="3" t="s">
        <v>1968</v>
      </c>
      <c r="C5858" s="3" t="s">
        <v>22</v>
      </c>
    </row>
    <row r="5859" spans="1:3" x14ac:dyDescent="0.2">
      <c r="A5859" s="3" t="s">
        <v>1951</v>
      </c>
      <c r="B5859" s="3" t="s">
        <v>1969</v>
      </c>
      <c r="C5859" s="3" t="s">
        <v>22</v>
      </c>
    </row>
    <row r="5860" spans="1:3" x14ac:dyDescent="0.2">
      <c r="A5860" s="3" t="s">
        <v>1951</v>
      </c>
      <c r="B5860" s="3" t="s">
        <v>1970</v>
      </c>
      <c r="C5860" s="3" t="s">
        <v>22</v>
      </c>
    </row>
    <row r="5861" spans="1:3" x14ac:dyDescent="0.2">
      <c r="A5861" s="3" t="s">
        <v>1951</v>
      </c>
      <c r="B5861" s="3" t="s">
        <v>1971</v>
      </c>
      <c r="C5861" s="3" t="s">
        <v>22</v>
      </c>
    </row>
    <row r="5862" spans="1:3" x14ac:dyDescent="0.2">
      <c r="A5862" s="3" t="s">
        <v>1951</v>
      </c>
      <c r="B5862" s="3" t="s">
        <v>1972</v>
      </c>
      <c r="C5862" s="3" t="s">
        <v>22</v>
      </c>
    </row>
    <row r="5863" spans="1:3" x14ac:dyDescent="0.2">
      <c r="A5863" s="3" t="s">
        <v>1951</v>
      </c>
      <c r="B5863" s="3" t="s">
        <v>1973</v>
      </c>
      <c r="C5863" s="3" t="s">
        <v>22</v>
      </c>
    </row>
    <row r="5864" spans="1:3" x14ac:dyDescent="0.2">
      <c r="A5864" s="3" t="s">
        <v>1951</v>
      </c>
      <c r="B5864" s="3" t="s">
        <v>1974</v>
      </c>
      <c r="C5864" s="3" t="s">
        <v>22</v>
      </c>
    </row>
    <row r="5865" spans="1:3" x14ac:dyDescent="0.2">
      <c r="A5865" s="3" t="s">
        <v>1951</v>
      </c>
      <c r="B5865" s="3" t="s">
        <v>1975</v>
      </c>
      <c r="C5865" s="3" t="s">
        <v>22</v>
      </c>
    </row>
    <row r="5866" spans="1:3" x14ac:dyDescent="0.2">
      <c r="A5866" s="3" t="s">
        <v>1951</v>
      </c>
      <c r="B5866" s="3" t="s">
        <v>1976</v>
      </c>
      <c r="C5866" s="3" t="s">
        <v>22</v>
      </c>
    </row>
    <row r="5867" spans="1:3" x14ac:dyDescent="0.2">
      <c r="A5867" s="3" t="s">
        <v>1951</v>
      </c>
      <c r="B5867" s="3" t="s">
        <v>1977</v>
      </c>
      <c r="C5867" s="3" t="s">
        <v>22</v>
      </c>
    </row>
    <row r="5868" spans="1:3" x14ac:dyDescent="0.2">
      <c r="A5868" s="3" t="s">
        <v>1951</v>
      </c>
      <c r="B5868" s="3" t="s">
        <v>1978</v>
      </c>
      <c r="C5868" s="3" t="s">
        <v>22</v>
      </c>
    </row>
    <row r="5869" spans="1:3" x14ac:dyDescent="0.2">
      <c r="A5869" s="3" t="s">
        <v>1951</v>
      </c>
      <c r="B5869" s="3" t="s">
        <v>1979</v>
      </c>
      <c r="C5869" s="3" t="s">
        <v>22</v>
      </c>
    </row>
    <row r="5870" spans="1:3" x14ac:dyDescent="0.2">
      <c r="A5870" s="3" t="s">
        <v>1951</v>
      </c>
      <c r="B5870" s="3" t="s">
        <v>1980</v>
      </c>
      <c r="C5870" s="3" t="s">
        <v>22</v>
      </c>
    </row>
    <row r="5871" spans="1:3" x14ac:dyDescent="0.2">
      <c r="A5871" s="3" t="s">
        <v>1951</v>
      </c>
      <c r="B5871" s="3" t="s">
        <v>1981</v>
      </c>
      <c r="C5871" s="3" t="s">
        <v>22</v>
      </c>
    </row>
    <row r="5872" spans="1:3" x14ac:dyDescent="0.2">
      <c r="A5872" s="3" t="s">
        <v>1951</v>
      </c>
      <c r="B5872" s="3" t="s">
        <v>1982</v>
      </c>
      <c r="C5872" s="3" t="s">
        <v>22</v>
      </c>
    </row>
    <row r="5873" spans="1:3" x14ac:dyDescent="0.2">
      <c r="A5873" s="3" t="s">
        <v>1951</v>
      </c>
      <c r="B5873" s="3" t="s">
        <v>1983</v>
      </c>
      <c r="C5873" s="3" t="s">
        <v>22</v>
      </c>
    </row>
    <row r="5874" spans="1:3" x14ac:dyDescent="0.2">
      <c r="A5874" s="3" t="s">
        <v>1951</v>
      </c>
      <c r="B5874" s="3" t="s">
        <v>1984</v>
      </c>
      <c r="C5874" s="3" t="s">
        <v>22</v>
      </c>
    </row>
    <row r="5875" spans="1:3" x14ac:dyDescent="0.2">
      <c r="A5875" s="3" t="s">
        <v>1951</v>
      </c>
      <c r="B5875" s="3" t="s">
        <v>1985</v>
      </c>
      <c r="C5875" s="3" t="s">
        <v>22</v>
      </c>
    </row>
    <row r="5876" spans="1:3" x14ac:dyDescent="0.2">
      <c r="A5876" s="3" t="s">
        <v>1951</v>
      </c>
      <c r="B5876" s="3" t="s">
        <v>1986</v>
      </c>
      <c r="C5876" s="3" t="s">
        <v>22</v>
      </c>
    </row>
    <row r="5877" spans="1:3" x14ac:dyDescent="0.2">
      <c r="A5877" s="3" t="s">
        <v>1951</v>
      </c>
      <c r="B5877" s="3" t="s">
        <v>1987</v>
      </c>
      <c r="C5877" s="3" t="s">
        <v>22</v>
      </c>
    </row>
    <row r="5878" spans="1:3" x14ac:dyDescent="0.2">
      <c r="A5878" s="3" t="s">
        <v>1951</v>
      </c>
      <c r="B5878" s="3" t="s">
        <v>1988</v>
      </c>
      <c r="C5878" s="3" t="s">
        <v>22</v>
      </c>
    </row>
    <row r="5879" spans="1:3" x14ac:dyDescent="0.2">
      <c r="A5879" s="3" t="s">
        <v>1951</v>
      </c>
      <c r="B5879" s="3" t="s">
        <v>1989</v>
      </c>
      <c r="C5879" s="3" t="s">
        <v>22</v>
      </c>
    </row>
    <row r="5880" spans="1:3" x14ac:dyDescent="0.2">
      <c r="A5880" s="3" t="s">
        <v>1951</v>
      </c>
      <c r="B5880" s="3" t="s">
        <v>1990</v>
      </c>
      <c r="C5880" s="3" t="s">
        <v>22</v>
      </c>
    </row>
    <row r="5881" spans="1:3" x14ac:dyDescent="0.2">
      <c r="A5881" s="3" t="s">
        <v>1951</v>
      </c>
      <c r="B5881" s="3" t="s">
        <v>1991</v>
      </c>
      <c r="C5881" s="3" t="s">
        <v>22</v>
      </c>
    </row>
    <row r="5882" spans="1:3" x14ac:dyDescent="0.2">
      <c r="A5882" s="3" t="s">
        <v>1951</v>
      </c>
      <c r="B5882" s="3" t="s">
        <v>1992</v>
      </c>
      <c r="C5882" s="3" t="s">
        <v>22</v>
      </c>
    </row>
    <row r="5883" spans="1:3" x14ac:dyDescent="0.2">
      <c r="A5883" s="3" t="s">
        <v>1951</v>
      </c>
      <c r="B5883" s="3" t="s">
        <v>1993</v>
      </c>
      <c r="C5883" s="3" t="s">
        <v>22</v>
      </c>
    </row>
    <row r="5884" spans="1:3" x14ac:dyDescent="0.2">
      <c r="A5884" s="3" t="s">
        <v>1951</v>
      </c>
      <c r="B5884" s="3" t="s">
        <v>1994</v>
      </c>
      <c r="C5884" s="3" t="s">
        <v>22</v>
      </c>
    </row>
    <row r="5885" spans="1:3" x14ac:dyDescent="0.2">
      <c r="A5885" s="3" t="s">
        <v>1951</v>
      </c>
      <c r="B5885" s="3" t="s">
        <v>1995</v>
      </c>
      <c r="C5885" s="3" t="s">
        <v>22</v>
      </c>
    </row>
    <row r="5886" spans="1:3" x14ac:dyDescent="0.2">
      <c r="A5886" s="3" t="s">
        <v>1951</v>
      </c>
      <c r="B5886" s="3" t="s">
        <v>1996</v>
      </c>
      <c r="C5886" s="3" t="s">
        <v>22</v>
      </c>
    </row>
    <row r="5887" spans="1:3" x14ac:dyDescent="0.2">
      <c r="A5887" s="3" t="s">
        <v>1951</v>
      </c>
      <c r="B5887" s="3" t="s">
        <v>1997</v>
      </c>
      <c r="C5887" s="3" t="s">
        <v>22</v>
      </c>
    </row>
    <row r="5888" spans="1:3" x14ac:dyDescent="0.2">
      <c r="A5888" s="3" t="s">
        <v>2046</v>
      </c>
      <c r="B5888" s="3" t="s">
        <v>2047</v>
      </c>
      <c r="C5888" s="3" t="s">
        <v>53</v>
      </c>
    </row>
    <row r="5889" spans="1:3" x14ac:dyDescent="0.2">
      <c r="A5889" s="3" t="s">
        <v>2046</v>
      </c>
      <c r="B5889" s="3" t="s">
        <v>2048</v>
      </c>
      <c r="C5889" s="3" t="s">
        <v>53</v>
      </c>
    </row>
    <row r="5890" spans="1:3" x14ac:dyDescent="0.2">
      <c r="A5890" s="3" t="s">
        <v>2046</v>
      </c>
      <c r="B5890" s="3" t="s">
        <v>970</v>
      </c>
      <c r="C5890" s="3" t="s">
        <v>53</v>
      </c>
    </row>
    <row r="5891" spans="1:3" x14ac:dyDescent="0.2">
      <c r="A5891" s="3" t="s">
        <v>2046</v>
      </c>
      <c r="B5891" s="3" t="s">
        <v>971</v>
      </c>
      <c r="C5891" s="3" t="s">
        <v>53</v>
      </c>
    </row>
    <row r="5892" spans="1:3" x14ac:dyDescent="0.2">
      <c r="A5892" s="3" t="s">
        <v>2046</v>
      </c>
      <c r="B5892" s="3" t="s">
        <v>2049</v>
      </c>
      <c r="C5892" s="3" t="s">
        <v>53</v>
      </c>
    </row>
    <row r="5893" spans="1:3" x14ac:dyDescent="0.2">
      <c r="A5893" s="3" t="s">
        <v>2046</v>
      </c>
      <c r="B5893" s="3" t="s">
        <v>983</v>
      </c>
      <c r="C5893" s="3" t="s">
        <v>53</v>
      </c>
    </row>
    <row r="5894" spans="1:3" x14ac:dyDescent="0.2">
      <c r="A5894" s="3" t="s">
        <v>2046</v>
      </c>
      <c r="B5894" s="3" t="s">
        <v>2050</v>
      </c>
      <c r="C5894" s="3" t="s">
        <v>53</v>
      </c>
    </row>
    <row r="5895" spans="1:3" x14ac:dyDescent="0.2">
      <c r="A5895" s="3" t="s">
        <v>2046</v>
      </c>
      <c r="B5895" s="3" t="s">
        <v>2051</v>
      </c>
      <c r="C5895" s="3" t="s">
        <v>53</v>
      </c>
    </row>
    <row r="5896" spans="1:3" x14ac:dyDescent="0.2">
      <c r="A5896" s="3" t="s">
        <v>2046</v>
      </c>
      <c r="B5896" s="3" t="s">
        <v>2052</v>
      </c>
      <c r="C5896" s="3" t="s">
        <v>53</v>
      </c>
    </row>
    <row r="5897" spans="1:3" x14ac:dyDescent="0.2">
      <c r="A5897" s="3" t="s">
        <v>2046</v>
      </c>
      <c r="B5897" s="3" t="s">
        <v>2053</v>
      </c>
      <c r="C5897" s="3" t="s">
        <v>53</v>
      </c>
    </row>
    <row r="5898" spans="1:3" x14ac:dyDescent="0.2">
      <c r="A5898" s="3" t="s">
        <v>2046</v>
      </c>
      <c r="B5898" s="3" t="s">
        <v>2054</v>
      </c>
      <c r="C5898" s="3" t="s">
        <v>53</v>
      </c>
    </row>
    <row r="5899" spans="1:3" x14ac:dyDescent="0.2">
      <c r="A5899" s="3" t="s">
        <v>2046</v>
      </c>
      <c r="B5899" s="3" t="s">
        <v>2055</v>
      </c>
      <c r="C5899" s="3" t="s">
        <v>53</v>
      </c>
    </row>
    <row r="5900" spans="1:3" x14ac:dyDescent="0.2">
      <c r="A5900" s="3" t="s">
        <v>2046</v>
      </c>
      <c r="B5900" s="3" t="s">
        <v>2056</v>
      </c>
      <c r="C5900" s="3" t="s">
        <v>53</v>
      </c>
    </row>
    <row r="5901" spans="1:3" x14ac:dyDescent="0.2">
      <c r="A5901" s="3" t="s">
        <v>2046</v>
      </c>
      <c r="B5901" s="3" t="s">
        <v>1030</v>
      </c>
      <c r="C5901" s="3" t="s">
        <v>53</v>
      </c>
    </row>
    <row r="5902" spans="1:3" x14ac:dyDescent="0.2">
      <c r="A5902" s="3" t="s">
        <v>2046</v>
      </c>
      <c r="B5902" s="3" t="s">
        <v>2057</v>
      </c>
      <c r="C5902" s="3" t="s">
        <v>53</v>
      </c>
    </row>
    <row r="5903" spans="1:3" x14ac:dyDescent="0.2">
      <c r="A5903" s="3" t="s">
        <v>2046</v>
      </c>
      <c r="B5903" s="3" t="s">
        <v>2058</v>
      </c>
      <c r="C5903" s="3" t="s">
        <v>53</v>
      </c>
    </row>
    <row r="5904" spans="1:3" x14ac:dyDescent="0.2">
      <c r="A5904" s="3" t="s">
        <v>2046</v>
      </c>
      <c r="B5904" s="3" t="s">
        <v>2059</v>
      </c>
      <c r="C5904" s="3" t="s">
        <v>53</v>
      </c>
    </row>
    <row r="5905" spans="1:3" x14ac:dyDescent="0.2">
      <c r="A5905" s="3" t="s">
        <v>2046</v>
      </c>
      <c r="B5905" s="3" t="s">
        <v>2060</v>
      </c>
      <c r="C5905" s="3" t="s">
        <v>54</v>
      </c>
    </row>
    <row r="5906" spans="1:3" x14ac:dyDescent="0.2">
      <c r="A5906" s="3" t="s">
        <v>2046</v>
      </c>
      <c r="B5906" s="3" t="s">
        <v>2048</v>
      </c>
      <c r="C5906" s="3" t="s">
        <v>54</v>
      </c>
    </row>
    <row r="5907" spans="1:3" x14ac:dyDescent="0.2">
      <c r="A5907" s="3" t="s">
        <v>2046</v>
      </c>
      <c r="B5907" s="3" t="s">
        <v>970</v>
      </c>
      <c r="C5907" s="3" t="s">
        <v>54</v>
      </c>
    </row>
    <row r="5908" spans="1:3" x14ac:dyDescent="0.2">
      <c r="A5908" s="3" t="s">
        <v>2046</v>
      </c>
      <c r="B5908" s="3" t="s">
        <v>971</v>
      </c>
      <c r="C5908" s="3" t="s">
        <v>54</v>
      </c>
    </row>
    <row r="5909" spans="1:3" x14ac:dyDescent="0.2">
      <c r="A5909" s="3" t="s">
        <v>2046</v>
      </c>
      <c r="B5909" s="3" t="s">
        <v>2049</v>
      </c>
      <c r="C5909" s="3" t="s">
        <v>54</v>
      </c>
    </row>
    <row r="5910" spans="1:3" x14ac:dyDescent="0.2">
      <c r="A5910" s="3" t="s">
        <v>2046</v>
      </c>
      <c r="B5910" s="3" t="s">
        <v>983</v>
      </c>
      <c r="C5910" s="3" t="s">
        <v>54</v>
      </c>
    </row>
    <row r="5911" spans="1:3" x14ac:dyDescent="0.2">
      <c r="A5911" s="3" t="s">
        <v>2046</v>
      </c>
      <c r="B5911" s="3" t="s">
        <v>2050</v>
      </c>
      <c r="C5911" s="3" t="s">
        <v>54</v>
      </c>
    </row>
    <row r="5912" spans="1:3" x14ac:dyDescent="0.2">
      <c r="A5912" s="3" t="s">
        <v>2046</v>
      </c>
      <c r="B5912" s="3" t="s">
        <v>2051</v>
      </c>
      <c r="C5912" s="3" t="s">
        <v>54</v>
      </c>
    </row>
    <row r="5913" spans="1:3" x14ac:dyDescent="0.2">
      <c r="A5913" s="3" t="s">
        <v>2046</v>
      </c>
      <c r="B5913" s="3" t="s">
        <v>2052</v>
      </c>
      <c r="C5913" s="3" t="s">
        <v>54</v>
      </c>
    </row>
    <row r="5914" spans="1:3" x14ac:dyDescent="0.2">
      <c r="A5914" s="3" t="s">
        <v>2046</v>
      </c>
      <c r="B5914" s="3" t="s">
        <v>2053</v>
      </c>
      <c r="C5914" s="3" t="s">
        <v>54</v>
      </c>
    </row>
    <row r="5915" spans="1:3" x14ac:dyDescent="0.2">
      <c r="A5915" s="3" t="s">
        <v>2046</v>
      </c>
      <c r="B5915" s="3" t="s">
        <v>2054</v>
      </c>
      <c r="C5915" s="3" t="s">
        <v>54</v>
      </c>
    </row>
    <row r="5916" spans="1:3" x14ac:dyDescent="0.2">
      <c r="A5916" s="3" t="s">
        <v>2046</v>
      </c>
      <c r="B5916" s="3" t="s">
        <v>2055</v>
      </c>
      <c r="C5916" s="3" t="s">
        <v>54</v>
      </c>
    </row>
    <row r="5917" spans="1:3" x14ac:dyDescent="0.2">
      <c r="A5917" s="3" t="s">
        <v>2046</v>
      </c>
      <c r="B5917" s="3" t="s">
        <v>2056</v>
      </c>
      <c r="C5917" s="3" t="s">
        <v>54</v>
      </c>
    </row>
    <row r="5918" spans="1:3" x14ac:dyDescent="0.2">
      <c r="A5918" s="3" t="s">
        <v>2046</v>
      </c>
      <c r="B5918" s="3" t="s">
        <v>1030</v>
      </c>
      <c r="C5918" s="3" t="s">
        <v>54</v>
      </c>
    </row>
    <row r="5919" spans="1:3" x14ac:dyDescent="0.2">
      <c r="A5919" s="3" t="s">
        <v>2046</v>
      </c>
      <c r="B5919" s="3" t="s">
        <v>2057</v>
      </c>
      <c r="C5919" s="3" t="s">
        <v>54</v>
      </c>
    </row>
    <row r="5920" spans="1:3" x14ac:dyDescent="0.2">
      <c r="A5920" s="3" t="s">
        <v>2046</v>
      </c>
      <c r="B5920" s="3" t="s">
        <v>2058</v>
      </c>
      <c r="C5920" s="3" t="s">
        <v>54</v>
      </c>
    </row>
    <row r="5921" spans="1:3" x14ac:dyDescent="0.2">
      <c r="A5921" s="3" t="s">
        <v>2046</v>
      </c>
      <c r="B5921" s="3" t="s">
        <v>2059</v>
      </c>
      <c r="C5921" s="3" t="s">
        <v>54</v>
      </c>
    </row>
    <row r="5922" spans="1:3" x14ac:dyDescent="0.2">
      <c r="A5922" s="3" t="s">
        <v>2046</v>
      </c>
      <c r="B5922" s="3" t="s">
        <v>2061</v>
      </c>
      <c r="C5922" s="3" t="s">
        <v>55</v>
      </c>
    </row>
    <row r="5923" spans="1:3" x14ac:dyDescent="0.2">
      <c r="A5923" s="3" t="s">
        <v>2046</v>
      </c>
      <c r="B5923" s="3" t="s">
        <v>2048</v>
      </c>
      <c r="C5923" s="3" t="s">
        <v>55</v>
      </c>
    </row>
    <row r="5924" spans="1:3" x14ac:dyDescent="0.2">
      <c r="A5924" s="3" t="s">
        <v>2046</v>
      </c>
      <c r="B5924" s="3" t="s">
        <v>970</v>
      </c>
      <c r="C5924" s="3" t="s">
        <v>55</v>
      </c>
    </row>
    <row r="5925" spans="1:3" x14ac:dyDescent="0.2">
      <c r="A5925" s="3" t="s">
        <v>2046</v>
      </c>
      <c r="B5925" s="3" t="s">
        <v>971</v>
      </c>
      <c r="C5925" s="3" t="s">
        <v>55</v>
      </c>
    </row>
    <row r="5926" spans="1:3" x14ac:dyDescent="0.2">
      <c r="A5926" s="3" t="s">
        <v>2046</v>
      </c>
      <c r="B5926" s="3" t="s">
        <v>2050</v>
      </c>
      <c r="C5926" s="3" t="s">
        <v>55</v>
      </c>
    </row>
    <row r="5927" spans="1:3" x14ac:dyDescent="0.2">
      <c r="A5927" s="3" t="s">
        <v>2046</v>
      </c>
      <c r="B5927" s="3" t="s">
        <v>2051</v>
      </c>
      <c r="C5927" s="3" t="s">
        <v>55</v>
      </c>
    </row>
    <row r="5928" spans="1:3" x14ac:dyDescent="0.2">
      <c r="A5928" s="3" t="s">
        <v>2046</v>
      </c>
      <c r="B5928" s="3" t="s">
        <v>2052</v>
      </c>
      <c r="C5928" s="3" t="s">
        <v>55</v>
      </c>
    </row>
    <row r="5929" spans="1:3" x14ac:dyDescent="0.2">
      <c r="A5929" s="3" t="s">
        <v>2046</v>
      </c>
      <c r="B5929" s="3" t="s">
        <v>2053</v>
      </c>
      <c r="C5929" s="3" t="s">
        <v>55</v>
      </c>
    </row>
    <row r="5930" spans="1:3" x14ac:dyDescent="0.2">
      <c r="A5930" s="3" t="s">
        <v>2046</v>
      </c>
      <c r="B5930" s="3" t="s">
        <v>2054</v>
      </c>
      <c r="C5930" s="3" t="s">
        <v>55</v>
      </c>
    </row>
    <row r="5931" spans="1:3" x14ac:dyDescent="0.2">
      <c r="A5931" s="3" t="s">
        <v>2046</v>
      </c>
      <c r="B5931" s="3" t="s">
        <v>2055</v>
      </c>
      <c r="C5931" s="3" t="s">
        <v>55</v>
      </c>
    </row>
    <row r="5932" spans="1:3" x14ac:dyDescent="0.2">
      <c r="A5932" s="3" t="s">
        <v>2046</v>
      </c>
      <c r="B5932" s="3" t="s">
        <v>2056</v>
      </c>
      <c r="C5932" s="3" t="s">
        <v>55</v>
      </c>
    </row>
    <row r="5933" spans="1:3" x14ac:dyDescent="0.2">
      <c r="A5933" s="3" t="s">
        <v>2046</v>
      </c>
      <c r="B5933" s="3" t="s">
        <v>1030</v>
      </c>
      <c r="C5933" s="3" t="s">
        <v>55</v>
      </c>
    </row>
    <row r="5934" spans="1:3" x14ac:dyDescent="0.2">
      <c r="A5934" s="3" t="s">
        <v>2046</v>
      </c>
      <c r="B5934" s="3" t="s">
        <v>2057</v>
      </c>
      <c r="C5934" s="3" t="s">
        <v>55</v>
      </c>
    </row>
    <row r="5935" spans="1:3" x14ac:dyDescent="0.2">
      <c r="A5935" s="3" t="s">
        <v>2046</v>
      </c>
      <c r="B5935" s="3" t="s">
        <v>2058</v>
      </c>
      <c r="C5935" s="3" t="s">
        <v>55</v>
      </c>
    </row>
    <row r="5936" spans="1:3" x14ac:dyDescent="0.2">
      <c r="A5936" s="3" t="s">
        <v>2046</v>
      </c>
      <c r="B5936" s="3" t="s">
        <v>2059</v>
      </c>
      <c r="C5936" s="3" t="s">
        <v>55</v>
      </c>
    </row>
    <row r="5937" spans="1:3" x14ac:dyDescent="0.2">
      <c r="A5937" s="3" t="s">
        <v>2046</v>
      </c>
      <c r="B5937" s="3" t="s">
        <v>2062</v>
      </c>
      <c r="C5937" s="3" t="s">
        <v>56</v>
      </c>
    </row>
    <row r="5938" spans="1:3" x14ac:dyDescent="0.2">
      <c r="A5938" s="3" t="s">
        <v>2046</v>
      </c>
      <c r="B5938" s="3" t="s">
        <v>2048</v>
      </c>
      <c r="C5938" s="3" t="s">
        <v>56</v>
      </c>
    </row>
    <row r="5939" spans="1:3" x14ac:dyDescent="0.2">
      <c r="A5939" s="3" t="s">
        <v>2046</v>
      </c>
      <c r="B5939" s="3" t="s">
        <v>970</v>
      </c>
      <c r="C5939" s="3" t="s">
        <v>56</v>
      </c>
    </row>
    <row r="5940" spans="1:3" x14ac:dyDescent="0.2">
      <c r="A5940" s="3" t="s">
        <v>2046</v>
      </c>
      <c r="B5940" s="3" t="s">
        <v>971</v>
      </c>
      <c r="C5940" s="3" t="s">
        <v>56</v>
      </c>
    </row>
    <row r="5941" spans="1:3" x14ac:dyDescent="0.2">
      <c r="A5941" s="3" t="s">
        <v>2046</v>
      </c>
      <c r="B5941" s="3" t="s">
        <v>2050</v>
      </c>
      <c r="C5941" s="3" t="s">
        <v>56</v>
      </c>
    </row>
    <row r="5942" spans="1:3" x14ac:dyDescent="0.2">
      <c r="A5942" s="3" t="s">
        <v>2046</v>
      </c>
      <c r="B5942" s="3" t="s">
        <v>2051</v>
      </c>
      <c r="C5942" s="3" t="s">
        <v>56</v>
      </c>
    </row>
    <row r="5943" spans="1:3" x14ac:dyDescent="0.2">
      <c r="A5943" s="3" t="s">
        <v>2046</v>
      </c>
      <c r="B5943" s="3" t="s">
        <v>2052</v>
      </c>
      <c r="C5943" s="3" t="s">
        <v>56</v>
      </c>
    </row>
    <row r="5944" spans="1:3" x14ac:dyDescent="0.2">
      <c r="A5944" s="3" t="s">
        <v>2046</v>
      </c>
      <c r="B5944" s="3" t="s">
        <v>2053</v>
      </c>
      <c r="C5944" s="3" t="s">
        <v>56</v>
      </c>
    </row>
    <row r="5945" spans="1:3" x14ac:dyDescent="0.2">
      <c r="A5945" s="3" t="s">
        <v>2046</v>
      </c>
      <c r="B5945" s="3" t="s">
        <v>2054</v>
      </c>
      <c r="C5945" s="3" t="s">
        <v>56</v>
      </c>
    </row>
    <row r="5946" spans="1:3" x14ac:dyDescent="0.2">
      <c r="A5946" s="3" t="s">
        <v>2046</v>
      </c>
      <c r="B5946" s="3" t="s">
        <v>2055</v>
      </c>
      <c r="C5946" s="3" t="s">
        <v>56</v>
      </c>
    </row>
    <row r="5947" spans="1:3" x14ac:dyDescent="0.2">
      <c r="A5947" s="3" t="s">
        <v>2046</v>
      </c>
      <c r="B5947" s="3" t="s">
        <v>2056</v>
      </c>
      <c r="C5947" s="3" t="s">
        <v>56</v>
      </c>
    </row>
    <row r="5948" spans="1:3" x14ac:dyDescent="0.2">
      <c r="A5948" s="3" t="s">
        <v>2046</v>
      </c>
      <c r="B5948" s="3" t="s">
        <v>1030</v>
      </c>
      <c r="C5948" s="3" t="s">
        <v>56</v>
      </c>
    </row>
    <row r="5949" spans="1:3" x14ac:dyDescent="0.2">
      <c r="A5949" s="3" t="s">
        <v>2046</v>
      </c>
      <c r="B5949" s="3" t="s">
        <v>2057</v>
      </c>
      <c r="C5949" s="3" t="s">
        <v>56</v>
      </c>
    </row>
    <row r="5950" spans="1:3" x14ac:dyDescent="0.2">
      <c r="A5950" s="3" t="s">
        <v>2046</v>
      </c>
      <c r="B5950" s="3" t="s">
        <v>2058</v>
      </c>
      <c r="C5950" s="3" t="s">
        <v>56</v>
      </c>
    </row>
    <row r="5951" spans="1:3" x14ac:dyDescent="0.2">
      <c r="A5951" s="3" t="s">
        <v>2046</v>
      </c>
      <c r="B5951" s="3" t="s">
        <v>2059</v>
      </c>
      <c r="C5951" s="3" t="s">
        <v>56</v>
      </c>
    </row>
    <row r="5952" spans="1:3" x14ac:dyDescent="0.2">
      <c r="A5952" s="3" t="s">
        <v>2046</v>
      </c>
      <c r="B5952" s="3" t="s">
        <v>2063</v>
      </c>
      <c r="C5952" s="3" t="s">
        <v>57</v>
      </c>
    </row>
    <row r="5953" spans="1:3" x14ac:dyDescent="0.2">
      <c r="A5953" s="3" t="s">
        <v>2046</v>
      </c>
      <c r="B5953" s="3" t="s">
        <v>2048</v>
      </c>
      <c r="C5953" s="3" t="s">
        <v>57</v>
      </c>
    </row>
    <row r="5954" spans="1:3" x14ac:dyDescent="0.2">
      <c r="A5954" s="3" t="s">
        <v>2046</v>
      </c>
      <c r="B5954" s="3" t="s">
        <v>970</v>
      </c>
      <c r="C5954" s="3" t="s">
        <v>57</v>
      </c>
    </row>
    <row r="5955" spans="1:3" x14ac:dyDescent="0.2">
      <c r="A5955" s="3" t="s">
        <v>2046</v>
      </c>
      <c r="B5955" s="3" t="s">
        <v>971</v>
      </c>
      <c r="C5955" s="3" t="s">
        <v>57</v>
      </c>
    </row>
    <row r="5956" spans="1:3" x14ac:dyDescent="0.2">
      <c r="A5956" s="3" t="s">
        <v>2046</v>
      </c>
      <c r="B5956" s="3" t="s">
        <v>2050</v>
      </c>
      <c r="C5956" s="3" t="s">
        <v>57</v>
      </c>
    </row>
    <row r="5957" spans="1:3" x14ac:dyDescent="0.2">
      <c r="A5957" s="3" t="s">
        <v>2046</v>
      </c>
      <c r="B5957" s="3" t="s">
        <v>2051</v>
      </c>
      <c r="C5957" s="3" t="s">
        <v>57</v>
      </c>
    </row>
    <row r="5958" spans="1:3" x14ac:dyDescent="0.2">
      <c r="A5958" s="3" t="s">
        <v>2046</v>
      </c>
      <c r="B5958" s="3" t="s">
        <v>2052</v>
      </c>
      <c r="C5958" s="3" t="s">
        <v>57</v>
      </c>
    </row>
    <row r="5959" spans="1:3" x14ac:dyDescent="0.2">
      <c r="A5959" s="3" t="s">
        <v>2046</v>
      </c>
      <c r="B5959" s="3" t="s">
        <v>2053</v>
      </c>
      <c r="C5959" s="3" t="s">
        <v>57</v>
      </c>
    </row>
    <row r="5960" spans="1:3" x14ac:dyDescent="0.2">
      <c r="A5960" s="3" t="s">
        <v>2046</v>
      </c>
      <c r="B5960" s="3" t="s">
        <v>2054</v>
      </c>
      <c r="C5960" s="3" t="s">
        <v>57</v>
      </c>
    </row>
    <row r="5961" spans="1:3" x14ac:dyDescent="0.2">
      <c r="A5961" s="3" t="s">
        <v>2046</v>
      </c>
      <c r="B5961" s="3" t="s">
        <v>2055</v>
      </c>
      <c r="C5961" s="3" t="s">
        <v>57</v>
      </c>
    </row>
    <row r="5962" spans="1:3" x14ac:dyDescent="0.2">
      <c r="A5962" s="3" t="s">
        <v>2046</v>
      </c>
      <c r="B5962" s="3" t="s">
        <v>2056</v>
      </c>
      <c r="C5962" s="3" t="s">
        <v>57</v>
      </c>
    </row>
    <row r="5963" spans="1:3" x14ac:dyDescent="0.2">
      <c r="A5963" s="3" t="s">
        <v>2046</v>
      </c>
      <c r="B5963" s="3" t="s">
        <v>1030</v>
      </c>
      <c r="C5963" s="3" t="s">
        <v>57</v>
      </c>
    </row>
    <row r="5964" spans="1:3" x14ac:dyDescent="0.2">
      <c r="A5964" s="3" t="s">
        <v>2046</v>
      </c>
      <c r="B5964" s="3" t="s">
        <v>2057</v>
      </c>
      <c r="C5964" s="3" t="s">
        <v>57</v>
      </c>
    </row>
    <row r="5965" spans="1:3" x14ac:dyDescent="0.2">
      <c r="A5965" s="3" t="s">
        <v>2046</v>
      </c>
      <c r="B5965" s="3" t="s">
        <v>2058</v>
      </c>
      <c r="C5965" s="3" t="s">
        <v>57</v>
      </c>
    </row>
    <row r="5966" spans="1:3" x14ac:dyDescent="0.2">
      <c r="A5966" s="3" t="s">
        <v>2046</v>
      </c>
      <c r="B5966" s="3" t="s">
        <v>2059</v>
      </c>
      <c r="C5966" s="3" t="s">
        <v>57</v>
      </c>
    </row>
    <row r="5967" spans="1:3" x14ac:dyDescent="0.2">
      <c r="A5967" s="3" t="s">
        <v>2046</v>
      </c>
      <c r="B5967" s="3" t="s">
        <v>2064</v>
      </c>
      <c r="C5967" s="3" t="s">
        <v>57</v>
      </c>
    </row>
    <row r="5968" spans="1:3" x14ac:dyDescent="0.2">
      <c r="A5968" s="3" t="s">
        <v>2046</v>
      </c>
      <c r="B5968" s="3" t="s">
        <v>2065</v>
      </c>
      <c r="C5968" s="3" t="s">
        <v>169</v>
      </c>
    </row>
    <row r="5969" spans="1:3" x14ac:dyDescent="0.2">
      <c r="A5969" s="3" t="s">
        <v>2046</v>
      </c>
      <c r="B5969" s="3" t="s">
        <v>2066</v>
      </c>
      <c r="C5969" s="3" t="s">
        <v>169</v>
      </c>
    </row>
    <row r="5970" spans="1:3" x14ac:dyDescent="0.2">
      <c r="A5970" s="3" t="s">
        <v>2046</v>
      </c>
      <c r="B5970" s="3" t="s">
        <v>2067</v>
      </c>
      <c r="C5970" s="3" t="s">
        <v>22</v>
      </c>
    </row>
    <row r="5971" spans="1:3" x14ac:dyDescent="0.2">
      <c r="A5971" s="3" t="s">
        <v>2046</v>
      </c>
      <c r="B5971" s="3" t="s">
        <v>2068</v>
      </c>
      <c r="C5971" s="3" t="s">
        <v>22</v>
      </c>
    </row>
    <row r="5972" spans="1:3" x14ac:dyDescent="0.2">
      <c r="A5972" s="3" t="s">
        <v>2046</v>
      </c>
      <c r="B5972" s="3" t="s">
        <v>2069</v>
      </c>
      <c r="C5972" s="3" t="s">
        <v>22</v>
      </c>
    </row>
    <row r="5973" spans="1:3" x14ac:dyDescent="0.2">
      <c r="A5973" s="3" t="s">
        <v>2070</v>
      </c>
      <c r="B5973" s="3" t="s">
        <v>2071</v>
      </c>
      <c r="C5973" s="3" t="s">
        <v>22</v>
      </c>
    </row>
    <row r="5974" spans="1:3" x14ac:dyDescent="0.2">
      <c r="A5974" s="3" t="s">
        <v>2072</v>
      </c>
      <c r="B5974" s="3" t="s">
        <v>2073</v>
      </c>
      <c r="C5974" s="3" t="s">
        <v>53</v>
      </c>
    </row>
    <row r="5975" spans="1:3" x14ac:dyDescent="0.2">
      <c r="A5975" s="3" t="s">
        <v>2072</v>
      </c>
      <c r="B5975" s="3" t="s">
        <v>2074</v>
      </c>
      <c r="C5975" s="3" t="s">
        <v>53</v>
      </c>
    </row>
    <row r="5976" spans="1:3" x14ac:dyDescent="0.2">
      <c r="A5976" s="3" t="s">
        <v>2072</v>
      </c>
      <c r="B5976" s="3" t="s">
        <v>2075</v>
      </c>
      <c r="C5976" s="3" t="s">
        <v>53</v>
      </c>
    </row>
    <row r="5977" spans="1:3" x14ac:dyDescent="0.2">
      <c r="A5977" s="3" t="s">
        <v>2072</v>
      </c>
      <c r="B5977" s="3" t="s">
        <v>2073</v>
      </c>
      <c r="C5977" s="3" t="s">
        <v>54</v>
      </c>
    </row>
    <row r="5978" spans="1:3" x14ac:dyDescent="0.2">
      <c r="A5978" s="3" t="s">
        <v>2072</v>
      </c>
      <c r="B5978" s="3" t="s">
        <v>2074</v>
      </c>
      <c r="C5978" s="3" t="s">
        <v>54</v>
      </c>
    </row>
    <row r="5979" spans="1:3" x14ac:dyDescent="0.2">
      <c r="A5979" s="3" t="s">
        <v>2072</v>
      </c>
      <c r="B5979" s="3" t="s">
        <v>2075</v>
      </c>
      <c r="C5979" s="3" t="s">
        <v>54</v>
      </c>
    </row>
    <row r="5980" spans="1:3" x14ac:dyDescent="0.2">
      <c r="A5980" s="3" t="s">
        <v>2072</v>
      </c>
      <c r="B5980" s="3" t="s">
        <v>2073</v>
      </c>
      <c r="C5980" s="3" t="s">
        <v>55</v>
      </c>
    </row>
    <row r="5981" spans="1:3" x14ac:dyDescent="0.2">
      <c r="A5981" s="3" t="s">
        <v>2072</v>
      </c>
      <c r="B5981" s="3" t="s">
        <v>2074</v>
      </c>
      <c r="C5981" s="3" t="s">
        <v>55</v>
      </c>
    </row>
    <row r="5982" spans="1:3" x14ac:dyDescent="0.2">
      <c r="A5982" s="3" t="s">
        <v>2072</v>
      </c>
      <c r="B5982" s="3" t="s">
        <v>2075</v>
      </c>
      <c r="C5982" s="3" t="s">
        <v>55</v>
      </c>
    </row>
    <row r="5983" spans="1:3" x14ac:dyDescent="0.2">
      <c r="A5983" s="3" t="s">
        <v>2072</v>
      </c>
      <c r="B5983" s="3" t="s">
        <v>2073</v>
      </c>
      <c r="C5983" s="3" t="s">
        <v>56</v>
      </c>
    </row>
    <row r="5984" spans="1:3" x14ac:dyDescent="0.2">
      <c r="A5984" s="3" t="s">
        <v>2072</v>
      </c>
      <c r="B5984" s="3" t="s">
        <v>2074</v>
      </c>
      <c r="C5984" s="3" t="s">
        <v>56</v>
      </c>
    </row>
    <row r="5985" spans="1:3" x14ac:dyDescent="0.2">
      <c r="A5985" s="3" t="s">
        <v>2072</v>
      </c>
      <c r="B5985" s="3" t="s">
        <v>2075</v>
      </c>
      <c r="C5985" s="3" t="s">
        <v>56</v>
      </c>
    </row>
    <row r="5986" spans="1:3" x14ac:dyDescent="0.2">
      <c r="A5986" s="3" t="s">
        <v>2072</v>
      </c>
      <c r="B5986" s="3" t="s">
        <v>2073</v>
      </c>
      <c r="C5986" s="3" t="s">
        <v>57</v>
      </c>
    </row>
    <row r="5987" spans="1:3" x14ac:dyDescent="0.2">
      <c r="A5987" s="3" t="s">
        <v>2072</v>
      </c>
      <c r="B5987" s="3" t="s">
        <v>2074</v>
      </c>
      <c r="C5987" s="3" t="s">
        <v>57</v>
      </c>
    </row>
    <row r="5988" spans="1:3" x14ac:dyDescent="0.2">
      <c r="A5988" s="3" t="s">
        <v>2072</v>
      </c>
      <c r="B5988" s="3" t="s">
        <v>2075</v>
      </c>
      <c r="C5988" s="3" t="s">
        <v>57</v>
      </c>
    </row>
    <row r="5989" spans="1:3" x14ac:dyDescent="0.2">
      <c r="A5989" s="3" t="s">
        <v>2076</v>
      </c>
      <c r="B5989" s="3" t="s">
        <v>2075</v>
      </c>
      <c r="C5989" s="3" t="s">
        <v>53</v>
      </c>
    </row>
    <row r="5990" spans="1:3" x14ac:dyDescent="0.2">
      <c r="A5990" s="3" t="s">
        <v>2076</v>
      </c>
      <c r="B5990" s="3" t="s">
        <v>2075</v>
      </c>
      <c r="C5990" s="3" t="s">
        <v>54</v>
      </c>
    </row>
    <row r="5991" spans="1:3" x14ac:dyDescent="0.2">
      <c r="A5991" s="3" t="s">
        <v>2076</v>
      </c>
      <c r="B5991" s="3" t="s">
        <v>2075</v>
      </c>
      <c r="C5991" s="3" t="s">
        <v>55</v>
      </c>
    </row>
    <row r="5992" spans="1:3" x14ac:dyDescent="0.2">
      <c r="A5992" s="3" t="s">
        <v>2076</v>
      </c>
      <c r="B5992" s="3" t="s">
        <v>2075</v>
      </c>
      <c r="C5992" s="3" t="s">
        <v>56</v>
      </c>
    </row>
    <row r="5993" spans="1:3" x14ac:dyDescent="0.2">
      <c r="A5993" s="3" t="s">
        <v>2076</v>
      </c>
      <c r="B5993" s="3" t="s">
        <v>2075</v>
      </c>
      <c r="C5993" s="3" t="s">
        <v>57</v>
      </c>
    </row>
    <row r="5994" spans="1:3" x14ac:dyDescent="0.2">
      <c r="A5994" s="3" t="s">
        <v>2077</v>
      </c>
      <c r="B5994" s="3" t="s">
        <v>1601</v>
      </c>
      <c r="C5994" s="3" t="s">
        <v>53</v>
      </c>
    </row>
    <row r="5995" spans="1:3" x14ac:dyDescent="0.2">
      <c r="A5995" s="3" t="s">
        <v>2077</v>
      </c>
      <c r="B5995" s="3" t="s">
        <v>1601</v>
      </c>
      <c r="C5995" s="3" t="s">
        <v>54</v>
      </c>
    </row>
    <row r="5996" spans="1:3" x14ac:dyDescent="0.2">
      <c r="A5996" s="3" t="s">
        <v>2077</v>
      </c>
      <c r="B5996" s="3" t="s">
        <v>1601</v>
      </c>
      <c r="C5996" s="3" t="s">
        <v>55</v>
      </c>
    </row>
    <row r="5997" spans="1:3" x14ac:dyDescent="0.2">
      <c r="A5997" s="3" t="s">
        <v>2077</v>
      </c>
      <c r="B5997" s="3" t="s">
        <v>1601</v>
      </c>
      <c r="C5997" s="3" t="s">
        <v>56</v>
      </c>
    </row>
    <row r="5998" spans="1:3" x14ac:dyDescent="0.2">
      <c r="A5998" s="3" t="s">
        <v>2077</v>
      </c>
      <c r="B5998" s="3" t="s">
        <v>1601</v>
      </c>
      <c r="C5998" s="3" t="s">
        <v>57</v>
      </c>
    </row>
    <row r="5999" spans="1:3" x14ac:dyDescent="0.2">
      <c r="A5999" s="3" t="s">
        <v>2401</v>
      </c>
      <c r="B5999" s="3" t="s">
        <v>1601</v>
      </c>
      <c r="C5999" s="3" t="s">
        <v>53</v>
      </c>
    </row>
    <row r="6000" spans="1:3" x14ac:dyDescent="0.2">
      <c r="A6000" s="3" t="s">
        <v>2401</v>
      </c>
      <c r="B6000" s="3" t="s">
        <v>1601</v>
      </c>
      <c r="C6000" s="3" t="s">
        <v>54</v>
      </c>
    </row>
    <row r="6001" spans="1:3" x14ac:dyDescent="0.2">
      <c r="A6001" s="3" t="s">
        <v>2401</v>
      </c>
      <c r="B6001" s="3" t="s">
        <v>1601</v>
      </c>
      <c r="C6001" s="3" t="s">
        <v>55</v>
      </c>
    </row>
    <row r="6002" spans="1:3" x14ac:dyDescent="0.2">
      <c r="A6002" s="3" t="s">
        <v>2401</v>
      </c>
      <c r="B6002" s="3" t="s">
        <v>1601</v>
      </c>
      <c r="C6002" s="3" t="s">
        <v>56</v>
      </c>
    </row>
    <row r="6003" spans="1:3" x14ac:dyDescent="0.2">
      <c r="A6003" s="3" t="s">
        <v>2401</v>
      </c>
      <c r="B6003" s="3" t="s">
        <v>1601</v>
      </c>
      <c r="C6003" s="3" t="s">
        <v>57</v>
      </c>
    </row>
    <row r="6004" spans="1:3" x14ac:dyDescent="0.2">
      <c r="A6004" s="3" t="s">
        <v>2078</v>
      </c>
      <c r="B6004" s="3" t="s">
        <v>1601</v>
      </c>
      <c r="C6004" s="3" t="s">
        <v>53</v>
      </c>
    </row>
    <row r="6005" spans="1:3" x14ac:dyDescent="0.2">
      <c r="A6005" s="3" t="s">
        <v>2078</v>
      </c>
      <c r="B6005" s="3" t="s">
        <v>1601</v>
      </c>
      <c r="C6005" s="3" t="s">
        <v>54</v>
      </c>
    </row>
    <row r="6006" spans="1:3" x14ac:dyDescent="0.2">
      <c r="A6006" s="3" t="s">
        <v>2078</v>
      </c>
      <c r="B6006" s="3" t="s">
        <v>1601</v>
      </c>
      <c r="C6006" s="3" t="s">
        <v>55</v>
      </c>
    </row>
    <row r="6007" spans="1:3" x14ac:dyDescent="0.2">
      <c r="A6007" s="3" t="s">
        <v>2078</v>
      </c>
      <c r="B6007" s="3" t="s">
        <v>1601</v>
      </c>
      <c r="C6007" s="3" t="s">
        <v>56</v>
      </c>
    </row>
    <row r="6008" spans="1:3" x14ac:dyDescent="0.2">
      <c r="A6008" s="3" t="s">
        <v>2078</v>
      </c>
      <c r="B6008" s="3" t="s">
        <v>1601</v>
      </c>
      <c r="C6008" s="3" t="s">
        <v>57</v>
      </c>
    </row>
    <row r="6009" spans="1:3" x14ac:dyDescent="0.2">
      <c r="A6009" s="3" t="s">
        <v>2402</v>
      </c>
      <c r="B6009" s="3" t="s">
        <v>1601</v>
      </c>
      <c r="C6009" s="3" t="s">
        <v>53</v>
      </c>
    </row>
    <row r="6010" spans="1:3" x14ac:dyDescent="0.2">
      <c r="A6010" s="3" t="s">
        <v>2402</v>
      </c>
      <c r="B6010" s="3" t="s">
        <v>1632</v>
      </c>
      <c r="C6010" s="3" t="s">
        <v>53</v>
      </c>
    </row>
    <row r="6011" spans="1:3" x14ac:dyDescent="0.2">
      <c r="A6011" s="3" t="s">
        <v>2402</v>
      </c>
      <c r="B6011" s="3" t="s">
        <v>1633</v>
      </c>
      <c r="C6011" s="3" t="s">
        <v>53</v>
      </c>
    </row>
    <row r="6012" spans="1:3" x14ac:dyDescent="0.2">
      <c r="A6012" s="3" t="s">
        <v>2402</v>
      </c>
      <c r="B6012" s="3" t="s">
        <v>1634</v>
      </c>
      <c r="C6012" s="3" t="s">
        <v>53</v>
      </c>
    </row>
    <row r="6013" spans="1:3" x14ac:dyDescent="0.2">
      <c r="A6013" s="3" t="s">
        <v>2402</v>
      </c>
      <c r="B6013" s="3" t="s">
        <v>1635</v>
      </c>
      <c r="C6013" s="3" t="s">
        <v>53</v>
      </c>
    </row>
    <row r="6014" spans="1:3" x14ac:dyDescent="0.2">
      <c r="A6014" s="3" t="s">
        <v>2402</v>
      </c>
      <c r="B6014" s="3" t="s">
        <v>1636</v>
      </c>
      <c r="C6014" s="3" t="s">
        <v>53</v>
      </c>
    </row>
    <row r="6015" spans="1:3" x14ac:dyDescent="0.2">
      <c r="A6015" s="3" t="s">
        <v>2402</v>
      </c>
      <c r="B6015" s="3" t="s">
        <v>1637</v>
      </c>
      <c r="C6015" s="3" t="s">
        <v>53</v>
      </c>
    </row>
    <row r="6016" spans="1:3" x14ac:dyDescent="0.2">
      <c r="A6016" s="3" t="s">
        <v>2402</v>
      </c>
      <c r="B6016" s="3" t="s">
        <v>1601</v>
      </c>
      <c r="C6016" s="3" t="s">
        <v>54</v>
      </c>
    </row>
    <row r="6017" spans="1:3" x14ac:dyDescent="0.2">
      <c r="A6017" s="3" t="s">
        <v>2402</v>
      </c>
      <c r="B6017" s="3" t="s">
        <v>1632</v>
      </c>
      <c r="C6017" s="3" t="s">
        <v>54</v>
      </c>
    </row>
    <row r="6018" spans="1:3" x14ac:dyDescent="0.2">
      <c r="A6018" s="3" t="s">
        <v>2402</v>
      </c>
      <c r="B6018" s="3" t="s">
        <v>1633</v>
      </c>
      <c r="C6018" s="3" t="s">
        <v>54</v>
      </c>
    </row>
    <row r="6019" spans="1:3" x14ac:dyDescent="0.2">
      <c r="A6019" s="3" t="s">
        <v>2402</v>
      </c>
      <c r="B6019" s="3" t="s">
        <v>1634</v>
      </c>
      <c r="C6019" s="3" t="s">
        <v>54</v>
      </c>
    </row>
    <row r="6020" spans="1:3" x14ac:dyDescent="0.2">
      <c r="A6020" s="3" t="s">
        <v>2402</v>
      </c>
      <c r="B6020" s="3" t="s">
        <v>1635</v>
      </c>
      <c r="C6020" s="3" t="s">
        <v>54</v>
      </c>
    </row>
    <row r="6021" spans="1:3" x14ac:dyDescent="0.2">
      <c r="A6021" s="3" t="s">
        <v>2402</v>
      </c>
      <c r="B6021" s="3" t="s">
        <v>1636</v>
      </c>
      <c r="C6021" s="3" t="s">
        <v>54</v>
      </c>
    </row>
    <row r="6022" spans="1:3" x14ac:dyDescent="0.2">
      <c r="A6022" s="3" t="s">
        <v>2402</v>
      </c>
      <c r="B6022" s="3" t="s">
        <v>1637</v>
      </c>
      <c r="C6022" s="3" t="s">
        <v>54</v>
      </c>
    </row>
    <row r="6023" spans="1:3" x14ac:dyDescent="0.2">
      <c r="A6023" s="3" t="s">
        <v>2402</v>
      </c>
      <c r="B6023" s="3" t="s">
        <v>1601</v>
      </c>
      <c r="C6023" s="3" t="s">
        <v>55</v>
      </c>
    </row>
    <row r="6024" spans="1:3" x14ac:dyDescent="0.2">
      <c r="A6024" s="3" t="s">
        <v>2402</v>
      </c>
      <c r="B6024" s="3" t="s">
        <v>1632</v>
      </c>
      <c r="C6024" s="3" t="s">
        <v>55</v>
      </c>
    </row>
    <row r="6025" spans="1:3" x14ac:dyDescent="0.2">
      <c r="A6025" s="3" t="s">
        <v>2402</v>
      </c>
      <c r="B6025" s="3" t="s">
        <v>1633</v>
      </c>
      <c r="C6025" s="3" t="s">
        <v>55</v>
      </c>
    </row>
    <row r="6026" spans="1:3" x14ac:dyDescent="0.2">
      <c r="A6026" s="3" t="s">
        <v>2402</v>
      </c>
      <c r="B6026" s="3" t="s">
        <v>1634</v>
      </c>
      <c r="C6026" s="3" t="s">
        <v>55</v>
      </c>
    </row>
    <row r="6027" spans="1:3" x14ac:dyDescent="0.2">
      <c r="A6027" s="3" t="s">
        <v>2402</v>
      </c>
      <c r="B6027" s="3" t="s">
        <v>1635</v>
      </c>
      <c r="C6027" s="3" t="s">
        <v>55</v>
      </c>
    </row>
    <row r="6028" spans="1:3" x14ac:dyDescent="0.2">
      <c r="A6028" s="3" t="s">
        <v>2402</v>
      </c>
      <c r="B6028" s="3" t="s">
        <v>1636</v>
      </c>
      <c r="C6028" s="3" t="s">
        <v>55</v>
      </c>
    </row>
    <row r="6029" spans="1:3" x14ac:dyDescent="0.2">
      <c r="A6029" s="3" t="s">
        <v>2402</v>
      </c>
      <c r="B6029" s="3" t="s">
        <v>1637</v>
      </c>
      <c r="C6029" s="3" t="s">
        <v>55</v>
      </c>
    </row>
    <row r="6030" spans="1:3" x14ac:dyDescent="0.2">
      <c r="A6030" s="3" t="s">
        <v>2402</v>
      </c>
      <c r="B6030" s="3" t="s">
        <v>1601</v>
      </c>
      <c r="C6030" s="3" t="s">
        <v>56</v>
      </c>
    </row>
    <row r="6031" spans="1:3" x14ac:dyDescent="0.2">
      <c r="A6031" s="3" t="s">
        <v>2402</v>
      </c>
      <c r="B6031" s="3" t="s">
        <v>1632</v>
      </c>
      <c r="C6031" s="3" t="s">
        <v>56</v>
      </c>
    </row>
    <row r="6032" spans="1:3" x14ac:dyDescent="0.2">
      <c r="A6032" s="3" t="s">
        <v>2402</v>
      </c>
      <c r="B6032" s="3" t="s">
        <v>1633</v>
      </c>
      <c r="C6032" s="3" t="s">
        <v>56</v>
      </c>
    </row>
    <row r="6033" spans="1:3" x14ac:dyDescent="0.2">
      <c r="A6033" s="3" t="s">
        <v>2402</v>
      </c>
      <c r="B6033" s="3" t="s">
        <v>1634</v>
      </c>
      <c r="C6033" s="3" t="s">
        <v>56</v>
      </c>
    </row>
    <row r="6034" spans="1:3" x14ac:dyDescent="0.2">
      <c r="A6034" s="3" t="s">
        <v>2402</v>
      </c>
      <c r="B6034" s="3" t="s">
        <v>1635</v>
      </c>
      <c r="C6034" s="3" t="s">
        <v>56</v>
      </c>
    </row>
    <row r="6035" spans="1:3" x14ac:dyDescent="0.2">
      <c r="A6035" s="3" t="s">
        <v>2402</v>
      </c>
      <c r="B6035" s="3" t="s">
        <v>1636</v>
      </c>
      <c r="C6035" s="3" t="s">
        <v>56</v>
      </c>
    </row>
    <row r="6036" spans="1:3" x14ac:dyDescent="0.2">
      <c r="A6036" s="3" t="s">
        <v>2402</v>
      </c>
      <c r="B6036" s="3" t="s">
        <v>1637</v>
      </c>
      <c r="C6036" s="3" t="s">
        <v>56</v>
      </c>
    </row>
    <row r="6037" spans="1:3" x14ac:dyDescent="0.2">
      <c r="A6037" s="3" t="s">
        <v>2402</v>
      </c>
      <c r="B6037" s="3" t="s">
        <v>1601</v>
      </c>
      <c r="C6037" s="3" t="s">
        <v>57</v>
      </c>
    </row>
    <row r="6038" spans="1:3" x14ac:dyDescent="0.2">
      <c r="A6038" s="3" t="s">
        <v>2402</v>
      </c>
      <c r="B6038" s="3" t="s">
        <v>1632</v>
      </c>
      <c r="C6038" s="3" t="s">
        <v>57</v>
      </c>
    </row>
    <row r="6039" spans="1:3" x14ac:dyDescent="0.2">
      <c r="A6039" s="3" t="s">
        <v>2402</v>
      </c>
      <c r="B6039" s="3" t="s">
        <v>1633</v>
      </c>
      <c r="C6039" s="3" t="s">
        <v>57</v>
      </c>
    </row>
    <row r="6040" spans="1:3" x14ac:dyDescent="0.2">
      <c r="A6040" s="3" t="s">
        <v>2402</v>
      </c>
      <c r="B6040" s="3" t="s">
        <v>1634</v>
      </c>
      <c r="C6040" s="3" t="s">
        <v>57</v>
      </c>
    </row>
    <row r="6041" spans="1:3" x14ac:dyDescent="0.2">
      <c r="A6041" s="3" t="s">
        <v>2402</v>
      </c>
      <c r="B6041" s="3" t="s">
        <v>1635</v>
      </c>
      <c r="C6041" s="3" t="s">
        <v>57</v>
      </c>
    </row>
    <row r="6042" spans="1:3" x14ac:dyDescent="0.2">
      <c r="A6042" s="3" t="s">
        <v>2402</v>
      </c>
      <c r="B6042" s="3" t="s">
        <v>1636</v>
      </c>
      <c r="C6042" s="3" t="s">
        <v>57</v>
      </c>
    </row>
    <row r="6043" spans="1:3" x14ac:dyDescent="0.2">
      <c r="A6043" s="3" t="s">
        <v>2402</v>
      </c>
      <c r="B6043" s="3" t="s">
        <v>1637</v>
      </c>
      <c r="C6043" s="3" t="s">
        <v>57</v>
      </c>
    </row>
    <row r="6044" spans="1:3" x14ac:dyDescent="0.2">
      <c r="A6044" s="3" t="s">
        <v>2079</v>
      </c>
      <c r="B6044" s="3" t="s">
        <v>2080</v>
      </c>
      <c r="C6044" s="3" t="s">
        <v>22</v>
      </c>
    </row>
    <row r="6045" spans="1:3" x14ac:dyDescent="0.2">
      <c r="A6045" s="3" t="s">
        <v>2079</v>
      </c>
      <c r="B6045" s="3" t="s">
        <v>2081</v>
      </c>
      <c r="C6045" s="3" t="s">
        <v>22</v>
      </c>
    </row>
    <row r="6046" spans="1:3" x14ac:dyDescent="0.2">
      <c r="A6046" s="3" t="s">
        <v>2079</v>
      </c>
      <c r="B6046" s="3" t="s">
        <v>2082</v>
      </c>
      <c r="C6046" s="3" t="s">
        <v>22</v>
      </c>
    </row>
    <row r="6047" spans="1:3" x14ac:dyDescent="0.2">
      <c r="A6047" s="3" t="s">
        <v>2079</v>
      </c>
      <c r="B6047" s="3" t="s">
        <v>2083</v>
      </c>
      <c r="C6047" s="3" t="s">
        <v>22</v>
      </c>
    </row>
    <row r="6048" spans="1:3" x14ac:dyDescent="0.2">
      <c r="A6048" s="3" t="s">
        <v>2079</v>
      </c>
      <c r="B6048" s="3" t="s">
        <v>2084</v>
      </c>
      <c r="C6048" s="3" t="s">
        <v>22</v>
      </c>
    </row>
    <row r="6049" spans="1:3" x14ac:dyDescent="0.2">
      <c r="A6049" s="3" t="s">
        <v>2079</v>
      </c>
      <c r="B6049" s="3" t="s">
        <v>2085</v>
      </c>
      <c r="C6049" s="3" t="s">
        <v>22</v>
      </c>
    </row>
    <row r="6050" spans="1:3" x14ac:dyDescent="0.2">
      <c r="A6050" s="3" t="s">
        <v>2079</v>
      </c>
      <c r="B6050" s="3" t="s">
        <v>2086</v>
      </c>
      <c r="C6050" s="3" t="s">
        <v>22</v>
      </c>
    </row>
    <row r="6051" spans="1:3" x14ac:dyDescent="0.2">
      <c r="A6051" s="3" t="s">
        <v>2079</v>
      </c>
      <c r="B6051" s="3" t="s">
        <v>2087</v>
      </c>
      <c r="C6051" s="3" t="s">
        <v>22</v>
      </c>
    </row>
    <row r="6052" spans="1:3" x14ac:dyDescent="0.2">
      <c r="A6052" s="3" t="s">
        <v>2079</v>
      </c>
      <c r="B6052" s="3" t="s">
        <v>2088</v>
      </c>
      <c r="C6052" s="3" t="s">
        <v>22</v>
      </c>
    </row>
    <row r="6053" spans="1:3" x14ac:dyDescent="0.2">
      <c r="A6053" s="3" t="s">
        <v>2079</v>
      </c>
      <c r="B6053" s="3" t="s">
        <v>2089</v>
      </c>
      <c r="C6053" s="3" t="s">
        <v>22</v>
      </c>
    </row>
    <row r="6054" spans="1:3" x14ac:dyDescent="0.2">
      <c r="A6054" s="3" t="s">
        <v>2079</v>
      </c>
      <c r="B6054" s="3" t="s">
        <v>2090</v>
      </c>
      <c r="C6054" s="3" t="s">
        <v>22</v>
      </c>
    </row>
    <row r="6055" spans="1:3" x14ac:dyDescent="0.2">
      <c r="A6055" s="3" t="s">
        <v>2079</v>
      </c>
      <c r="B6055" s="3" t="s">
        <v>2091</v>
      </c>
      <c r="C6055" s="3" t="s">
        <v>22</v>
      </c>
    </row>
    <row r="6056" spans="1:3" x14ac:dyDescent="0.2">
      <c r="A6056" s="3" t="s">
        <v>2079</v>
      </c>
      <c r="B6056" s="3" t="s">
        <v>2092</v>
      </c>
      <c r="C6056" s="3" t="s">
        <v>22</v>
      </c>
    </row>
    <row r="6057" spans="1:3" x14ac:dyDescent="0.2">
      <c r="A6057" s="3" t="s">
        <v>2079</v>
      </c>
      <c r="B6057" s="3" t="s">
        <v>2093</v>
      </c>
      <c r="C6057" s="3" t="s">
        <v>22</v>
      </c>
    </row>
    <row r="6058" spans="1:3" x14ac:dyDescent="0.2">
      <c r="A6058" s="3" t="s">
        <v>2079</v>
      </c>
      <c r="B6058" s="3" t="s">
        <v>2094</v>
      </c>
      <c r="C6058" s="3" t="s">
        <v>22</v>
      </c>
    </row>
    <row r="6059" spans="1:3" x14ac:dyDescent="0.2">
      <c r="A6059" s="3" t="s">
        <v>2079</v>
      </c>
      <c r="B6059" s="3" t="s">
        <v>2095</v>
      </c>
      <c r="C6059" s="3" t="s">
        <v>22</v>
      </c>
    </row>
    <row r="6060" spans="1:3" x14ac:dyDescent="0.2">
      <c r="A6060" s="3" t="s">
        <v>2079</v>
      </c>
      <c r="B6060" s="3" t="s">
        <v>2096</v>
      </c>
      <c r="C6060" s="3" t="s">
        <v>22</v>
      </c>
    </row>
    <row r="6061" spans="1:3" x14ac:dyDescent="0.2">
      <c r="A6061" s="3" t="s">
        <v>2099</v>
      </c>
      <c r="B6061" s="3" t="s">
        <v>2100</v>
      </c>
      <c r="C6061" s="3" t="s">
        <v>22</v>
      </c>
    </row>
    <row r="6062" spans="1:3" x14ac:dyDescent="0.2">
      <c r="A6062" s="3" t="s">
        <v>2099</v>
      </c>
      <c r="B6062" s="3" t="s">
        <v>2101</v>
      </c>
      <c r="C6062" s="3" t="s">
        <v>22</v>
      </c>
    </row>
    <row r="6063" spans="1:3" x14ac:dyDescent="0.2">
      <c r="A6063" s="3" t="s">
        <v>2099</v>
      </c>
      <c r="B6063" s="3" t="s">
        <v>2102</v>
      </c>
      <c r="C6063" s="3" t="s">
        <v>22</v>
      </c>
    </row>
    <row r="6064" spans="1:3" x14ac:dyDescent="0.2">
      <c r="A6064" s="3" t="s">
        <v>2099</v>
      </c>
      <c r="B6064" s="3" t="s">
        <v>2103</v>
      </c>
      <c r="C6064" s="3" t="s">
        <v>22</v>
      </c>
    </row>
    <row r="6065" spans="1:3" x14ac:dyDescent="0.2">
      <c r="A6065" s="3" t="s">
        <v>2099</v>
      </c>
      <c r="B6065" s="3" t="s">
        <v>2104</v>
      </c>
      <c r="C6065" s="3" t="s">
        <v>22</v>
      </c>
    </row>
    <row r="6066" spans="1:3" x14ac:dyDescent="0.2">
      <c r="A6066" s="3" t="s">
        <v>2099</v>
      </c>
      <c r="B6066" s="3" t="s">
        <v>2105</v>
      </c>
      <c r="C6066" s="3" t="s">
        <v>22</v>
      </c>
    </row>
    <row r="6067" spans="1:3" x14ac:dyDescent="0.2">
      <c r="A6067" s="3" t="s">
        <v>2099</v>
      </c>
      <c r="B6067" s="3" t="s">
        <v>2106</v>
      </c>
      <c r="C6067" s="3" t="s">
        <v>22</v>
      </c>
    </row>
    <row r="6068" spans="1:3" x14ac:dyDescent="0.2">
      <c r="A6068" s="3" t="s">
        <v>2099</v>
      </c>
      <c r="B6068" s="3" t="s">
        <v>2107</v>
      </c>
      <c r="C6068" s="3" t="s">
        <v>22</v>
      </c>
    </row>
    <row r="6069" spans="1:3" x14ac:dyDescent="0.2">
      <c r="A6069" s="3" t="s">
        <v>2099</v>
      </c>
      <c r="B6069" s="3" t="s">
        <v>2108</v>
      </c>
      <c r="C6069" s="3" t="s">
        <v>22</v>
      </c>
    </row>
    <row r="6070" spans="1:3" x14ac:dyDescent="0.2">
      <c r="A6070" s="3" t="s">
        <v>2099</v>
      </c>
      <c r="B6070" s="3" t="s">
        <v>2109</v>
      </c>
      <c r="C6070" s="3" t="s">
        <v>22</v>
      </c>
    </row>
    <row r="6071" spans="1:3" x14ac:dyDescent="0.2">
      <c r="A6071" s="3" t="s">
        <v>2099</v>
      </c>
      <c r="B6071" s="3" t="s">
        <v>2110</v>
      </c>
      <c r="C6071" s="3" t="s">
        <v>22</v>
      </c>
    </row>
    <row r="6072" spans="1:3" x14ac:dyDescent="0.2">
      <c r="A6072" s="3" t="s">
        <v>2099</v>
      </c>
      <c r="B6072" s="3" t="s">
        <v>2111</v>
      </c>
      <c r="C6072" s="3" t="s">
        <v>22</v>
      </c>
    </row>
    <row r="6073" spans="1:3" x14ac:dyDescent="0.2">
      <c r="A6073" s="3" t="s">
        <v>2112</v>
      </c>
      <c r="B6073" s="3" t="s">
        <v>1601</v>
      </c>
      <c r="C6073" s="3" t="s">
        <v>53</v>
      </c>
    </row>
    <row r="6074" spans="1:3" x14ac:dyDescent="0.2">
      <c r="A6074" s="3" t="s">
        <v>2112</v>
      </c>
      <c r="B6074" s="3" t="s">
        <v>1024</v>
      </c>
      <c r="C6074" s="3" t="s">
        <v>53</v>
      </c>
    </row>
    <row r="6075" spans="1:3" x14ac:dyDescent="0.2">
      <c r="A6075" s="3" t="s">
        <v>2112</v>
      </c>
      <c r="B6075" s="3" t="s">
        <v>1025</v>
      </c>
      <c r="C6075" s="3" t="s">
        <v>53</v>
      </c>
    </row>
    <row r="6076" spans="1:3" x14ac:dyDescent="0.2">
      <c r="A6076" s="3" t="s">
        <v>2112</v>
      </c>
      <c r="B6076" s="3" t="s">
        <v>1026</v>
      </c>
      <c r="C6076" s="3" t="s">
        <v>53</v>
      </c>
    </row>
    <row r="6077" spans="1:3" x14ac:dyDescent="0.2">
      <c r="A6077" s="3" t="s">
        <v>2112</v>
      </c>
      <c r="B6077" s="3" t="s">
        <v>1028</v>
      </c>
      <c r="C6077" s="3" t="s">
        <v>53</v>
      </c>
    </row>
    <row r="6078" spans="1:3" x14ac:dyDescent="0.2">
      <c r="A6078" s="3" t="s">
        <v>2112</v>
      </c>
      <c r="B6078" s="3" t="s">
        <v>1029</v>
      </c>
      <c r="C6078" s="3" t="s">
        <v>53</v>
      </c>
    </row>
    <row r="6079" spans="1:3" x14ac:dyDescent="0.2">
      <c r="A6079" s="3" t="s">
        <v>2112</v>
      </c>
      <c r="B6079" s="3" t="s">
        <v>1030</v>
      </c>
      <c r="C6079" s="3" t="s">
        <v>53</v>
      </c>
    </row>
    <row r="6080" spans="1:3" x14ac:dyDescent="0.2">
      <c r="A6080" s="3" t="s">
        <v>2112</v>
      </c>
      <c r="B6080" s="3" t="s">
        <v>1601</v>
      </c>
      <c r="C6080" s="3" t="s">
        <v>54</v>
      </c>
    </row>
    <row r="6081" spans="1:3" x14ac:dyDescent="0.2">
      <c r="A6081" s="3" t="s">
        <v>2112</v>
      </c>
      <c r="B6081" s="3" t="s">
        <v>1024</v>
      </c>
      <c r="C6081" s="3" t="s">
        <v>54</v>
      </c>
    </row>
    <row r="6082" spans="1:3" x14ac:dyDescent="0.2">
      <c r="A6082" s="3" t="s">
        <v>2112</v>
      </c>
      <c r="B6082" s="3" t="s">
        <v>1025</v>
      </c>
      <c r="C6082" s="3" t="s">
        <v>54</v>
      </c>
    </row>
    <row r="6083" spans="1:3" x14ac:dyDescent="0.2">
      <c r="A6083" s="3" t="s">
        <v>2112</v>
      </c>
      <c r="B6083" s="3" t="s">
        <v>1026</v>
      </c>
      <c r="C6083" s="3" t="s">
        <v>54</v>
      </c>
    </row>
    <row r="6084" spans="1:3" x14ac:dyDescent="0.2">
      <c r="A6084" s="3" t="s">
        <v>2112</v>
      </c>
      <c r="B6084" s="3" t="s">
        <v>1028</v>
      </c>
      <c r="C6084" s="3" t="s">
        <v>54</v>
      </c>
    </row>
    <row r="6085" spans="1:3" x14ac:dyDescent="0.2">
      <c r="A6085" s="3" t="s">
        <v>2112</v>
      </c>
      <c r="B6085" s="3" t="s">
        <v>1029</v>
      </c>
      <c r="C6085" s="3" t="s">
        <v>54</v>
      </c>
    </row>
    <row r="6086" spans="1:3" x14ac:dyDescent="0.2">
      <c r="A6086" s="3" t="s">
        <v>2112</v>
      </c>
      <c r="B6086" s="3" t="s">
        <v>1030</v>
      </c>
      <c r="C6086" s="3" t="s">
        <v>54</v>
      </c>
    </row>
    <row r="6087" spans="1:3" x14ac:dyDescent="0.2">
      <c r="A6087" s="3" t="s">
        <v>2112</v>
      </c>
      <c r="B6087" s="3" t="s">
        <v>1601</v>
      </c>
      <c r="C6087" s="3" t="s">
        <v>55</v>
      </c>
    </row>
    <row r="6088" spans="1:3" x14ac:dyDescent="0.2">
      <c r="A6088" s="3" t="s">
        <v>2112</v>
      </c>
      <c r="B6088" s="3" t="s">
        <v>1030</v>
      </c>
      <c r="C6088" s="3" t="s">
        <v>55</v>
      </c>
    </row>
    <row r="6089" spans="1:3" x14ac:dyDescent="0.2">
      <c r="A6089" s="3" t="s">
        <v>2112</v>
      </c>
      <c r="B6089" s="3" t="s">
        <v>1601</v>
      </c>
      <c r="C6089" s="3" t="s">
        <v>56</v>
      </c>
    </row>
    <row r="6090" spans="1:3" x14ac:dyDescent="0.2">
      <c r="A6090" s="3" t="s">
        <v>2112</v>
      </c>
      <c r="B6090" s="3" t="s">
        <v>1030</v>
      </c>
      <c r="C6090" s="3" t="s">
        <v>56</v>
      </c>
    </row>
    <row r="6091" spans="1:3" x14ac:dyDescent="0.2">
      <c r="A6091" s="3" t="s">
        <v>2112</v>
      </c>
      <c r="B6091" s="3" t="s">
        <v>1601</v>
      </c>
      <c r="C6091" s="3" t="s">
        <v>57</v>
      </c>
    </row>
    <row r="6092" spans="1:3" x14ac:dyDescent="0.2">
      <c r="A6092" s="3" t="s">
        <v>2112</v>
      </c>
      <c r="B6092" s="3" t="s">
        <v>1029</v>
      </c>
      <c r="C6092" s="3" t="s">
        <v>57</v>
      </c>
    </row>
    <row r="6093" spans="1:3" x14ac:dyDescent="0.2">
      <c r="A6093" s="3" t="s">
        <v>2112</v>
      </c>
      <c r="B6093" s="3" t="s">
        <v>1030</v>
      </c>
      <c r="C6093" s="3" t="s">
        <v>57</v>
      </c>
    </row>
    <row r="6094" spans="1:3" x14ac:dyDescent="0.2">
      <c r="A6094" s="3" t="s">
        <v>2403</v>
      </c>
      <c r="B6094" s="3" t="s">
        <v>26</v>
      </c>
      <c r="C6094" s="3" t="s">
        <v>10</v>
      </c>
    </row>
    <row r="6095" spans="1:3" x14ac:dyDescent="0.2">
      <c r="A6095" s="3" t="s">
        <v>2403</v>
      </c>
      <c r="B6095" s="3" t="s">
        <v>26</v>
      </c>
      <c r="C6095" s="3" t="s">
        <v>11</v>
      </c>
    </row>
    <row r="6096" spans="1:3" x14ac:dyDescent="0.2">
      <c r="A6096" s="3" t="s">
        <v>2404</v>
      </c>
      <c r="B6096" s="3" t="s">
        <v>134</v>
      </c>
      <c r="C6096" s="3" t="s">
        <v>10</v>
      </c>
    </row>
    <row r="6097" spans="1:3" x14ac:dyDescent="0.2">
      <c r="A6097" s="3" t="s">
        <v>2405</v>
      </c>
      <c r="B6097" s="3" t="s">
        <v>141</v>
      </c>
      <c r="C6097" s="3" t="s">
        <v>10</v>
      </c>
    </row>
    <row r="6098" spans="1:3" x14ac:dyDescent="0.2">
      <c r="A6098" s="3" t="s">
        <v>2405</v>
      </c>
      <c r="B6098" s="3" t="s">
        <v>141</v>
      </c>
      <c r="C6098" s="3" t="s">
        <v>11</v>
      </c>
    </row>
    <row r="6099" spans="1:3" x14ac:dyDescent="0.2">
      <c r="A6099" s="3" t="s">
        <v>2406</v>
      </c>
      <c r="B6099" s="3" t="s">
        <v>1601</v>
      </c>
      <c r="C6099" s="3" t="s">
        <v>53</v>
      </c>
    </row>
    <row r="6100" spans="1:3" x14ac:dyDescent="0.2">
      <c r="A6100" s="3" t="s">
        <v>2406</v>
      </c>
      <c r="B6100" s="3" t="s">
        <v>974</v>
      </c>
      <c r="C6100" s="3" t="s">
        <v>53</v>
      </c>
    </row>
    <row r="6101" spans="1:3" x14ac:dyDescent="0.2">
      <c r="A6101" s="3" t="s">
        <v>2406</v>
      </c>
      <c r="B6101" s="3" t="s">
        <v>928</v>
      </c>
      <c r="C6101" s="3" t="s">
        <v>53</v>
      </c>
    </row>
    <row r="6102" spans="1:3" x14ac:dyDescent="0.2">
      <c r="A6102" s="3" t="s">
        <v>2406</v>
      </c>
      <c r="B6102" s="3" t="s">
        <v>930</v>
      </c>
      <c r="C6102" s="3" t="s">
        <v>53</v>
      </c>
    </row>
    <row r="6103" spans="1:3" x14ac:dyDescent="0.2">
      <c r="A6103" s="3" t="s">
        <v>2406</v>
      </c>
      <c r="B6103" s="3" t="s">
        <v>1619</v>
      </c>
      <c r="C6103" s="3" t="s">
        <v>53</v>
      </c>
    </row>
    <row r="6104" spans="1:3" x14ac:dyDescent="0.2">
      <c r="A6104" s="3" t="s">
        <v>2406</v>
      </c>
      <c r="B6104" s="3" t="s">
        <v>1637</v>
      </c>
      <c r="C6104" s="3" t="s">
        <v>53</v>
      </c>
    </row>
    <row r="6105" spans="1:3" x14ac:dyDescent="0.2">
      <c r="A6105" s="3" t="s">
        <v>2406</v>
      </c>
      <c r="B6105" s="3" t="s">
        <v>1601</v>
      </c>
      <c r="C6105" s="3" t="s">
        <v>54</v>
      </c>
    </row>
    <row r="6106" spans="1:3" x14ac:dyDescent="0.2">
      <c r="A6106" s="3" t="s">
        <v>2406</v>
      </c>
      <c r="B6106" s="3" t="s">
        <v>974</v>
      </c>
      <c r="C6106" s="3" t="s">
        <v>54</v>
      </c>
    </row>
    <row r="6107" spans="1:3" x14ac:dyDescent="0.2">
      <c r="A6107" s="3" t="s">
        <v>2406</v>
      </c>
      <c r="B6107" s="3" t="s">
        <v>928</v>
      </c>
      <c r="C6107" s="3" t="s">
        <v>54</v>
      </c>
    </row>
    <row r="6108" spans="1:3" x14ac:dyDescent="0.2">
      <c r="A6108" s="3" t="s">
        <v>2406</v>
      </c>
      <c r="B6108" s="3" t="s">
        <v>930</v>
      </c>
      <c r="C6108" s="3" t="s">
        <v>54</v>
      </c>
    </row>
    <row r="6109" spans="1:3" x14ac:dyDescent="0.2">
      <c r="A6109" s="3" t="s">
        <v>2406</v>
      </c>
      <c r="B6109" s="3" t="s">
        <v>1619</v>
      </c>
      <c r="C6109" s="3" t="s">
        <v>54</v>
      </c>
    </row>
    <row r="6110" spans="1:3" x14ac:dyDescent="0.2">
      <c r="A6110" s="3" t="s">
        <v>2406</v>
      </c>
      <c r="B6110" s="3" t="s">
        <v>1637</v>
      </c>
      <c r="C6110" s="3" t="s">
        <v>54</v>
      </c>
    </row>
    <row r="6111" spans="1:3" x14ac:dyDescent="0.2">
      <c r="A6111" s="3" t="s">
        <v>2406</v>
      </c>
      <c r="B6111" s="3" t="s">
        <v>1601</v>
      </c>
      <c r="C6111" s="3" t="s">
        <v>55</v>
      </c>
    </row>
    <row r="6112" spans="1:3" x14ac:dyDescent="0.2">
      <c r="A6112" s="3" t="s">
        <v>2406</v>
      </c>
      <c r="B6112" s="3" t="s">
        <v>974</v>
      </c>
      <c r="C6112" s="3" t="s">
        <v>55</v>
      </c>
    </row>
    <row r="6113" spans="1:3" x14ac:dyDescent="0.2">
      <c r="A6113" s="3" t="s">
        <v>2406</v>
      </c>
      <c r="B6113" s="3" t="s">
        <v>928</v>
      </c>
      <c r="C6113" s="3" t="s">
        <v>55</v>
      </c>
    </row>
    <row r="6114" spans="1:3" x14ac:dyDescent="0.2">
      <c r="A6114" s="3" t="s">
        <v>2406</v>
      </c>
      <c r="B6114" s="3" t="s">
        <v>930</v>
      </c>
      <c r="C6114" s="3" t="s">
        <v>55</v>
      </c>
    </row>
    <row r="6115" spans="1:3" x14ac:dyDescent="0.2">
      <c r="A6115" s="3" t="s">
        <v>2406</v>
      </c>
      <c r="B6115" s="3" t="s">
        <v>1619</v>
      </c>
      <c r="C6115" s="3" t="s">
        <v>55</v>
      </c>
    </row>
    <row r="6116" spans="1:3" x14ac:dyDescent="0.2">
      <c r="A6116" s="3" t="s">
        <v>2406</v>
      </c>
      <c r="B6116" s="3" t="s">
        <v>1637</v>
      </c>
      <c r="C6116" s="3" t="s">
        <v>55</v>
      </c>
    </row>
    <row r="6117" spans="1:3" x14ac:dyDescent="0.2">
      <c r="A6117" s="3" t="s">
        <v>2406</v>
      </c>
      <c r="B6117" s="3" t="s">
        <v>1601</v>
      </c>
      <c r="C6117" s="3" t="s">
        <v>56</v>
      </c>
    </row>
    <row r="6118" spans="1:3" x14ac:dyDescent="0.2">
      <c r="A6118" s="3" t="s">
        <v>2406</v>
      </c>
      <c r="B6118" s="3" t="s">
        <v>974</v>
      </c>
      <c r="C6118" s="3" t="s">
        <v>56</v>
      </c>
    </row>
    <row r="6119" spans="1:3" x14ac:dyDescent="0.2">
      <c r="A6119" s="3" t="s">
        <v>2406</v>
      </c>
      <c r="B6119" s="3" t="s">
        <v>928</v>
      </c>
      <c r="C6119" s="3" t="s">
        <v>56</v>
      </c>
    </row>
    <row r="6120" spans="1:3" x14ac:dyDescent="0.2">
      <c r="A6120" s="3" t="s">
        <v>2406</v>
      </c>
      <c r="B6120" s="3" t="s">
        <v>930</v>
      </c>
      <c r="C6120" s="3" t="s">
        <v>56</v>
      </c>
    </row>
    <row r="6121" spans="1:3" x14ac:dyDescent="0.2">
      <c r="A6121" s="3" t="s">
        <v>2406</v>
      </c>
      <c r="B6121" s="3" t="s">
        <v>1619</v>
      </c>
      <c r="C6121" s="3" t="s">
        <v>56</v>
      </c>
    </row>
    <row r="6122" spans="1:3" x14ac:dyDescent="0.2">
      <c r="A6122" s="3" t="s">
        <v>2406</v>
      </c>
      <c r="B6122" s="3" t="s">
        <v>1637</v>
      </c>
      <c r="C6122" s="3" t="s">
        <v>56</v>
      </c>
    </row>
    <row r="6123" spans="1:3" x14ac:dyDescent="0.2">
      <c r="A6123" s="3" t="s">
        <v>2406</v>
      </c>
      <c r="B6123" s="3" t="s">
        <v>1601</v>
      </c>
      <c r="C6123" s="3" t="s">
        <v>57</v>
      </c>
    </row>
    <row r="6124" spans="1:3" x14ac:dyDescent="0.2">
      <c r="A6124" s="3" t="s">
        <v>2406</v>
      </c>
      <c r="B6124" s="3" t="s">
        <v>974</v>
      </c>
      <c r="C6124" s="3" t="s">
        <v>57</v>
      </c>
    </row>
    <row r="6125" spans="1:3" x14ac:dyDescent="0.2">
      <c r="A6125" s="3" t="s">
        <v>2406</v>
      </c>
      <c r="B6125" s="3" t="s">
        <v>928</v>
      </c>
      <c r="C6125" s="3" t="s">
        <v>57</v>
      </c>
    </row>
    <row r="6126" spans="1:3" x14ac:dyDescent="0.2">
      <c r="A6126" s="3" t="s">
        <v>2406</v>
      </c>
      <c r="B6126" s="3" t="s">
        <v>930</v>
      </c>
      <c r="C6126" s="3" t="s">
        <v>57</v>
      </c>
    </row>
    <row r="6127" spans="1:3" x14ac:dyDescent="0.2">
      <c r="A6127" s="3" t="s">
        <v>2406</v>
      </c>
      <c r="B6127" s="3" t="s">
        <v>1619</v>
      </c>
      <c r="C6127" s="3" t="s">
        <v>57</v>
      </c>
    </row>
    <row r="6128" spans="1:3" x14ac:dyDescent="0.2">
      <c r="A6128" s="3" t="s">
        <v>2406</v>
      </c>
      <c r="B6128" s="3" t="s">
        <v>1637</v>
      </c>
      <c r="C6128" s="3" t="s">
        <v>57</v>
      </c>
    </row>
    <row r="6129" spans="1:3" x14ac:dyDescent="0.2">
      <c r="A6129" s="3" t="s">
        <v>2118</v>
      </c>
      <c r="B6129" s="3" t="s">
        <v>1315</v>
      </c>
      <c r="C6129" s="3" t="s">
        <v>53</v>
      </c>
    </row>
    <row r="6130" spans="1:3" x14ac:dyDescent="0.2">
      <c r="A6130" s="3" t="s">
        <v>2118</v>
      </c>
      <c r="B6130" s="3" t="s">
        <v>1315</v>
      </c>
      <c r="C6130" s="3" t="s">
        <v>54</v>
      </c>
    </row>
    <row r="6131" spans="1:3" x14ac:dyDescent="0.2">
      <c r="A6131" s="3" t="s">
        <v>2118</v>
      </c>
      <c r="B6131" s="3" t="s">
        <v>1315</v>
      </c>
      <c r="C6131" s="3" t="s">
        <v>55</v>
      </c>
    </row>
    <row r="6132" spans="1:3" x14ac:dyDescent="0.2">
      <c r="A6132" s="3" t="s">
        <v>2118</v>
      </c>
      <c r="B6132" s="3" t="s">
        <v>1315</v>
      </c>
      <c r="C6132" s="3" t="s">
        <v>56</v>
      </c>
    </row>
    <row r="6133" spans="1:3" x14ac:dyDescent="0.2">
      <c r="A6133" s="3" t="s">
        <v>2118</v>
      </c>
      <c r="B6133" s="3" t="s">
        <v>1315</v>
      </c>
      <c r="C6133" s="3" t="s">
        <v>57</v>
      </c>
    </row>
    <row r="6134" spans="1:3" x14ac:dyDescent="0.2">
      <c r="A6134" s="3" t="s">
        <v>2407</v>
      </c>
      <c r="B6134" s="3" t="s">
        <v>2317</v>
      </c>
      <c r="C6134" s="3" t="s">
        <v>10</v>
      </c>
    </row>
    <row r="6135" spans="1:3" x14ac:dyDescent="0.2">
      <c r="A6135" s="3" t="s">
        <v>2137</v>
      </c>
      <c r="B6135" s="3" t="s">
        <v>2138</v>
      </c>
      <c r="C6135" s="3" t="s">
        <v>169</v>
      </c>
    </row>
    <row r="6136" spans="1:3" x14ac:dyDescent="0.2">
      <c r="A6136" s="3" t="s">
        <v>2137</v>
      </c>
      <c r="B6136" s="3" t="s">
        <v>2139</v>
      </c>
      <c r="C6136" s="3" t="s">
        <v>169</v>
      </c>
    </row>
    <row r="6137" spans="1:3" x14ac:dyDescent="0.2">
      <c r="A6137" s="3" t="s">
        <v>2137</v>
      </c>
      <c r="B6137" s="3" t="s">
        <v>2140</v>
      </c>
      <c r="C6137" s="3" t="s">
        <v>169</v>
      </c>
    </row>
    <row r="6138" spans="1:3" x14ac:dyDescent="0.2">
      <c r="A6138" s="3" t="s">
        <v>2137</v>
      </c>
      <c r="B6138" s="3" t="s">
        <v>2141</v>
      </c>
      <c r="C6138" s="3" t="s">
        <v>169</v>
      </c>
    </row>
    <row r="6139" spans="1:3" x14ac:dyDescent="0.2">
      <c r="A6139" s="3" t="s">
        <v>2155</v>
      </c>
      <c r="B6139" s="3" t="s">
        <v>2156</v>
      </c>
      <c r="C6139" s="3" t="s">
        <v>169</v>
      </c>
    </row>
    <row r="6140" spans="1:3" x14ac:dyDescent="0.2">
      <c r="A6140" s="3" t="s">
        <v>2155</v>
      </c>
      <c r="B6140" s="3" t="s">
        <v>2157</v>
      </c>
      <c r="C6140" s="3" t="s">
        <v>169</v>
      </c>
    </row>
    <row r="6141" spans="1:3" x14ac:dyDescent="0.2">
      <c r="A6141" s="3" t="s">
        <v>2155</v>
      </c>
      <c r="B6141" s="3" t="s">
        <v>2158</v>
      </c>
      <c r="C6141" s="3" t="s">
        <v>169</v>
      </c>
    </row>
    <row r="6142" spans="1:3" x14ac:dyDescent="0.2">
      <c r="A6142" s="3" t="s">
        <v>2155</v>
      </c>
      <c r="B6142" s="3" t="s">
        <v>2159</v>
      </c>
      <c r="C6142" s="3" t="s">
        <v>169</v>
      </c>
    </row>
    <row r="6143" spans="1:3" x14ac:dyDescent="0.2">
      <c r="A6143" s="3" t="s">
        <v>2155</v>
      </c>
      <c r="B6143" s="3" t="s">
        <v>2160</v>
      </c>
      <c r="C6143" s="3" t="s">
        <v>169</v>
      </c>
    </row>
    <row r="6144" spans="1:3" x14ac:dyDescent="0.2">
      <c r="A6144" s="3" t="s">
        <v>2155</v>
      </c>
      <c r="B6144" s="3" t="s">
        <v>2161</v>
      </c>
      <c r="C6144" s="3" t="s">
        <v>169</v>
      </c>
    </row>
    <row r="6145" spans="1:3" x14ac:dyDescent="0.2">
      <c r="A6145" s="3" t="s">
        <v>2155</v>
      </c>
      <c r="B6145" s="3" t="s">
        <v>2162</v>
      </c>
      <c r="C6145" s="3" t="s">
        <v>169</v>
      </c>
    </row>
    <row r="6146" spans="1:3" x14ac:dyDescent="0.2">
      <c r="A6146" s="3" t="s">
        <v>2155</v>
      </c>
      <c r="B6146" s="3" t="s">
        <v>2163</v>
      </c>
      <c r="C6146" s="3" t="s">
        <v>169</v>
      </c>
    </row>
    <row r="6147" spans="1:3" x14ac:dyDescent="0.2">
      <c r="A6147" s="3" t="s">
        <v>2155</v>
      </c>
      <c r="B6147" s="3" t="s">
        <v>2164</v>
      </c>
      <c r="C6147" s="3" t="s">
        <v>169</v>
      </c>
    </row>
    <row r="6148" spans="1:3" x14ac:dyDescent="0.2">
      <c r="A6148" s="3" t="s">
        <v>2155</v>
      </c>
      <c r="B6148" s="3" t="s">
        <v>2165</v>
      </c>
      <c r="C6148" s="3" t="s">
        <v>169</v>
      </c>
    </row>
    <row r="6149" spans="1:3" x14ac:dyDescent="0.2">
      <c r="A6149" s="3" t="s">
        <v>2155</v>
      </c>
      <c r="B6149" s="3" t="s">
        <v>2166</v>
      </c>
      <c r="C6149" s="3" t="s">
        <v>169</v>
      </c>
    </row>
    <row r="6150" spans="1:3" x14ac:dyDescent="0.2">
      <c r="A6150" s="3" t="s">
        <v>2155</v>
      </c>
      <c r="B6150" s="3" t="s">
        <v>2167</v>
      </c>
      <c r="C6150" s="3" t="s">
        <v>169</v>
      </c>
    </row>
    <row r="6151" spans="1:3" x14ac:dyDescent="0.2">
      <c r="A6151" s="3" t="s">
        <v>2155</v>
      </c>
      <c r="B6151" s="3" t="s">
        <v>2168</v>
      </c>
      <c r="C6151" s="3" t="s">
        <v>169</v>
      </c>
    </row>
    <row r="6152" spans="1:3" x14ac:dyDescent="0.2">
      <c r="A6152" s="3" t="s">
        <v>2155</v>
      </c>
      <c r="B6152" s="3" t="s">
        <v>2169</v>
      </c>
      <c r="C6152" s="3" t="s">
        <v>169</v>
      </c>
    </row>
    <row r="6153" spans="1:3" x14ac:dyDescent="0.2">
      <c r="A6153" s="3" t="s">
        <v>2155</v>
      </c>
      <c r="B6153" s="3" t="s">
        <v>2170</v>
      </c>
      <c r="C6153" s="3" t="s">
        <v>169</v>
      </c>
    </row>
    <row r="6154" spans="1:3" x14ac:dyDescent="0.2">
      <c r="A6154" s="3" t="s">
        <v>2155</v>
      </c>
      <c r="B6154" s="3" t="s">
        <v>2171</v>
      </c>
      <c r="C6154" s="3" t="s">
        <v>169</v>
      </c>
    </row>
    <row r="6155" spans="1:3" x14ac:dyDescent="0.2">
      <c r="A6155" s="3" t="s">
        <v>2155</v>
      </c>
      <c r="B6155" s="3" t="s">
        <v>2172</v>
      </c>
      <c r="C6155" s="3" t="s">
        <v>169</v>
      </c>
    </row>
    <row r="6156" spans="1:3" x14ac:dyDescent="0.2">
      <c r="A6156" s="3" t="s">
        <v>2155</v>
      </c>
      <c r="B6156" s="3" t="s">
        <v>2173</v>
      </c>
      <c r="C6156" s="3" t="s">
        <v>169</v>
      </c>
    </row>
    <row r="6157" spans="1:3" x14ac:dyDescent="0.2">
      <c r="A6157" s="3" t="s">
        <v>2155</v>
      </c>
      <c r="B6157" s="3" t="s">
        <v>2174</v>
      </c>
      <c r="C6157" s="3" t="s">
        <v>169</v>
      </c>
    </row>
    <row r="6158" spans="1:3" x14ac:dyDescent="0.2">
      <c r="A6158" s="3" t="s">
        <v>2155</v>
      </c>
      <c r="B6158" s="3" t="s">
        <v>2175</v>
      </c>
      <c r="C6158" s="3" t="s">
        <v>169</v>
      </c>
    </row>
    <row r="6159" spans="1:3" x14ac:dyDescent="0.2">
      <c r="A6159" s="3" t="s">
        <v>2155</v>
      </c>
      <c r="B6159" s="3" t="s">
        <v>2176</v>
      </c>
      <c r="C6159" s="3" t="s">
        <v>169</v>
      </c>
    </row>
    <row r="6160" spans="1:3" x14ac:dyDescent="0.2">
      <c r="A6160" s="3" t="s">
        <v>2155</v>
      </c>
      <c r="B6160" s="3" t="s">
        <v>2177</v>
      </c>
      <c r="C6160" s="3" t="s">
        <v>169</v>
      </c>
    </row>
    <row r="6161" spans="1:3" x14ac:dyDescent="0.2">
      <c r="A6161" s="3" t="s">
        <v>2155</v>
      </c>
      <c r="B6161" s="3" t="s">
        <v>2178</v>
      </c>
      <c r="C6161" s="3" t="s">
        <v>169</v>
      </c>
    </row>
    <row r="6162" spans="1:3" x14ac:dyDescent="0.2">
      <c r="A6162" s="3" t="s">
        <v>2155</v>
      </c>
      <c r="B6162" s="3" t="s">
        <v>2179</v>
      </c>
      <c r="C6162" s="3" t="s">
        <v>169</v>
      </c>
    </row>
    <row r="6163" spans="1:3" x14ac:dyDescent="0.2">
      <c r="A6163" s="3" t="s">
        <v>2155</v>
      </c>
      <c r="B6163" s="3" t="s">
        <v>2180</v>
      </c>
      <c r="C6163" s="3" t="s">
        <v>169</v>
      </c>
    </row>
    <row r="6164" spans="1:3" x14ac:dyDescent="0.2">
      <c r="A6164" s="3" t="s">
        <v>2181</v>
      </c>
      <c r="B6164" s="3" t="s">
        <v>1311</v>
      </c>
      <c r="C6164" s="3" t="s">
        <v>10</v>
      </c>
    </row>
    <row r="6165" spans="1:3" x14ac:dyDescent="0.2">
      <c r="A6165" s="3" t="s">
        <v>2181</v>
      </c>
      <c r="B6165" s="3" t="s">
        <v>1311</v>
      </c>
      <c r="C6165" s="3" t="s">
        <v>11</v>
      </c>
    </row>
    <row r="6166" spans="1:3" x14ac:dyDescent="0.2">
      <c r="A6166" s="3" t="s">
        <v>2182</v>
      </c>
      <c r="B6166" s="3" t="s">
        <v>1835</v>
      </c>
      <c r="C6166" s="3" t="s">
        <v>169</v>
      </c>
    </row>
    <row r="6167" spans="1:3" x14ac:dyDescent="0.2">
      <c r="A6167" s="3" t="s">
        <v>2182</v>
      </c>
      <c r="B6167" s="3" t="s">
        <v>1836</v>
      </c>
      <c r="C6167" s="3" t="s">
        <v>169</v>
      </c>
    </row>
    <row r="6168" spans="1:3" x14ac:dyDescent="0.2">
      <c r="A6168" s="3" t="s">
        <v>2182</v>
      </c>
      <c r="B6168" s="3" t="s">
        <v>1838</v>
      </c>
      <c r="C6168" s="3" t="s">
        <v>169</v>
      </c>
    </row>
    <row r="6169" spans="1:3" x14ac:dyDescent="0.2">
      <c r="A6169" s="3" t="s">
        <v>2408</v>
      </c>
      <c r="B6169" s="3" t="s">
        <v>1307</v>
      </c>
      <c r="C6169" s="3" t="s">
        <v>10</v>
      </c>
    </row>
    <row r="6170" spans="1:3" x14ac:dyDescent="0.2">
      <c r="A6170" s="3" t="s">
        <v>2408</v>
      </c>
      <c r="B6170" s="3" t="s">
        <v>1307</v>
      </c>
      <c r="C6170" s="3" t="s">
        <v>11</v>
      </c>
    </row>
    <row r="6171" spans="1:3" x14ac:dyDescent="0.2">
      <c r="A6171" s="3" t="s">
        <v>2520</v>
      </c>
      <c r="B6171" s="3" t="s">
        <v>2290</v>
      </c>
      <c r="C6171" s="3" t="s">
        <v>10</v>
      </c>
    </row>
    <row r="6172" spans="1:3" x14ac:dyDescent="0.2">
      <c r="A6172" s="3" t="s">
        <v>2497</v>
      </c>
      <c r="B6172" s="3" t="s">
        <v>2564</v>
      </c>
      <c r="C6172" s="3" t="s">
        <v>10</v>
      </c>
    </row>
    <row r="6173" spans="1:3" x14ac:dyDescent="0.2">
      <c r="A6173" s="3" t="s">
        <v>2498</v>
      </c>
      <c r="B6173" s="3" t="s">
        <v>2564</v>
      </c>
      <c r="C6173" s="3" t="s">
        <v>10</v>
      </c>
    </row>
    <row r="6174" spans="1:3" x14ac:dyDescent="0.2">
      <c r="A6174" s="3" t="s">
        <v>2521</v>
      </c>
      <c r="B6174" s="3" t="s">
        <v>2565</v>
      </c>
      <c r="C6174" s="3" t="s">
        <v>10</v>
      </c>
    </row>
    <row r="6175" spans="1:3" x14ac:dyDescent="0.2">
      <c r="A6175" s="3" t="s">
        <v>2501</v>
      </c>
      <c r="B6175" s="3" t="s">
        <v>33</v>
      </c>
      <c r="C6175" s="3" t="s">
        <v>10</v>
      </c>
    </row>
    <row r="6176" spans="1:3" x14ac:dyDescent="0.2">
      <c r="A6176" s="3" t="s">
        <v>2502</v>
      </c>
      <c r="B6176" s="3" t="s">
        <v>824</v>
      </c>
      <c r="C6176" s="3" t="s">
        <v>57</v>
      </c>
    </row>
    <row r="6177" spans="1:3" x14ac:dyDescent="0.2">
      <c r="A6177" s="3" t="s">
        <v>2502</v>
      </c>
      <c r="B6177" s="3" t="s">
        <v>824</v>
      </c>
      <c r="C6177" s="3" t="s">
        <v>56</v>
      </c>
    </row>
    <row r="6178" spans="1:3" x14ac:dyDescent="0.2">
      <c r="A6178" s="3" t="s">
        <v>2502</v>
      </c>
      <c r="B6178" s="3" t="s">
        <v>824</v>
      </c>
      <c r="C6178" s="3" t="s">
        <v>55</v>
      </c>
    </row>
    <row r="6179" spans="1:3" x14ac:dyDescent="0.2">
      <c r="A6179" s="3" t="s">
        <v>2502</v>
      </c>
      <c r="B6179" s="3" t="s">
        <v>824</v>
      </c>
      <c r="C6179" s="3" t="s">
        <v>54</v>
      </c>
    </row>
    <row r="6180" spans="1:3" x14ac:dyDescent="0.2">
      <c r="A6180" s="3" t="s">
        <v>2502</v>
      </c>
      <c r="B6180" s="3" t="s">
        <v>824</v>
      </c>
      <c r="C6180" s="3" t="s">
        <v>53</v>
      </c>
    </row>
    <row r="6181" spans="1:3" x14ac:dyDescent="0.2">
      <c r="A6181" s="3" t="s">
        <v>2503</v>
      </c>
      <c r="B6181" s="3" t="s">
        <v>902</v>
      </c>
      <c r="C6181" s="3" t="s">
        <v>57</v>
      </c>
    </row>
    <row r="6182" spans="1:3" x14ac:dyDescent="0.2">
      <c r="A6182" s="3" t="s">
        <v>2503</v>
      </c>
      <c r="B6182" s="3" t="s">
        <v>902</v>
      </c>
      <c r="C6182" s="3" t="s">
        <v>56</v>
      </c>
    </row>
    <row r="6183" spans="1:3" x14ac:dyDescent="0.2">
      <c r="A6183" s="3" t="s">
        <v>2503</v>
      </c>
      <c r="B6183" s="3" t="s">
        <v>902</v>
      </c>
      <c r="C6183" s="3" t="s">
        <v>55</v>
      </c>
    </row>
    <row r="6184" spans="1:3" x14ac:dyDescent="0.2">
      <c r="A6184" s="3" t="s">
        <v>2503</v>
      </c>
      <c r="B6184" s="3" t="s">
        <v>902</v>
      </c>
      <c r="C6184" s="3" t="s">
        <v>54</v>
      </c>
    </row>
    <row r="6185" spans="1:3" x14ac:dyDescent="0.2">
      <c r="A6185" s="3" t="s">
        <v>2503</v>
      </c>
      <c r="B6185" s="3" t="s">
        <v>902</v>
      </c>
      <c r="C6185" s="3" t="s">
        <v>53</v>
      </c>
    </row>
    <row r="6186" spans="1:3" x14ac:dyDescent="0.2">
      <c r="A6186" s="3" t="s">
        <v>2505</v>
      </c>
      <c r="B6186" s="3" t="s">
        <v>1369</v>
      </c>
      <c r="C6186" s="3" t="s">
        <v>11</v>
      </c>
    </row>
    <row r="6187" spans="1:3" x14ac:dyDescent="0.2">
      <c r="A6187" s="3" t="s">
        <v>2506</v>
      </c>
      <c r="B6187" s="3" t="s">
        <v>2141</v>
      </c>
      <c r="C6187" s="3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00B6-F33A-4A29-8590-4FF262B55DB8}">
  <sheetPr codeName="Sheet10">
    <tabColor rgb="FF7030A0"/>
  </sheetPr>
  <dimension ref="A1:K116"/>
  <sheetViews>
    <sheetView workbookViewId="0">
      <selection activeCell="Q7" sqref="Q7"/>
    </sheetView>
  </sheetViews>
  <sheetFormatPr defaultRowHeight="12.75" x14ac:dyDescent="0.2"/>
  <cols>
    <col min="1" max="1" width="14.28515625" bestFit="1" customWidth="1"/>
    <col min="2" max="2" width="17.28515625" bestFit="1" customWidth="1"/>
    <col min="3" max="3" width="18.28515625" bestFit="1" customWidth="1"/>
    <col min="8" max="8" width="14.28515625" customWidth="1"/>
    <col min="9" max="9" width="17.28515625" customWidth="1"/>
    <col min="10" max="10" width="16.5703125" customWidth="1"/>
    <col min="11" max="11" width="13.140625" bestFit="1" customWidth="1"/>
    <col min="12" max="12" width="14.28515625" bestFit="1" customWidth="1"/>
  </cols>
  <sheetData>
    <row r="1" spans="1:11" x14ac:dyDescent="0.2">
      <c r="A1" t="s">
        <v>2492</v>
      </c>
      <c r="B1" t="s">
        <v>2493</v>
      </c>
      <c r="C1" t="s">
        <v>5</v>
      </c>
      <c r="H1" t="s">
        <v>2492</v>
      </c>
      <c r="I1" t="s">
        <v>5</v>
      </c>
      <c r="J1" t="s">
        <v>6</v>
      </c>
      <c r="K1" t="s">
        <v>2489</v>
      </c>
    </row>
    <row r="2" spans="1:11" x14ac:dyDescent="0.2">
      <c r="A2" s="3" t="s">
        <v>2494</v>
      </c>
      <c r="B2" s="3" t="s">
        <v>2495</v>
      </c>
      <c r="C2" s="3" t="s">
        <v>8</v>
      </c>
      <c r="H2" t="s">
        <v>2494</v>
      </c>
      <c r="I2" t="s">
        <v>8</v>
      </c>
      <c r="J2" t="s">
        <v>26</v>
      </c>
      <c r="K2" t="s">
        <v>11</v>
      </c>
    </row>
    <row r="3" spans="1:11" x14ac:dyDescent="0.2">
      <c r="A3" s="3" t="s">
        <v>2496</v>
      </c>
      <c r="B3" s="3" t="s">
        <v>2495</v>
      </c>
      <c r="C3" s="3" t="s">
        <v>8</v>
      </c>
      <c r="H3" t="s">
        <v>2496</v>
      </c>
      <c r="I3" t="s">
        <v>8</v>
      </c>
      <c r="J3" t="s">
        <v>91</v>
      </c>
      <c r="K3" t="s">
        <v>11</v>
      </c>
    </row>
    <row r="4" spans="1:11" x14ac:dyDescent="0.2">
      <c r="A4" s="3" t="s">
        <v>2497</v>
      </c>
      <c r="B4" s="3" t="s">
        <v>2495</v>
      </c>
      <c r="C4" s="3" t="s">
        <v>8</v>
      </c>
      <c r="H4" t="s">
        <v>2497</v>
      </c>
      <c r="I4" t="s">
        <v>8</v>
      </c>
      <c r="J4" t="s">
        <v>144</v>
      </c>
      <c r="K4" t="s">
        <v>11</v>
      </c>
    </row>
    <row r="5" spans="1:11" x14ac:dyDescent="0.2">
      <c r="A5" s="3" t="s">
        <v>2498</v>
      </c>
      <c r="B5" s="3" t="s">
        <v>2495</v>
      </c>
      <c r="C5" s="3" t="s">
        <v>8</v>
      </c>
      <c r="H5" t="s">
        <v>2498</v>
      </c>
      <c r="I5" t="s">
        <v>8</v>
      </c>
      <c r="J5" t="s">
        <v>144</v>
      </c>
      <c r="K5" t="s">
        <v>11</v>
      </c>
    </row>
    <row r="6" spans="1:11" x14ac:dyDescent="0.2">
      <c r="A6" s="3" t="s">
        <v>2499</v>
      </c>
      <c r="B6" s="3" t="s">
        <v>2495</v>
      </c>
      <c r="C6" s="3" t="s">
        <v>8</v>
      </c>
      <c r="H6" t="s">
        <v>2499</v>
      </c>
      <c r="I6" t="s">
        <v>8</v>
      </c>
      <c r="J6" t="s">
        <v>2563</v>
      </c>
      <c r="K6" t="s">
        <v>11</v>
      </c>
    </row>
    <row r="7" spans="1:11" x14ac:dyDescent="0.2">
      <c r="A7" s="3" t="s">
        <v>2500</v>
      </c>
      <c r="B7" s="3" t="s">
        <v>2495</v>
      </c>
      <c r="C7" s="3" t="s">
        <v>8</v>
      </c>
      <c r="H7" t="s">
        <v>2500</v>
      </c>
      <c r="I7" t="s">
        <v>8</v>
      </c>
      <c r="J7" t="s">
        <v>1382</v>
      </c>
      <c r="K7" t="s">
        <v>11</v>
      </c>
    </row>
    <row r="8" spans="1:11" x14ac:dyDescent="0.2">
      <c r="A8" s="3" t="s">
        <v>2501</v>
      </c>
      <c r="B8" s="3" t="s">
        <v>2495</v>
      </c>
      <c r="C8" s="3" t="s">
        <v>8</v>
      </c>
      <c r="H8" t="s">
        <v>2501</v>
      </c>
      <c r="I8" t="s">
        <v>8</v>
      </c>
      <c r="J8" t="s">
        <v>2501</v>
      </c>
      <c r="K8" t="s">
        <v>57</v>
      </c>
    </row>
    <row r="9" spans="1:11" x14ac:dyDescent="0.2">
      <c r="A9" s="3" t="s">
        <v>2502</v>
      </c>
      <c r="B9" s="3" t="s">
        <v>2495</v>
      </c>
      <c r="C9" s="3" t="s">
        <v>8</v>
      </c>
      <c r="H9" t="s">
        <v>2501</v>
      </c>
      <c r="I9" t="s">
        <v>8</v>
      </c>
      <c r="J9" t="s">
        <v>2501</v>
      </c>
      <c r="K9" t="s">
        <v>56</v>
      </c>
    </row>
    <row r="10" spans="1:11" x14ac:dyDescent="0.2">
      <c r="A10" s="3" t="s">
        <v>2503</v>
      </c>
      <c r="B10" s="3" t="s">
        <v>2495</v>
      </c>
      <c r="C10" s="3" t="s">
        <v>8</v>
      </c>
      <c r="H10" t="s">
        <v>2501</v>
      </c>
      <c r="I10" t="s">
        <v>8</v>
      </c>
      <c r="J10" t="s">
        <v>2501</v>
      </c>
      <c r="K10" t="s">
        <v>55</v>
      </c>
    </row>
    <row r="11" spans="1:11" x14ac:dyDescent="0.2">
      <c r="A11" s="3" t="s">
        <v>2504</v>
      </c>
      <c r="B11" s="3" t="s">
        <v>2495</v>
      </c>
      <c r="C11" s="3" t="s">
        <v>8</v>
      </c>
      <c r="H11" t="s">
        <v>2501</v>
      </c>
      <c r="I11" t="s">
        <v>8</v>
      </c>
      <c r="J11" t="s">
        <v>2501</v>
      </c>
      <c r="K11" t="s">
        <v>54</v>
      </c>
    </row>
    <row r="12" spans="1:11" x14ac:dyDescent="0.2">
      <c r="A12" s="3" t="s">
        <v>2505</v>
      </c>
      <c r="B12" s="3" t="s">
        <v>2495</v>
      </c>
      <c r="C12" s="3" t="s">
        <v>8</v>
      </c>
      <c r="H12" t="s">
        <v>2501</v>
      </c>
      <c r="I12" t="s">
        <v>8</v>
      </c>
      <c r="J12" t="s">
        <v>2501</v>
      </c>
      <c r="K12" t="s">
        <v>53</v>
      </c>
    </row>
    <row r="13" spans="1:11" x14ac:dyDescent="0.2">
      <c r="A13" s="3" t="s">
        <v>2506</v>
      </c>
      <c r="B13" s="3" t="s">
        <v>2495</v>
      </c>
      <c r="C13" s="3" t="s">
        <v>8</v>
      </c>
      <c r="H13" t="s">
        <v>2502</v>
      </c>
      <c r="I13" t="s">
        <v>8</v>
      </c>
      <c r="J13" t="s">
        <v>824</v>
      </c>
      <c r="K13" t="s">
        <v>57</v>
      </c>
    </row>
    <row r="14" spans="1:11" x14ac:dyDescent="0.2">
      <c r="A14" s="3" t="s">
        <v>2507</v>
      </c>
      <c r="B14" s="3" t="s">
        <v>2495</v>
      </c>
      <c r="C14" s="3" t="s">
        <v>8</v>
      </c>
      <c r="H14" t="s">
        <v>2502</v>
      </c>
      <c r="I14" t="s">
        <v>8</v>
      </c>
      <c r="J14" t="s">
        <v>824</v>
      </c>
      <c r="K14" t="s">
        <v>56</v>
      </c>
    </row>
    <row r="15" spans="1:11" x14ac:dyDescent="0.2">
      <c r="A15" s="3" t="s">
        <v>2508</v>
      </c>
      <c r="B15" s="3" t="s">
        <v>2495</v>
      </c>
      <c r="C15" s="3" t="s">
        <v>8</v>
      </c>
      <c r="H15" t="s">
        <v>2502</v>
      </c>
      <c r="I15" t="s">
        <v>8</v>
      </c>
      <c r="J15" t="s">
        <v>824</v>
      </c>
      <c r="K15" t="s">
        <v>55</v>
      </c>
    </row>
    <row r="16" spans="1:11" x14ac:dyDescent="0.2">
      <c r="A16" s="3" t="s">
        <v>2509</v>
      </c>
      <c r="B16" s="3" t="s">
        <v>2495</v>
      </c>
      <c r="C16" s="3" t="s">
        <v>8</v>
      </c>
      <c r="H16" t="s">
        <v>2502</v>
      </c>
      <c r="I16" t="s">
        <v>8</v>
      </c>
      <c r="J16" t="s">
        <v>824</v>
      </c>
      <c r="K16" t="s">
        <v>54</v>
      </c>
    </row>
    <row r="17" spans="1:11" x14ac:dyDescent="0.2">
      <c r="A17" s="3" t="s">
        <v>2510</v>
      </c>
      <c r="B17" s="3" t="s">
        <v>2495</v>
      </c>
      <c r="C17" s="3" t="s">
        <v>8</v>
      </c>
      <c r="H17" t="s">
        <v>2502</v>
      </c>
      <c r="I17" t="s">
        <v>8</v>
      </c>
      <c r="J17" t="s">
        <v>824</v>
      </c>
      <c r="K17" t="s">
        <v>53</v>
      </c>
    </row>
    <row r="18" spans="1:11" x14ac:dyDescent="0.2">
      <c r="A18" s="3" t="s">
        <v>2511</v>
      </c>
      <c r="B18" s="3" t="s">
        <v>2495</v>
      </c>
      <c r="C18" s="3" t="s">
        <v>8</v>
      </c>
      <c r="H18" t="s">
        <v>2503</v>
      </c>
      <c r="I18" t="s">
        <v>8</v>
      </c>
      <c r="J18" t="s">
        <v>902</v>
      </c>
      <c r="K18" t="s">
        <v>57</v>
      </c>
    </row>
    <row r="19" spans="1:11" x14ac:dyDescent="0.2">
      <c r="A19" s="3" t="s">
        <v>2512</v>
      </c>
      <c r="B19" s="3" t="s">
        <v>2495</v>
      </c>
      <c r="C19" s="3" t="s">
        <v>8</v>
      </c>
      <c r="H19" t="s">
        <v>2503</v>
      </c>
      <c r="I19" t="s">
        <v>8</v>
      </c>
      <c r="J19" t="s">
        <v>902</v>
      </c>
      <c r="K19" t="s">
        <v>56</v>
      </c>
    </row>
    <row r="20" spans="1:11" x14ac:dyDescent="0.2">
      <c r="A20" s="3" t="s">
        <v>2501</v>
      </c>
      <c r="B20" s="3" t="s">
        <v>2495</v>
      </c>
      <c r="C20" s="3" t="s">
        <v>2184</v>
      </c>
      <c r="H20" t="s">
        <v>2503</v>
      </c>
      <c r="I20" t="s">
        <v>8</v>
      </c>
      <c r="J20" t="s">
        <v>902</v>
      </c>
      <c r="K20" t="s">
        <v>55</v>
      </c>
    </row>
    <row r="21" spans="1:11" x14ac:dyDescent="0.2">
      <c r="A21" s="3" t="s">
        <v>2513</v>
      </c>
      <c r="B21" s="3" t="s">
        <v>2495</v>
      </c>
      <c r="C21" s="3" t="s">
        <v>2184</v>
      </c>
      <c r="H21" t="s">
        <v>2503</v>
      </c>
      <c r="I21" t="s">
        <v>8</v>
      </c>
      <c r="J21" t="s">
        <v>902</v>
      </c>
      <c r="K21" t="s">
        <v>54</v>
      </c>
    </row>
    <row r="22" spans="1:11" x14ac:dyDescent="0.2">
      <c r="A22" s="3" t="s">
        <v>2514</v>
      </c>
      <c r="B22" s="3" t="s">
        <v>2495</v>
      </c>
      <c r="C22" s="3" t="s">
        <v>2184</v>
      </c>
      <c r="H22" t="s">
        <v>2503</v>
      </c>
      <c r="I22" t="s">
        <v>8</v>
      </c>
      <c r="J22" t="s">
        <v>902</v>
      </c>
      <c r="K22" t="s">
        <v>53</v>
      </c>
    </row>
    <row r="23" spans="1:11" x14ac:dyDescent="0.2">
      <c r="A23" s="3" t="s">
        <v>2515</v>
      </c>
      <c r="B23" s="3" t="s">
        <v>2495</v>
      </c>
      <c r="C23" s="3" t="s">
        <v>2184</v>
      </c>
      <c r="H23" t="s">
        <v>2504</v>
      </c>
      <c r="I23" t="s">
        <v>8</v>
      </c>
      <c r="J23" t="s">
        <v>934</v>
      </c>
      <c r="K23" t="s">
        <v>11</v>
      </c>
    </row>
    <row r="24" spans="1:11" x14ac:dyDescent="0.2">
      <c r="A24" s="3" t="s">
        <v>2516</v>
      </c>
      <c r="B24" s="3" t="s">
        <v>2495</v>
      </c>
      <c r="C24" s="3" t="s">
        <v>2184</v>
      </c>
      <c r="H24" t="s">
        <v>2505</v>
      </c>
      <c r="I24" t="s">
        <v>8</v>
      </c>
      <c r="J24" t="s">
        <v>1369</v>
      </c>
      <c r="K24" t="s">
        <v>11</v>
      </c>
    </row>
    <row r="25" spans="1:11" x14ac:dyDescent="0.2">
      <c r="A25" s="3" t="s">
        <v>2517</v>
      </c>
      <c r="B25" s="3" t="s">
        <v>2495</v>
      </c>
      <c r="C25" s="3" t="s">
        <v>2184</v>
      </c>
      <c r="H25" t="s">
        <v>2506</v>
      </c>
      <c r="I25" t="s">
        <v>8</v>
      </c>
      <c r="J25" t="s">
        <v>2141</v>
      </c>
      <c r="K25" t="s">
        <v>169</v>
      </c>
    </row>
    <row r="26" spans="1:11" x14ac:dyDescent="0.2">
      <c r="A26" s="3" t="s">
        <v>2518</v>
      </c>
      <c r="B26" s="3" t="s">
        <v>2495</v>
      </c>
      <c r="C26" s="3" t="s">
        <v>2184</v>
      </c>
      <c r="H26" t="s">
        <v>2507</v>
      </c>
      <c r="I26" t="s">
        <v>8</v>
      </c>
      <c r="J26" t="s">
        <v>2507</v>
      </c>
      <c r="K26" t="s">
        <v>57</v>
      </c>
    </row>
    <row r="27" spans="1:11" x14ac:dyDescent="0.2">
      <c r="A27" s="3" t="s">
        <v>2506</v>
      </c>
      <c r="B27" s="3" t="s">
        <v>2495</v>
      </c>
      <c r="C27" s="3" t="s">
        <v>2184</v>
      </c>
      <c r="H27" t="s">
        <v>2507</v>
      </c>
      <c r="I27" t="s">
        <v>8</v>
      </c>
      <c r="J27" t="s">
        <v>2507</v>
      </c>
      <c r="K27" t="s">
        <v>56</v>
      </c>
    </row>
    <row r="28" spans="1:11" x14ac:dyDescent="0.2">
      <c r="A28" s="3" t="s">
        <v>2519</v>
      </c>
      <c r="B28" s="3" t="s">
        <v>2495</v>
      </c>
      <c r="C28" s="3" t="s">
        <v>2184</v>
      </c>
      <c r="H28" t="s">
        <v>2507</v>
      </c>
      <c r="I28" t="s">
        <v>8</v>
      </c>
      <c r="J28" t="s">
        <v>2507</v>
      </c>
      <c r="K28" t="s">
        <v>55</v>
      </c>
    </row>
    <row r="29" spans="1:11" x14ac:dyDescent="0.2">
      <c r="A29" s="3" t="s">
        <v>2520</v>
      </c>
      <c r="B29" s="3" t="s">
        <v>2495</v>
      </c>
      <c r="C29" s="3" t="s">
        <v>2286</v>
      </c>
      <c r="H29" t="s">
        <v>2507</v>
      </c>
      <c r="I29" t="s">
        <v>8</v>
      </c>
      <c r="J29" t="s">
        <v>2507</v>
      </c>
      <c r="K29" t="s">
        <v>54</v>
      </c>
    </row>
    <row r="30" spans="1:11" x14ac:dyDescent="0.2">
      <c r="A30" s="3" t="s">
        <v>2497</v>
      </c>
      <c r="B30" s="3" t="s">
        <v>2495</v>
      </c>
      <c r="C30" s="3" t="s">
        <v>2286</v>
      </c>
      <c r="H30" t="s">
        <v>2507</v>
      </c>
      <c r="I30" t="s">
        <v>8</v>
      </c>
      <c r="J30" t="s">
        <v>2507</v>
      </c>
      <c r="K30" t="s">
        <v>53</v>
      </c>
    </row>
    <row r="31" spans="1:11" x14ac:dyDescent="0.2">
      <c r="A31" s="3" t="s">
        <v>2498</v>
      </c>
      <c r="B31" s="3" t="s">
        <v>2495</v>
      </c>
      <c r="C31" s="3" t="s">
        <v>2286</v>
      </c>
      <c r="H31" t="s">
        <v>2508</v>
      </c>
      <c r="I31" t="s">
        <v>8</v>
      </c>
      <c r="J31" t="s">
        <v>951</v>
      </c>
      <c r="K31" t="s">
        <v>169</v>
      </c>
    </row>
    <row r="32" spans="1:11" x14ac:dyDescent="0.2">
      <c r="A32" s="3" t="s">
        <v>2521</v>
      </c>
      <c r="B32" s="3" t="s">
        <v>2495</v>
      </c>
      <c r="C32" s="3" t="s">
        <v>2286</v>
      </c>
      <c r="H32" t="s">
        <v>2509</v>
      </c>
      <c r="I32" t="s">
        <v>8</v>
      </c>
      <c r="J32" t="s">
        <v>951</v>
      </c>
      <c r="K32" t="s">
        <v>169</v>
      </c>
    </row>
    <row r="33" spans="1:11" x14ac:dyDescent="0.2">
      <c r="A33" s="3" t="s">
        <v>2501</v>
      </c>
      <c r="B33" s="3" t="s">
        <v>2495</v>
      </c>
      <c r="C33" s="3" t="s">
        <v>2286</v>
      </c>
      <c r="H33" t="s">
        <v>2510</v>
      </c>
      <c r="I33" t="s">
        <v>8</v>
      </c>
      <c r="J33" t="s">
        <v>951</v>
      </c>
      <c r="K33" t="s">
        <v>169</v>
      </c>
    </row>
    <row r="34" spans="1:11" x14ac:dyDescent="0.2">
      <c r="A34" s="3" t="s">
        <v>2502</v>
      </c>
      <c r="B34" s="3" t="s">
        <v>2495</v>
      </c>
      <c r="C34" s="3" t="s">
        <v>2286</v>
      </c>
      <c r="H34" t="s">
        <v>2511</v>
      </c>
      <c r="I34" t="s">
        <v>8</v>
      </c>
      <c r="J34" t="s">
        <v>934</v>
      </c>
      <c r="K34" t="s">
        <v>11</v>
      </c>
    </row>
    <row r="35" spans="1:11" x14ac:dyDescent="0.2">
      <c r="A35" s="3" t="s">
        <v>2503</v>
      </c>
      <c r="B35" s="3" t="s">
        <v>2495</v>
      </c>
      <c r="C35" s="3" t="s">
        <v>2286</v>
      </c>
      <c r="H35" t="s">
        <v>2501</v>
      </c>
      <c r="I35" t="s">
        <v>2184</v>
      </c>
      <c r="J35" t="s">
        <v>824</v>
      </c>
      <c r="K35" t="s">
        <v>57</v>
      </c>
    </row>
    <row r="36" spans="1:11" x14ac:dyDescent="0.2">
      <c r="A36" s="3" t="s">
        <v>2505</v>
      </c>
      <c r="B36" s="3" t="s">
        <v>2495</v>
      </c>
      <c r="C36" s="3" t="s">
        <v>2286</v>
      </c>
      <c r="H36" t="s">
        <v>2513</v>
      </c>
      <c r="I36" t="s">
        <v>2184</v>
      </c>
      <c r="J36" t="s">
        <v>207</v>
      </c>
      <c r="K36" t="s">
        <v>57</v>
      </c>
    </row>
    <row r="37" spans="1:11" x14ac:dyDescent="0.2">
      <c r="A37" s="3" t="s">
        <v>2506</v>
      </c>
      <c r="B37" s="3" t="s">
        <v>2495</v>
      </c>
      <c r="C37" s="3" t="s">
        <v>2286</v>
      </c>
      <c r="H37" t="s">
        <v>2514</v>
      </c>
      <c r="I37" t="s">
        <v>2184</v>
      </c>
      <c r="J37" t="s">
        <v>207</v>
      </c>
      <c r="K37" t="s">
        <v>57</v>
      </c>
    </row>
    <row r="38" spans="1:11" x14ac:dyDescent="0.2">
      <c r="A38" s="3" t="s">
        <v>2507</v>
      </c>
      <c r="B38" s="3" t="s">
        <v>2495</v>
      </c>
      <c r="C38" s="3" t="s">
        <v>2286</v>
      </c>
      <c r="H38" t="s">
        <v>2515</v>
      </c>
      <c r="I38" t="s">
        <v>2184</v>
      </c>
      <c r="J38" t="s">
        <v>207</v>
      </c>
      <c r="K38" t="s">
        <v>57</v>
      </c>
    </row>
    <row r="39" spans="1:11" x14ac:dyDescent="0.2">
      <c r="A39" s="3" t="s">
        <v>2508</v>
      </c>
      <c r="B39" s="3" t="s">
        <v>2495</v>
      </c>
      <c r="C39" s="3" t="s">
        <v>2286</v>
      </c>
      <c r="H39" t="s">
        <v>2516</v>
      </c>
      <c r="I39" t="s">
        <v>2184</v>
      </c>
      <c r="J39" t="s">
        <v>207</v>
      </c>
      <c r="K39" t="s">
        <v>57</v>
      </c>
    </row>
    <row r="40" spans="1:11" x14ac:dyDescent="0.2">
      <c r="A40" s="3" t="s">
        <v>2509</v>
      </c>
      <c r="B40" s="3" t="s">
        <v>2495</v>
      </c>
      <c r="C40" s="3" t="s">
        <v>2286</v>
      </c>
      <c r="H40" t="s">
        <v>2517</v>
      </c>
      <c r="I40" t="s">
        <v>2184</v>
      </c>
      <c r="J40" t="s">
        <v>207</v>
      </c>
      <c r="K40" t="s">
        <v>57</v>
      </c>
    </row>
    <row r="41" spans="1:11" x14ac:dyDescent="0.2">
      <c r="A41" s="3" t="s">
        <v>2510</v>
      </c>
      <c r="B41" s="3" t="s">
        <v>2495</v>
      </c>
      <c r="C41" s="3" t="s">
        <v>2286</v>
      </c>
      <c r="H41" t="s">
        <v>2513</v>
      </c>
      <c r="I41" t="s">
        <v>2184</v>
      </c>
      <c r="J41" t="s">
        <v>207</v>
      </c>
      <c r="K41" t="s">
        <v>56</v>
      </c>
    </row>
    <row r="42" spans="1:11" x14ac:dyDescent="0.2">
      <c r="A42" s="3" t="s">
        <v>2511</v>
      </c>
      <c r="B42" s="3" t="s">
        <v>2495</v>
      </c>
      <c r="C42" s="3" t="s">
        <v>2286</v>
      </c>
      <c r="H42" t="s">
        <v>2514</v>
      </c>
      <c r="I42" t="s">
        <v>2184</v>
      </c>
      <c r="J42" t="s">
        <v>207</v>
      </c>
      <c r="K42" t="s">
        <v>56</v>
      </c>
    </row>
    <row r="43" spans="1:11" x14ac:dyDescent="0.2">
      <c r="A43" s="3" t="s">
        <v>2522</v>
      </c>
      <c r="B43" s="3" t="s">
        <v>2495</v>
      </c>
      <c r="C43" s="3" t="s">
        <v>2286</v>
      </c>
      <c r="H43" t="s">
        <v>2515</v>
      </c>
      <c r="I43" t="s">
        <v>2184</v>
      </c>
      <c r="J43" t="s">
        <v>207</v>
      </c>
      <c r="K43" t="s">
        <v>56</v>
      </c>
    </row>
    <row r="44" spans="1:11" x14ac:dyDescent="0.2">
      <c r="A44" s="3" t="s">
        <v>2523</v>
      </c>
      <c r="B44" s="3" t="s">
        <v>2495</v>
      </c>
      <c r="C44" s="3" t="s">
        <v>2286</v>
      </c>
      <c r="H44" t="s">
        <v>2516</v>
      </c>
      <c r="I44" t="s">
        <v>2184</v>
      </c>
      <c r="J44" t="s">
        <v>207</v>
      </c>
      <c r="K44" t="s">
        <v>56</v>
      </c>
    </row>
    <row r="45" spans="1:11" x14ac:dyDescent="0.2">
      <c r="A45" s="3" t="s">
        <v>2524</v>
      </c>
      <c r="B45" s="3" t="s">
        <v>2495</v>
      </c>
      <c r="C45" s="3" t="s">
        <v>2286</v>
      </c>
      <c r="H45" t="s">
        <v>2517</v>
      </c>
      <c r="I45" t="s">
        <v>2184</v>
      </c>
      <c r="J45" t="s">
        <v>207</v>
      </c>
      <c r="K45" t="s">
        <v>56</v>
      </c>
    </row>
    <row r="46" spans="1:11" x14ac:dyDescent="0.2">
      <c r="A46" s="3" t="s">
        <v>2525</v>
      </c>
      <c r="B46" s="3" t="s">
        <v>2495</v>
      </c>
      <c r="C46" s="3" t="s">
        <v>2286</v>
      </c>
      <c r="H46" t="s">
        <v>2513</v>
      </c>
      <c r="I46" t="s">
        <v>2184</v>
      </c>
      <c r="J46" t="s">
        <v>207</v>
      </c>
      <c r="K46" t="s">
        <v>55</v>
      </c>
    </row>
    <row r="47" spans="1:11" x14ac:dyDescent="0.2">
      <c r="A47" s="3" t="s">
        <v>2526</v>
      </c>
      <c r="B47" s="3" t="s">
        <v>2495</v>
      </c>
      <c r="C47" s="3" t="s">
        <v>2286</v>
      </c>
      <c r="H47" t="s">
        <v>2514</v>
      </c>
      <c r="I47" t="s">
        <v>2184</v>
      </c>
      <c r="J47" t="s">
        <v>207</v>
      </c>
      <c r="K47" t="s">
        <v>55</v>
      </c>
    </row>
    <row r="48" spans="1:11" x14ac:dyDescent="0.2">
      <c r="A48" s="3" t="s">
        <v>2527</v>
      </c>
      <c r="B48" s="3" t="s">
        <v>2495</v>
      </c>
      <c r="C48" s="3" t="s">
        <v>2286</v>
      </c>
      <c r="H48" t="s">
        <v>2515</v>
      </c>
      <c r="I48" t="s">
        <v>2184</v>
      </c>
      <c r="J48" t="s">
        <v>207</v>
      </c>
      <c r="K48" t="s">
        <v>55</v>
      </c>
    </row>
    <row r="49" spans="1:11" x14ac:dyDescent="0.2">
      <c r="A49" s="3" t="s">
        <v>2528</v>
      </c>
      <c r="B49" s="3" t="s">
        <v>2495</v>
      </c>
      <c r="C49" s="3" t="s">
        <v>2286</v>
      </c>
      <c r="H49" t="s">
        <v>2516</v>
      </c>
      <c r="I49" t="s">
        <v>2184</v>
      </c>
      <c r="J49" t="s">
        <v>207</v>
      </c>
      <c r="K49" t="s">
        <v>55</v>
      </c>
    </row>
    <row r="50" spans="1:11" x14ac:dyDescent="0.2">
      <c r="A50" s="3" t="s">
        <v>2529</v>
      </c>
      <c r="B50" s="3" t="s">
        <v>2495</v>
      </c>
      <c r="C50" s="3" t="s">
        <v>2286</v>
      </c>
      <c r="H50" t="s">
        <v>2517</v>
      </c>
      <c r="I50" t="s">
        <v>2184</v>
      </c>
      <c r="J50" t="s">
        <v>207</v>
      </c>
      <c r="K50" t="s">
        <v>55</v>
      </c>
    </row>
    <row r="51" spans="1:11" x14ac:dyDescent="0.2">
      <c r="A51" s="3" t="s">
        <v>2530</v>
      </c>
      <c r="B51" s="3" t="s">
        <v>2495</v>
      </c>
      <c r="C51" s="3" t="s">
        <v>2286</v>
      </c>
      <c r="H51" t="s">
        <v>2513</v>
      </c>
      <c r="I51" t="s">
        <v>2184</v>
      </c>
      <c r="J51" t="s">
        <v>207</v>
      </c>
      <c r="K51" t="s">
        <v>54</v>
      </c>
    </row>
    <row r="52" spans="1:11" x14ac:dyDescent="0.2">
      <c r="A52" s="3" t="s">
        <v>2531</v>
      </c>
      <c r="B52" s="3" t="s">
        <v>2495</v>
      </c>
      <c r="C52" s="3" t="s">
        <v>2286</v>
      </c>
      <c r="H52" t="s">
        <v>2514</v>
      </c>
      <c r="I52" t="s">
        <v>2184</v>
      </c>
      <c r="J52" t="s">
        <v>207</v>
      </c>
      <c r="K52" t="s">
        <v>54</v>
      </c>
    </row>
    <row r="53" spans="1:11" x14ac:dyDescent="0.2">
      <c r="A53" s="3" t="s">
        <v>2532</v>
      </c>
      <c r="B53" s="3" t="s">
        <v>2495</v>
      </c>
      <c r="C53" s="3" t="s">
        <v>2286</v>
      </c>
      <c r="H53" t="s">
        <v>2515</v>
      </c>
      <c r="I53" t="s">
        <v>2184</v>
      </c>
      <c r="J53" t="s">
        <v>207</v>
      </c>
      <c r="K53" t="s">
        <v>54</v>
      </c>
    </row>
    <row r="54" spans="1:11" x14ac:dyDescent="0.2">
      <c r="A54" s="3" t="s">
        <v>2533</v>
      </c>
      <c r="B54" s="3" t="s">
        <v>2495</v>
      </c>
      <c r="C54" s="3" t="s">
        <v>2286</v>
      </c>
      <c r="H54" t="s">
        <v>2516</v>
      </c>
      <c r="I54" t="s">
        <v>2184</v>
      </c>
      <c r="J54" t="s">
        <v>207</v>
      </c>
      <c r="K54" t="s">
        <v>54</v>
      </c>
    </row>
    <row r="55" spans="1:11" x14ac:dyDescent="0.2">
      <c r="A55" s="3" t="s">
        <v>2534</v>
      </c>
      <c r="B55" s="3" t="s">
        <v>2495</v>
      </c>
      <c r="C55" s="3" t="s">
        <v>2410</v>
      </c>
      <c r="H55" t="s">
        <v>2517</v>
      </c>
      <c r="I55" t="s">
        <v>2184</v>
      </c>
      <c r="J55" t="s">
        <v>207</v>
      </c>
      <c r="K55" t="s">
        <v>54</v>
      </c>
    </row>
    <row r="56" spans="1:11" x14ac:dyDescent="0.2">
      <c r="A56" s="3" t="s">
        <v>2535</v>
      </c>
      <c r="B56" s="3" t="s">
        <v>2495</v>
      </c>
      <c r="C56" s="3" t="s">
        <v>2410</v>
      </c>
      <c r="H56" t="s">
        <v>2513</v>
      </c>
      <c r="I56" t="s">
        <v>2184</v>
      </c>
      <c r="J56" t="s">
        <v>207</v>
      </c>
      <c r="K56" t="s">
        <v>53</v>
      </c>
    </row>
    <row r="57" spans="1:11" x14ac:dyDescent="0.2">
      <c r="A57" s="3" t="s">
        <v>2536</v>
      </c>
      <c r="B57" s="3" t="s">
        <v>2495</v>
      </c>
      <c r="C57" s="3" t="s">
        <v>2410</v>
      </c>
      <c r="H57" t="s">
        <v>2514</v>
      </c>
      <c r="I57" t="s">
        <v>2184</v>
      </c>
      <c r="J57" t="s">
        <v>207</v>
      </c>
      <c r="K57" t="s">
        <v>53</v>
      </c>
    </row>
    <row r="58" spans="1:11" x14ac:dyDescent="0.2">
      <c r="A58" s="3" t="s">
        <v>2537</v>
      </c>
      <c r="B58" s="3" t="s">
        <v>2495</v>
      </c>
      <c r="C58" s="3" t="s">
        <v>2410</v>
      </c>
      <c r="H58" t="s">
        <v>2515</v>
      </c>
      <c r="I58" t="s">
        <v>2184</v>
      </c>
      <c r="J58" t="s">
        <v>207</v>
      </c>
      <c r="K58" t="s">
        <v>53</v>
      </c>
    </row>
    <row r="59" spans="1:11" x14ac:dyDescent="0.2">
      <c r="A59" s="3" t="s">
        <v>2538</v>
      </c>
      <c r="B59" s="3" t="s">
        <v>2495</v>
      </c>
      <c r="C59" s="3" t="s">
        <v>2410</v>
      </c>
      <c r="H59" t="s">
        <v>2516</v>
      </c>
      <c r="I59" t="s">
        <v>2184</v>
      </c>
      <c r="J59" t="s">
        <v>207</v>
      </c>
      <c r="K59" t="s">
        <v>53</v>
      </c>
    </row>
    <row r="60" spans="1:11" x14ac:dyDescent="0.2">
      <c r="A60" s="3" t="s">
        <v>2539</v>
      </c>
      <c r="B60" s="3" t="s">
        <v>2495</v>
      </c>
      <c r="C60" s="3" t="s">
        <v>2410</v>
      </c>
      <c r="H60" t="s">
        <v>2517</v>
      </c>
      <c r="I60" t="s">
        <v>2184</v>
      </c>
      <c r="J60" t="s">
        <v>207</v>
      </c>
      <c r="K60" t="s">
        <v>53</v>
      </c>
    </row>
    <row r="61" spans="1:11" x14ac:dyDescent="0.2">
      <c r="A61" s="3" t="s">
        <v>2540</v>
      </c>
      <c r="B61" s="3" t="s">
        <v>2495</v>
      </c>
      <c r="C61" s="3" t="s">
        <v>2410</v>
      </c>
      <c r="H61" t="s">
        <v>2518</v>
      </c>
      <c r="I61" t="s">
        <v>2184</v>
      </c>
      <c r="J61" t="s">
        <v>229</v>
      </c>
      <c r="K61" t="s">
        <v>54</v>
      </c>
    </row>
    <row r="62" spans="1:11" x14ac:dyDescent="0.2">
      <c r="A62" s="3" t="s">
        <v>2541</v>
      </c>
      <c r="B62" s="3" t="s">
        <v>2495</v>
      </c>
      <c r="C62" s="3" t="s">
        <v>2410</v>
      </c>
      <c r="H62" t="s">
        <v>2518</v>
      </c>
      <c r="I62" t="s">
        <v>2184</v>
      </c>
      <c r="J62" t="s">
        <v>229</v>
      </c>
      <c r="K62" t="s">
        <v>53</v>
      </c>
    </row>
    <row r="63" spans="1:11" x14ac:dyDescent="0.2">
      <c r="A63" s="3" t="s">
        <v>2542</v>
      </c>
      <c r="B63" s="3" t="s">
        <v>2495</v>
      </c>
      <c r="C63" s="3" t="s">
        <v>2410</v>
      </c>
      <c r="H63" t="s">
        <v>2506</v>
      </c>
      <c r="I63" t="s">
        <v>2184</v>
      </c>
      <c r="J63" t="s">
        <v>1483</v>
      </c>
      <c r="K63" t="s">
        <v>169</v>
      </c>
    </row>
    <row r="64" spans="1:11" x14ac:dyDescent="0.2">
      <c r="A64" s="3" t="s">
        <v>2543</v>
      </c>
      <c r="B64" s="3" t="s">
        <v>2495</v>
      </c>
      <c r="C64" s="3" t="s">
        <v>2410</v>
      </c>
      <c r="H64" t="s">
        <v>2519</v>
      </c>
      <c r="I64" t="s">
        <v>2184</v>
      </c>
      <c r="J64" t="s">
        <v>1533</v>
      </c>
      <c r="K64" t="s">
        <v>169</v>
      </c>
    </row>
    <row r="65" spans="1:11" x14ac:dyDescent="0.2">
      <c r="A65" s="3" t="s">
        <v>2544</v>
      </c>
      <c r="B65" s="3" t="s">
        <v>2495</v>
      </c>
      <c r="C65" s="3" t="s">
        <v>2410</v>
      </c>
      <c r="H65" t="s">
        <v>2520</v>
      </c>
      <c r="I65" t="s">
        <v>2286</v>
      </c>
      <c r="J65" t="s">
        <v>2290</v>
      </c>
      <c r="K65" t="s">
        <v>10</v>
      </c>
    </row>
    <row r="66" spans="1:11" x14ac:dyDescent="0.2">
      <c r="A66" s="3" t="s">
        <v>2545</v>
      </c>
      <c r="B66" s="3" t="s">
        <v>2495</v>
      </c>
      <c r="C66" s="3" t="s">
        <v>2410</v>
      </c>
      <c r="H66" t="s">
        <v>2497</v>
      </c>
      <c r="I66" t="s">
        <v>2286</v>
      </c>
      <c r="J66" t="s">
        <v>2564</v>
      </c>
      <c r="K66" t="s">
        <v>10</v>
      </c>
    </row>
    <row r="67" spans="1:11" x14ac:dyDescent="0.2">
      <c r="A67" s="3" t="s">
        <v>2546</v>
      </c>
      <c r="B67" s="3" t="s">
        <v>2495</v>
      </c>
      <c r="C67" s="3" t="s">
        <v>2410</v>
      </c>
      <c r="H67" t="s">
        <v>2498</v>
      </c>
      <c r="I67" t="s">
        <v>2286</v>
      </c>
      <c r="J67" t="s">
        <v>2564</v>
      </c>
      <c r="K67" t="s">
        <v>10</v>
      </c>
    </row>
    <row r="68" spans="1:11" x14ac:dyDescent="0.2">
      <c r="A68" s="3" t="s">
        <v>2547</v>
      </c>
      <c r="B68" s="3" t="s">
        <v>2495</v>
      </c>
      <c r="C68" s="3" t="s">
        <v>2410</v>
      </c>
      <c r="H68" t="s">
        <v>2521</v>
      </c>
      <c r="I68" t="s">
        <v>2286</v>
      </c>
      <c r="J68" t="s">
        <v>2565</v>
      </c>
      <c r="K68" t="s">
        <v>10</v>
      </c>
    </row>
    <row r="69" spans="1:11" x14ac:dyDescent="0.2">
      <c r="A69" s="3" t="s">
        <v>2548</v>
      </c>
      <c r="B69" s="3" t="s">
        <v>2495</v>
      </c>
      <c r="C69" s="3" t="s">
        <v>2410</v>
      </c>
      <c r="H69" t="s">
        <v>2501</v>
      </c>
      <c r="I69" t="s">
        <v>2286</v>
      </c>
      <c r="J69" t="s">
        <v>33</v>
      </c>
      <c r="K69" t="s">
        <v>10</v>
      </c>
    </row>
    <row r="70" spans="1:11" x14ac:dyDescent="0.2">
      <c r="A70" s="3" t="s">
        <v>2549</v>
      </c>
      <c r="B70" s="3" t="s">
        <v>2495</v>
      </c>
      <c r="C70" s="3" t="s">
        <v>2410</v>
      </c>
      <c r="H70" t="s">
        <v>2502</v>
      </c>
      <c r="I70" t="s">
        <v>2286</v>
      </c>
      <c r="J70" t="s">
        <v>824</v>
      </c>
      <c r="K70" t="s">
        <v>57</v>
      </c>
    </row>
    <row r="71" spans="1:11" x14ac:dyDescent="0.2">
      <c r="A71" s="3" t="s">
        <v>2550</v>
      </c>
      <c r="B71" s="3" t="s">
        <v>2495</v>
      </c>
      <c r="C71" s="3" t="s">
        <v>2410</v>
      </c>
      <c r="H71" t="s">
        <v>2502</v>
      </c>
      <c r="I71" t="s">
        <v>2286</v>
      </c>
      <c r="J71" t="s">
        <v>824</v>
      </c>
      <c r="K71" t="s">
        <v>56</v>
      </c>
    </row>
    <row r="72" spans="1:11" x14ac:dyDescent="0.2">
      <c r="A72" s="3" t="s">
        <v>2551</v>
      </c>
      <c r="B72" s="3" t="s">
        <v>2495</v>
      </c>
      <c r="C72" s="3" t="s">
        <v>2410</v>
      </c>
      <c r="H72" t="s">
        <v>2502</v>
      </c>
      <c r="I72" t="s">
        <v>2286</v>
      </c>
      <c r="J72" t="s">
        <v>824</v>
      </c>
      <c r="K72" t="s">
        <v>55</v>
      </c>
    </row>
    <row r="73" spans="1:11" x14ac:dyDescent="0.2">
      <c r="A73" s="3" t="s">
        <v>2552</v>
      </c>
      <c r="B73" s="3" t="s">
        <v>2495</v>
      </c>
      <c r="C73" s="3" t="s">
        <v>2410</v>
      </c>
      <c r="H73" t="s">
        <v>2502</v>
      </c>
      <c r="I73" t="s">
        <v>2286</v>
      </c>
      <c r="J73" t="s">
        <v>824</v>
      </c>
      <c r="K73" t="s">
        <v>54</v>
      </c>
    </row>
    <row r="74" spans="1:11" x14ac:dyDescent="0.2">
      <c r="A74" s="3" t="s">
        <v>2553</v>
      </c>
      <c r="B74" s="3" t="s">
        <v>2495</v>
      </c>
      <c r="C74" s="3" t="s">
        <v>2410</v>
      </c>
      <c r="H74" t="s">
        <v>2502</v>
      </c>
      <c r="I74" t="s">
        <v>2286</v>
      </c>
      <c r="J74" t="s">
        <v>824</v>
      </c>
      <c r="K74" t="s">
        <v>53</v>
      </c>
    </row>
    <row r="75" spans="1:11" x14ac:dyDescent="0.2">
      <c r="A75" s="3" t="s">
        <v>2554</v>
      </c>
      <c r="B75" s="3" t="s">
        <v>2495</v>
      </c>
      <c r="C75" s="3" t="s">
        <v>2410</v>
      </c>
      <c r="H75" t="s">
        <v>2503</v>
      </c>
      <c r="I75" t="s">
        <v>2286</v>
      </c>
      <c r="J75" t="s">
        <v>902</v>
      </c>
      <c r="K75" t="s">
        <v>57</v>
      </c>
    </row>
    <row r="76" spans="1:11" x14ac:dyDescent="0.2">
      <c r="A76" s="3" t="s">
        <v>2555</v>
      </c>
      <c r="B76" s="3" t="s">
        <v>2495</v>
      </c>
      <c r="C76" s="3" t="s">
        <v>2410</v>
      </c>
      <c r="H76" t="s">
        <v>2503</v>
      </c>
      <c r="I76" t="s">
        <v>2286</v>
      </c>
      <c r="J76" t="s">
        <v>902</v>
      </c>
      <c r="K76" t="s">
        <v>56</v>
      </c>
    </row>
    <row r="77" spans="1:11" x14ac:dyDescent="0.2">
      <c r="A77" s="3" t="s">
        <v>2556</v>
      </c>
      <c r="B77" s="3" t="s">
        <v>2495</v>
      </c>
      <c r="C77" s="3" t="s">
        <v>2410</v>
      </c>
      <c r="H77" t="s">
        <v>2503</v>
      </c>
      <c r="I77" t="s">
        <v>2286</v>
      </c>
      <c r="J77" t="s">
        <v>902</v>
      </c>
      <c r="K77" t="s">
        <v>55</v>
      </c>
    </row>
    <row r="78" spans="1:11" x14ac:dyDescent="0.2">
      <c r="A78" s="3" t="s">
        <v>2557</v>
      </c>
      <c r="B78" s="3" t="s">
        <v>2495</v>
      </c>
      <c r="C78" s="3" t="s">
        <v>2410</v>
      </c>
      <c r="H78" t="s">
        <v>2503</v>
      </c>
      <c r="I78" t="s">
        <v>2286</v>
      </c>
      <c r="J78" t="s">
        <v>902</v>
      </c>
      <c r="K78" t="s">
        <v>54</v>
      </c>
    </row>
    <row r="79" spans="1:11" x14ac:dyDescent="0.2">
      <c r="A79" s="3" t="s">
        <v>2558</v>
      </c>
      <c r="B79" s="3" t="s">
        <v>2495</v>
      </c>
      <c r="C79" s="3" t="s">
        <v>2410</v>
      </c>
      <c r="H79" t="s">
        <v>2503</v>
      </c>
      <c r="I79" t="s">
        <v>2286</v>
      </c>
      <c r="J79" t="s">
        <v>902</v>
      </c>
      <c r="K79" t="s">
        <v>53</v>
      </c>
    </row>
    <row r="80" spans="1:11" x14ac:dyDescent="0.2">
      <c r="A80" s="3" t="s">
        <v>2559</v>
      </c>
      <c r="B80" s="3" t="s">
        <v>2495</v>
      </c>
      <c r="C80" s="3" t="s">
        <v>2410</v>
      </c>
      <c r="H80" t="s">
        <v>2505</v>
      </c>
      <c r="I80" t="s">
        <v>2286</v>
      </c>
      <c r="J80" t="s">
        <v>1369</v>
      </c>
      <c r="K80" t="s">
        <v>11</v>
      </c>
    </row>
    <row r="81" spans="1:11" x14ac:dyDescent="0.2">
      <c r="A81" s="3" t="s">
        <v>2560</v>
      </c>
      <c r="B81" s="3" t="s">
        <v>2495</v>
      </c>
      <c r="C81" s="3" t="s">
        <v>2410</v>
      </c>
      <c r="H81" t="s">
        <v>2506</v>
      </c>
      <c r="I81" t="s">
        <v>2286</v>
      </c>
      <c r="J81" t="s">
        <v>2141</v>
      </c>
      <c r="K81" t="s">
        <v>169</v>
      </c>
    </row>
    <row r="82" spans="1:11" x14ac:dyDescent="0.2">
      <c r="A82" s="3" t="s">
        <v>2561</v>
      </c>
      <c r="B82" s="3" t="s">
        <v>2495</v>
      </c>
      <c r="C82" s="3" t="s">
        <v>2410</v>
      </c>
      <c r="H82" t="s">
        <v>2507</v>
      </c>
      <c r="I82" t="s">
        <v>8</v>
      </c>
      <c r="J82" t="s">
        <v>2507</v>
      </c>
      <c r="K82" t="s">
        <v>57</v>
      </c>
    </row>
    <row r="83" spans="1:11" x14ac:dyDescent="0.2">
      <c r="A83" s="3" t="s">
        <v>2562</v>
      </c>
      <c r="B83" s="3" t="s">
        <v>2495</v>
      </c>
      <c r="C83" s="3" t="s">
        <v>2410</v>
      </c>
      <c r="H83" t="s">
        <v>2507</v>
      </c>
      <c r="I83" t="s">
        <v>8</v>
      </c>
      <c r="J83" t="s">
        <v>2507</v>
      </c>
      <c r="K83" t="s">
        <v>56</v>
      </c>
    </row>
    <row r="84" spans="1:11" x14ac:dyDescent="0.2">
      <c r="H84" t="s">
        <v>2507</v>
      </c>
      <c r="I84" t="s">
        <v>8</v>
      </c>
      <c r="J84" t="s">
        <v>2507</v>
      </c>
      <c r="K84" t="s">
        <v>55</v>
      </c>
    </row>
    <row r="85" spans="1:11" x14ac:dyDescent="0.2">
      <c r="H85" t="s">
        <v>2507</v>
      </c>
      <c r="I85" t="s">
        <v>8</v>
      </c>
      <c r="J85" t="s">
        <v>2507</v>
      </c>
      <c r="K85" t="s">
        <v>54</v>
      </c>
    </row>
    <row r="86" spans="1:11" x14ac:dyDescent="0.2">
      <c r="H86" t="s">
        <v>2507</v>
      </c>
      <c r="I86" t="s">
        <v>8</v>
      </c>
      <c r="J86" t="s">
        <v>2507</v>
      </c>
      <c r="K86" t="s">
        <v>53</v>
      </c>
    </row>
    <row r="87" spans="1:11" x14ac:dyDescent="0.2">
      <c r="H87" t="s">
        <v>2508</v>
      </c>
      <c r="I87" t="s">
        <v>8</v>
      </c>
      <c r="J87" t="s">
        <v>951</v>
      </c>
      <c r="K87" t="s">
        <v>169</v>
      </c>
    </row>
    <row r="88" spans="1:11" x14ac:dyDescent="0.2">
      <c r="H88" t="s">
        <v>2509</v>
      </c>
      <c r="I88" t="s">
        <v>8</v>
      </c>
      <c r="J88" t="s">
        <v>951</v>
      </c>
      <c r="K88" t="s">
        <v>169</v>
      </c>
    </row>
    <row r="89" spans="1:11" x14ac:dyDescent="0.2">
      <c r="H89" t="s">
        <v>2510</v>
      </c>
      <c r="I89" t="s">
        <v>8</v>
      </c>
      <c r="J89" t="s">
        <v>951</v>
      </c>
      <c r="K89" t="s">
        <v>169</v>
      </c>
    </row>
    <row r="90" spans="1:11" x14ac:dyDescent="0.2">
      <c r="H90" t="s">
        <v>2511</v>
      </c>
      <c r="I90" t="s">
        <v>8</v>
      </c>
      <c r="J90" t="s">
        <v>934</v>
      </c>
      <c r="K90" t="s">
        <v>11</v>
      </c>
    </row>
    <row r="91" spans="1:11" x14ac:dyDescent="0.2">
      <c r="H91" t="s">
        <v>2534</v>
      </c>
      <c r="I91" t="s">
        <v>2410</v>
      </c>
      <c r="J91" t="s">
        <v>2566</v>
      </c>
      <c r="K91" t="s">
        <v>22</v>
      </c>
    </row>
    <row r="92" spans="1:11" x14ac:dyDescent="0.2">
      <c r="H92" t="s">
        <v>2535</v>
      </c>
      <c r="I92" t="s">
        <v>2410</v>
      </c>
      <c r="J92" t="s">
        <v>2566</v>
      </c>
      <c r="K92" t="s">
        <v>22</v>
      </c>
    </row>
    <row r="93" spans="1:11" x14ac:dyDescent="0.2">
      <c r="H93" t="s">
        <v>2536</v>
      </c>
      <c r="I93" t="s">
        <v>2410</v>
      </c>
      <c r="J93" t="s">
        <v>2566</v>
      </c>
      <c r="K93" t="s">
        <v>22</v>
      </c>
    </row>
    <row r="94" spans="1:11" x14ac:dyDescent="0.2">
      <c r="H94" t="s">
        <v>2537</v>
      </c>
      <c r="I94" t="s">
        <v>2410</v>
      </c>
      <c r="J94" t="s">
        <v>2566</v>
      </c>
      <c r="K94" t="s">
        <v>22</v>
      </c>
    </row>
    <row r="95" spans="1:11" x14ac:dyDescent="0.2">
      <c r="H95" t="s">
        <v>2538</v>
      </c>
      <c r="I95" t="s">
        <v>2410</v>
      </c>
      <c r="J95" t="s">
        <v>2566</v>
      </c>
      <c r="K95" t="s">
        <v>22</v>
      </c>
    </row>
    <row r="96" spans="1:11" x14ac:dyDescent="0.2">
      <c r="H96" t="s">
        <v>2539</v>
      </c>
      <c r="I96" t="s">
        <v>2410</v>
      </c>
      <c r="J96" t="s">
        <v>2566</v>
      </c>
      <c r="K96" t="s">
        <v>22</v>
      </c>
    </row>
    <row r="97" spans="8:11" x14ac:dyDescent="0.2">
      <c r="H97" t="s">
        <v>2540</v>
      </c>
      <c r="I97" t="s">
        <v>2410</v>
      </c>
      <c r="J97" t="s">
        <v>447</v>
      </c>
      <c r="K97" t="s">
        <v>22</v>
      </c>
    </row>
    <row r="98" spans="8:11" x14ac:dyDescent="0.2">
      <c r="H98" t="s">
        <v>2541</v>
      </c>
      <c r="I98" t="s">
        <v>2410</v>
      </c>
      <c r="J98" t="s">
        <v>1397</v>
      </c>
      <c r="K98" t="s">
        <v>22</v>
      </c>
    </row>
    <row r="99" spans="8:11" x14ac:dyDescent="0.2">
      <c r="H99" t="s">
        <v>2542</v>
      </c>
      <c r="I99" t="s">
        <v>2410</v>
      </c>
      <c r="J99" t="s">
        <v>2566</v>
      </c>
      <c r="K99" t="s">
        <v>22</v>
      </c>
    </row>
    <row r="100" spans="8:11" x14ac:dyDescent="0.2">
      <c r="H100" t="s">
        <v>2543</v>
      </c>
      <c r="I100" t="s">
        <v>2410</v>
      </c>
      <c r="J100" t="s">
        <v>2567</v>
      </c>
      <c r="K100" t="s">
        <v>22</v>
      </c>
    </row>
    <row r="101" spans="8:11" x14ac:dyDescent="0.2">
      <c r="H101" t="s">
        <v>2544</v>
      </c>
      <c r="I101" t="s">
        <v>2410</v>
      </c>
      <c r="J101" t="s">
        <v>1425</v>
      </c>
      <c r="K101" t="s">
        <v>22</v>
      </c>
    </row>
    <row r="102" spans="8:11" x14ac:dyDescent="0.2">
      <c r="H102" t="s">
        <v>2545</v>
      </c>
      <c r="I102" t="s">
        <v>2410</v>
      </c>
      <c r="J102" t="s">
        <v>1424</v>
      </c>
      <c r="K102" t="s">
        <v>22</v>
      </c>
    </row>
    <row r="103" spans="8:11" x14ac:dyDescent="0.2">
      <c r="H103" t="s">
        <v>2546</v>
      </c>
      <c r="I103" t="s">
        <v>2410</v>
      </c>
      <c r="J103" t="s">
        <v>1424</v>
      </c>
      <c r="K103" t="s">
        <v>22</v>
      </c>
    </row>
    <row r="104" spans="8:11" x14ac:dyDescent="0.2">
      <c r="H104" t="s">
        <v>2547</v>
      </c>
      <c r="I104" t="s">
        <v>2410</v>
      </c>
      <c r="J104" t="s">
        <v>1673</v>
      </c>
      <c r="K104" t="s">
        <v>22</v>
      </c>
    </row>
    <row r="105" spans="8:11" x14ac:dyDescent="0.2">
      <c r="H105" t="s">
        <v>2548</v>
      </c>
      <c r="I105" t="s">
        <v>2410</v>
      </c>
      <c r="J105" t="s">
        <v>1673</v>
      </c>
      <c r="K105" t="s">
        <v>22</v>
      </c>
    </row>
    <row r="106" spans="8:11" x14ac:dyDescent="0.2">
      <c r="H106" t="s">
        <v>2549</v>
      </c>
      <c r="I106" t="s">
        <v>2410</v>
      </c>
      <c r="J106" t="s">
        <v>2083</v>
      </c>
      <c r="K106" t="s">
        <v>22</v>
      </c>
    </row>
    <row r="107" spans="8:11" x14ac:dyDescent="0.2">
      <c r="H107" t="s">
        <v>2550</v>
      </c>
      <c r="I107" t="s">
        <v>2410</v>
      </c>
      <c r="J107" t="s">
        <v>2083</v>
      </c>
      <c r="K107" t="s">
        <v>22</v>
      </c>
    </row>
    <row r="108" spans="8:11" x14ac:dyDescent="0.2">
      <c r="H108" t="s">
        <v>2551</v>
      </c>
      <c r="I108" t="s">
        <v>2410</v>
      </c>
      <c r="J108" t="s">
        <v>2083</v>
      </c>
      <c r="K108" t="s">
        <v>22</v>
      </c>
    </row>
    <row r="109" spans="8:11" x14ac:dyDescent="0.2">
      <c r="H109" t="s">
        <v>2552</v>
      </c>
      <c r="I109" t="s">
        <v>2410</v>
      </c>
      <c r="J109" t="s">
        <v>2001</v>
      </c>
      <c r="K109" t="s">
        <v>22</v>
      </c>
    </row>
    <row r="110" spans="8:11" x14ac:dyDescent="0.2">
      <c r="H110" t="s">
        <v>2553</v>
      </c>
      <c r="I110" t="s">
        <v>2410</v>
      </c>
      <c r="J110" t="s">
        <v>2010</v>
      </c>
      <c r="K110" t="s">
        <v>22</v>
      </c>
    </row>
    <row r="111" spans="8:11" x14ac:dyDescent="0.2">
      <c r="H111" t="s">
        <v>2554</v>
      </c>
      <c r="I111" t="s">
        <v>2410</v>
      </c>
      <c r="J111" t="s">
        <v>1938</v>
      </c>
      <c r="K111" t="s">
        <v>22</v>
      </c>
    </row>
    <row r="112" spans="8:11" x14ac:dyDescent="0.2">
      <c r="H112" t="s">
        <v>2555</v>
      </c>
      <c r="I112" t="s">
        <v>2410</v>
      </c>
      <c r="J112" t="s">
        <v>1938</v>
      </c>
      <c r="K112" t="s">
        <v>22</v>
      </c>
    </row>
    <row r="113" spans="8:11" x14ac:dyDescent="0.2">
      <c r="H113" t="s">
        <v>2556</v>
      </c>
      <c r="I113" t="s">
        <v>2410</v>
      </c>
      <c r="J113" t="s">
        <v>2566</v>
      </c>
      <c r="K113" t="s">
        <v>22</v>
      </c>
    </row>
    <row r="114" spans="8:11" x14ac:dyDescent="0.2">
      <c r="H114" t="s">
        <v>2557</v>
      </c>
      <c r="I114" t="s">
        <v>2410</v>
      </c>
      <c r="J114" t="s">
        <v>2566</v>
      </c>
      <c r="K114" t="s">
        <v>22</v>
      </c>
    </row>
    <row r="115" spans="8:11" x14ac:dyDescent="0.2">
      <c r="H115" t="s">
        <v>2558</v>
      </c>
      <c r="I115" t="s">
        <v>2410</v>
      </c>
      <c r="J115" t="s">
        <v>2566</v>
      </c>
      <c r="K115" t="s">
        <v>22</v>
      </c>
    </row>
    <row r="116" spans="8:11" x14ac:dyDescent="0.2">
      <c r="H116" t="s">
        <v>2559</v>
      </c>
      <c r="I116" t="s">
        <v>2410</v>
      </c>
      <c r="J116" t="s">
        <v>2566</v>
      </c>
      <c r="K116" t="s">
        <v>22</v>
      </c>
    </row>
  </sheetData>
  <phoneticPr fontId="12" type="noConversion"/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A8B736-2403-481A-AEA7-C5F6C4702B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</vt:i4>
      </vt:variant>
    </vt:vector>
  </HeadingPairs>
  <TitlesOfParts>
    <vt:vector size="19" baseType="lpstr">
      <vt:lpstr>Introduction</vt:lpstr>
      <vt:lpstr>Xref_CIC</vt:lpstr>
      <vt:lpstr>Xref_BTE</vt:lpstr>
      <vt:lpstr>Xref_Thrive</vt:lpstr>
      <vt:lpstr>Xref_Inspire</vt:lpstr>
      <vt:lpstr>Flowdown_Thrive</vt:lpstr>
      <vt:lpstr>Flowdown_Inspire</vt:lpstr>
      <vt:lpstr>Flowdown_CIC</vt:lpstr>
      <vt:lpstr>Flowdown_BTE</vt:lpstr>
      <vt:lpstr>Patch</vt:lpstr>
      <vt:lpstr>Introduction!Print_Area</vt:lpstr>
      <vt:lpstr>Xref_BTE!Print_Area</vt:lpstr>
      <vt:lpstr>Xref_CIC!Print_Area</vt:lpstr>
      <vt:lpstr>Xref_Inspire!Print_Area</vt:lpstr>
      <vt:lpstr>Xref_Thrive!Print_Area</vt:lpstr>
      <vt:lpstr>Xref_BTE!Print_Titles</vt:lpstr>
      <vt:lpstr>Xref_CIC!Print_Titles</vt:lpstr>
      <vt:lpstr>Xref_Inspire!Print_Titles</vt:lpstr>
      <vt:lpstr>Xref_Thrive!Print_Titles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2021-12-03T20:28:32Z</cp:lastPrinted>
  <dcterms:created xsi:type="dcterms:W3CDTF">2021-09-27T12:19:57Z</dcterms:created>
  <dcterms:modified xsi:type="dcterms:W3CDTF">2022-12-18T15:58:08Z</dcterms:modified>
</cp:coreProperties>
</file>